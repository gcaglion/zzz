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7.xml" ContentType="application/vnd.openxmlformats-officedocument.spreadsheetml.pivot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8.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96" firstSheet="3" activeTab="4"/>
  </bookViews>
  <sheets>
    <sheet name="NN_Topology" sheetId="3" r:id="rId1"/>
    <sheet name="MSE" sheetId="4" r:id="rId2"/>
    <sheet name="New_TRS" sheetId="14" r:id="rId3"/>
    <sheet name="New_TR" sheetId="6" r:id="rId4"/>
    <sheet name="New_BASE" sheetId="7" r:id="rId5"/>
    <sheet name="ForecasterError" sheetId="1" r:id="rId6"/>
    <sheet name="ClientInfo" sheetId="9" r:id="rId7"/>
    <sheet name="Clipboard" sheetId="10" r:id="rId8"/>
    <sheet name="FullRunLog" sheetId="8" r:id="rId9"/>
    <sheet name="Config" sheetId="12" r:id="rId10"/>
    <sheet name="Engines" sheetId="13" r:id="rId11"/>
  </sheets>
  <definedNames>
    <definedName name="ExternalData_1" localSheetId="9">Config!$A$3:$E$118</definedName>
    <definedName name="ExternalData_2" localSheetId="9" hidden="1">Config!#REF!</definedName>
    <definedName name="Query_from_Algo" localSheetId="6" hidden="1">ClientInfo!$A$1:$J$583</definedName>
    <definedName name="Query_from_Algo" localSheetId="5" hidden="1">ForecasterError!$A$1:$M$25</definedName>
    <definedName name="Query_from_Algo_1" localSheetId="5" hidden="1">ForecasterError!$Y$1:$AL$577</definedName>
    <definedName name="Slicer_CLIENTNAME">#N/A</definedName>
    <definedName name="Slicer_CLIENTSTART">#N/A</definedName>
    <definedName name="Slicer_DATAPREDICTIONLEN">#N/A</definedName>
    <definedName name="Slicer_DATASAMPLELEN">#N/A</definedName>
    <definedName name="Slicer_DOTRAINING">#N/A</definedName>
    <definedName name="Slicer_ENGINESIDE">#N/A</definedName>
    <definedName name="Slicer_FEATURE">#N/A</definedName>
    <definedName name="Slicer_FEATURE31">#N/A</definedName>
    <definedName name="Slicer_FEATURE311">#N/A</definedName>
    <definedName name="Slicer_FEATURE312">#N/A</definedName>
    <definedName name="Slicer_IOSHIFT">#N/A</definedName>
    <definedName name="Slicer_LASTEPOCH">#N/A</definedName>
    <definedName name="Slicer_LEVELRATIOS">#N/A</definedName>
    <definedName name="Slicer_MAXEPOCHS">#N/A</definedName>
    <definedName name="Slicer_NETPROCESSID">#N/A</definedName>
    <definedName name="Slicer_NETPROCESSID2">#N/A</definedName>
    <definedName name="Slicer_NETPROCESSID21">#N/A</definedName>
    <definedName name="Slicer_PROCESSID">#N/A</definedName>
    <definedName name="Slicer_PROCESSID131">#N/A</definedName>
    <definedName name="Slicer_PROCESSID1311">#N/A</definedName>
    <definedName name="Slicer_PROCESSID1312">#N/A</definedName>
    <definedName name="Slicer_RUNDATE3">#N/A</definedName>
    <definedName name="Slicer_RUNDATE31">#N/A</definedName>
    <definedName name="Slicer_RUNDATE32">#N/A</definedName>
    <definedName name="Slicer_SEQUENCEID211">#N/A</definedName>
    <definedName name="Slicer_SEQUENCEID2111">#N/A</definedName>
    <definedName name="Slicer_SEQUENCEID2112">#N/A</definedName>
    <definedName name="Slicer_SIMULATIONID">#N/A</definedName>
    <definedName name="Slicer_SIMULATIONID1">#N/A</definedName>
    <definedName name="Slicer_THREADID">#N/A</definedName>
    <definedName name="Slicer_THREADID1">#N/A</definedName>
    <definedName name="Slicer_THREADID3">#N/A</definedName>
    <definedName name="Slicer_USECONTEXT">#N/A</definedName>
    <definedName name="Slicer_WTLEVEL">#N/A</definedName>
    <definedName name="Slicer_WTTYPE">#N/A</definedName>
  </definedNames>
  <calcPr calcId="152511"/>
  <pivotCaches>
    <pivotCache cacheId="0" r:id="rId12"/>
    <pivotCache cacheId="3" r:id="rId13"/>
    <pivotCache cacheId="6" r:id="rId14"/>
    <pivotCache cacheId="94" r:id="rId15"/>
    <pivotCache cacheId="112" r:id="rId16"/>
    <pivotCache cacheId="121"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0" l="1"/>
  <c r="H1" i="14"/>
  <c r="A4" i="10" l="1"/>
  <c r="B4" i="10" s="1"/>
  <c r="M2" i="9"/>
  <c r="F1" i="4"/>
  <c r="B8" i="3"/>
  <c r="F10" i="3" s="1"/>
  <c r="F8" i="3"/>
  <c r="B9" i="3"/>
  <c r="F2" i="4"/>
  <c r="AX1" i="1"/>
  <c r="H1" i="6"/>
  <c r="H1" i="7"/>
  <c r="A5" i="10" l="1"/>
  <c r="B5" i="10" s="1"/>
  <c r="F12" i="3"/>
  <c r="F15" i="3"/>
  <c r="G15" i="3" s="1"/>
  <c r="F9" i="3"/>
  <c r="F14" i="3"/>
  <c r="G14" i="3" s="1"/>
  <c r="F11" i="3"/>
  <c r="F13" i="3"/>
  <c r="G13" i="3" s="1"/>
  <c r="A6" i="10" l="1"/>
  <c r="B6" i="10" s="1"/>
  <c r="H13" i="3"/>
  <c r="H14" i="3"/>
  <c r="H15" i="3"/>
  <c r="G12" i="3"/>
  <c r="A7" i="10" l="1"/>
  <c r="B7" i="10" s="1"/>
  <c r="G11" i="3"/>
  <c r="A8" i="10" l="1"/>
  <c r="B8" i="10" s="1"/>
  <c r="G10" i="3"/>
  <c r="H12" i="3"/>
  <c r="A9" i="10" l="1"/>
  <c r="B9" i="10" s="1"/>
  <c r="G9" i="3"/>
  <c r="H11" i="3"/>
  <c r="A10" i="10" l="1"/>
  <c r="B10" i="10" s="1"/>
  <c r="G8" i="3"/>
  <c r="G6" i="3" s="1"/>
  <c r="H10" i="3"/>
  <c r="A11" i="10" l="1"/>
  <c r="B11" i="10" s="1"/>
  <c r="H9" i="3"/>
  <c r="H6" i="3" s="1"/>
  <c r="A12" i="10" l="1"/>
  <c r="B12" i="10" s="1"/>
  <c r="A13" i="10" l="1"/>
  <c r="B13" i="10" s="1"/>
  <c r="A14" i="10" l="1"/>
  <c r="B14" i="10" s="1"/>
  <c r="A15" i="10" l="1"/>
  <c r="B15" i="10" s="1"/>
  <c r="A16" i="10" l="1"/>
  <c r="B16" i="10" s="1"/>
  <c r="A17" i="10" l="1"/>
  <c r="B17" i="10" s="1"/>
  <c r="A18" i="10" l="1"/>
  <c r="B18" i="10" s="1"/>
  <c r="A19" i="10" l="1"/>
  <c r="B19" i="10" s="1"/>
  <c r="A20" i="10" l="1"/>
  <c r="B20" i="10" s="1"/>
  <c r="A21" i="10" l="1"/>
  <c r="B21" i="10" s="1"/>
  <c r="A22" i="10" l="1"/>
  <c r="B22" i="10" s="1"/>
  <c r="A23" i="10" l="1"/>
  <c r="B23" i="10" s="1"/>
  <c r="A24" i="10" l="1"/>
  <c r="B24" i="10" s="1"/>
  <c r="A25" i="10" l="1"/>
  <c r="B25" i="10" s="1"/>
  <c r="A26" i="10" l="1"/>
  <c r="B26" i="10"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s" type="1" refreshedVersion="5" savePassword="1" saveData="1">
    <dbPr connection="DSN=Algo;UID=LogUser;PWD=LogPwd;DBQ=ALGO;DBA=W;APA=T;EXC=F;FEN=T;QTO=T;FRC=10;FDL=10;LOB=T;RST=T;BTD=F;BNF=F;BAM=IfAllSuccessful;NUM=NLS;DPM=F;MTS=T;MDI=F;CSR=F;FWC=F;FBS=64000000000;TLO=O;MLD=0;ODA=F;STE=F;TSZ=8192;AST=FLOAT;" command="select * from engines e, enginecores ec, enginedata ed, corennparms nnp, clientinfo ci, vlastmse lmse, vrunstats rs_x000d__x000a_where_x000d__x000a_e.processid=ec.enginepid and_x000d__x000a_ed.processid=e.processid and_x000d__x000a_ec.enginepid=nnp.processid and ec.corethreadid=nnp.threadid and_x000d__x000a_e.processid=ci.processid and_x000d__x000a_lmse.processid=ec.enginepid and lmse.threadid=ec.corethreadid and_x000d__x000a_rs.netprocessid=ec.enginepid and_x000d__x000a_rs.threadid=ec.corethreadid"/>
  </connection>
  <connection id="3" name="Q_ForecasterError_1" type="1" refreshedVersion="5" savePassword="1" background="1" saveData="1">
    <dbPr connection="DSN=Algo;UID=LogUser;PWD=LogPwd;DBQ=ALGO;DBA=W;APA=T;EXC=F;FEN=T;QTO=T;FRC=10;FDL=10;LOB=T;RST=T;BTD=F;BNF=F;BAM=IfAllSuccessful;NUM=NLS;DPM=F;MTS=T;MDI=F;CSR=F;FWC=F;FBS=64000;TLO=O;MLD=0;ODA=F;STE=F;TSZ=8192;AST=FLOAT;" command="select _x000d__x000a_ci.clientstart, rx.processid, rx.threadid, rx.sequenceid, rx.lasttime, _x000d__x000a_ra.actualbase ActualH, rx.ForecastH, abs(ra.actualbase-rx.ForecastH) errorH, rb.actualbase ActualL, rx.ForecastL, abs(rb.actualbase-rx.ForecastL) errorL, ti.tradeprofit, ti.traderesult_x000d__x000a_from (_x000d__x000a__x0009_select processid, threadid, sequenceid, lasttime, lag(FH) over(order by lasttime) ForecastH, lag(FL) over(order by lasttime) ForecastL from (_x000d__x000a__x0009__x0009_select rr1.processid, rr1.threadid, rr1.sequenceid, max(rr0.poslabel) lasttime, rr1.prdh FH, rr2.prdl FL from (_x000d__x000a__x0009__x0009__x0009_select r1.processid, r1.threadid, r1.sequenceid, r1.predictedbase prdh from runlog r1,_x000d__x000a__x0009__x0009__x0009__x0009_(select processid, threadid, sequenceid, feature, min(poslabel) plh, null pll from runlog where actualbase is null and feature=1  and processid in(?,?,?,?,?,?,?,?,?,?,?,?,?,?,?,?,?,?,?,?,?,?,?,?) group by processid, threadid, sequenceid, feature) r2_x000d__x000a__x0009__x0009__x0009__x0009_where_x000d__x000a__x0009__x0009__x0009__x0009_r1.processid=r2.processid and r1.threadid=r2.threadid and r1.sequenceid=r2.sequenceid and r1.feature=r2.feature and r1.poslabel=r2.plh_x000d__x000a__x0009__x0009__x0009_) rr1, _x000d__x000a__x0009__x0009__x0009_(select r1.processid, r1.threadid, r1.sequenceid, r1.predictedbase prdl from runlog r1,_x000d__x000a__x0009__x0009__x0009__x0009_(select processid, threadid, sequenceid, feature, min(poslabel) plh, null pll from runlog where actualbase is null and feature=2 and processid in(?,?,?,?,?,?,?,?,?,?,?,?,?,?,?,?,?,?,?,?,?,?,?,?) group by processid, threadid, sequenceid, feature) r2_x000d__x000a__x0009__x0009__x0009_where_x000d__x000a__x0009__x0009__x0009_r1.processid=r2.processid and r1.threadid=r2.threadid and r1.sequenceid=r2.sequenceid and r1.feature=r2.feature and r1.poslabel=r2.plh_x000d__x000a__x0009__x0009__x0009_) rr2,_x000d__x000a__x0009__x0009_runlog rr0_x000d__x000a__x0009__x0009_where _x000d__x000a__x0009__x0009_rr0.processid=rr2.processid and rr0.threadid=rr2.threadid and rr0.sequenceid=rr1.sequenceid and_x000d__x000a__x0009__x0009_rr1.processid=rr2.processid and rr1.threadid=rr2.threadid and rr1.sequenceid=rr2.sequenceid and_x000d__x000a__x0009__x0009_actualbase is not null_x000d__x000a__x0009__x0009_group by rr1.processid, rr1.threadid, rr1.sequenceid, rr1.prdh, rr2.prdl_x000d__x000a__x0009_)_x000d__x000a_) rx, runlog ra, runlog rb, clientinfo ci, tradeinfo ti_x000d__x000a_where_x000d__x000a_rx.processid=ra.processid and rx.threadid=ra.threadid and rx.sequenceid=ra.sequenceid and ra.poslabel=rx.lasttime and ra.feature=1_x000d__x000a_and  rx.processid=rb.processid and rx.threadid=rb.threadid and rx.sequenceid=rb.sequenceid and rb.poslabel=rx.lasttime and rb.feature=2_x000d__x000a_and ci.processid=rx.processid_x000d__x000a_and ti.clientpid(+)=rx.processid and ti.lastbart(+)=to_date(rx.lasttime,'YYYY-MM-DD-HH24:MI')_x000d__x000a_order by 3,4"/>
    <parameters count="48">
      <parameter name="Parameter1" parameterType="cell" refreshOnChange="1" cell="ForecasterError!$O$2"/>
      <parameter name="Parameter2" parameterType="cell" refreshOnChange="1" cell="ForecasterError!$O$3"/>
      <parameter name="Parameter3" parameterType="cell" refreshOnChange="1" cell="ForecasterError!$O$4"/>
      <parameter name="Parameter4" parameterType="cell" refreshOnChange="1" cell="ForecasterError!$O$5"/>
      <parameter name="Parameter5" parameterType="cell" refreshOnChange="1" cell="ForecasterError!$O$6"/>
      <parameter name="Parameter6" parameterType="cell" refreshOnChange="1" cell="ForecasterError!$O$7"/>
      <parameter name="Parameter7" parameterType="cell" refreshOnChange="1" cell="ForecasterError!$O$8"/>
      <parameter name="Parameter8" parameterType="cell" refreshOnChange="1" cell="ForecasterError!$O$9"/>
      <parameter name="Parameter9" parameterType="cell" refreshOnChange="1" cell="ForecasterError!$O$10"/>
      <parameter name="Parameter10" parameterType="cell" refreshOnChange="1" cell="ForecasterError!$O$11"/>
      <parameter name="Parameter11" parameterType="cell" refreshOnChange="1" cell="ForecasterError!$O$12"/>
      <parameter name="Parameter12" parameterType="cell" refreshOnChange="1" cell="ForecasterError!$O$13"/>
      <parameter name="Parameter13" parameterType="cell" refreshOnChange="1" cell="ForecasterError!$O$14"/>
      <parameter name="Parameter14" parameterType="cell" refreshOnChange="1" cell="ForecasterError!$O$15"/>
      <parameter name="Parameter15" parameterType="cell" refreshOnChange="1" cell="ForecasterError!$O$16"/>
      <parameter name="Parameter16" parameterType="cell" refreshOnChange="1" cell="ForecasterError!$O$17"/>
      <parameter name="Parameter17" parameterType="cell" refreshOnChange="1" cell="ForecasterError!$O$18"/>
      <parameter name="Parameter18" parameterType="cell" refreshOnChange="1" cell="ForecasterError!$O$19"/>
      <parameter name="Parameter19" parameterType="cell" refreshOnChange="1" cell="ForecasterError!$O$20"/>
      <parameter name="Parameter20" parameterType="cell" refreshOnChange="1" cell="ForecasterError!$O$21"/>
      <parameter name="Parameter21" parameterType="cell" refreshOnChange="1" cell="ForecasterError!$O$22"/>
      <parameter name="Parameter22" parameterType="cell" refreshOnChange="1" cell="ForecasterError!$O$23"/>
      <parameter name="Parameter23" parameterType="cell" refreshOnChange="1" cell="ForecasterError!$O$24"/>
      <parameter name="Parameter24" parameterType="cell" refreshOnChange="1" cell="ForecasterError!$O$25"/>
      <parameter name="Parameter25" parameterType="cell" refreshOnChange="1" cell="ForecasterError!$O$2"/>
      <parameter name="Parameter26" parameterType="cell" refreshOnChange="1" cell="ForecasterError!$O$3"/>
      <parameter name="Parameter27" parameterType="cell" refreshOnChange="1" cell="ForecasterError!$O$4"/>
      <parameter name="Parameter28" parameterType="cell" refreshOnChange="1" cell="ForecasterError!$O$5"/>
      <parameter name="Parameter29" parameterType="cell" refreshOnChange="1" cell="ForecasterError!$O$6"/>
      <parameter name="Parameter30" parameterType="cell" refreshOnChange="1" cell="ForecasterError!$O$7"/>
      <parameter name="Parameter31" parameterType="cell" refreshOnChange="1" cell="ForecasterError!$O$8"/>
      <parameter name="Parameter32" parameterType="cell" refreshOnChange="1" cell="ForecasterError!$O$9"/>
      <parameter name="Parameter33" parameterType="cell" refreshOnChange="1" cell="ForecasterError!$O$10"/>
      <parameter name="Parameter34" parameterType="cell" refreshOnChange="1" cell="ForecasterError!$O$11"/>
      <parameter name="Parameter35" parameterType="cell" refreshOnChange="1" cell="ForecasterError!$O$12"/>
      <parameter name="Parameter36" parameterType="cell" refreshOnChange="1" cell="ForecasterError!$O$13"/>
      <parameter name="Parameter37" parameterType="cell" refreshOnChange="1" cell="ForecasterError!$O$14"/>
      <parameter name="Parameter38" parameterType="cell" refreshOnChange="1" cell="ForecasterError!$O$15"/>
      <parameter name="Parameter39" parameterType="cell" refreshOnChange="1" cell="ForecasterError!$O$16"/>
      <parameter name="Parameter40" parameterType="cell" refreshOnChange="1" cell="ForecasterError!$O$17"/>
      <parameter name="Parameter41" parameterType="cell" refreshOnChange="1" cell="ForecasterError!$O$18"/>
      <parameter name="Parameter42" parameterType="cell" refreshOnChange="1" cell="ForecasterError!$O$19"/>
      <parameter name="Parameter43" parameterType="cell" refreshOnChange="1" cell="ForecasterError!$O$20"/>
      <parameter name="Parameter44" parameterType="cell" refreshOnChange="1" cell="ForecasterError!$O$21"/>
      <parameter name="Parameter45" parameterType="cell" refreshOnChange="1" cell="ForecasterError!$O$22"/>
      <parameter name="Parameter46" parameterType="cell" refreshOnChange="1" cell="ForecasterError!$O$23"/>
      <parameter name="Parameter47" parameterType="cell" refreshOnChange="1" cell="ForecasterError!$O$24"/>
      <parameter name="Parameter48" parameterType="cell" refreshOnChange="1" cell="ForecasterError!$O$25"/>
    </parameters>
  </connection>
  <connection id="4" name="Q_ForecastError_2" type="1" refreshedVersion="5" savePassword="1" background="1" saveData="1">
    <dbPr connection="DSN=Algo;UID=LogUser;PWD=LogPwd;DBQ=ALGO;DBA=W;APA=T;EXC=F;FEN=T;QTO=T;FRC=10;FDL=10;LOB=T;RST=T;BTD=F;BNF=F;BAM=IfAllSuccessful;NUM=NLS;DPM=F;MTS=T;MDI=F;CSR=F;FWC=F;FBS=64000;TLO=O;MLD=0;ODA=F;STE=F;TSZ=8192;AST=FLOAT;LPS=8192;" command="select _x000d__x000a_ci.clientstart, rx.processid, rx.threadid, rx.sequenceid, rx.lasttime, _x000d__x000a_ra.actualbase ActualH, rx.ForecastH, abs(ra.actualbase-rx.ForecastH) errorH, rb.actualbase ActualL, rx.ForecastL, abs(rb.actualbase-rx.ForecastL) errorL,_x000d__x000a_ti.tradeprofit, ti.traderesult, decode(ti.tphit, 1, 'TP', decode(ti.slhit, 1 ,'SL', 'CLOSE')) outcome from (_x000d__x000a__x0009_select processid, threadid, sequenceid, lasttime, lag(FH) over(order by lasttime) ForecastH, lag(FL) over(order by lasttime) ForecastL from (_x000d__x000a__x0009__x0009_select rr1.processid, rr1.threadid, rr1.sequenceid, max(rr0.poslabel) lasttime, rr1.prdh FH, rr2.prdl FL from (_x000d__x000a__x0009__x0009__x0009_select r1.processid, r1.threadid, r1.sequenceid, r1.predictedbase prdh from runlog r1,_x000d__x000a__x0009__x0009__x0009__x0009_(select processid, threadid, sequenceid, feature, min(poslabel) plh, null pll from runlog where actualbase is null and feature=1  and processid =? group by processid, threadid, sequenceid, feature) r2_x000d__x000a__x0009__x0009__x0009__x0009_where_x000d__x000a__x0009__x0009__x0009__x0009_r1.processid=r2.processid and r1.threadid=r2.threadid and r1.sequenceid=r2.sequenceid and r1.feature=r2.feature and r1.poslabel=r2.plh_x000d__x000a__x0009__x0009__x0009_) rr1, _x000d__x000a__x0009__x0009__x0009_(select r1.processid, r1.threadid, r1.sequenceid, r1.predictedbase prdl from runlog r1,_x000d__x000a__x0009__x0009__x0009__x0009_(select processid, threadid, sequenceid, feature, min(poslabel) plh, null pll from runlog where actualbase is null and feature=2 and processid =? group by processid, threadid, sequenceid, feature) r2_x000d__x000a__x0009__x0009__x0009_where_x000d__x000a__x0009__x0009__x0009_r1.processid=r2.processid and r1.threadid=r2.threadid and r1.sequenceid=r2.sequenceid and r1.feature=r2.feature and r1.poslabel=r2.plh_x000d__x000a__x0009__x0009__x0009_) rr2,_x000d__x000a__x0009__x0009_runlog rr0_x000d__x000a__x0009__x0009_where _x000d__x000a__x0009__x0009_rr0.processid=rr2.processid and rr0.threadid=rr2.threadid and rr0.sequenceid=rr1.sequenceid and_x000d__x000a__x0009__x0009_rr1.processid=rr2.processid and rr1.threadid=rr2.threadid and rr1.sequenceid=rr2.sequenceid and_x000d__x000a__x0009__x0009_actualbase is not null_x000d__x000a__x0009__x0009_group by rr1.processid, rr1.threadid, rr1.sequenceid, rr1.prdh, rr2.prdl_x000d__x000a__x0009_)_x000d__x000a_) rx, runlog ra, runlog rb, clientinfo ci, tradeinfo ti_x000d__x000a_where_x000d__x000a_rx.processid=ra.processid and rx.threadid=ra.threadid and rx.sequenceid=ra.sequenceid and ra.poslabel=rx.lasttime and ra.feature=1_x000d__x000a_and  rx.processid=rb.processid and rx.threadid=rb.threadid and rx.sequenceid=rb.sequenceid and rb.poslabel=rx.lasttime and rb.feature=2_x000d__x000a_and ci.processid=rx.processid_x000d__x000a_and ti.clientpid(+)=rx.processid and ti.lastbart(+)=to_date(rx.lasttime,'YYYY-MM-DD-HH24:MI')_x000d__x000a_order by 3,4"/>
    <parameters count="2">
      <parameter name="Parameter1" parameterType="cell" refreshOnChange="1" cell="ForecasterError!$X$1"/>
      <parameter name="Parameter2" parameterType="cell" refreshOnChange="1" cell="ForecasterError!$X$1"/>
    </parameters>
  </connection>
  <connection id="5" name="Q_MSE" type="1" refreshedVersion="5" savePassword="1" saveData="1">
    <dbPr connection="DSN=Algo;UID=LogUser;PWD=LogPwd;DBQ=ALGO;DBA=W;APA=T;EXC=F;FEN=T;QTO=T;FRC=10;FDL=10;LOB=T;RST=T;BTD=F;BNF=F;BAM=IfAllSuccessful;NUM=NLS;DPM=F;MTS=T;MDI=F;CSR=F;FWC=F;FBS=64000;TLO=O;MLD=0;ODA=F;STE=F;TSZ=8192;AST=FLOAT;LPS=8192;" command="select ci.simulationid,tl.processid,tl.threadid,tl.epoch,tl.duration, tl.mse_t,tl.mse_v from clientinfo ci,trainlog tl where ci.processid=tl.processid order by 2,3,4"/>
  </connection>
  <connection id="6" name="Q_Run"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rundate,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 id="7" name="Q_Run1" type="1" refreshedVersion="5" savePassword="1" saveData="1">
    <dbPr connection="DSN=Algo;UID=LogUser;PWD=LogPwd;DBQ=ALGO;DBA=W;APA=T;EXC=F;FEN=T;QTO=T;FRC=10;FDL=10;LOB=T;RST=T;BTD=F;BNF=F;BAM=IfAllSuccessful;NUM=NLS;DPM=F;MTS=T;MDI=F;CSR=F;FWC=F;FBS=1024000000;TLO=O;MLD=0;ODA=F;STE=F;TSZ=8192;AST=FLOAT;" command="select rl.processid, rl.threadid, ci.sequenceid,_x000d__x000a_rl.netprocessid, netthreadid, to_char(clientstart, 'YYYY-MM-DD-HH24:MI') rundate, mser, pos, decode(pos/2,round(pos/2,0),'EVEN','ODD') poseven,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 id="8" name="Q_Run2"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connection>
  <connection id="9"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s>
</file>

<file path=xl/sharedStrings.xml><?xml version="1.0" encoding="utf-8"?>
<sst xmlns="http://schemas.openxmlformats.org/spreadsheetml/2006/main" count="3556" uniqueCount="511">
  <si>
    <t>CLIENTSTART</t>
  </si>
  <si>
    <t>PROCESSID</t>
  </si>
  <si>
    <t>THREADID</t>
  </si>
  <si>
    <t>SEQUENCEID</t>
  </si>
  <si>
    <t>LASTTIME</t>
  </si>
  <si>
    <t>ACTUALH</t>
  </si>
  <si>
    <t>FORECASTH</t>
  </si>
  <si>
    <t>ERRORH</t>
  </si>
  <si>
    <t>ACTUALL</t>
  </si>
  <si>
    <t>FORECASTL</t>
  </si>
  <si>
    <t>ERRORL</t>
  </si>
  <si>
    <t>TRADEPROFIT</t>
  </si>
  <si>
    <t>TRADERESULT</t>
  </si>
  <si>
    <t>2018-08-29-23:00</t>
  </si>
  <si>
    <t>2018-08-30-00:00</t>
  </si>
  <si>
    <t>2018-08-30-01:00</t>
  </si>
  <si>
    <t>2018-08-30-02:00</t>
  </si>
  <si>
    <t>2018-08-30-03:00</t>
  </si>
  <si>
    <t>2018-08-30-04:00</t>
  </si>
  <si>
    <t>2018-08-30-05:00</t>
  </si>
  <si>
    <t>2018-08-30-06:00</t>
  </si>
  <si>
    <t>2018-08-30-07:00</t>
  </si>
  <si>
    <t>2018-08-30-08:00</t>
  </si>
  <si>
    <t>2018-08-30-09:00</t>
  </si>
  <si>
    <t>2018-08-30-10:00</t>
  </si>
  <si>
    <t>2018-08-30-11:00</t>
  </si>
  <si>
    <t>2018-08-30-12:00</t>
  </si>
  <si>
    <t>2018-08-30-13:00</t>
  </si>
  <si>
    <t>2018-08-30-14:00</t>
  </si>
  <si>
    <t>2018-08-30-15:00</t>
  </si>
  <si>
    <t>2018-08-30-16:00</t>
  </si>
  <si>
    <t>2018-08-30-17:00</t>
  </si>
  <si>
    <t>2018-08-30-18:00</t>
  </si>
  <si>
    <t>2018-08-30-19:00</t>
  </si>
  <si>
    <t>2018-08-30-20:00</t>
  </si>
  <si>
    <t>2018-08-30-21:00</t>
  </si>
  <si>
    <t>2018-08-30-22:00</t>
  </si>
  <si>
    <t>Row Labels</t>
  </si>
  <si>
    <t>Grand Total</t>
  </si>
  <si>
    <t>actH</t>
  </si>
  <si>
    <t>prdH</t>
  </si>
  <si>
    <t>errH</t>
  </si>
  <si>
    <t>actL</t>
  </si>
  <si>
    <t>prdL</t>
  </si>
  <si>
    <t>errL</t>
  </si>
  <si>
    <t>profit</t>
  </si>
  <si>
    <t>Total P/L:</t>
  </si>
  <si>
    <t>outputCnt</t>
  </si>
  <si>
    <t>levelsCnt</t>
  </si>
  <si>
    <t>weights</t>
  </si>
  <si>
    <t>actual nodes</t>
  </si>
  <si>
    <t>nodes</t>
  </si>
  <si>
    <t>level</t>
  </si>
  <si>
    <t>levelRatio</t>
  </si>
  <si>
    <t>total</t>
  </si>
  <si>
    <t>useBias</t>
  </si>
  <si>
    <t>useContext</t>
  </si>
  <si>
    <t>batchSize</t>
  </si>
  <si>
    <t>featuresCnt</t>
  </si>
  <si>
    <t>targetLen</t>
  </si>
  <si>
    <t>sampleLen</t>
  </si>
  <si>
    <t>Avg. Duration (ms):</t>
  </si>
  <si>
    <t>Final MSE:</t>
  </si>
  <si>
    <t>Average of DURATION</t>
  </si>
  <si>
    <t>Training</t>
  </si>
  <si>
    <t>2018-08-29-08:00</t>
  </si>
  <si>
    <t>2018-08-29-07:00</t>
  </si>
  <si>
    <t>2018-08-29-06:00</t>
  </si>
  <si>
    <t>2018-08-29-05:00</t>
  </si>
  <si>
    <t>2018-08-29-04:00</t>
  </si>
  <si>
    <t>2018-08-29-03:00</t>
  </si>
  <si>
    <t>2018-08-29-02:00</t>
  </si>
  <si>
    <t>2018-08-29-01:00</t>
  </si>
  <si>
    <t>2018-08-29-00:00</t>
  </si>
  <si>
    <t>2018-08-28-23:00</t>
  </si>
  <si>
    <t>2018-08-28-22:00</t>
  </si>
  <si>
    <t>2018-08-28-21:00</t>
  </si>
  <si>
    <t>2018-08-28-20:00</t>
  </si>
  <si>
    <t>2018-08-28-19:00</t>
  </si>
  <si>
    <t>2018-08-28-18:00</t>
  </si>
  <si>
    <t>2018-08-28-17:00</t>
  </si>
  <si>
    <t>2018-08-28-16:00</t>
  </si>
  <si>
    <t>2018-08-28-15:00</t>
  </si>
  <si>
    <t>2018-08-28-14:00</t>
  </si>
  <si>
    <t>2018-08-28-13:00</t>
  </si>
  <si>
    <t>2018-08-28-12:00</t>
  </si>
  <si>
    <t>2018-08-28-11:00</t>
  </si>
  <si>
    <t>2018-08-28-10:00</t>
  </si>
  <si>
    <t>2018-08-28-09:00</t>
  </si>
  <si>
    <t>2018-08-28-08:00</t>
  </si>
  <si>
    <t>2018-08-28-07:00</t>
  </si>
  <si>
    <t>2018-08-28-06:00</t>
  </si>
  <si>
    <t>2018-08-28-05:00</t>
  </si>
  <si>
    <t>2018-08-28-04:00</t>
  </si>
  <si>
    <t>2018-08-28-03:00</t>
  </si>
  <si>
    <t>2018-08-28-02:00</t>
  </si>
  <si>
    <t>2018-08-28-01:00</t>
  </si>
  <si>
    <t>2018-08-28-00:00</t>
  </si>
  <si>
    <t>2018-08-27-23:00</t>
  </si>
  <si>
    <t>2018-08-27-22:00</t>
  </si>
  <si>
    <t>2018-08-27-21:00</t>
  </si>
  <si>
    <t>2018-08-27-20:00</t>
  </si>
  <si>
    <t>2018-08-27-19:00</t>
  </si>
  <si>
    <t>2018-08-27-18:00</t>
  </si>
  <si>
    <t>2018-08-27-17:00</t>
  </si>
  <si>
    <t>2018-08-27-16:00</t>
  </si>
  <si>
    <t>2018-08-27-15:00</t>
  </si>
  <si>
    <t>2018-08-27-14:00</t>
  </si>
  <si>
    <t>2018-08-27-13:00</t>
  </si>
  <si>
    <t>2018-08-27-12:00</t>
  </si>
  <si>
    <t>2018-08-27-11:00</t>
  </si>
  <si>
    <t>2018-08-27-10:00</t>
  </si>
  <si>
    <t>2018-08-27-09:00</t>
  </si>
  <si>
    <t>2018-08-27-08:00</t>
  </si>
  <si>
    <t>2018-08-27-07:00</t>
  </si>
  <si>
    <t>2018-08-27-06:00</t>
  </si>
  <si>
    <t>2018-08-27-05:00</t>
  </si>
  <si>
    <t>2018-08-27-04:00</t>
  </si>
  <si>
    <t>2018-08-27-03:00</t>
  </si>
  <si>
    <t>2018-08-27-02:00</t>
  </si>
  <si>
    <t>2018-08-27-01:00</t>
  </si>
  <si>
    <t>2018-08-27-00:00</t>
  </si>
  <si>
    <t>2018-08-24-23:00</t>
  </si>
  <si>
    <t>2018-08-24-22:00</t>
  </si>
  <si>
    <t>2018-08-24-21:00</t>
  </si>
  <si>
    <t>2018-08-24-20:00</t>
  </si>
  <si>
    <t>2018-08-24-19:00</t>
  </si>
  <si>
    <t>2018-08-24-18:00</t>
  </si>
  <si>
    <t>2018-08-24-17:00</t>
  </si>
  <si>
    <t>2018-08-24-16:00</t>
  </si>
  <si>
    <t>Average of ERRORTRS</t>
  </si>
  <si>
    <t>Average of PREDICTEDTRS</t>
  </si>
  <si>
    <t>Average of ACTUALTRS</t>
  </si>
  <si>
    <t>Average ErrorTR:</t>
  </si>
  <si>
    <t>Average of ERRORTR</t>
  </si>
  <si>
    <t>Average of PREDICTEDTR</t>
  </si>
  <si>
    <t>Average of ACTUALTR</t>
  </si>
  <si>
    <t>Average ErrorBASE:</t>
  </si>
  <si>
    <t>Average of ERRORBASE</t>
  </si>
  <si>
    <t>Average of PREDICTEDBASE</t>
  </si>
  <si>
    <t>Average of ACTUALBASE</t>
  </si>
  <si>
    <t>Total</t>
  </si>
  <si>
    <t>NETPROCESSID</t>
  </si>
  <si>
    <t>Error</t>
  </si>
  <si>
    <t>Root.Tester</t>
  </si>
  <si>
    <t>00:00:00</t>
  </si>
  <si>
    <t>MT5_account_25615969</t>
  </si>
  <si>
    <t>Duration</t>
  </si>
  <si>
    <t>SIMULATIONSTARTINFER</t>
  </si>
  <si>
    <t>SIMULATIONSTARTTRAIN</t>
  </si>
  <si>
    <t>DOTRAINING</t>
  </si>
  <si>
    <t>CLIENTNAME</t>
  </si>
  <si>
    <t>SIMULATIONID</t>
  </si>
  <si>
    <t>Values</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</si>
  <si>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</si>
  <si>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</si>
  <si>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</si>
  <si>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</si>
  <si>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</si>
  <si>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</si>
  <si>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</si>
  <si>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</si>
  <si>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</si>
  <si>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</si>
  <si>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</si>
  <si>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</si>
  <si>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</si>
  <si>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</si>
  <si>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</si>
  <si>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</si>
  <si>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</si>
  <si>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</si>
  <si>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</si>
  <si>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</si>
  <si>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</si>
  <si>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</si>
  <si>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</si>
  <si>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WT_HAA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</si>
  <si>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Wavele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</si>
  <si>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</si>
  <si>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ecompLeve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</si>
  <si>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</si>
  <si>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</si>
  <si>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</si>
  <si>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</si>
  <si>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</si>
  <si>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</si>
  <si>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</si>
  <si>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</si>
  <si>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</si>
  <si>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</si>
  <si>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</si>
  <si>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</si>
  <si>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</si>
  <si>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</si>
  <si>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</si>
  <si>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</si>
  <si>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</si>
  <si>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</si>
  <si>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</si>
  <si>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</si>
  <si>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</si>
  <si>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</si>
  <si>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</si>
  <si>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</si>
  <si>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</si>
  <si>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DT_DELTA,DT_DELTA,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</si>
  <si>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</si>
  <si>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</si>
  <si>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Oshif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</si>
  <si>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16000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</si>
  <si>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</si>
  <si>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</si>
  <si>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</si>
  <si>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</si>
  <si>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</si>
  <si>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</si>
  <si>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</si>
  <si>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</si>
  <si>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</si>
  <si>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</si>
  <si>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</si>
  <si>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</si>
  <si>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</si>
  <si>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</si>
  <si>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</si>
  <si>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</si>
  <si>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</si>
  <si>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</si>
  <si>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</si>
  <si>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</si>
  <si>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</si>
  <si>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</si>
  <si>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</si>
  <si>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</si>
  <si>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</si>
  <si>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</si>
  <si>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</si>
  <si>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</si>
  <si>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</si>
  <si>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</si>
  <si>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</si>
  <si>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</si>
  <si>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</si>
  <si>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</si>
  <si>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</si>
  <si>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engCfg</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</si>
  <si>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</si>
  <si>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</si>
  <si>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</si>
  <si>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</si>
  <si>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</si>
  <si>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</si>
  <si>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</si>
  <si>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</si>
  <si>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</si>
  <si>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</si>
  <si>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</si>
  <si>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</si>
  <si>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</si>
  <si>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</si>
  <si>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</si>
  <si>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</si>
  <si>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</si>
  <si>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</si>
  <si>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</si>
  <si>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</si>
  <si>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</si>
  <si>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</si>
  <si>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</si>
  <si>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</si>
  <si>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</si>
  <si>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</si>
  <si>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</si>
  <si>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</si>
  <si>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</si>
  <si>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</si>
  <si>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</si>
  <si>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</si>
  <si>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</si>
  <si>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</si>
  <si>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</si>
  <si>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</si>
  <si>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</si>
  <si>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</si>
  <si>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</si>
  <si>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</si>
  <si>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</si>
  <si>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</si>
  <si>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</si>
  <si>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</si>
  <si>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</si>
  <si>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</si>
  <si>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</si>
  <si>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clientCfg</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</si>
  <si>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</si>
  <si>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</si>
  <si>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</si>
  <si>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</si>
  <si>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</si>
  <si>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</si>
  <si>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</si>
  <si>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</si>
  <si>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DEC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</si>
  <si>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</si>
  <si>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</si>
  <si>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</si>
  <si>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DEC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</si>
  <si>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</si>
  <si>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</si>
  <si>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</si>
  <si>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</si>
  <si>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</si>
  <si>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</si>
  <si>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</si>
  <si>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W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</si>
  <si>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Wavele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</si>
  <si>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ecompLeve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</si>
  <si>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COMPARE</t>
  </si>
  <si>
    <t>PARMVAL2</t>
  </si>
  <si>
    <t>PARMVAL1</t>
  </si>
  <si>
    <t>PARAMETER</t>
  </si>
  <si>
    <t>SECTION</t>
  </si>
  <si>
    <t>Average of LASTMSE</t>
  </si>
  <si>
    <t>Count of PROCESSID</t>
  </si>
  <si>
    <t>00:00:01</t>
  </si>
  <si>
    <t>2018-08-24-15:00</t>
  </si>
  <si>
    <t>2018-08-24-14:00</t>
  </si>
  <si>
    <t>2018-08-24-13:00</t>
  </si>
  <si>
    <t>2018-08-24-12:00</t>
  </si>
  <si>
    <t>2018-08-24-11:00</t>
  </si>
  <si>
    <t>2018-08-24-10:00</t>
  </si>
  <si>
    <t>2018-08-24-09:00</t>
  </si>
  <si>
    <t>2018-08-24-08:00</t>
  </si>
  <si>
    <t>2018-08-24-07:00</t>
  </si>
  <si>
    <t>2018-08-24-06:00</t>
  </si>
  <si>
    <t>2018-08-24-05:00</t>
  </si>
  <si>
    <t>2018-08-24-04:00</t>
  </si>
  <si>
    <t>2018-08-24-03:00</t>
  </si>
  <si>
    <t>2018-08-24-02:00</t>
  </si>
  <si>
    <t>2018-08-24-01:00</t>
  </si>
  <si>
    <t>00:00:02</t>
  </si>
  <si>
    <t>2018-08-24-00:00</t>
  </si>
  <si>
    <t>2018-08-23-23:00</t>
  </si>
  <si>
    <t>2018-08-23-22:00</t>
  </si>
  <si>
    <t>2018-08-23-21:00</t>
  </si>
  <si>
    <t>2018-08-23-20:00</t>
  </si>
  <si>
    <t>2018-08-23-19:00</t>
  </si>
  <si>
    <t>2018-08-23-18:00</t>
  </si>
  <si>
    <t>2018-08-23-16:00</t>
  </si>
  <si>
    <t>2018-08-08-08:00</t>
  </si>
  <si>
    <t>2018-08-08-03:00</t>
  </si>
  <si>
    <t>2018-08-08-04:00</t>
  </si>
  <si>
    <t>2018-08-08-05:00</t>
  </si>
  <si>
    <t>2018-08-08-06:00</t>
  </si>
  <si>
    <t>2018-08-08-07:00</t>
  </si>
  <si>
    <t>2018-08-20-16:00</t>
  </si>
  <si>
    <t>00:02:16</t>
  </si>
  <si>
    <t>00:01:25</t>
  </si>
  <si>
    <t>2018-08-17-17:00</t>
  </si>
  <si>
    <t>2018-08-17-18:00</t>
  </si>
  <si>
    <t>2018-08-17-19:00</t>
  </si>
  <si>
    <t>2018-08-17-20:00</t>
  </si>
  <si>
    <t>2018-08-17-21:00</t>
  </si>
  <si>
    <t>2018-08-17-22:00</t>
  </si>
  <si>
    <t>2018-08-17-23:00</t>
  </si>
  <si>
    <t>2018-08-20-00:00</t>
  </si>
  <si>
    <t>2018-08-20-01:00</t>
  </si>
  <si>
    <t>2018-08-20-02:00</t>
  </si>
  <si>
    <t>2018-08-20-03:00</t>
  </si>
  <si>
    <t>2018-08-20-04:00</t>
  </si>
  <si>
    <t>2018-08-20-05:00</t>
  </si>
  <si>
    <t>2018-08-20-06:00</t>
  </si>
  <si>
    <t>2018-08-20-07:00</t>
  </si>
  <si>
    <t>2018-08-20-08:00</t>
  </si>
  <si>
    <t>2018-08-20-09:00</t>
  </si>
  <si>
    <t>2018-08-20-10:00</t>
  </si>
  <si>
    <t>2018-08-20-11:00</t>
  </si>
  <si>
    <t>2018-08-20-12:00</t>
  </si>
  <si>
    <t>2018-08-20-13:00</t>
  </si>
  <si>
    <t>2018-08-20-14:00</t>
  </si>
  <si>
    <t>2018-08-20-15:00</t>
  </si>
  <si>
    <t>2018-08-20-17:00</t>
  </si>
  <si>
    <t>2018-08-20-18:00</t>
  </si>
  <si>
    <t>2018-08-20-19:00</t>
  </si>
  <si>
    <t>2018-08-20-20:00</t>
  </si>
  <si>
    <t>2018-08-20-21:00</t>
  </si>
  <si>
    <t>2018-08-20-22:00</t>
  </si>
  <si>
    <t>2018-08-20-23:00</t>
  </si>
  <si>
    <t>2018-08-21-00:00</t>
  </si>
  <si>
    <t>2018-08-21-01:00</t>
  </si>
  <si>
    <t>2018-08-21-02:00</t>
  </si>
  <si>
    <t>2018-08-21-03:00</t>
  </si>
  <si>
    <t>2018-08-21-04:00</t>
  </si>
  <si>
    <t>2018-08-21-05:00</t>
  </si>
  <si>
    <t>2018-08-21-06:00</t>
  </si>
  <si>
    <t>2018-08-21-07:00</t>
  </si>
  <si>
    <t>2018-08-21-08:00</t>
  </si>
  <si>
    <t>2018-08-21-09:00</t>
  </si>
  <si>
    <t>2018-08-21-10:00</t>
  </si>
  <si>
    <t>2018-08-21-11:00</t>
  </si>
  <si>
    <t>2018-08-21-12:00</t>
  </si>
  <si>
    <t>2018-08-21-13:00</t>
  </si>
  <si>
    <t>2018-08-21-14:00</t>
  </si>
  <si>
    <t>2018-08-21-15:00</t>
  </si>
  <si>
    <t>2018-08-21-16:00</t>
  </si>
  <si>
    <t>2018-08-21-17:00</t>
  </si>
  <si>
    <t>2018-08-21-18:00</t>
  </si>
  <si>
    <t>2018-08-21-19:00</t>
  </si>
  <si>
    <t>2018-08-21-20:00</t>
  </si>
  <si>
    <t>2018-08-21-21:00</t>
  </si>
  <si>
    <t>2018-08-21-22:00</t>
  </si>
  <si>
    <t>2018-08-21-23:00</t>
  </si>
  <si>
    <t>2018-08-22-00:00</t>
  </si>
  <si>
    <t>2018-08-22-01:00</t>
  </si>
  <si>
    <t>2018-08-22-02:00</t>
  </si>
  <si>
    <t>2018-08-22-03:00</t>
  </si>
  <si>
    <t>2018-08-22-04:00</t>
  </si>
  <si>
    <t>2018-08-22-05:00</t>
  </si>
  <si>
    <t>2018-08-22-06:00</t>
  </si>
  <si>
    <t>2018-08-22-07:00</t>
  </si>
  <si>
    <t>2018-08-22-08:00</t>
  </si>
  <si>
    <t>2018-08-22-09:00</t>
  </si>
  <si>
    <t>2018-08-22-10:00</t>
  </si>
  <si>
    <t>2018-08-22-11:00</t>
  </si>
  <si>
    <t>2018-08-22-12:00</t>
  </si>
  <si>
    <t>2018-08-22-13:00</t>
  </si>
  <si>
    <t>2018-08-22-14:00</t>
  </si>
  <si>
    <t>2018-08-22-15:00</t>
  </si>
  <si>
    <t>2018-08-22-16:00</t>
  </si>
  <si>
    <t>2018-08-22-17:00</t>
  </si>
  <si>
    <t>2018-08-22-18:00</t>
  </si>
  <si>
    <t>2018-08-22-19:00</t>
  </si>
  <si>
    <t>2018-08-22-20:00</t>
  </si>
  <si>
    <t>2018-08-22-21:00</t>
  </si>
  <si>
    <t>2018-08-22-22:00</t>
  </si>
  <si>
    <t>2018-08-22-23:00</t>
  </si>
  <si>
    <t>2018-08-23-00:00</t>
  </si>
  <si>
    <t>2018-08-23-01:00</t>
  </si>
  <si>
    <t>2018-08-23-02:00</t>
  </si>
  <si>
    <t>2018-08-23-03:00</t>
  </si>
  <si>
    <t>2018-08-23-04:00</t>
  </si>
  <si>
    <t>2018-08-23-05:00</t>
  </si>
  <si>
    <t>2018-08-23-06:00</t>
  </si>
  <si>
    <t>2018-08-23-07:00</t>
  </si>
  <si>
    <t>2018-08-23-08:00</t>
  </si>
  <si>
    <t>2018-08-23-09:00</t>
  </si>
  <si>
    <t>2018-08-23-10:00</t>
  </si>
  <si>
    <t>2018-08-23-11:00</t>
  </si>
  <si>
    <t>2018-08-23-12:00</t>
  </si>
  <si>
    <t>2018-08-23-13:00</t>
  </si>
  <si>
    <t>2018-08-23-14:00</t>
  </si>
  <si>
    <t>2018-08-23-15:00</t>
  </si>
  <si>
    <t>2018-08-23-17:00</t>
  </si>
  <si>
    <t>2017-11-29-07:00</t>
  </si>
  <si>
    <t>00:02:06</t>
  </si>
  <si>
    <t>OUTCOME</t>
  </si>
  <si>
    <t>CLOSE</t>
  </si>
  <si>
    <t>TP</t>
  </si>
  <si>
    <t>SL</t>
  </si>
  <si>
    <t>EVEN</t>
  </si>
  <si>
    <t>ODD</t>
  </si>
  <si>
    <t>00:01:20</t>
  </si>
  <si>
    <t>2017-11-28-15:00</t>
  </si>
  <si>
    <t>00:04:52</t>
  </si>
  <si>
    <t>00:10:01</t>
  </si>
  <si>
    <t>00:04:05</t>
  </si>
  <si>
    <t>2018-08-09-16:00</t>
  </si>
  <si>
    <t>2018-08-09-15:00</t>
  </si>
  <si>
    <t>2018-08-09-14:00</t>
  </si>
  <si>
    <t>2018-08-09-13:00</t>
  </si>
  <si>
    <t>2018-08-09-12:00</t>
  </si>
  <si>
    <t>2018-08-09-11:00</t>
  </si>
  <si>
    <t>2018-08-09-10:00</t>
  </si>
  <si>
    <t>2018-08-09-09:00</t>
  </si>
  <si>
    <t>2018-08-09-08:00</t>
  </si>
  <si>
    <t>2018-08-09-07:00</t>
  </si>
  <si>
    <t>2018-08-09-06:00</t>
  </si>
  <si>
    <t>2018-08-09-05:00</t>
  </si>
  <si>
    <t>2018-08-09-04:00</t>
  </si>
  <si>
    <t>2018-08-09-03:00</t>
  </si>
  <si>
    <t>2018-08-09-02:00</t>
  </si>
  <si>
    <t>2018-08-09-01:00</t>
  </si>
  <si>
    <t>2018-08-09-00:00</t>
  </si>
  <si>
    <t>2018-08-08-23:00</t>
  </si>
  <si>
    <t>2018-08-08-22:00</t>
  </si>
  <si>
    <t>2018-08-08-21:00</t>
  </si>
  <si>
    <t>2018-08-08-20:00</t>
  </si>
  <si>
    <t>2018-08-08-19:00</t>
  </si>
  <si>
    <t>2018-08-08-18:00</t>
  </si>
  <si>
    <t>2018-08-08-17:00</t>
  </si>
  <si>
    <t>2018-08-08-16:00</t>
  </si>
  <si>
    <t>2017-11-28-17:00</t>
  </si>
  <si>
    <t>2017-12-13-07:00</t>
  </si>
  <si>
    <t>2017-11-28-19:00</t>
  </si>
  <si>
    <t>2018-08-08-01:00</t>
  </si>
  <si>
    <t>2018-08-08-02:00</t>
  </si>
  <si>
    <t>2018-08-08-09:00</t>
  </si>
  <si>
    <t>2018-08-08-10:00</t>
  </si>
  <si>
    <t>2018-08-08-11:00</t>
  </si>
  <si>
    <t>2018-08-08-12:00</t>
  </si>
  <si>
    <t>2018-08-08-13:00</t>
  </si>
  <si>
    <t>2018-08-08-14:00</t>
  </si>
  <si>
    <t>2018-08-08-15:00</t>
  </si>
  <si>
    <t>00:05:55</t>
  </si>
  <si>
    <t>00:02:04</t>
  </si>
  <si>
    <t>00:00:28</t>
  </si>
  <si>
    <t>Average of LASTEPOCH</t>
  </si>
  <si>
    <t>00:04:40</t>
  </si>
  <si>
    <t>00:11:19</t>
  </si>
  <si>
    <t>00:01:29</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</si>
</sst>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
    <numFmt numFmtId="165" formatCode="0.0"/>
    <numFmt numFmtId="166" formatCode="[Green]#,##0.0_);[Red]\-#,##0.0"/>
    <numFmt numFmtId="167" formatCode="0.0000000"/>
    <numFmt numFmtId="168" formatCode="yyyy/mm/dd/hh:mm"/>
    <numFmt numFmtId="169" formatCode="0.000000"/>
  </numFmts>
  <fonts count="5" x14ac:knownFonts="1">
    <font>
      <sz val="11"/>
      <color theme="1"/>
      <name val="Calibri"/>
      <family val="2"/>
      <scheme val="minor"/>
    </font>
    <font>
      <b/>
      <sz val="11"/>
      <color theme="1"/>
      <name val="Calibri"/>
      <family val="2"/>
      <scheme val="minor"/>
    </font>
    <font>
      <b/>
      <sz val="14"/>
      <color theme="1"/>
      <name val="Calibri"/>
      <family val="2"/>
      <scheme val="minor"/>
    </font>
    <font>
      <sz val="12"/>
      <color theme="1"/>
      <name val="Calibri"/>
      <family val="2"/>
      <scheme val="minor"/>
    </font>
    <font>
      <sz val="11"/>
      <color theme="4" tint="0.79998168889431442"/>
      <name val="Calibri"/>
      <family val="2"/>
      <scheme val="minor"/>
    </font>
  </fonts>
  <fills count="3">
    <fill>
      <patternFill patternType="none"/>
    </fill>
    <fill>
      <patternFill patternType="gray125"/>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8">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2" borderId="1" xfId="0" quotePrefix="1" applyFill="1" applyBorder="1"/>
    <xf numFmtId="0" fontId="0" fillId="2" borderId="2" xfId="0" applyFill="1" applyBorder="1"/>
    <xf numFmtId="0" fontId="0" fillId="2" borderId="3" xfId="0" applyFill="1" applyBorder="1"/>
    <xf numFmtId="164" fontId="0" fillId="0" borderId="0" xfId="0" applyNumberFormat="1"/>
    <xf numFmtId="0" fontId="0" fillId="2" borderId="4" xfId="0" applyFill="1" applyBorder="1"/>
    <xf numFmtId="1" fontId="0" fillId="0" borderId="0" xfId="0" applyNumberFormat="1"/>
    <xf numFmtId="165" fontId="0" fillId="0" borderId="0" xfId="0" applyNumberFormat="1"/>
    <xf numFmtId="0" fontId="0" fillId="0" borderId="0" xfId="0" applyAlignment="1">
      <alignment horizontal="right"/>
    </xf>
    <xf numFmtId="166" fontId="1" fillId="0" borderId="0" xfId="0" applyNumberFormat="1" applyFont="1"/>
    <xf numFmtId="3" fontId="0" fillId="0" borderId="0" xfId="0" applyNumberFormat="1"/>
    <xf numFmtId="0" fontId="0" fillId="2" borderId="0" xfId="0" applyFill="1"/>
    <xf numFmtId="3" fontId="1" fillId="0" borderId="0" xfId="0" applyNumberFormat="1" applyFont="1"/>
    <xf numFmtId="0" fontId="1" fillId="0" borderId="0" xfId="0" applyFont="1"/>
    <xf numFmtId="167" fontId="2" fillId="0" borderId="0" xfId="0" applyNumberFormat="1" applyFont="1"/>
    <xf numFmtId="164" fontId="1" fillId="0" borderId="0" xfId="0" applyNumberFormat="1" applyFont="1"/>
    <xf numFmtId="168" fontId="0" fillId="0" borderId="0" xfId="0" applyNumberFormat="1"/>
    <xf numFmtId="0" fontId="0" fillId="0" borderId="0" xfId="0" applyAlignment="1">
      <alignment horizontal="center" vertical="center"/>
    </xf>
    <xf numFmtId="1" fontId="0" fillId="0" borderId="0" xfId="0" applyNumberFormat="1" applyAlignment="1">
      <alignment horizontal="center" vertical="center"/>
    </xf>
    <xf numFmtId="0" fontId="0" fillId="0" borderId="0" xfId="0" applyNumberFormat="1"/>
    <xf numFmtId="169" fontId="0" fillId="0" borderId="0" xfId="0" applyNumberFormat="1"/>
    <xf numFmtId="164" fontId="3" fillId="0" borderId="0" xfId="0" applyNumberFormat="1" applyFont="1"/>
    <xf numFmtId="0" fontId="0" fillId="0" borderId="0" xfId="0" applyAlignment="1">
      <alignment horizontal="left" indent="1"/>
    </xf>
    <xf numFmtId="164" fontId="4" fillId="0" borderId="0" xfId="0" applyNumberFormat="1" applyFont="1"/>
    <xf numFmtId="165" fontId="4" fillId="0" borderId="0" xfId="0" applyNumberFormat="1" applyFont="1"/>
  </cellXfs>
  <cellStyles count="1">
    <cellStyle name="Normal" xfId="0" builtinId="0"/>
  </cellStyles>
  <dxfs count="21">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font>
        <color theme="4" tint="0.79998168889431442"/>
      </font>
    </dxf>
    <dxf>
      <font>
        <color theme="4" tint="0.79998168889431442"/>
      </font>
    </dxf>
    <dxf>
      <font>
        <color theme="4" tint="0.79998168889431442"/>
      </font>
    </dxf>
    <dxf>
      <font>
        <color theme="4" tint="0.79998168889431442"/>
      </font>
    </dxf>
    <dxf>
      <font>
        <color theme="4" tint="0.79998168889431442"/>
      </font>
    </dxf>
    <dxf>
      <font>
        <color theme="4" tint="0.79998168889431442"/>
      </font>
    </dxf>
    <dxf>
      <font>
        <color theme="4" tint="0.79998168889431442"/>
      </font>
    </dxf>
    <dxf>
      <font>
        <color theme="4" tint="0.79998168889431442"/>
      </font>
    </dxf>
    <dxf>
      <numFmt numFmtId="27" formatCode="yyyy/mm/dd\ hh:mm"/>
    </dxf>
    <dxf>
      <font>
        <sz val="12"/>
      </font>
    </dxf>
    <dxf>
      <font>
        <sz val="12"/>
      </font>
    </dxf>
    <dxf>
      <font>
        <sz val="12"/>
      </font>
    </dxf>
    <dxf>
      <font>
        <sz val="1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1.xml"/><Relationship Id="rId26" Type="http://schemas.microsoft.com/office/2007/relationships/slicerCache" Target="slicerCaches/slicerCache9.xml"/><Relationship Id="rId39" Type="http://schemas.microsoft.com/office/2007/relationships/slicerCache" Target="slicerCaches/slicerCache22.xml"/><Relationship Id="rId21" Type="http://schemas.microsoft.com/office/2007/relationships/slicerCache" Target="slicerCaches/slicerCache4.xml"/><Relationship Id="rId34" Type="http://schemas.microsoft.com/office/2007/relationships/slicerCache" Target="slicerCaches/slicerCache17.xml"/><Relationship Id="rId42" Type="http://schemas.microsoft.com/office/2007/relationships/slicerCache" Target="slicerCaches/slicerCache25.xml"/><Relationship Id="rId47" Type="http://schemas.microsoft.com/office/2007/relationships/slicerCache" Target="slicerCaches/slicerCache30.xml"/><Relationship Id="rId50" Type="http://schemas.microsoft.com/office/2007/relationships/slicerCache" Target="slicerCaches/slicerCache33.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9" Type="http://schemas.microsoft.com/office/2007/relationships/slicerCache" Target="slicerCaches/slicerCache12.xml"/><Relationship Id="rId11" Type="http://schemas.openxmlformats.org/officeDocument/2006/relationships/worksheet" Target="worksheets/sheet11.xml"/><Relationship Id="rId24" Type="http://schemas.microsoft.com/office/2007/relationships/slicerCache" Target="slicerCaches/slicerCache7.xml"/><Relationship Id="rId32" Type="http://schemas.microsoft.com/office/2007/relationships/slicerCache" Target="slicerCaches/slicerCache15.xml"/><Relationship Id="rId37" Type="http://schemas.microsoft.com/office/2007/relationships/slicerCache" Target="slicerCaches/slicerCache20.xml"/><Relationship Id="rId40" Type="http://schemas.microsoft.com/office/2007/relationships/slicerCache" Target="slicerCaches/slicerCache23.xml"/><Relationship Id="rId45" Type="http://schemas.microsoft.com/office/2007/relationships/slicerCache" Target="slicerCaches/slicerCache28.xml"/><Relationship Id="rId53" Type="http://schemas.openxmlformats.org/officeDocument/2006/relationships/theme" Target="theme/theme1.xml"/><Relationship Id="rId5" Type="http://schemas.openxmlformats.org/officeDocument/2006/relationships/worksheet" Target="worksheets/sheet5.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microsoft.com/office/2007/relationships/slicerCache" Target="slicerCaches/slicerCache18.xml"/><Relationship Id="rId43" Type="http://schemas.microsoft.com/office/2007/relationships/slicerCache" Target="slicerCaches/slicerCache26.xml"/><Relationship Id="rId48" Type="http://schemas.microsoft.com/office/2007/relationships/slicerCache" Target="slicerCaches/slicerCache31.xml"/><Relationship Id="rId56"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34.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8.xml"/><Relationship Id="rId33" Type="http://schemas.microsoft.com/office/2007/relationships/slicerCache" Target="slicerCaches/slicerCache16.xml"/><Relationship Id="rId38" Type="http://schemas.microsoft.com/office/2007/relationships/slicerCache" Target="slicerCaches/slicerCache21.xml"/><Relationship Id="rId46" Type="http://schemas.microsoft.com/office/2007/relationships/slicerCache" Target="slicerCaches/slicerCache29.xml"/><Relationship Id="rId20" Type="http://schemas.microsoft.com/office/2007/relationships/slicerCache" Target="slicerCaches/slicerCache3.xml"/><Relationship Id="rId41" Type="http://schemas.microsoft.com/office/2007/relationships/slicerCache" Target="slicerCaches/slicerCache24.xml"/><Relationship Id="rId54"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4.xml"/><Relationship Id="rId23" Type="http://schemas.microsoft.com/office/2007/relationships/slicerCache" Target="slicerCaches/slicerCache6.xml"/><Relationship Id="rId28" Type="http://schemas.microsoft.com/office/2007/relationships/slicerCache" Target="slicerCaches/slicerCache11.xml"/><Relationship Id="rId36" Type="http://schemas.microsoft.com/office/2007/relationships/slicerCache" Target="slicerCaches/slicerCache19.xml"/><Relationship Id="rId49" Type="http://schemas.microsoft.com/office/2007/relationships/slicerCache" Target="slicerCaches/slicerCache32.xml"/><Relationship Id="rId57" Type="http://schemas.openxmlformats.org/officeDocument/2006/relationships/calcChain" Target="calcChain.xml"/><Relationship Id="rId10" Type="http://schemas.openxmlformats.org/officeDocument/2006/relationships/worksheet" Target="worksheets/sheet10.xml"/><Relationship Id="rId31" Type="http://schemas.microsoft.com/office/2007/relationships/slicerCache" Target="slicerCaches/slicerCache14.xml"/><Relationship Id="rId44" Type="http://schemas.microsoft.com/office/2007/relationships/slicerCache" Target="slicerCaches/slicerCache27.xml"/><Relationship Id="rId52" Type="http://schemas.microsoft.com/office/2007/relationships/slicerCache" Target="slicerCaches/slicerCache3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MSE!$A$2:$A$15</c:f>
              <c:strCache>
                <c:ptCount val="13"/>
                <c:pt idx="0">
                  <c:v>0</c:v>
                </c:pt>
                <c:pt idx="1">
                  <c:v>1</c:v>
                </c:pt>
                <c:pt idx="2">
                  <c:v>2</c:v>
                </c:pt>
                <c:pt idx="3">
                  <c:v>3</c:v>
                </c:pt>
                <c:pt idx="4">
                  <c:v>4</c:v>
                </c:pt>
                <c:pt idx="5">
                  <c:v>5</c:v>
                </c:pt>
                <c:pt idx="6">
                  <c:v>6</c:v>
                </c:pt>
                <c:pt idx="7">
                  <c:v>7</c:v>
                </c:pt>
                <c:pt idx="8">
                  <c:v>8</c:v>
                </c:pt>
                <c:pt idx="9">
                  <c:v>9</c:v>
                </c:pt>
                <c:pt idx="10">
                  <c:v>10</c:v>
                </c:pt>
                <c:pt idx="11">
                  <c:v>11</c:v>
                </c:pt>
                <c:pt idx="12">
                  <c:v>12</c:v>
                </c:pt>
              </c:strCache>
            </c:strRef>
          </c:cat>
          <c:val>
            <c:numRef>
              <c:f>MSE!$B$2:$B$15</c:f>
              <c:numCache>
                <c:formatCode>0.00000</c:formatCode>
                <c:ptCount val="13"/>
                <c:pt idx="0">
                  <c:v>2.5987580884248001E-3</c:v>
                </c:pt>
                <c:pt idx="1">
                  <c:v>1.11822772305459E-3</c:v>
                </c:pt>
                <c:pt idx="2">
                  <c:v>6.6317146411165595E-4</c:v>
                </c:pt>
                <c:pt idx="3">
                  <c:v>4.3949531391263003E-4</c:v>
                </c:pt>
                <c:pt idx="4">
                  <c:v>3.1320986454375099E-4</c:v>
                </c:pt>
                <c:pt idx="5">
                  <c:v>2.36519903410226E-4</c:v>
                </c:pt>
                <c:pt idx="6">
                  <c:v>1.87777695828117E-4</c:v>
                </c:pt>
                <c:pt idx="7">
                  <c:v>1.55706380610354E-4</c:v>
                </c:pt>
                <c:pt idx="8">
                  <c:v>1.3391637185122799E-4</c:v>
                </c:pt>
                <c:pt idx="9">
                  <c:v>1.18620046123397E-4</c:v>
                </c:pt>
                <c:pt idx="10">
                  <c:v>1.07509265944827E-4</c:v>
                </c:pt>
                <c:pt idx="11">
                  <c:v>9.9152617622166899E-5</c:v>
                </c:pt>
                <c:pt idx="12">
                  <c:v>9.2651149316225201E-5</c:v>
                </c:pt>
              </c:numCache>
            </c:numRef>
          </c:val>
          <c:smooth val="0"/>
        </c:ser>
        <c:dLbls>
          <c:showLegendKey val="0"/>
          <c:showVal val="0"/>
          <c:showCatName val="0"/>
          <c:showSerName val="0"/>
          <c:showPercent val="0"/>
          <c:showBubbleSize val="0"/>
        </c:dLbls>
        <c:marker val="1"/>
        <c:smooth val="0"/>
        <c:axId val="-866789872"/>
        <c:axId val="-866777360"/>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MSE!$A$2:$A$15</c:f>
              <c:strCache>
                <c:ptCount val="13"/>
                <c:pt idx="0">
                  <c:v>0</c:v>
                </c:pt>
                <c:pt idx="1">
                  <c:v>1</c:v>
                </c:pt>
                <c:pt idx="2">
                  <c:v>2</c:v>
                </c:pt>
                <c:pt idx="3">
                  <c:v>3</c:v>
                </c:pt>
                <c:pt idx="4">
                  <c:v>4</c:v>
                </c:pt>
                <c:pt idx="5">
                  <c:v>5</c:v>
                </c:pt>
                <c:pt idx="6">
                  <c:v>6</c:v>
                </c:pt>
                <c:pt idx="7">
                  <c:v>7</c:v>
                </c:pt>
                <c:pt idx="8">
                  <c:v>8</c:v>
                </c:pt>
                <c:pt idx="9">
                  <c:v>9</c:v>
                </c:pt>
                <c:pt idx="10">
                  <c:v>10</c:v>
                </c:pt>
                <c:pt idx="11">
                  <c:v>11</c:v>
                </c:pt>
                <c:pt idx="12">
                  <c:v>12</c:v>
                </c:pt>
              </c:strCache>
            </c:strRef>
          </c:cat>
          <c:val>
            <c:numRef>
              <c:f>MSE!$C$2:$C$15</c:f>
              <c:numCache>
                <c:formatCode>0</c:formatCode>
                <c:ptCount val="13"/>
                <c:pt idx="0">
                  <c:v>8081</c:v>
                </c:pt>
                <c:pt idx="1">
                  <c:v>8022</c:v>
                </c:pt>
                <c:pt idx="2">
                  <c:v>8044</c:v>
                </c:pt>
                <c:pt idx="3">
                  <c:v>8108</c:v>
                </c:pt>
                <c:pt idx="4">
                  <c:v>8092</c:v>
                </c:pt>
                <c:pt idx="5">
                  <c:v>8117</c:v>
                </c:pt>
                <c:pt idx="6">
                  <c:v>8112</c:v>
                </c:pt>
                <c:pt idx="7">
                  <c:v>8114</c:v>
                </c:pt>
                <c:pt idx="8">
                  <c:v>8102</c:v>
                </c:pt>
                <c:pt idx="9">
                  <c:v>8159</c:v>
                </c:pt>
                <c:pt idx="10">
                  <c:v>8153</c:v>
                </c:pt>
                <c:pt idx="11">
                  <c:v>8146</c:v>
                </c:pt>
                <c:pt idx="12">
                  <c:v>13176</c:v>
                </c:pt>
              </c:numCache>
            </c:numRef>
          </c:val>
          <c:smooth val="0"/>
        </c:ser>
        <c:dLbls>
          <c:showLegendKey val="0"/>
          <c:showVal val="0"/>
          <c:showCatName val="0"/>
          <c:showSerName val="0"/>
          <c:showPercent val="0"/>
          <c:showBubbleSize val="0"/>
        </c:dLbls>
        <c:marker val="1"/>
        <c:smooth val="0"/>
        <c:axId val="-866784976"/>
        <c:axId val="-866793680"/>
      </c:lineChart>
      <c:catAx>
        <c:axId val="-86678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777360"/>
        <c:crosses val="autoZero"/>
        <c:auto val="1"/>
        <c:lblAlgn val="ctr"/>
        <c:lblOffset val="100"/>
        <c:noMultiLvlLbl val="0"/>
      </c:catAx>
      <c:valAx>
        <c:axId val="-86677736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789872"/>
        <c:crosses val="autoZero"/>
        <c:crossBetween val="between"/>
      </c:valAx>
      <c:valAx>
        <c:axId val="-86679368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784976"/>
        <c:crosses val="max"/>
        <c:crossBetween val="between"/>
      </c:valAx>
      <c:catAx>
        <c:axId val="-866784976"/>
        <c:scaling>
          <c:orientation val="minMax"/>
        </c:scaling>
        <c:delete val="1"/>
        <c:axPos val="b"/>
        <c:numFmt formatCode="General" sourceLinked="1"/>
        <c:majorTickMark val="out"/>
        <c:minorTickMark val="none"/>
        <c:tickLblPos val="nextTo"/>
        <c:crossAx val="-8667936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[Tester.xlsm]New_TRS!PivotTable1</c:name>
    <c:fmtId val="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New_TRS!$B$1</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New_TRS!$A$2:$A$186</c:f>
              <c:strCache>
                <c:ptCount val="184"/>
                <c:pt idx="0">
                  <c:v>2018-08-17-17:00</c:v>
                </c:pt>
                <c:pt idx="1">
                  <c:v>2018-08-17-18:00</c:v>
                </c:pt>
                <c:pt idx="2">
                  <c:v>2018-08-17-19:00</c:v>
                </c:pt>
                <c:pt idx="3">
                  <c:v>2018-08-17-20:00</c:v>
                </c:pt>
                <c:pt idx="4">
                  <c:v>2018-08-17-21:00</c:v>
                </c:pt>
                <c:pt idx="5">
                  <c:v>2018-08-17-22:00</c:v>
                </c:pt>
                <c:pt idx="6">
                  <c:v>2018-08-17-23:00</c:v>
                </c:pt>
                <c:pt idx="7">
                  <c:v>2018-08-20-00:00</c:v>
                </c:pt>
                <c:pt idx="8">
                  <c:v>2018-08-20-01:00</c:v>
                </c:pt>
                <c:pt idx="9">
                  <c:v>2018-08-20-02:00</c:v>
                </c:pt>
                <c:pt idx="10">
                  <c:v>2018-08-20-03:00</c:v>
                </c:pt>
                <c:pt idx="11">
                  <c:v>2018-08-20-04:00</c:v>
                </c:pt>
                <c:pt idx="12">
                  <c:v>2018-08-20-05:00</c:v>
                </c:pt>
                <c:pt idx="13">
                  <c:v>2018-08-20-06:00</c:v>
                </c:pt>
                <c:pt idx="14">
                  <c:v>2018-08-20-07:00</c:v>
                </c:pt>
                <c:pt idx="15">
                  <c:v>2018-08-20-08:00</c:v>
                </c:pt>
                <c:pt idx="16">
                  <c:v>2018-08-20-09:00</c:v>
                </c:pt>
                <c:pt idx="17">
                  <c:v>2018-08-20-10:00</c:v>
                </c:pt>
                <c:pt idx="18">
                  <c:v>2018-08-20-11:00</c:v>
                </c:pt>
                <c:pt idx="19">
                  <c:v>2018-08-20-12:00</c:v>
                </c:pt>
                <c:pt idx="20">
                  <c:v>2018-08-20-13:00</c:v>
                </c:pt>
                <c:pt idx="21">
                  <c:v>2018-08-20-14:00</c:v>
                </c:pt>
                <c:pt idx="22">
                  <c:v>2018-08-20-15:00</c:v>
                </c:pt>
                <c:pt idx="23">
                  <c:v>2018-08-20-16:00</c:v>
                </c:pt>
                <c:pt idx="24">
                  <c:v>2018-08-20-17:00</c:v>
                </c:pt>
                <c:pt idx="25">
                  <c:v>2018-08-20-18:00</c:v>
                </c:pt>
                <c:pt idx="26">
                  <c:v>2018-08-20-19:00</c:v>
                </c:pt>
                <c:pt idx="27">
                  <c:v>2018-08-20-20:00</c:v>
                </c:pt>
                <c:pt idx="28">
                  <c:v>2018-08-20-21:00</c:v>
                </c:pt>
                <c:pt idx="29">
                  <c:v>2018-08-20-22:00</c:v>
                </c:pt>
                <c:pt idx="30">
                  <c:v>2018-08-20-23:00</c:v>
                </c:pt>
                <c:pt idx="31">
                  <c:v>2018-08-21-00:00</c:v>
                </c:pt>
                <c:pt idx="32">
                  <c:v>2018-08-21-01:00</c:v>
                </c:pt>
                <c:pt idx="33">
                  <c:v>2018-08-21-02:00</c:v>
                </c:pt>
                <c:pt idx="34">
                  <c:v>2018-08-21-03:00</c:v>
                </c:pt>
                <c:pt idx="35">
                  <c:v>2018-08-21-04:00</c:v>
                </c:pt>
                <c:pt idx="36">
                  <c:v>2018-08-21-05:00</c:v>
                </c:pt>
                <c:pt idx="37">
                  <c:v>2018-08-21-06:00</c:v>
                </c:pt>
                <c:pt idx="38">
                  <c:v>2018-08-21-07:00</c:v>
                </c:pt>
                <c:pt idx="39">
                  <c:v>2018-08-21-08:00</c:v>
                </c:pt>
                <c:pt idx="40">
                  <c:v>2018-08-21-09:00</c:v>
                </c:pt>
                <c:pt idx="41">
                  <c:v>2018-08-21-10:00</c:v>
                </c:pt>
                <c:pt idx="42">
                  <c:v>2018-08-21-11:00</c:v>
                </c:pt>
                <c:pt idx="43">
                  <c:v>2018-08-21-12:00</c:v>
                </c:pt>
                <c:pt idx="44">
                  <c:v>2018-08-21-13:00</c:v>
                </c:pt>
                <c:pt idx="45">
                  <c:v>2018-08-21-14:00</c:v>
                </c:pt>
                <c:pt idx="46">
                  <c:v>2018-08-21-15:00</c:v>
                </c:pt>
                <c:pt idx="47">
                  <c:v>2018-08-21-16:00</c:v>
                </c:pt>
                <c:pt idx="48">
                  <c:v>2018-08-21-17:00</c:v>
                </c:pt>
                <c:pt idx="49">
                  <c:v>2018-08-21-18:00</c:v>
                </c:pt>
                <c:pt idx="50">
                  <c:v>2018-08-21-19:00</c:v>
                </c:pt>
                <c:pt idx="51">
                  <c:v>2018-08-21-20:00</c:v>
                </c:pt>
                <c:pt idx="52">
                  <c:v>2018-08-21-21:00</c:v>
                </c:pt>
                <c:pt idx="53">
                  <c:v>2018-08-21-22:00</c:v>
                </c:pt>
                <c:pt idx="54">
                  <c:v>2018-08-21-23:00</c:v>
                </c:pt>
                <c:pt idx="55">
                  <c:v>2018-08-22-00:00</c:v>
                </c:pt>
                <c:pt idx="56">
                  <c:v>2018-08-22-01:00</c:v>
                </c:pt>
                <c:pt idx="57">
                  <c:v>2018-08-22-02:00</c:v>
                </c:pt>
                <c:pt idx="58">
                  <c:v>2018-08-22-03:00</c:v>
                </c:pt>
                <c:pt idx="59">
                  <c:v>2018-08-22-04:00</c:v>
                </c:pt>
                <c:pt idx="60">
                  <c:v>2018-08-22-05:00</c:v>
                </c:pt>
                <c:pt idx="61">
                  <c:v>2018-08-22-06:00</c:v>
                </c:pt>
                <c:pt idx="62">
                  <c:v>2018-08-22-07:00</c:v>
                </c:pt>
                <c:pt idx="63">
                  <c:v>2018-08-22-08:00</c:v>
                </c:pt>
                <c:pt idx="64">
                  <c:v>2018-08-22-09:00</c:v>
                </c:pt>
                <c:pt idx="65">
                  <c:v>2018-08-22-10:00</c:v>
                </c:pt>
                <c:pt idx="66">
                  <c:v>2018-08-22-11:00</c:v>
                </c:pt>
                <c:pt idx="67">
                  <c:v>2018-08-22-12:00</c:v>
                </c:pt>
                <c:pt idx="68">
                  <c:v>2018-08-22-13:00</c:v>
                </c:pt>
                <c:pt idx="69">
                  <c:v>2018-08-22-14:00</c:v>
                </c:pt>
                <c:pt idx="70">
                  <c:v>2018-08-22-15:00</c:v>
                </c:pt>
                <c:pt idx="71">
                  <c:v>2018-08-22-16:00</c:v>
                </c:pt>
                <c:pt idx="72">
                  <c:v>2018-08-22-17:00</c:v>
                </c:pt>
                <c:pt idx="73">
                  <c:v>2018-08-22-18:00</c:v>
                </c:pt>
                <c:pt idx="74">
                  <c:v>2018-08-22-19:00</c:v>
                </c:pt>
                <c:pt idx="75">
                  <c:v>2018-08-22-20:00</c:v>
                </c:pt>
                <c:pt idx="76">
                  <c:v>2018-08-22-21:00</c:v>
                </c:pt>
                <c:pt idx="77">
                  <c:v>2018-08-22-22:00</c:v>
                </c:pt>
                <c:pt idx="78">
                  <c:v>2018-08-22-23:00</c:v>
                </c:pt>
                <c:pt idx="79">
                  <c:v>2018-08-23-00:00</c:v>
                </c:pt>
                <c:pt idx="80">
                  <c:v>2018-08-23-01:00</c:v>
                </c:pt>
                <c:pt idx="81">
                  <c:v>2018-08-23-02:00</c:v>
                </c:pt>
                <c:pt idx="82">
                  <c:v>2018-08-23-03:00</c:v>
                </c:pt>
                <c:pt idx="83">
                  <c:v>2018-08-23-04:00</c:v>
                </c:pt>
                <c:pt idx="84">
                  <c:v>2018-08-23-05:00</c:v>
                </c:pt>
                <c:pt idx="85">
                  <c:v>2018-08-23-06:00</c:v>
                </c:pt>
                <c:pt idx="86">
                  <c:v>2018-08-23-07:00</c:v>
                </c:pt>
                <c:pt idx="87">
                  <c:v>2018-08-23-08:00</c:v>
                </c:pt>
                <c:pt idx="88">
                  <c:v>2018-08-23-09:00</c:v>
                </c:pt>
                <c:pt idx="89">
                  <c:v>2018-08-23-10:00</c:v>
                </c:pt>
                <c:pt idx="90">
                  <c:v>2018-08-23-11:00</c:v>
                </c:pt>
                <c:pt idx="91">
                  <c:v>2018-08-23-12:00</c:v>
                </c:pt>
                <c:pt idx="92">
                  <c:v>2018-08-23-13:00</c:v>
                </c:pt>
                <c:pt idx="93">
                  <c:v>2018-08-23-14:00</c:v>
                </c:pt>
                <c:pt idx="94">
                  <c:v>2018-08-23-15:00</c:v>
                </c:pt>
                <c:pt idx="95">
                  <c:v>2018-08-23-16:00</c:v>
                </c:pt>
                <c:pt idx="96">
                  <c:v>2018-08-23-17:00</c:v>
                </c:pt>
                <c:pt idx="97">
                  <c:v>2018-08-23-18:00</c:v>
                </c:pt>
                <c:pt idx="98">
                  <c:v>2018-08-23-19:00</c:v>
                </c:pt>
                <c:pt idx="99">
                  <c:v>2018-08-23-20:00</c:v>
                </c:pt>
                <c:pt idx="100">
                  <c:v>2018-08-23-21:00</c:v>
                </c:pt>
                <c:pt idx="101">
                  <c:v>2018-08-23-22:00</c:v>
                </c:pt>
                <c:pt idx="102">
                  <c:v>2018-08-23-23:00</c:v>
                </c:pt>
                <c:pt idx="103">
                  <c:v>2018-08-24-00:00</c:v>
                </c:pt>
                <c:pt idx="104">
                  <c:v>2018-08-24-01:00</c:v>
                </c:pt>
                <c:pt idx="105">
                  <c:v>2018-08-24-02:00</c:v>
                </c:pt>
                <c:pt idx="106">
                  <c:v>2018-08-24-03:00</c:v>
                </c:pt>
                <c:pt idx="107">
                  <c:v>2018-08-24-04:00</c:v>
                </c:pt>
                <c:pt idx="108">
                  <c:v>2018-08-24-05:00</c:v>
                </c:pt>
                <c:pt idx="109">
                  <c:v>2018-08-24-06:00</c:v>
                </c:pt>
                <c:pt idx="110">
                  <c:v>2018-08-24-07:00</c:v>
                </c:pt>
                <c:pt idx="111">
                  <c:v>2018-08-24-08:00</c:v>
                </c:pt>
                <c:pt idx="112">
                  <c:v>2018-08-24-09:00</c:v>
                </c:pt>
                <c:pt idx="113">
                  <c:v>2018-08-24-10:00</c:v>
                </c:pt>
                <c:pt idx="114">
                  <c:v>2018-08-24-11:00</c:v>
                </c:pt>
                <c:pt idx="115">
                  <c:v>2018-08-24-12:00</c:v>
                </c:pt>
                <c:pt idx="116">
                  <c:v>2018-08-24-13:00</c:v>
                </c:pt>
                <c:pt idx="117">
                  <c:v>2018-08-24-14:00</c:v>
                </c:pt>
                <c:pt idx="118">
                  <c:v>2018-08-24-15:00</c:v>
                </c:pt>
                <c:pt idx="119">
                  <c:v>2018-08-24-16:00</c:v>
                </c:pt>
                <c:pt idx="120">
                  <c:v>2018-08-24-17:00</c:v>
                </c:pt>
                <c:pt idx="121">
                  <c:v>2018-08-24-18:00</c:v>
                </c:pt>
                <c:pt idx="122">
                  <c:v>2018-08-24-19:00</c:v>
                </c:pt>
                <c:pt idx="123">
                  <c:v>2018-08-24-20:00</c:v>
                </c:pt>
                <c:pt idx="124">
                  <c:v>2018-08-24-21:00</c:v>
                </c:pt>
                <c:pt idx="125">
                  <c:v>2018-08-24-22:00</c:v>
                </c:pt>
                <c:pt idx="126">
                  <c:v>2018-08-24-23:00</c:v>
                </c:pt>
                <c:pt idx="127">
                  <c:v>2018-08-27-00:00</c:v>
                </c:pt>
                <c:pt idx="128">
                  <c:v>2018-08-27-01:00</c:v>
                </c:pt>
                <c:pt idx="129">
                  <c:v>2018-08-27-02:00</c:v>
                </c:pt>
                <c:pt idx="130">
                  <c:v>2018-08-27-03:00</c:v>
                </c:pt>
                <c:pt idx="131">
                  <c:v>2018-08-27-04:00</c:v>
                </c:pt>
                <c:pt idx="132">
                  <c:v>2018-08-27-05:00</c:v>
                </c:pt>
                <c:pt idx="133">
                  <c:v>2018-08-27-06:00</c:v>
                </c:pt>
                <c:pt idx="134">
                  <c:v>2018-08-27-07:00</c:v>
                </c:pt>
                <c:pt idx="135">
                  <c:v>2018-08-27-08:00</c:v>
                </c:pt>
                <c:pt idx="136">
                  <c:v>2018-08-27-09:00</c:v>
                </c:pt>
                <c:pt idx="137">
                  <c:v>2018-08-27-10:00</c:v>
                </c:pt>
                <c:pt idx="138">
                  <c:v>2018-08-27-11:00</c:v>
                </c:pt>
                <c:pt idx="139">
                  <c:v>2018-08-27-12:00</c:v>
                </c:pt>
                <c:pt idx="140">
                  <c:v>2018-08-27-13:00</c:v>
                </c:pt>
                <c:pt idx="141">
                  <c:v>2018-08-27-14:00</c:v>
                </c:pt>
                <c:pt idx="142">
                  <c:v>2018-08-27-15:00</c:v>
                </c:pt>
                <c:pt idx="143">
                  <c:v>2018-08-27-16:00</c:v>
                </c:pt>
                <c:pt idx="144">
                  <c:v>2018-08-27-17:00</c:v>
                </c:pt>
                <c:pt idx="145">
                  <c:v>2018-08-27-18:00</c:v>
                </c:pt>
                <c:pt idx="146">
                  <c:v>2018-08-27-19:00</c:v>
                </c:pt>
                <c:pt idx="147">
                  <c:v>2018-08-27-20:00</c:v>
                </c:pt>
                <c:pt idx="148">
                  <c:v>2018-08-27-21:00</c:v>
                </c:pt>
                <c:pt idx="149">
                  <c:v>2018-08-27-22:00</c:v>
                </c:pt>
                <c:pt idx="150">
                  <c:v>2018-08-27-23:00</c:v>
                </c:pt>
                <c:pt idx="151">
                  <c:v>2018-08-28-00:00</c:v>
                </c:pt>
                <c:pt idx="152">
                  <c:v>2018-08-28-01:00</c:v>
                </c:pt>
                <c:pt idx="153">
                  <c:v>2018-08-28-02:00</c:v>
                </c:pt>
                <c:pt idx="154">
                  <c:v>2018-08-28-03:00</c:v>
                </c:pt>
                <c:pt idx="155">
                  <c:v>2018-08-28-04:00</c:v>
                </c:pt>
                <c:pt idx="156">
                  <c:v>2018-08-28-05:00</c:v>
                </c:pt>
                <c:pt idx="157">
                  <c:v>2018-08-28-06:00</c:v>
                </c:pt>
                <c:pt idx="158">
                  <c:v>2018-08-28-07:00</c:v>
                </c:pt>
                <c:pt idx="159">
                  <c:v>2018-08-28-08:00</c:v>
                </c:pt>
                <c:pt idx="160">
                  <c:v>2018-08-28-09:00</c:v>
                </c:pt>
                <c:pt idx="161">
                  <c:v>2018-08-28-10:00</c:v>
                </c:pt>
                <c:pt idx="162">
                  <c:v>2018-08-28-11:00</c:v>
                </c:pt>
                <c:pt idx="163">
                  <c:v>2018-08-28-12:00</c:v>
                </c:pt>
                <c:pt idx="164">
                  <c:v>2018-08-28-13:00</c:v>
                </c:pt>
                <c:pt idx="165">
                  <c:v>2018-08-28-14:00</c:v>
                </c:pt>
                <c:pt idx="166">
                  <c:v>2018-08-28-15:00</c:v>
                </c:pt>
                <c:pt idx="167">
                  <c:v>2018-08-28-16:00</c:v>
                </c:pt>
                <c:pt idx="168">
                  <c:v>2018-08-28-17:00</c:v>
                </c:pt>
                <c:pt idx="169">
                  <c:v>2018-08-28-18:00</c:v>
                </c:pt>
                <c:pt idx="170">
                  <c:v>2018-08-28-19:00</c:v>
                </c:pt>
                <c:pt idx="171">
                  <c:v>2018-08-28-20:00</c:v>
                </c:pt>
                <c:pt idx="172">
                  <c:v>2018-08-28-21:00</c:v>
                </c:pt>
                <c:pt idx="173">
                  <c:v>2018-08-28-22:00</c:v>
                </c:pt>
                <c:pt idx="174">
                  <c:v>2018-08-28-23:00</c:v>
                </c:pt>
                <c:pt idx="175">
                  <c:v>2018-08-29-00:00</c:v>
                </c:pt>
                <c:pt idx="176">
                  <c:v>2018-08-29-01:00</c:v>
                </c:pt>
                <c:pt idx="177">
                  <c:v>2018-08-29-02:00</c:v>
                </c:pt>
                <c:pt idx="178">
                  <c:v>2018-08-29-03:00</c:v>
                </c:pt>
                <c:pt idx="179">
                  <c:v>2018-08-29-04:00</c:v>
                </c:pt>
                <c:pt idx="180">
                  <c:v>2018-08-29-05:00</c:v>
                </c:pt>
                <c:pt idx="181">
                  <c:v>2018-08-29-06:00</c:v>
                </c:pt>
                <c:pt idx="182">
                  <c:v>2018-08-29-07:00</c:v>
                </c:pt>
                <c:pt idx="183">
                  <c:v>2018-08-29-08:00</c:v>
                </c:pt>
              </c:strCache>
            </c:strRef>
          </c:cat>
          <c:val>
            <c:numRef>
              <c:f>New_TRS!$B$2:$B$186</c:f>
              <c:numCache>
                <c:formatCode>0.00000</c:formatCode>
                <c:ptCount val="184"/>
                <c:pt idx="0">
                  <c:v>0.19715574383735648</c:v>
                </c:pt>
                <c:pt idx="1">
                  <c:v>0.105229739099741</c:v>
                </c:pt>
                <c:pt idx="2">
                  <c:v>0.22348903119564054</c:v>
                </c:pt>
                <c:pt idx="3">
                  <c:v>0.14709958434104931</c:v>
                </c:pt>
                <c:pt idx="4">
                  <c:v>0.34189708530902885</c:v>
                </c:pt>
                <c:pt idx="5">
                  <c:v>0.30984479188919062</c:v>
                </c:pt>
                <c:pt idx="6">
                  <c:v>0.15895056352019302</c:v>
                </c:pt>
                <c:pt idx="7">
                  <c:v>0.14305353164672849</c:v>
                </c:pt>
                <c:pt idx="8">
                  <c:v>0.15726304054260246</c:v>
                </c:pt>
                <c:pt idx="9">
                  <c:v>0.17293787747621547</c:v>
                </c:pt>
                <c:pt idx="10">
                  <c:v>0.14760889112949385</c:v>
                </c:pt>
                <c:pt idx="11">
                  <c:v>0.1134057678282262</c:v>
                </c:pt>
                <c:pt idx="12">
                  <c:v>0.15936784073710439</c:v>
                </c:pt>
                <c:pt idx="13">
                  <c:v>0.16455429792404166</c:v>
                </c:pt>
                <c:pt idx="14">
                  <c:v>0.15936376154422754</c:v>
                </c:pt>
                <c:pt idx="15">
                  <c:v>0.11605767533183113</c:v>
                </c:pt>
                <c:pt idx="16">
                  <c:v>9.1114442795515074E-2</c:v>
                </c:pt>
                <c:pt idx="17">
                  <c:v>0.17507230490446068</c:v>
                </c:pt>
                <c:pt idx="18">
                  <c:v>0.10992555320262914</c:v>
                </c:pt>
                <c:pt idx="19">
                  <c:v>0.10539546236395837</c:v>
                </c:pt>
                <c:pt idx="20">
                  <c:v>0.12478108331561094</c:v>
                </c:pt>
                <c:pt idx="21">
                  <c:v>0.30104823410511011</c:v>
                </c:pt>
                <c:pt idx="22">
                  <c:v>0.251228928565979</c:v>
                </c:pt>
                <c:pt idx="23">
                  <c:v>0.22353085875511167</c:v>
                </c:pt>
                <c:pt idx="24">
                  <c:v>0.2359376549720765</c:v>
                </c:pt>
                <c:pt idx="25">
                  <c:v>0.24326447397470485</c:v>
                </c:pt>
                <c:pt idx="26">
                  <c:v>0.25013251602649694</c:v>
                </c:pt>
                <c:pt idx="27">
                  <c:v>0.26554960012435924</c:v>
                </c:pt>
                <c:pt idx="28">
                  <c:v>0.20914935320615766</c:v>
                </c:pt>
                <c:pt idx="29">
                  <c:v>0.25760633498430247</c:v>
                </c:pt>
                <c:pt idx="30">
                  <c:v>0.24322672933340062</c:v>
                </c:pt>
                <c:pt idx="31">
                  <c:v>0.23422677814960488</c:v>
                </c:pt>
                <c:pt idx="32">
                  <c:v>0.20989590883255002</c:v>
                </c:pt>
                <c:pt idx="33">
                  <c:v>0.16478085517883301</c:v>
                </c:pt>
                <c:pt idx="34">
                  <c:v>0.42890905588865286</c:v>
                </c:pt>
                <c:pt idx="35">
                  <c:v>0.25881367176771169</c:v>
                </c:pt>
                <c:pt idx="36">
                  <c:v>9.7510918974876223E-2</c:v>
                </c:pt>
                <c:pt idx="37">
                  <c:v>0.22591248154640198</c:v>
                </c:pt>
                <c:pt idx="38">
                  <c:v>0.23677597939968106</c:v>
                </c:pt>
                <c:pt idx="39">
                  <c:v>0.21663378924131349</c:v>
                </c:pt>
                <c:pt idx="40">
                  <c:v>7.6766654849052651E-2</c:v>
                </c:pt>
                <c:pt idx="41">
                  <c:v>5.5160783231258233E-2</c:v>
                </c:pt>
                <c:pt idx="42">
                  <c:v>0.291570395231247</c:v>
                </c:pt>
                <c:pt idx="43">
                  <c:v>0.14869909361004843</c:v>
                </c:pt>
                <c:pt idx="44">
                  <c:v>0.14655873551964774</c:v>
                </c:pt>
                <c:pt idx="45">
                  <c:v>0.16397783160209653</c:v>
                </c:pt>
                <c:pt idx="46">
                  <c:v>-1.1400744318962106E-2</c:v>
                </c:pt>
                <c:pt idx="47">
                  <c:v>0.22727726399898515</c:v>
                </c:pt>
                <c:pt idx="48">
                  <c:v>0.30532928556203848</c:v>
                </c:pt>
                <c:pt idx="49">
                  <c:v>0.18663582950830457</c:v>
                </c:pt>
                <c:pt idx="50">
                  <c:v>0.42655281722545607</c:v>
                </c:pt>
                <c:pt idx="51">
                  <c:v>0.47024253010749811</c:v>
                </c:pt>
                <c:pt idx="52">
                  <c:v>0.23828126490116111</c:v>
                </c:pt>
                <c:pt idx="53">
                  <c:v>3.5324506461620497E-2</c:v>
                </c:pt>
                <c:pt idx="54">
                  <c:v>0.16624181717634201</c:v>
                </c:pt>
                <c:pt idx="55">
                  <c:v>0.14238251745700795</c:v>
                </c:pt>
                <c:pt idx="56">
                  <c:v>0.194791279733181</c:v>
                </c:pt>
                <c:pt idx="57">
                  <c:v>0.1736422628164295</c:v>
                </c:pt>
                <c:pt idx="58">
                  <c:v>0.21141361445188511</c:v>
                </c:pt>
                <c:pt idx="59">
                  <c:v>0.15539079532027247</c:v>
                </c:pt>
                <c:pt idx="60">
                  <c:v>0.16984995454549798</c:v>
                </c:pt>
                <c:pt idx="61">
                  <c:v>0.13107864931225779</c:v>
                </c:pt>
                <c:pt idx="62">
                  <c:v>0.16032161191105845</c:v>
                </c:pt>
                <c:pt idx="63">
                  <c:v>0.19964846968650807</c:v>
                </c:pt>
                <c:pt idx="64">
                  <c:v>9.4798114150762516E-2</c:v>
                </c:pt>
                <c:pt idx="65">
                  <c:v>0.15662138536572479</c:v>
                </c:pt>
                <c:pt idx="66">
                  <c:v>0.11715435236692401</c:v>
                </c:pt>
                <c:pt idx="67">
                  <c:v>0.40352562069892889</c:v>
                </c:pt>
                <c:pt idx="68">
                  <c:v>0.24918066710233688</c:v>
                </c:pt>
                <c:pt idx="69">
                  <c:v>0.28275269269943221</c:v>
                </c:pt>
                <c:pt idx="70">
                  <c:v>0.2522897645831107</c:v>
                </c:pt>
                <c:pt idx="71">
                  <c:v>0.13149369135499001</c:v>
                </c:pt>
                <c:pt idx="72">
                  <c:v>1.1609680950641604E-2</c:v>
                </c:pt>
                <c:pt idx="73">
                  <c:v>0.18462563306093183</c:v>
                </c:pt>
                <c:pt idx="74">
                  <c:v>0.11652522161602968</c:v>
                </c:pt>
                <c:pt idx="75">
                  <c:v>0.11797393113374698</c:v>
                </c:pt>
                <c:pt idx="76">
                  <c:v>0.30304617434740061</c:v>
                </c:pt>
                <c:pt idx="77">
                  <c:v>0.13920229300856579</c:v>
                </c:pt>
                <c:pt idx="78">
                  <c:v>0.19381632655858982</c:v>
                </c:pt>
                <c:pt idx="79">
                  <c:v>0.1138502173125744</c:v>
                </c:pt>
                <c:pt idx="80">
                  <c:v>0.1897721216082574</c:v>
                </c:pt>
                <c:pt idx="81">
                  <c:v>0.10138279572129245</c:v>
                </c:pt>
                <c:pt idx="82">
                  <c:v>-5.8847405016422523E-3</c:v>
                </c:pt>
                <c:pt idx="83">
                  <c:v>5.9345111250877602E-2</c:v>
                </c:pt>
                <c:pt idx="84">
                  <c:v>0.1073807254433633</c:v>
                </c:pt>
                <c:pt idx="85">
                  <c:v>0.10377286747097975</c:v>
                </c:pt>
                <c:pt idx="86">
                  <c:v>0.12135114520788194</c:v>
                </c:pt>
                <c:pt idx="87">
                  <c:v>0.25151202082633967</c:v>
                </c:pt>
                <c:pt idx="88">
                  <c:v>0.19780141860246658</c:v>
                </c:pt>
                <c:pt idx="89">
                  <c:v>0.21880567073822035</c:v>
                </c:pt>
                <c:pt idx="90">
                  <c:v>0.11416886746883394</c:v>
                </c:pt>
                <c:pt idx="91">
                  <c:v>0.16157747060060498</c:v>
                </c:pt>
                <c:pt idx="92">
                  <c:v>0.32221156358718878</c:v>
                </c:pt>
                <c:pt idx="93">
                  <c:v>0.24761050567030907</c:v>
                </c:pt>
                <c:pt idx="94">
                  <c:v>8.7904855608940138E-2</c:v>
                </c:pt>
                <c:pt idx="95">
                  <c:v>0.17415594309568408</c:v>
                </c:pt>
                <c:pt idx="96">
                  <c:v>0.11813529953360569</c:v>
                </c:pt>
                <c:pt idx="97">
                  <c:v>0.19329857826232913</c:v>
                </c:pt>
                <c:pt idx="98">
                  <c:v>2.0945116877555858E-2</c:v>
                </c:pt>
                <c:pt idx="99">
                  <c:v>-7.5747072696685592E-3</c:v>
                </c:pt>
                <c:pt idx="100">
                  <c:v>0.12370565161108958</c:v>
                </c:pt>
                <c:pt idx="101">
                  <c:v>0.13902185857295993</c:v>
                </c:pt>
                <c:pt idx="102">
                  <c:v>0.21707197278738033</c:v>
                </c:pt>
                <c:pt idx="103">
                  <c:v>0.16184775903820997</c:v>
                </c:pt>
                <c:pt idx="104">
                  <c:v>0.16219576448202144</c:v>
                </c:pt>
                <c:pt idx="105">
                  <c:v>0.18496738374233182</c:v>
                </c:pt>
                <c:pt idx="106">
                  <c:v>0.1932900622487069</c:v>
                </c:pt>
                <c:pt idx="107">
                  <c:v>0.18971346318721746</c:v>
                </c:pt>
                <c:pt idx="108">
                  <c:v>0.20430463552474987</c:v>
                </c:pt>
                <c:pt idx="109">
                  <c:v>0.20692942291498193</c:v>
                </c:pt>
                <c:pt idx="110">
                  <c:v>0.20718719065189353</c:v>
                </c:pt>
                <c:pt idx="111">
                  <c:v>0.30432927608489968</c:v>
                </c:pt>
                <c:pt idx="112">
                  <c:v>0.17079533264040914</c:v>
                </c:pt>
                <c:pt idx="113">
                  <c:v>9.9734921008348423E-2</c:v>
                </c:pt>
                <c:pt idx="114">
                  <c:v>0.13774943351745603</c:v>
                </c:pt>
                <c:pt idx="115">
                  <c:v>0.19361716508865354</c:v>
                </c:pt>
                <c:pt idx="116">
                  <c:v>0.27231676876544947</c:v>
                </c:pt>
                <c:pt idx="117">
                  <c:v>0.32688680291175848</c:v>
                </c:pt>
                <c:pt idx="118">
                  <c:v>0.17127970606088672</c:v>
                </c:pt>
                <c:pt idx="119">
                  <c:v>0.24607992917299262</c:v>
                </c:pt>
                <c:pt idx="120">
                  <c:v>0.30828937888145452</c:v>
                </c:pt>
                <c:pt idx="121">
                  <c:v>0.33550521731376642</c:v>
                </c:pt>
                <c:pt idx="122">
                  <c:v>0.19033611193299274</c:v>
                </c:pt>
                <c:pt idx="123">
                  <c:v>0.15675149112939812</c:v>
                </c:pt>
                <c:pt idx="124">
                  <c:v>0.1196237094700338</c:v>
                </c:pt>
                <c:pt idx="125">
                  <c:v>0.19826494157314303</c:v>
                </c:pt>
                <c:pt idx="126">
                  <c:v>0.14192531630396851</c:v>
                </c:pt>
                <c:pt idx="127">
                  <c:v>0.1266867816448215</c:v>
                </c:pt>
                <c:pt idx="128">
                  <c:v>0.23578038066625592</c:v>
                </c:pt>
                <c:pt idx="129">
                  <c:v>0.31898318231105788</c:v>
                </c:pt>
                <c:pt idx="130">
                  <c:v>0.16829014942049977</c:v>
                </c:pt>
                <c:pt idx="131">
                  <c:v>6.6980559378862436E-2</c:v>
                </c:pt>
                <c:pt idx="132">
                  <c:v>0.17030687630176547</c:v>
                </c:pt>
                <c:pt idx="133">
                  <c:v>0.14313936233520555</c:v>
                </c:pt>
                <c:pt idx="134">
                  <c:v>9.2297002673149053E-2</c:v>
                </c:pt>
                <c:pt idx="135">
                  <c:v>0.10449598729610443</c:v>
                </c:pt>
                <c:pt idx="136">
                  <c:v>8.6256921291351318E-2</c:v>
                </c:pt>
                <c:pt idx="137">
                  <c:v>0.10823183506727235</c:v>
                </c:pt>
                <c:pt idx="138">
                  <c:v>0.22895041108131406</c:v>
                </c:pt>
                <c:pt idx="139">
                  <c:v>0.23194596916437149</c:v>
                </c:pt>
                <c:pt idx="140">
                  <c:v>0.13520208746194845</c:v>
                </c:pt>
                <c:pt idx="141">
                  <c:v>0.24566919356584541</c:v>
                </c:pt>
                <c:pt idx="142">
                  <c:v>0.32315102219581604</c:v>
                </c:pt>
                <c:pt idx="143">
                  <c:v>0.28190156817436213</c:v>
                </c:pt>
                <c:pt idx="144">
                  <c:v>0.32261419296264643</c:v>
                </c:pt>
                <c:pt idx="145">
                  <c:v>0.32725170254707359</c:v>
                </c:pt>
                <c:pt idx="146">
                  <c:v>0.24340275675058365</c:v>
                </c:pt>
                <c:pt idx="147">
                  <c:v>0.19245583564043053</c:v>
                </c:pt>
                <c:pt idx="148">
                  <c:v>0.1190847679972649</c:v>
                </c:pt>
                <c:pt idx="149">
                  <c:v>0.16261740773916256</c:v>
                </c:pt>
                <c:pt idx="150">
                  <c:v>0.1879232302308079</c:v>
                </c:pt>
                <c:pt idx="151">
                  <c:v>0.14600100368261337</c:v>
                </c:pt>
                <c:pt idx="152">
                  <c:v>0.17119573056697837</c:v>
                </c:pt>
                <c:pt idx="153">
                  <c:v>0.17976593971252444</c:v>
                </c:pt>
                <c:pt idx="154">
                  <c:v>0.25586418807506578</c:v>
                </c:pt>
                <c:pt idx="155">
                  <c:v>8.8812716305255876E-2</c:v>
                </c:pt>
                <c:pt idx="156">
                  <c:v>8.1747531890869155E-2</c:v>
                </c:pt>
                <c:pt idx="157">
                  <c:v>0.16443911939859401</c:v>
                </c:pt>
                <c:pt idx="158">
                  <c:v>0.15118119865655899</c:v>
                </c:pt>
                <c:pt idx="159">
                  <c:v>0.1188187822699545</c:v>
                </c:pt>
                <c:pt idx="160">
                  <c:v>0.2839791923761365</c:v>
                </c:pt>
                <c:pt idx="161">
                  <c:v>0.27550549805164343</c:v>
                </c:pt>
                <c:pt idx="162">
                  <c:v>0.17275777459144595</c:v>
                </c:pt>
                <c:pt idx="163">
                  <c:v>0.23239880800247192</c:v>
                </c:pt>
                <c:pt idx="164">
                  <c:v>0.21720372140407573</c:v>
                </c:pt>
                <c:pt idx="165">
                  <c:v>0.22340749949216823</c:v>
                </c:pt>
                <c:pt idx="166">
                  <c:v>0.24426013231277488</c:v>
                </c:pt>
                <c:pt idx="167">
                  <c:v>0.28015540540218331</c:v>
                </c:pt>
                <c:pt idx="168">
                  <c:v>9.0959340333938557E-2</c:v>
                </c:pt>
                <c:pt idx="169">
                  <c:v>0.15494013950228688</c:v>
                </c:pt>
                <c:pt idx="170">
                  <c:v>0.19350823760032657</c:v>
                </c:pt>
                <c:pt idx="171">
                  <c:v>0.14282697439193739</c:v>
                </c:pt>
                <c:pt idx="172">
                  <c:v>1.2938849627971647E-2</c:v>
                </c:pt>
                <c:pt idx="173">
                  <c:v>9.1506510972976629E-2</c:v>
                </c:pt>
                <c:pt idx="174">
                  <c:v>0.16075980663299547</c:v>
                </c:pt>
                <c:pt idx="175">
                  <c:v>0.17035305500030537</c:v>
                </c:pt>
                <c:pt idx="176">
                  <c:v>0.15810789167881001</c:v>
                </c:pt>
                <c:pt idx="177">
                  <c:v>0.13982269912958156</c:v>
                </c:pt>
                <c:pt idx="178">
                  <c:v>0.15810380876064303</c:v>
                </c:pt>
                <c:pt idx="179">
                  <c:v>0.1240177601575851</c:v>
                </c:pt>
                <c:pt idx="180">
                  <c:v>0.21031094342470161</c:v>
                </c:pt>
                <c:pt idx="181">
                  <c:v>0.18864858895540246</c:v>
                </c:pt>
                <c:pt idx="182">
                  <c:v>0.17522086203098319</c:v>
                </c:pt>
                <c:pt idx="183">
                  <c:v>7.6051913201809096E-2</c:v>
                </c:pt>
              </c:numCache>
            </c:numRef>
          </c:val>
          <c:smooth val="0"/>
        </c:ser>
        <c:ser>
          <c:idx val="1"/>
          <c:order val="1"/>
          <c:tx>
            <c:strRef>
              <c:f>New_TRS!$C$1</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New_TRS!$A$2:$A$186</c:f>
              <c:strCache>
                <c:ptCount val="184"/>
                <c:pt idx="0">
                  <c:v>2018-08-17-17:00</c:v>
                </c:pt>
                <c:pt idx="1">
                  <c:v>2018-08-17-18:00</c:v>
                </c:pt>
                <c:pt idx="2">
                  <c:v>2018-08-17-19:00</c:v>
                </c:pt>
                <c:pt idx="3">
                  <c:v>2018-08-17-20:00</c:v>
                </c:pt>
                <c:pt idx="4">
                  <c:v>2018-08-17-21:00</c:v>
                </c:pt>
                <c:pt idx="5">
                  <c:v>2018-08-17-22:00</c:v>
                </c:pt>
                <c:pt idx="6">
                  <c:v>2018-08-17-23:00</c:v>
                </c:pt>
                <c:pt idx="7">
                  <c:v>2018-08-20-00:00</c:v>
                </c:pt>
                <c:pt idx="8">
                  <c:v>2018-08-20-01:00</c:v>
                </c:pt>
                <c:pt idx="9">
                  <c:v>2018-08-20-02:00</c:v>
                </c:pt>
                <c:pt idx="10">
                  <c:v>2018-08-20-03:00</c:v>
                </c:pt>
                <c:pt idx="11">
                  <c:v>2018-08-20-04:00</c:v>
                </c:pt>
                <c:pt idx="12">
                  <c:v>2018-08-20-05:00</c:v>
                </c:pt>
                <c:pt idx="13">
                  <c:v>2018-08-20-06:00</c:v>
                </c:pt>
                <c:pt idx="14">
                  <c:v>2018-08-20-07:00</c:v>
                </c:pt>
                <c:pt idx="15">
                  <c:v>2018-08-20-08:00</c:v>
                </c:pt>
                <c:pt idx="16">
                  <c:v>2018-08-20-09:00</c:v>
                </c:pt>
                <c:pt idx="17">
                  <c:v>2018-08-20-10:00</c:v>
                </c:pt>
                <c:pt idx="18">
                  <c:v>2018-08-20-11:00</c:v>
                </c:pt>
                <c:pt idx="19">
                  <c:v>2018-08-20-12:00</c:v>
                </c:pt>
                <c:pt idx="20">
                  <c:v>2018-08-20-13:00</c:v>
                </c:pt>
                <c:pt idx="21">
                  <c:v>2018-08-20-14:00</c:v>
                </c:pt>
                <c:pt idx="22">
                  <c:v>2018-08-20-15:00</c:v>
                </c:pt>
                <c:pt idx="23">
                  <c:v>2018-08-20-16:00</c:v>
                </c:pt>
                <c:pt idx="24">
                  <c:v>2018-08-20-17:00</c:v>
                </c:pt>
                <c:pt idx="25">
                  <c:v>2018-08-20-18:00</c:v>
                </c:pt>
                <c:pt idx="26">
                  <c:v>2018-08-20-19:00</c:v>
                </c:pt>
                <c:pt idx="27">
                  <c:v>2018-08-20-20:00</c:v>
                </c:pt>
                <c:pt idx="28">
                  <c:v>2018-08-20-21:00</c:v>
                </c:pt>
                <c:pt idx="29">
                  <c:v>2018-08-20-22:00</c:v>
                </c:pt>
                <c:pt idx="30">
                  <c:v>2018-08-20-23:00</c:v>
                </c:pt>
                <c:pt idx="31">
                  <c:v>2018-08-21-00:00</c:v>
                </c:pt>
                <c:pt idx="32">
                  <c:v>2018-08-21-01:00</c:v>
                </c:pt>
                <c:pt idx="33">
                  <c:v>2018-08-21-02:00</c:v>
                </c:pt>
                <c:pt idx="34">
                  <c:v>2018-08-21-03:00</c:v>
                </c:pt>
                <c:pt idx="35">
                  <c:v>2018-08-21-04:00</c:v>
                </c:pt>
                <c:pt idx="36">
                  <c:v>2018-08-21-05:00</c:v>
                </c:pt>
                <c:pt idx="37">
                  <c:v>2018-08-21-06:00</c:v>
                </c:pt>
                <c:pt idx="38">
                  <c:v>2018-08-21-07:00</c:v>
                </c:pt>
                <c:pt idx="39">
                  <c:v>2018-08-21-08:00</c:v>
                </c:pt>
                <c:pt idx="40">
                  <c:v>2018-08-21-09:00</c:v>
                </c:pt>
                <c:pt idx="41">
                  <c:v>2018-08-21-10:00</c:v>
                </c:pt>
                <c:pt idx="42">
                  <c:v>2018-08-21-11:00</c:v>
                </c:pt>
                <c:pt idx="43">
                  <c:v>2018-08-21-12:00</c:v>
                </c:pt>
                <c:pt idx="44">
                  <c:v>2018-08-21-13:00</c:v>
                </c:pt>
                <c:pt idx="45">
                  <c:v>2018-08-21-14:00</c:v>
                </c:pt>
                <c:pt idx="46">
                  <c:v>2018-08-21-15:00</c:v>
                </c:pt>
                <c:pt idx="47">
                  <c:v>2018-08-21-16:00</c:v>
                </c:pt>
                <c:pt idx="48">
                  <c:v>2018-08-21-17:00</c:v>
                </c:pt>
                <c:pt idx="49">
                  <c:v>2018-08-21-18:00</c:v>
                </c:pt>
                <c:pt idx="50">
                  <c:v>2018-08-21-19:00</c:v>
                </c:pt>
                <c:pt idx="51">
                  <c:v>2018-08-21-20:00</c:v>
                </c:pt>
                <c:pt idx="52">
                  <c:v>2018-08-21-21:00</c:v>
                </c:pt>
                <c:pt idx="53">
                  <c:v>2018-08-21-22:00</c:v>
                </c:pt>
                <c:pt idx="54">
                  <c:v>2018-08-21-23:00</c:v>
                </c:pt>
                <c:pt idx="55">
                  <c:v>2018-08-22-00:00</c:v>
                </c:pt>
                <c:pt idx="56">
                  <c:v>2018-08-22-01:00</c:v>
                </c:pt>
                <c:pt idx="57">
                  <c:v>2018-08-22-02:00</c:v>
                </c:pt>
                <c:pt idx="58">
                  <c:v>2018-08-22-03:00</c:v>
                </c:pt>
                <c:pt idx="59">
                  <c:v>2018-08-22-04:00</c:v>
                </c:pt>
                <c:pt idx="60">
                  <c:v>2018-08-22-05:00</c:v>
                </c:pt>
                <c:pt idx="61">
                  <c:v>2018-08-22-06:00</c:v>
                </c:pt>
                <c:pt idx="62">
                  <c:v>2018-08-22-07:00</c:v>
                </c:pt>
                <c:pt idx="63">
                  <c:v>2018-08-22-08:00</c:v>
                </c:pt>
                <c:pt idx="64">
                  <c:v>2018-08-22-09:00</c:v>
                </c:pt>
                <c:pt idx="65">
                  <c:v>2018-08-22-10:00</c:v>
                </c:pt>
                <c:pt idx="66">
                  <c:v>2018-08-22-11:00</c:v>
                </c:pt>
                <c:pt idx="67">
                  <c:v>2018-08-22-12:00</c:v>
                </c:pt>
                <c:pt idx="68">
                  <c:v>2018-08-22-13:00</c:v>
                </c:pt>
                <c:pt idx="69">
                  <c:v>2018-08-22-14:00</c:v>
                </c:pt>
                <c:pt idx="70">
                  <c:v>2018-08-22-15:00</c:v>
                </c:pt>
                <c:pt idx="71">
                  <c:v>2018-08-22-16:00</c:v>
                </c:pt>
                <c:pt idx="72">
                  <c:v>2018-08-22-17:00</c:v>
                </c:pt>
                <c:pt idx="73">
                  <c:v>2018-08-22-18:00</c:v>
                </c:pt>
                <c:pt idx="74">
                  <c:v>2018-08-22-19:00</c:v>
                </c:pt>
                <c:pt idx="75">
                  <c:v>2018-08-22-20:00</c:v>
                </c:pt>
                <c:pt idx="76">
                  <c:v>2018-08-22-21:00</c:v>
                </c:pt>
                <c:pt idx="77">
                  <c:v>2018-08-22-22:00</c:v>
                </c:pt>
                <c:pt idx="78">
                  <c:v>2018-08-22-23:00</c:v>
                </c:pt>
                <c:pt idx="79">
                  <c:v>2018-08-23-00:00</c:v>
                </c:pt>
                <c:pt idx="80">
                  <c:v>2018-08-23-01:00</c:v>
                </c:pt>
                <c:pt idx="81">
                  <c:v>2018-08-23-02:00</c:v>
                </c:pt>
                <c:pt idx="82">
                  <c:v>2018-08-23-03:00</c:v>
                </c:pt>
                <c:pt idx="83">
                  <c:v>2018-08-23-04:00</c:v>
                </c:pt>
                <c:pt idx="84">
                  <c:v>2018-08-23-05:00</c:v>
                </c:pt>
                <c:pt idx="85">
                  <c:v>2018-08-23-06:00</c:v>
                </c:pt>
                <c:pt idx="86">
                  <c:v>2018-08-23-07:00</c:v>
                </c:pt>
                <c:pt idx="87">
                  <c:v>2018-08-23-08:00</c:v>
                </c:pt>
                <c:pt idx="88">
                  <c:v>2018-08-23-09:00</c:v>
                </c:pt>
                <c:pt idx="89">
                  <c:v>2018-08-23-10:00</c:v>
                </c:pt>
                <c:pt idx="90">
                  <c:v>2018-08-23-11:00</c:v>
                </c:pt>
                <c:pt idx="91">
                  <c:v>2018-08-23-12:00</c:v>
                </c:pt>
                <c:pt idx="92">
                  <c:v>2018-08-23-13:00</c:v>
                </c:pt>
                <c:pt idx="93">
                  <c:v>2018-08-23-14:00</c:v>
                </c:pt>
                <c:pt idx="94">
                  <c:v>2018-08-23-15:00</c:v>
                </c:pt>
                <c:pt idx="95">
                  <c:v>2018-08-23-16:00</c:v>
                </c:pt>
                <c:pt idx="96">
                  <c:v>2018-08-23-17:00</c:v>
                </c:pt>
                <c:pt idx="97">
                  <c:v>2018-08-23-18:00</c:v>
                </c:pt>
                <c:pt idx="98">
                  <c:v>2018-08-23-19:00</c:v>
                </c:pt>
                <c:pt idx="99">
                  <c:v>2018-08-23-20:00</c:v>
                </c:pt>
                <c:pt idx="100">
                  <c:v>2018-08-23-21:00</c:v>
                </c:pt>
                <c:pt idx="101">
                  <c:v>2018-08-23-22:00</c:v>
                </c:pt>
                <c:pt idx="102">
                  <c:v>2018-08-23-23:00</c:v>
                </c:pt>
                <c:pt idx="103">
                  <c:v>2018-08-24-00:00</c:v>
                </c:pt>
                <c:pt idx="104">
                  <c:v>2018-08-24-01:00</c:v>
                </c:pt>
                <c:pt idx="105">
                  <c:v>2018-08-24-02:00</c:v>
                </c:pt>
                <c:pt idx="106">
                  <c:v>2018-08-24-03:00</c:v>
                </c:pt>
                <c:pt idx="107">
                  <c:v>2018-08-24-04:00</c:v>
                </c:pt>
                <c:pt idx="108">
                  <c:v>2018-08-24-05:00</c:v>
                </c:pt>
                <c:pt idx="109">
                  <c:v>2018-08-24-06:00</c:v>
                </c:pt>
                <c:pt idx="110">
                  <c:v>2018-08-24-07:00</c:v>
                </c:pt>
                <c:pt idx="111">
                  <c:v>2018-08-24-08:00</c:v>
                </c:pt>
                <c:pt idx="112">
                  <c:v>2018-08-24-09:00</c:v>
                </c:pt>
                <c:pt idx="113">
                  <c:v>2018-08-24-10:00</c:v>
                </c:pt>
                <c:pt idx="114">
                  <c:v>2018-08-24-11:00</c:v>
                </c:pt>
                <c:pt idx="115">
                  <c:v>2018-08-24-12:00</c:v>
                </c:pt>
                <c:pt idx="116">
                  <c:v>2018-08-24-13:00</c:v>
                </c:pt>
                <c:pt idx="117">
                  <c:v>2018-08-24-14:00</c:v>
                </c:pt>
                <c:pt idx="118">
                  <c:v>2018-08-24-15:00</c:v>
                </c:pt>
                <c:pt idx="119">
                  <c:v>2018-08-24-16:00</c:v>
                </c:pt>
                <c:pt idx="120">
                  <c:v>2018-08-24-17:00</c:v>
                </c:pt>
                <c:pt idx="121">
                  <c:v>2018-08-24-18:00</c:v>
                </c:pt>
                <c:pt idx="122">
                  <c:v>2018-08-24-19:00</c:v>
                </c:pt>
                <c:pt idx="123">
                  <c:v>2018-08-24-20:00</c:v>
                </c:pt>
                <c:pt idx="124">
                  <c:v>2018-08-24-21:00</c:v>
                </c:pt>
                <c:pt idx="125">
                  <c:v>2018-08-24-22:00</c:v>
                </c:pt>
                <c:pt idx="126">
                  <c:v>2018-08-24-23:00</c:v>
                </c:pt>
                <c:pt idx="127">
                  <c:v>2018-08-27-00:00</c:v>
                </c:pt>
                <c:pt idx="128">
                  <c:v>2018-08-27-01:00</c:v>
                </c:pt>
                <c:pt idx="129">
                  <c:v>2018-08-27-02:00</c:v>
                </c:pt>
                <c:pt idx="130">
                  <c:v>2018-08-27-03:00</c:v>
                </c:pt>
                <c:pt idx="131">
                  <c:v>2018-08-27-04:00</c:v>
                </c:pt>
                <c:pt idx="132">
                  <c:v>2018-08-27-05:00</c:v>
                </c:pt>
                <c:pt idx="133">
                  <c:v>2018-08-27-06:00</c:v>
                </c:pt>
                <c:pt idx="134">
                  <c:v>2018-08-27-07:00</c:v>
                </c:pt>
                <c:pt idx="135">
                  <c:v>2018-08-27-08:00</c:v>
                </c:pt>
                <c:pt idx="136">
                  <c:v>2018-08-27-09:00</c:v>
                </c:pt>
                <c:pt idx="137">
                  <c:v>2018-08-27-10:00</c:v>
                </c:pt>
                <c:pt idx="138">
                  <c:v>2018-08-27-11:00</c:v>
                </c:pt>
                <c:pt idx="139">
                  <c:v>2018-08-27-12:00</c:v>
                </c:pt>
                <c:pt idx="140">
                  <c:v>2018-08-27-13:00</c:v>
                </c:pt>
                <c:pt idx="141">
                  <c:v>2018-08-27-14:00</c:v>
                </c:pt>
                <c:pt idx="142">
                  <c:v>2018-08-27-15:00</c:v>
                </c:pt>
                <c:pt idx="143">
                  <c:v>2018-08-27-16:00</c:v>
                </c:pt>
                <c:pt idx="144">
                  <c:v>2018-08-27-17:00</c:v>
                </c:pt>
                <c:pt idx="145">
                  <c:v>2018-08-27-18:00</c:v>
                </c:pt>
                <c:pt idx="146">
                  <c:v>2018-08-27-19:00</c:v>
                </c:pt>
                <c:pt idx="147">
                  <c:v>2018-08-27-20:00</c:v>
                </c:pt>
                <c:pt idx="148">
                  <c:v>2018-08-27-21:00</c:v>
                </c:pt>
                <c:pt idx="149">
                  <c:v>2018-08-27-22:00</c:v>
                </c:pt>
                <c:pt idx="150">
                  <c:v>2018-08-27-23:00</c:v>
                </c:pt>
                <c:pt idx="151">
                  <c:v>2018-08-28-00:00</c:v>
                </c:pt>
                <c:pt idx="152">
                  <c:v>2018-08-28-01:00</c:v>
                </c:pt>
                <c:pt idx="153">
                  <c:v>2018-08-28-02:00</c:v>
                </c:pt>
                <c:pt idx="154">
                  <c:v>2018-08-28-03:00</c:v>
                </c:pt>
                <c:pt idx="155">
                  <c:v>2018-08-28-04:00</c:v>
                </c:pt>
                <c:pt idx="156">
                  <c:v>2018-08-28-05:00</c:v>
                </c:pt>
                <c:pt idx="157">
                  <c:v>2018-08-28-06:00</c:v>
                </c:pt>
                <c:pt idx="158">
                  <c:v>2018-08-28-07:00</c:v>
                </c:pt>
                <c:pt idx="159">
                  <c:v>2018-08-28-08:00</c:v>
                </c:pt>
                <c:pt idx="160">
                  <c:v>2018-08-28-09:00</c:v>
                </c:pt>
                <c:pt idx="161">
                  <c:v>2018-08-28-10:00</c:v>
                </c:pt>
                <c:pt idx="162">
                  <c:v>2018-08-28-11:00</c:v>
                </c:pt>
                <c:pt idx="163">
                  <c:v>2018-08-28-12:00</c:v>
                </c:pt>
                <c:pt idx="164">
                  <c:v>2018-08-28-13:00</c:v>
                </c:pt>
                <c:pt idx="165">
                  <c:v>2018-08-28-14:00</c:v>
                </c:pt>
                <c:pt idx="166">
                  <c:v>2018-08-28-15:00</c:v>
                </c:pt>
                <c:pt idx="167">
                  <c:v>2018-08-28-16:00</c:v>
                </c:pt>
                <c:pt idx="168">
                  <c:v>2018-08-28-17:00</c:v>
                </c:pt>
                <c:pt idx="169">
                  <c:v>2018-08-28-18:00</c:v>
                </c:pt>
                <c:pt idx="170">
                  <c:v>2018-08-28-19:00</c:v>
                </c:pt>
                <c:pt idx="171">
                  <c:v>2018-08-28-20:00</c:v>
                </c:pt>
                <c:pt idx="172">
                  <c:v>2018-08-28-21:00</c:v>
                </c:pt>
                <c:pt idx="173">
                  <c:v>2018-08-28-22:00</c:v>
                </c:pt>
                <c:pt idx="174">
                  <c:v>2018-08-28-23:00</c:v>
                </c:pt>
                <c:pt idx="175">
                  <c:v>2018-08-29-00:00</c:v>
                </c:pt>
                <c:pt idx="176">
                  <c:v>2018-08-29-01:00</c:v>
                </c:pt>
                <c:pt idx="177">
                  <c:v>2018-08-29-02:00</c:v>
                </c:pt>
                <c:pt idx="178">
                  <c:v>2018-08-29-03:00</c:v>
                </c:pt>
                <c:pt idx="179">
                  <c:v>2018-08-29-04:00</c:v>
                </c:pt>
                <c:pt idx="180">
                  <c:v>2018-08-29-05:00</c:v>
                </c:pt>
                <c:pt idx="181">
                  <c:v>2018-08-29-06:00</c:v>
                </c:pt>
                <c:pt idx="182">
                  <c:v>2018-08-29-07:00</c:v>
                </c:pt>
                <c:pt idx="183">
                  <c:v>2018-08-29-08:00</c:v>
                </c:pt>
              </c:strCache>
            </c:strRef>
          </c:cat>
          <c:val>
            <c:numRef>
              <c:f>New_TRS!$C$2:$C$186</c:f>
              <c:numCache>
                <c:formatCode>0.00000</c:formatCode>
                <c:ptCount val="184"/>
                <c:pt idx="0">
                  <c:v>0.14048267668113107</c:v>
                </c:pt>
                <c:pt idx="1">
                  <c:v>0.14220395591109991</c:v>
                </c:pt>
                <c:pt idx="2">
                  <c:v>0.1784758598854144</c:v>
                </c:pt>
                <c:pt idx="3">
                  <c:v>0.20471142946432042</c:v>
                </c:pt>
                <c:pt idx="4">
                  <c:v>0.28730879258364439</c:v>
                </c:pt>
                <c:pt idx="5">
                  <c:v>0.23655591501543913</c:v>
                </c:pt>
                <c:pt idx="6">
                  <c:v>0.11979466024786234</c:v>
                </c:pt>
                <c:pt idx="7">
                  <c:v>0.14660538903747988</c:v>
                </c:pt>
                <c:pt idx="8">
                  <c:v>0.15448019653558737</c:v>
                </c:pt>
                <c:pt idx="9">
                  <c:v>0.17272410883257786</c:v>
                </c:pt>
                <c:pt idx="10">
                  <c:v>0.1393768923978011</c:v>
                </c:pt>
                <c:pt idx="11">
                  <c:v>0.12748384817192951</c:v>
                </c:pt>
                <c:pt idx="12">
                  <c:v>0.15704267658293256</c:v>
                </c:pt>
                <c:pt idx="13">
                  <c:v>0.17219431605190036</c:v>
                </c:pt>
                <c:pt idx="14">
                  <c:v>0.17058231526364884</c:v>
                </c:pt>
                <c:pt idx="15">
                  <c:v>0.10343191943441826</c:v>
                </c:pt>
                <c:pt idx="16">
                  <c:v>0.13502746447920802</c:v>
                </c:pt>
                <c:pt idx="17">
                  <c:v>0.16267175444712242</c:v>
                </c:pt>
                <c:pt idx="18">
                  <c:v>0.13554097238617643</c:v>
                </c:pt>
                <c:pt idx="19">
                  <c:v>0.1238089299295097</c:v>
                </c:pt>
                <c:pt idx="20">
                  <c:v>0.19609698777397475</c:v>
                </c:pt>
                <c:pt idx="21">
                  <c:v>0.24229140797009072</c:v>
                </c:pt>
                <c:pt idx="22">
                  <c:v>0.23838657109687722</c:v>
                </c:pt>
                <c:pt idx="23">
                  <c:v>0.14818812704955545</c:v>
                </c:pt>
                <c:pt idx="24">
                  <c:v>0.21928048816819981</c:v>
                </c:pt>
                <c:pt idx="25">
                  <c:v>0.21164430895199382</c:v>
                </c:pt>
                <c:pt idx="26">
                  <c:v>0.25729664570341504</c:v>
                </c:pt>
                <c:pt idx="27">
                  <c:v>0.22349882079288361</c:v>
                </c:pt>
                <c:pt idx="28">
                  <c:v>0.17419908816615745</c:v>
                </c:pt>
                <c:pt idx="29">
                  <c:v>0.24005192238837472</c:v>
                </c:pt>
                <c:pt idx="30">
                  <c:v>0.21679128396014372</c:v>
                </c:pt>
                <c:pt idx="31">
                  <c:v>0.19360884775718054</c:v>
                </c:pt>
                <c:pt idx="32">
                  <c:v>0.17965486242125431</c:v>
                </c:pt>
                <c:pt idx="33">
                  <c:v>0.22058517765253779</c:v>
                </c:pt>
                <c:pt idx="34">
                  <c:v>0.2725422050183019</c:v>
                </c:pt>
                <c:pt idx="35">
                  <c:v>0.20487746522606662</c:v>
                </c:pt>
                <c:pt idx="36">
                  <c:v>0.11356614250689739</c:v>
                </c:pt>
                <c:pt idx="37">
                  <c:v>0.22093433933332565</c:v>
                </c:pt>
                <c:pt idx="38">
                  <c:v>0.19178686632464328</c:v>
                </c:pt>
                <c:pt idx="39">
                  <c:v>0.17007017446060971</c:v>
                </c:pt>
                <c:pt idx="40">
                  <c:v>5.3248851094394929E-2</c:v>
                </c:pt>
                <c:pt idx="41">
                  <c:v>0.13702206841359532</c:v>
                </c:pt>
                <c:pt idx="42">
                  <c:v>0.22513869653145471</c:v>
                </c:pt>
                <c:pt idx="43">
                  <c:v>0.21004002944876751</c:v>
                </c:pt>
                <c:pt idx="44">
                  <c:v>0.1340767551834384</c:v>
                </c:pt>
                <c:pt idx="45">
                  <c:v>9.5465239292631579E-2</c:v>
                </c:pt>
                <c:pt idx="46">
                  <c:v>0.11194480588892471</c:v>
                </c:pt>
                <c:pt idx="47">
                  <c:v>0.25806137298544246</c:v>
                </c:pt>
                <c:pt idx="48">
                  <c:v>0.22319799770290658</c:v>
                </c:pt>
                <c:pt idx="49">
                  <c:v>0.21161048424740633</c:v>
                </c:pt>
                <c:pt idx="50">
                  <c:v>0.35402672737836838</c:v>
                </c:pt>
                <c:pt idx="51">
                  <c:v>0.32530675021310645</c:v>
                </c:pt>
                <c:pt idx="52">
                  <c:v>0.15602117660455403</c:v>
                </c:pt>
                <c:pt idx="53">
                  <c:v>2.2308532381430272E-2</c:v>
                </c:pt>
                <c:pt idx="54">
                  <c:v>0.16087873543923112</c:v>
                </c:pt>
                <c:pt idx="55">
                  <c:v>0.17697434655080244</c:v>
                </c:pt>
                <c:pt idx="56">
                  <c:v>0.22239979542791846</c:v>
                </c:pt>
                <c:pt idx="57">
                  <c:v>0.14229575063412395</c:v>
                </c:pt>
                <c:pt idx="58">
                  <c:v>0.16483852375919619</c:v>
                </c:pt>
                <c:pt idx="59">
                  <c:v>0.17643157656614983</c:v>
                </c:pt>
                <c:pt idx="60">
                  <c:v>0.19027550394336387</c:v>
                </c:pt>
                <c:pt idx="61">
                  <c:v>0.12056540038126207</c:v>
                </c:pt>
                <c:pt idx="62">
                  <c:v>0.17805346675838032</c:v>
                </c:pt>
                <c:pt idx="63">
                  <c:v>0.13904068556924656</c:v>
                </c:pt>
                <c:pt idx="64">
                  <c:v>0.14779514477898678</c:v>
                </c:pt>
                <c:pt idx="65">
                  <c:v>9.6608808264136356E-2</c:v>
                </c:pt>
                <c:pt idx="66">
                  <c:v>0.2012911643832922</c:v>
                </c:pt>
                <c:pt idx="67">
                  <c:v>0.32192042625198763</c:v>
                </c:pt>
                <c:pt idx="68">
                  <c:v>0.25531433274348581</c:v>
                </c:pt>
                <c:pt idx="69">
                  <c:v>0.22308698079238334</c:v>
                </c:pt>
                <c:pt idx="70">
                  <c:v>0.17509247261720393</c:v>
                </c:pt>
                <c:pt idx="71">
                  <c:v>9.7793751396238707E-2</c:v>
                </c:pt>
                <c:pt idx="72">
                  <c:v>9.6324675561239304E-2</c:v>
                </c:pt>
                <c:pt idx="73">
                  <c:v>0.14741346721226969</c:v>
                </c:pt>
                <c:pt idx="74">
                  <c:v>9.4876172641913115E-2</c:v>
                </c:pt>
                <c:pt idx="75">
                  <c:v>0.22471752266089121</c:v>
                </c:pt>
                <c:pt idx="76">
                  <c:v>0.19352394916738069</c:v>
                </c:pt>
                <c:pt idx="77">
                  <c:v>0.15020515249731647</c:v>
                </c:pt>
                <c:pt idx="78">
                  <c:v>0.15296593997239438</c:v>
                </c:pt>
                <c:pt idx="79">
                  <c:v>0.15548016907026366</c:v>
                </c:pt>
                <c:pt idx="80">
                  <c:v>0.16491346247494229</c:v>
                </c:pt>
                <c:pt idx="81">
                  <c:v>6.3062440603971481E-2</c:v>
                </c:pt>
                <c:pt idx="82">
                  <c:v>5.0359531325132878E-2</c:v>
                </c:pt>
                <c:pt idx="83">
                  <c:v>9.1436602524481644E-2</c:v>
                </c:pt>
                <c:pt idx="84">
                  <c:v>0.1296508735977113</c:v>
                </c:pt>
                <c:pt idx="85">
                  <c:v>0.14727293079098078</c:v>
                </c:pt>
                <c:pt idx="86">
                  <c:v>0.2023176439106463</c:v>
                </c:pt>
                <c:pt idx="87">
                  <c:v>0.21047034207731477</c:v>
                </c:pt>
                <c:pt idx="88">
                  <c:v>0.19683619805922115</c:v>
                </c:pt>
                <c:pt idx="89">
                  <c:v>0.17993744509294626</c:v>
                </c:pt>
                <c:pt idx="90">
                  <c:v>0.13631155248731369</c:v>
                </c:pt>
                <c:pt idx="91">
                  <c:v>0.18031870434060696</c:v>
                </c:pt>
                <c:pt idx="92">
                  <c:v>0.23765720799565315</c:v>
                </c:pt>
                <c:pt idx="93">
                  <c:v>0.19766032711292306</c:v>
                </c:pt>
                <c:pt idx="94">
                  <c:v>9.7129074648061434E-2</c:v>
                </c:pt>
                <c:pt idx="95">
                  <c:v>0.17111529487495611</c:v>
                </c:pt>
                <c:pt idx="96">
                  <c:v>0.12063344443837805</c:v>
                </c:pt>
                <c:pt idx="97">
                  <c:v>0.14828925874705109</c:v>
                </c:pt>
                <c:pt idx="98">
                  <c:v>4.0820127139644079E-2</c:v>
                </c:pt>
                <c:pt idx="99">
                  <c:v>4.293564875843011E-2</c:v>
                </c:pt>
                <c:pt idx="100">
                  <c:v>0.14261409081518647</c:v>
                </c:pt>
                <c:pt idx="101">
                  <c:v>0.2143360013142227</c:v>
                </c:pt>
                <c:pt idx="102">
                  <c:v>0.16646307567134494</c:v>
                </c:pt>
                <c:pt idx="103">
                  <c:v>0.16635582906504476</c:v>
                </c:pt>
                <c:pt idx="104">
                  <c:v>0.17241501373549303</c:v>
                </c:pt>
                <c:pt idx="105">
                  <c:v>0.19201111979782573</c:v>
                </c:pt>
                <c:pt idx="106">
                  <c:v>0.17659195419400942</c:v>
                </c:pt>
                <c:pt idx="107">
                  <c:v>0.17242624796926975</c:v>
                </c:pt>
                <c:pt idx="108">
                  <c:v>0.18873186036944389</c:v>
                </c:pt>
                <c:pt idx="109">
                  <c:v>0.21618715114891537</c:v>
                </c:pt>
                <c:pt idx="110">
                  <c:v>0.20222606447835753</c:v>
                </c:pt>
                <c:pt idx="111">
                  <c:v>0.2174487502003708</c:v>
                </c:pt>
                <c:pt idx="112">
                  <c:v>0.15713327936828139</c:v>
                </c:pt>
                <c:pt idx="113">
                  <c:v>0.12024176027625803</c:v>
                </c:pt>
                <c:pt idx="114">
                  <c:v>0.15568669792264692</c:v>
                </c:pt>
                <c:pt idx="115">
                  <c:v>0.21559113791833315</c:v>
                </c:pt>
                <c:pt idx="116">
                  <c:v>0.23742989543825388</c:v>
                </c:pt>
                <c:pt idx="117">
                  <c:v>0.25170886206130194</c:v>
                </c:pt>
                <c:pt idx="118">
                  <c:v>0.16504570795223109</c:v>
                </c:pt>
                <c:pt idx="119">
                  <c:v>0.20277901676793927</c:v>
                </c:pt>
                <c:pt idx="120">
                  <c:v>0.25699923730765778</c:v>
                </c:pt>
                <c:pt idx="121">
                  <c:v>0.27135845879092818</c:v>
                </c:pt>
                <c:pt idx="122">
                  <c:v>0.10998516584125667</c:v>
                </c:pt>
                <c:pt idx="123">
                  <c:v>0.1451063827456287</c:v>
                </c:pt>
                <c:pt idx="124">
                  <c:v>0.14576065571357807</c:v>
                </c:pt>
                <c:pt idx="125">
                  <c:v>0.20446167668948587</c:v>
                </c:pt>
                <c:pt idx="126">
                  <c:v>0.13395367826645579</c:v>
                </c:pt>
                <c:pt idx="127">
                  <c:v>0.17762309312820435</c:v>
                </c:pt>
                <c:pt idx="128">
                  <c:v>0.23056021705269805</c:v>
                </c:pt>
                <c:pt idx="129">
                  <c:v>0.25573115050792694</c:v>
                </c:pt>
                <c:pt idx="130">
                  <c:v>0.15079791921501356</c:v>
                </c:pt>
                <c:pt idx="131">
                  <c:v>7.3155252301755166E-2</c:v>
                </c:pt>
                <c:pt idx="132">
                  <c:v>0.16077344026416535</c:v>
                </c:pt>
                <c:pt idx="133">
                  <c:v>0.15327946034570542</c:v>
                </c:pt>
                <c:pt idx="134">
                  <c:v>0.12431720737367867</c:v>
                </c:pt>
                <c:pt idx="135">
                  <c:v>0.11488379879544169</c:v>
                </c:pt>
                <c:pt idx="136">
                  <c:v>8.3238447550684228E-2</c:v>
                </c:pt>
                <c:pt idx="137">
                  <c:v>0.15811003558337691</c:v>
                </c:pt>
                <c:pt idx="138">
                  <c:v>0.25667361542582517</c:v>
                </c:pt>
                <c:pt idx="139">
                  <c:v>0.18932861834764489</c:v>
                </c:pt>
                <c:pt idx="140">
                  <c:v>0.17962044477462769</c:v>
                </c:pt>
                <c:pt idx="141">
                  <c:v>0.25294306129217148</c:v>
                </c:pt>
                <c:pt idx="142">
                  <c:v>0.29354071617126476</c:v>
                </c:pt>
                <c:pt idx="143">
                  <c:v>0.20827270299196265</c:v>
                </c:pt>
                <c:pt idx="144">
                  <c:v>0.28373174369335175</c:v>
                </c:pt>
                <c:pt idx="145">
                  <c:v>0.23928575217723866</c:v>
                </c:pt>
                <c:pt idx="146">
                  <c:v>0.19710743427276625</c:v>
                </c:pt>
                <c:pt idx="147">
                  <c:v>0.15069058258086424</c:v>
                </c:pt>
                <c:pt idx="148">
                  <c:v>0.12063509505242097</c:v>
                </c:pt>
                <c:pt idx="149">
                  <c:v>0.16783564910292628</c:v>
                </c:pt>
                <c:pt idx="150">
                  <c:v>0.16921469382941723</c:v>
                </c:pt>
                <c:pt idx="151">
                  <c:v>0.16639538481831564</c:v>
                </c:pt>
                <c:pt idx="152">
                  <c:v>0.16811999678611764</c:v>
                </c:pt>
                <c:pt idx="153">
                  <c:v>0.20339476317167279</c:v>
                </c:pt>
                <c:pt idx="154">
                  <c:v>0.19207989796996108</c:v>
                </c:pt>
                <c:pt idx="155">
                  <c:v>0.1240462809801101</c:v>
                </c:pt>
                <c:pt idx="156">
                  <c:v>9.3221859540790306E-2</c:v>
                </c:pt>
                <c:pt idx="157">
                  <c:v>0.15341431275010128</c:v>
                </c:pt>
                <c:pt idx="158">
                  <c:v>0.14648957177996616</c:v>
                </c:pt>
                <c:pt idx="159">
                  <c:v>0.20877040177583683</c:v>
                </c:pt>
                <c:pt idx="160">
                  <c:v>0.21571754291653625</c:v>
                </c:pt>
                <c:pt idx="161">
                  <c:v>0.21156363934278477</c:v>
                </c:pt>
                <c:pt idx="162">
                  <c:v>0.18890886753797528</c:v>
                </c:pt>
                <c:pt idx="163">
                  <c:v>0.23299040272831917</c:v>
                </c:pt>
                <c:pt idx="164">
                  <c:v>0.18382528983056556</c:v>
                </c:pt>
                <c:pt idx="165">
                  <c:v>0.20712013915181152</c:v>
                </c:pt>
                <c:pt idx="166">
                  <c:v>0.26262066885828961</c:v>
                </c:pt>
                <c:pt idx="167">
                  <c:v>0.16221276484429845</c:v>
                </c:pt>
                <c:pt idx="168">
                  <c:v>0.11002539470791824</c:v>
                </c:pt>
                <c:pt idx="169">
                  <c:v>0.13776825182139868</c:v>
                </c:pt>
                <c:pt idx="170">
                  <c:v>0.18210000172257421</c:v>
                </c:pt>
                <c:pt idx="171">
                  <c:v>9.2451170086860504E-2</c:v>
                </c:pt>
                <c:pt idx="172">
                  <c:v>8.3076594397425624E-2</c:v>
                </c:pt>
                <c:pt idx="173">
                  <c:v>0.10581652447581297</c:v>
                </c:pt>
                <c:pt idx="174">
                  <c:v>0.17225186899304348</c:v>
                </c:pt>
                <c:pt idx="175">
                  <c:v>0.17243648320436469</c:v>
                </c:pt>
                <c:pt idx="176">
                  <c:v>0.18796653673052791</c:v>
                </c:pt>
                <c:pt idx="177">
                  <c:v>0.14659023471176624</c:v>
                </c:pt>
                <c:pt idx="178">
                  <c:v>0.136763988994062</c:v>
                </c:pt>
                <c:pt idx="179">
                  <c:v>0.15504790097475044</c:v>
                </c:pt>
                <c:pt idx="180">
                  <c:v>0.2017610818147659</c:v>
                </c:pt>
                <c:pt idx="181">
                  <c:v>0.17984208278357991</c:v>
                </c:pt>
                <c:pt idx="182">
                  <c:v>0.15889410302042953</c:v>
                </c:pt>
                <c:pt idx="183">
                  <c:v>7.8021777793764957E-2</c:v>
                </c:pt>
              </c:numCache>
            </c:numRef>
          </c:val>
          <c:smooth val="0"/>
        </c:ser>
        <c:dLbls>
          <c:showLegendKey val="0"/>
          <c:showVal val="0"/>
          <c:showCatName val="0"/>
          <c:showSerName val="0"/>
          <c:showPercent val="0"/>
          <c:showBubbleSize val="0"/>
        </c:dLbls>
        <c:marker val="1"/>
        <c:smooth val="0"/>
        <c:axId val="-866802384"/>
        <c:axId val="-866781712"/>
      </c:lineChart>
      <c:lineChart>
        <c:grouping val="standard"/>
        <c:varyColors val="0"/>
        <c:ser>
          <c:idx val="2"/>
          <c:order val="2"/>
          <c:tx>
            <c:strRef>
              <c:f>New_TRS!$D$1</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New_TRS!$A$2:$A$186</c:f>
              <c:strCache>
                <c:ptCount val="184"/>
                <c:pt idx="0">
                  <c:v>2018-08-17-17:00</c:v>
                </c:pt>
                <c:pt idx="1">
                  <c:v>2018-08-17-18:00</c:v>
                </c:pt>
                <c:pt idx="2">
                  <c:v>2018-08-17-19:00</c:v>
                </c:pt>
                <c:pt idx="3">
                  <c:v>2018-08-17-20:00</c:v>
                </c:pt>
                <c:pt idx="4">
                  <c:v>2018-08-17-21:00</c:v>
                </c:pt>
                <c:pt idx="5">
                  <c:v>2018-08-17-22:00</c:v>
                </c:pt>
                <c:pt idx="6">
                  <c:v>2018-08-17-23:00</c:v>
                </c:pt>
                <c:pt idx="7">
                  <c:v>2018-08-20-00:00</c:v>
                </c:pt>
                <c:pt idx="8">
                  <c:v>2018-08-20-01:00</c:v>
                </c:pt>
                <c:pt idx="9">
                  <c:v>2018-08-20-02:00</c:v>
                </c:pt>
                <c:pt idx="10">
                  <c:v>2018-08-20-03:00</c:v>
                </c:pt>
                <c:pt idx="11">
                  <c:v>2018-08-20-04:00</c:v>
                </c:pt>
                <c:pt idx="12">
                  <c:v>2018-08-20-05:00</c:v>
                </c:pt>
                <c:pt idx="13">
                  <c:v>2018-08-20-06:00</c:v>
                </c:pt>
                <c:pt idx="14">
                  <c:v>2018-08-20-07:00</c:v>
                </c:pt>
                <c:pt idx="15">
                  <c:v>2018-08-20-08:00</c:v>
                </c:pt>
                <c:pt idx="16">
                  <c:v>2018-08-20-09:00</c:v>
                </c:pt>
                <c:pt idx="17">
                  <c:v>2018-08-20-10:00</c:v>
                </c:pt>
                <c:pt idx="18">
                  <c:v>2018-08-20-11:00</c:v>
                </c:pt>
                <c:pt idx="19">
                  <c:v>2018-08-20-12:00</c:v>
                </c:pt>
                <c:pt idx="20">
                  <c:v>2018-08-20-13:00</c:v>
                </c:pt>
                <c:pt idx="21">
                  <c:v>2018-08-20-14:00</c:v>
                </c:pt>
                <c:pt idx="22">
                  <c:v>2018-08-20-15:00</c:v>
                </c:pt>
                <c:pt idx="23">
                  <c:v>2018-08-20-16:00</c:v>
                </c:pt>
                <c:pt idx="24">
                  <c:v>2018-08-20-17:00</c:v>
                </c:pt>
                <c:pt idx="25">
                  <c:v>2018-08-20-18:00</c:v>
                </c:pt>
                <c:pt idx="26">
                  <c:v>2018-08-20-19:00</c:v>
                </c:pt>
                <c:pt idx="27">
                  <c:v>2018-08-20-20:00</c:v>
                </c:pt>
                <c:pt idx="28">
                  <c:v>2018-08-20-21:00</c:v>
                </c:pt>
                <c:pt idx="29">
                  <c:v>2018-08-20-22:00</c:v>
                </c:pt>
                <c:pt idx="30">
                  <c:v>2018-08-20-23:00</c:v>
                </c:pt>
                <c:pt idx="31">
                  <c:v>2018-08-21-00:00</c:v>
                </c:pt>
                <c:pt idx="32">
                  <c:v>2018-08-21-01:00</c:v>
                </c:pt>
                <c:pt idx="33">
                  <c:v>2018-08-21-02:00</c:v>
                </c:pt>
                <c:pt idx="34">
                  <c:v>2018-08-21-03:00</c:v>
                </c:pt>
                <c:pt idx="35">
                  <c:v>2018-08-21-04:00</c:v>
                </c:pt>
                <c:pt idx="36">
                  <c:v>2018-08-21-05:00</c:v>
                </c:pt>
                <c:pt idx="37">
                  <c:v>2018-08-21-06:00</c:v>
                </c:pt>
                <c:pt idx="38">
                  <c:v>2018-08-21-07:00</c:v>
                </c:pt>
                <c:pt idx="39">
                  <c:v>2018-08-21-08:00</c:v>
                </c:pt>
                <c:pt idx="40">
                  <c:v>2018-08-21-09:00</c:v>
                </c:pt>
                <c:pt idx="41">
                  <c:v>2018-08-21-10:00</c:v>
                </c:pt>
                <c:pt idx="42">
                  <c:v>2018-08-21-11:00</c:v>
                </c:pt>
                <c:pt idx="43">
                  <c:v>2018-08-21-12:00</c:v>
                </c:pt>
                <c:pt idx="44">
                  <c:v>2018-08-21-13:00</c:v>
                </c:pt>
                <c:pt idx="45">
                  <c:v>2018-08-21-14:00</c:v>
                </c:pt>
                <c:pt idx="46">
                  <c:v>2018-08-21-15:00</c:v>
                </c:pt>
                <c:pt idx="47">
                  <c:v>2018-08-21-16:00</c:v>
                </c:pt>
                <c:pt idx="48">
                  <c:v>2018-08-21-17:00</c:v>
                </c:pt>
                <c:pt idx="49">
                  <c:v>2018-08-21-18:00</c:v>
                </c:pt>
                <c:pt idx="50">
                  <c:v>2018-08-21-19:00</c:v>
                </c:pt>
                <c:pt idx="51">
                  <c:v>2018-08-21-20:00</c:v>
                </c:pt>
                <c:pt idx="52">
                  <c:v>2018-08-21-21:00</c:v>
                </c:pt>
                <c:pt idx="53">
                  <c:v>2018-08-21-22:00</c:v>
                </c:pt>
                <c:pt idx="54">
                  <c:v>2018-08-21-23:00</c:v>
                </c:pt>
                <c:pt idx="55">
                  <c:v>2018-08-22-00:00</c:v>
                </c:pt>
                <c:pt idx="56">
                  <c:v>2018-08-22-01:00</c:v>
                </c:pt>
                <c:pt idx="57">
                  <c:v>2018-08-22-02:00</c:v>
                </c:pt>
                <c:pt idx="58">
                  <c:v>2018-08-22-03:00</c:v>
                </c:pt>
                <c:pt idx="59">
                  <c:v>2018-08-22-04:00</c:v>
                </c:pt>
                <c:pt idx="60">
                  <c:v>2018-08-22-05:00</c:v>
                </c:pt>
                <c:pt idx="61">
                  <c:v>2018-08-22-06:00</c:v>
                </c:pt>
                <c:pt idx="62">
                  <c:v>2018-08-22-07:00</c:v>
                </c:pt>
                <c:pt idx="63">
                  <c:v>2018-08-22-08:00</c:v>
                </c:pt>
                <c:pt idx="64">
                  <c:v>2018-08-22-09:00</c:v>
                </c:pt>
                <c:pt idx="65">
                  <c:v>2018-08-22-10:00</c:v>
                </c:pt>
                <c:pt idx="66">
                  <c:v>2018-08-22-11:00</c:v>
                </c:pt>
                <c:pt idx="67">
                  <c:v>2018-08-22-12:00</c:v>
                </c:pt>
                <c:pt idx="68">
                  <c:v>2018-08-22-13:00</c:v>
                </c:pt>
                <c:pt idx="69">
                  <c:v>2018-08-22-14:00</c:v>
                </c:pt>
                <c:pt idx="70">
                  <c:v>2018-08-22-15:00</c:v>
                </c:pt>
                <c:pt idx="71">
                  <c:v>2018-08-22-16:00</c:v>
                </c:pt>
                <c:pt idx="72">
                  <c:v>2018-08-22-17:00</c:v>
                </c:pt>
                <c:pt idx="73">
                  <c:v>2018-08-22-18:00</c:v>
                </c:pt>
                <c:pt idx="74">
                  <c:v>2018-08-22-19:00</c:v>
                </c:pt>
                <c:pt idx="75">
                  <c:v>2018-08-22-20:00</c:v>
                </c:pt>
                <c:pt idx="76">
                  <c:v>2018-08-22-21:00</c:v>
                </c:pt>
                <c:pt idx="77">
                  <c:v>2018-08-22-22:00</c:v>
                </c:pt>
                <c:pt idx="78">
                  <c:v>2018-08-22-23:00</c:v>
                </c:pt>
                <c:pt idx="79">
                  <c:v>2018-08-23-00:00</c:v>
                </c:pt>
                <c:pt idx="80">
                  <c:v>2018-08-23-01:00</c:v>
                </c:pt>
                <c:pt idx="81">
                  <c:v>2018-08-23-02:00</c:v>
                </c:pt>
                <c:pt idx="82">
                  <c:v>2018-08-23-03:00</c:v>
                </c:pt>
                <c:pt idx="83">
                  <c:v>2018-08-23-04:00</c:v>
                </c:pt>
                <c:pt idx="84">
                  <c:v>2018-08-23-05:00</c:v>
                </c:pt>
                <c:pt idx="85">
                  <c:v>2018-08-23-06:00</c:v>
                </c:pt>
                <c:pt idx="86">
                  <c:v>2018-08-23-07:00</c:v>
                </c:pt>
                <c:pt idx="87">
                  <c:v>2018-08-23-08:00</c:v>
                </c:pt>
                <c:pt idx="88">
                  <c:v>2018-08-23-09:00</c:v>
                </c:pt>
                <c:pt idx="89">
                  <c:v>2018-08-23-10:00</c:v>
                </c:pt>
                <c:pt idx="90">
                  <c:v>2018-08-23-11:00</c:v>
                </c:pt>
                <c:pt idx="91">
                  <c:v>2018-08-23-12:00</c:v>
                </c:pt>
                <c:pt idx="92">
                  <c:v>2018-08-23-13:00</c:v>
                </c:pt>
                <c:pt idx="93">
                  <c:v>2018-08-23-14:00</c:v>
                </c:pt>
                <c:pt idx="94">
                  <c:v>2018-08-23-15:00</c:v>
                </c:pt>
                <c:pt idx="95">
                  <c:v>2018-08-23-16:00</c:v>
                </c:pt>
                <c:pt idx="96">
                  <c:v>2018-08-23-17:00</c:v>
                </c:pt>
                <c:pt idx="97">
                  <c:v>2018-08-23-18:00</c:v>
                </c:pt>
                <c:pt idx="98">
                  <c:v>2018-08-23-19:00</c:v>
                </c:pt>
                <c:pt idx="99">
                  <c:v>2018-08-23-20:00</c:v>
                </c:pt>
                <c:pt idx="100">
                  <c:v>2018-08-23-21:00</c:v>
                </c:pt>
                <c:pt idx="101">
                  <c:v>2018-08-23-22:00</c:v>
                </c:pt>
                <c:pt idx="102">
                  <c:v>2018-08-23-23:00</c:v>
                </c:pt>
                <c:pt idx="103">
                  <c:v>2018-08-24-00:00</c:v>
                </c:pt>
                <c:pt idx="104">
                  <c:v>2018-08-24-01:00</c:v>
                </c:pt>
                <c:pt idx="105">
                  <c:v>2018-08-24-02:00</c:v>
                </c:pt>
                <c:pt idx="106">
                  <c:v>2018-08-24-03:00</c:v>
                </c:pt>
                <c:pt idx="107">
                  <c:v>2018-08-24-04:00</c:v>
                </c:pt>
                <c:pt idx="108">
                  <c:v>2018-08-24-05:00</c:v>
                </c:pt>
                <c:pt idx="109">
                  <c:v>2018-08-24-06:00</c:v>
                </c:pt>
                <c:pt idx="110">
                  <c:v>2018-08-24-07:00</c:v>
                </c:pt>
                <c:pt idx="111">
                  <c:v>2018-08-24-08:00</c:v>
                </c:pt>
                <c:pt idx="112">
                  <c:v>2018-08-24-09:00</c:v>
                </c:pt>
                <c:pt idx="113">
                  <c:v>2018-08-24-10:00</c:v>
                </c:pt>
                <c:pt idx="114">
                  <c:v>2018-08-24-11:00</c:v>
                </c:pt>
                <c:pt idx="115">
                  <c:v>2018-08-24-12:00</c:v>
                </c:pt>
                <c:pt idx="116">
                  <c:v>2018-08-24-13:00</c:v>
                </c:pt>
                <c:pt idx="117">
                  <c:v>2018-08-24-14:00</c:v>
                </c:pt>
                <c:pt idx="118">
                  <c:v>2018-08-24-15:00</c:v>
                </c:pt>
                <c:pt idx="119">
                  <c:v>2018-08-24-16:00</c:v>
                </c:pt>
                <c:pt idx="120">
                  <c:v>2018-08-24-17:00</c:v>
                </c:pt>
                <c:pt idx="121">
                  <c:v>2018-08-24-18:00</c:v>
                </c:pt>
                <c:pt idx="122">
                  <c:v>2018-08-24-19:00</c:v>
                </c:pt>
                <c:pt idx="123">
                  <c:v>2018-08-24-20:00</c:v>
                </c:pt>
                <c:pt idx="124">
                  <c:v>2018-08-24-21:00</c:v>
                </c:pt>
                <c:pt idx="125">
                  <c:v>2018-08-24-22:00</c:v>
                </c:pt>
                <c:pt idx="126">
                  <c:v>2018-08-24-23:00</c:v>
                </c:pt>
                <c:pt idx="127">
                  <c:v>2018-08-27-00:00</c:v>
                </c:pt>
                <c:pt idx="128">
                  <c:v>2018-08-27-01:00</c:v>
                </c:pt>
                <c:pt idx="129">
                  <c:v>2018-08-27-02:00</c:v>
                </c:pt>
                <c:pt idx="130">
                  <c:v>2018-08-27-03:00</c:v>
                </c:pt>
                <c:pt idx="131">
                  <c:v>2018-08-27-04:00</c:v>
                </c:pt>
                <c:pt idx="132">
                  <c:v>2018-08-27-05:00</c:v>
                </c:pt>
                <c:pt idx="133">
                  <c:v>2018-08-27-06:00</c:v>
                </c:pt>
                <c:pt idx="134">
                  <c:v>2018-08-27-07:00</c:v>
                </c:pt>
                <c:pt idx="135">
                  <c:v>2018-08-27-08:00</c:v>
                </c:pt>
                <c:pt idx="136">
                  <c:v>2018-08-27-09:00</c:v>
                </c:pt>
                <c:pt idx="137">
                  <c:v>2018-08-27-10:00</c:v>
                </c:pt>
                <c:pt idx="138">
                  <c:v>2018-08-27-11:00</c:v>
                </c:pt>
                <c:pt idx="139">
                  <c:v>2018-08-27-12:00</c:v>
                </c:pt>
                <c:pt idx="140">
                  <c:v>2018-08-27-13:00</c:v>
                </c:pt>
                <c:pt idx="141">
                  <c:v>2018-08-27-14:00</c:v>
                </c:pt>
                <c:pt idx="142">
                  <c:v>2018-08-27-15:00</c:v>
                </c:pt>
                <c:pt idx="143">
                  <c:v>2018-08-27-16:00</c:v>
                </c:pt>
                <c:pt idx="144">
                  <c:v>2018-08-27-17:00</c:v>
                </c:pt>
                <c:pt idx="145">
                  <c:v>2018-08-27-18:00</c:v>
                </c:pt>
                <c:pt idx="146">
                  <c:v>2018-08-27-19:00</c:v>
                </c:pt>
                <c:pt idx="147">
                  <c:v>2018-08-27-20:00</c:v>
                </c:pt>
                <c:pt idx="148">
                  <c:v>2018-08-27-21:00</c:v>
                </c:pt>
                <c:pt idx="149">
                  <c:v>2018-08-27-22:00</c:v>
                </c:pt>
                <c:pt idx="150">
                  <c:v>2018-08-27-23:00</c:v>
                </c:pt>
                <c:pt idx="151">
                  <c:v>2018-08-28-00:00</c:v>
                </c:pt>
                <c:pt idx="152">
                  <c:v>2018-08-28-01:00</c:v>
                </c:pt>
                <c:pt idx="153">
                  <c:v>2018-08-28-02:00</c:v>
                </c:pt>
                <c:pt idx="154">
                  <c:v>2018-08-28-03:00</c:v>
                </c:pt>
                <c:pt idx="155">
                  <c:v>2018-08-28-04:00</c:v>
                </c:pt>
                <c:pt idx="156">
                  <c:v>2018-08-28-05:00</c:v>
                </c:pt>
                <c:pt idx="157">
                  <c:v>2018-08-28-06:00</c:v>
                </c:pt>
                <c:pt idx="158">
                  <c:v>2018-08-28-07:00</c:v>
                </c:pt>
                <c:pt idx="159">
                  <c:v>2018-08-28-08:00</c:v>
                </c:pt>
                <c:pt idx="160">
                  <c:v>2018-08-28-09:00</c:v>
                </c:pt>
                <c:pt idx="161">
                  <c:v>2018-08-28-10:00</c:v>
                </c:pt>
                <c:pt idx="162">
                  <c:v>2018-08-28-11:00</c:v>
                </c:pt>
                <c:pt idx="163">
                  <c:v>2018-08-28-12:00</c:v>
                </c:pt>
                <c:pt idx="164">
                  <c:v>2018-08-28-13:00</c:v>
                </c:pt>
                <c:pt idx="165">
                  <c:v>2018-08-28-14:00</c:v>
                </c:pt>
                <c:pt idx="166">
                  <c:v>2018-08-28-15:00</c:v>
                </c:pt>
                <c:pt idx="167">
                  <c:v>2018-08-28-16:00</c:v>
                </c:pt>
                <c:pt idx="168">
                  <c:v>2018-08-28-17:00</c:v>
                </c:pt>
                <c:pt idx="169">
                  <c:v>2018-08-28-18:00</c:v>
                </c:pt>
                <c:pt idx="170">
                  <c:v>2018-08-28-19:00</c:v>
                </c:pt>
                <c:pt idx="171">
                  <c:v>2018-08-28-20:00</c:v>
                </c:pt>
                <c:pt idx="172">
                  <c:v>2018-08-28-21:00</c:v>
                </c:pt>
                <c:pt idx="173">
                  <c:v>2018-08-28-22:00</c:v>
                </c:pt>
                <c:pt idx="174">
                  <c:v>2018-08-28-23:00</c:v>
                </c:pt>
                <c:pt idx="175">
                  <c:v>2018-08-29-00:00</c:v>
                </c:pt>
                <c:pt idx="176">
                  <c:v>2018-08-29-01:00</c:v>
                </c:pt>
                <c:pt idx="177">
                  <c:v>2018-08-29-02:00</c:v>
                </c:pt>
                <c:pt idx="178">
                  <c:v>2018-08-29-03:00</c:v>
                </c:pt>
                <c:pt idx="179">
                  <c:v>2018-08-29-04:00</c:v>
                </c:pt>
                <c:pt idx="180">
                  <c:v>2018-08-29-05:00</c:v>
                </c:pt>
                <c:pt idx="181">
                  <c:v>2018-08-29-06:00</c:v>
                </c:pt>
                <c:pt idx="182">
                  <c:v>2018-08-29-07:00</c:v>
                </c:pt>
                <c:pt idx="183">
                  <c:v>2018-08-29-08:00</c:v>
                </c:pt>
              </c:strCache>
            </c:strRef>
          </c:cat>
          <c:val>
            <c:numRef>
              <c:f>New_TRS!$D$2:$D$186</c:f>
              <c:numCache>
                <c:formatCode>0.00000</c:formatCode>
                <c:ptCount val="184"/>
                <c:pt idx="0">
                  <c:v>5.6673067156225471E-2</c:v>
                </c:pt>
                <c:pt idx="1">
                  <c:v>4.7041611125071825E-2</c:v>
                </c:pt>
                <c:pt idx="2">
                  <c:v>5.9389539062976643E-2</c:v>
                </c:pt>
                <c:pt idx="3">
                  <c:v>8.33504140997927E-2</c:v>
                </c:pt>
                <c:pt idx="4">
                  <c:v>0.12296033619592567</c:v>
                </c:pt>
                <c:pt idx="5">
                  <c:v>7.3288876873751269E-2</c:v>
                </c:pt>
                <c:pt idx="6">
                  <c:v>6.3390449620783343E-2</c:v>
                </c:pt>
                <c:pt idx="7">
                  <c:v>3.3709036651998737E-2</c:v>
                </c:pt>
                <c:pt idx="8">
                  <c:v>3.4255341316262587E-2</c:v>
                </c:pt>
                <c:pt idx="9">
                  <c:v>3.2283994990090541E-2</c:v>
                </c:pt>
                <c:pt idx="10">
                  <c:v>2.1500299995144218E-2</c:v>
                </c:pt>
                <c:pt idx="11">
                  <c:v>2.3990300173560738E-2</c:v>
                </c:pt>
                <c:pt idx="12">
                  <c:v>1.3232242316007772E-2</c:v>
                </c:pt>
                <c:pt idx="13">
                  <c:v>1.1009094926218417E-2</c:v>
                </c:pt>
                <c:pt idx="14">
                  <c:v>2.0590250380337308E-2</c:v>
                </c:pt>
                <c:pt idx="15">
                  <c:v>2.6940747008969371E-2</c:v>
                </c:pt>
                <c:pt idx="16">
                  <c:v>4.3913021683692939E-2</c:v>
                </c:pt>
                <c:pt idx="17">
                  <c:v>2.3446167198320305E-2</c:v>
                </c:pt>
                <c:pt idx="18">
                  <c:v>4.8167659047370186E-2</c:v>
                </c:pt>
                <c:pt idx="19">
                  <c:v>4.4207871813948009E-2</c:v>
                </c:pt>
                <c:pt idx="20">
                  <c:v>7.4108075350522995E-2</c:v>
                </c:pt>
                <c:pt idx="21">
                  <c:v>5.8756826135019306E-2</c:v>
                </c:pt>
                <c:pt idx="22">
                  <c:v>1.8831763726969375E-2</c:v>
                </c:pt>
                <c:pt idx="23">
                  <c:v>7.5342731705556096E-2</c:v>
                </c:pt>
                <c:pt idx="24">
                  <c:v>3.3691867565115226E-2</c:v>
                </c:pt>
                <c:pt idx="25">
                  <c:v>3.96100832149388E-2</c:v>
                </c:pt>
                <c:pt idx="26">
                  <c:v>1.7480338923632936E-2</c:v>
                </c:pt>
                <c:pt idx="27">
                  <c:v>9.3413164683928296E-2</c:v>
                </c:pt>
                <c:pt idx="28">
                  <c:v>3.4950265040000095E-2</c:v>
                </c:pt>
                <c:pt idx="29">
                  <c:v>2.5842408649623626E-2</c:v>
                </c:pt>
                <c:pt idx="30">
                  <c:v>3.3136315022905462E-2</c:v>
                </c:pt>
                <c:pt idx="31">
                  <c:v>4.0617930392424402E-2</c:v>
                </c:pt>
                <c:pt idx="32">
                  <c:v>3.0241046411295654E-2</c:v>
                </c:pt>
                <c:pt idx="33">
                  <c:v>7.1267665984729903E-2</c:v>
                </c:pt>
                <c:pt idx="34">
                  <c:v>0.2524119749044379</c:v>
                </c:pt>
                <c:pt idx="35">
                  <c:v>8.0370487528853132E-2</c:v>
                </c:pt>
                <c:pt idx="36">
                  <c:v>7.1798667622109041E-2</c:v>
                </c:pt>
                <c:pt idx="37">
                  <c:v>3.3185422575722247E-2</c:v>
                </c:pt>
                <c:pt idx="38">
                  <c:v>6.3691015976170731E-2</c:v>
                </c:pt>
                <c:pt idx="39">
                  <c:v>4.6563614780703817E-2</c:v>
                </c:pt>
                <c:pt idx="40">
                  <c:v>3.8595313982417424E-2</c:v>
                </c:pt>
                <c:pt idx="41">
                  <c:v>8.1861285182337082E-2</c:v>
                </c:pt>
                <c:pt idx="42">
                  <c:v>8.5331366707881343E-2</c:v>
                </c:pt>
                <c:pt idx="43">
                  <c:v>6.1340935838718989E-2</c:v>
                </c:pt>
                <c:pt idx="44">
                  <c:v>7.6185456166664986E-2</c:v>
                </c:pt>
                <c:pt idx="45">
                  <c:v>7.033824097986012E-2</c:v>
                </c:pt>
                <c:pt idx="46">
                  <c:v>0.12334555020788684</c:v>
                </c:pt>
                <c:pt idx="47">
                  <c:v>3.0784108986457382E-2</c:v>
                </c:pt>
                <c:pt idx="48">
                  <c:v>0.10209062586848917</c:v>
                </c:pt>
                <c:pt idx="49">
                  <c:v>3.9643313114841823E-2</c:v>
                </c:pt>
                <c:pt idx="50">
                  <c:v>9.7161798427502555E-2</c:v>
                </c:pt>
                <c:pt idx="51">
                  <c:v>0.1449357798943916</c:v>
                </c:pt>
                <c:pt idx="52">
                  <c:v>8.2260088296606942E-2</c:v>
                </c:pt>
                <c:pt idx="53">
                  <c:v>0.10877357353456296</c:v>
                </c:pt>
                <c:pt idx="54">
                  <c:v>3.5412510701765647E-2</c:v>
                </c:pt>
                <c:pt idx="55">
                  <c:v>4.8460754565894854E-2</c:v>
                </c:pt>
                <c:pt idx="56">
                  <c:v>5.4212580124537113E-2</c:v>
                </c:pt>
                <c:pt idx="57">
                  <c:v>3.1346512182305608E-2</c:v>
                </c:pt>
                <c:pt idx="58">
                  <c:v>5.5899206083267698E-2</c:v>
                </c:pt>
                <c:pt idx="59">
                  <c:v>2.7983014627049371E-2</c:v>
                </c:pt>
                <c:pt idx="60">
                  <c:v>3.846544648210215E-2</c:v>
                </c:pt>
                <c:pt idx="61">
                  <c:v>1.0513248930995816E-2</c:v>
                </c:pt>
                <c:pt idx="62">
                  <c:v>3.7089196188996233E-2</c:v>
                </c:pt>
                <c:pt idx="63">
                  <c:v>6.06077841172614E-2</c:v>
                </c:pt>
                <c:pt idx="64">
                  <c:v>5.6459104331831149E-2</c:v>
                </c:pt>
                <c:pt idx="65">
                  <c:v>6.0012577101588666E-2</c:v>
                </c:pt>
                <c:pt idx="66">
                  <c:v>8.4136812016368093E-2</c:v>
                </c:pt>
                <c:pt idx="67">
                  <c:v>8.1605194446941379E-2</c:v>
                </c:pt>
                <c:pt idx="68">
                  <c:v>4.5987884203593031E-2</c:v>
                </c:pt>
                <c:pt idx="69">
                  <c:v>5.9665711907048578E-2</c:v>
                </c:pt>
                <c:pt idx="70">
                  <c:v>7.7197291965906634E-2</c:v>
                </c:pt>
                <c:pt idx="71">
                  <c:v>4.6063812139133714E-2</c:v>
                </c:pt>
                <c:pt idx="72">
                  <c:v>8.4714994610597685E-2</c:v>
                </c:pt>
                <c:pt idx="73">
                  <c:v>5.69155050131184E-2</c:v>
                </c:pt>
                <c:pt idx="74">
                  <c:v>8.0622541718184837E-2</c:v>
                </c:pt>
                <c:pt idx="75">
                  <c:v>0.10674359152714434</c:v>
                </c:pt>
                <c:pt idx="76">
                  <c:v>0.17035631882026789</c:v>
                </c:pt>
                <c:pt idx="77">
                  <c:v>3.6772356446211289E-2</c:v>
                </c:pt>
                <c:pt idx="78">
                  <c:v>6.9245420959001977E-2</c:v>
                </c:pt>
                <c:pt idx="79">
                  <c:v>4.1629951757689208E-2</c:v>
                </c:pt>
                <c:pt idx="80">
                  <c:v>4.2550882945458092E-2</c:v>
                </c:pt>
                <c:pt idx="81">
                  <c:v>3.832035511732091E-2</c:v>
                </c:pt>
                <c:pt idx="82">
                  <c:v>5.6244271826775105E-2</c:v>
                </c:pt>
                <c:pt idx="83">
                  <c:v>4.7962665596666364E-2</c:v>
                </c:pt>
                <c:pt idx="84">
                  <c:v>3.683764689291523E-2</c:v>
                </c:pt>
                <c:pt idx="85">
                  <c:v>4.3500063320001024E-2</c:v>
                </c:pt>
                <c:pt idx="86">
                  <c:v>8.0966498702764261E-2</c:v>
                </c:pt>
                <c:pt idx="87">
                  <c:v>4.1041678749024903E-2</c:v>
                </c:pt>
                <c:pt idx="88">
                  <c:v>5.1676831208169571E-2</c:v>
                </c:pt>
                <c:pt idx="89">
                  <c:v>3.8868225645274236E-2</c:v>
                </c:pt>
                <c:pt idx="90">
                  <c:v>3.3595925507446008E-2</c:v>
                </c:pt>
                <c:pt idx="91">
                  <c:v>7.2311548671374765E-2</c:v>
                </c:pt>
                <c:pt idx="92">
                  <c:v>8.7897577633460566E-2</c:v>
                </c:pt>
                <c:pt idx="93">
                  <c:v>6.928533610577392E-2</c:v>
                </c:pt>
                <c:pt idx="94">
                  <c:v>6.3355298300545315E-2</c:v>
                </c:pt>
                <c:pt idx="95">
                  <c:v>9.252110046024091E-2</c:v>
                </c:pt>
                <c:pt idx="96">
                  <c:v>3.5647567982474822E-2</c:v>
                </c:pt>
                <c:pt idx="97">
                  <c:v>8.2371194691707894E-2</c:v>
                </c:pt>
                <c:pt idx="98">
                  <c:v>2.358606067718937E-2</c:v>
                </c:pt>
                <c:pt idx="99">
                  <c:v>5.7644852922142852E-2</c:v>
                </c:pt>
                <c:pt idx="100">
                  <c:v>4.4180573895573449E-2</c:v>
                </c:pt>
                <c:pt idx="101">
                  <c:v>7.5314142741262732E-2</c:v>
                </c:pt>
                <c:pt idx="102">
                  <c:v>7.3260640880714059E-2</c:v>
                </c:pt>
                <c:pt idx="103">
                  <c:v>2.2373468304673891E-2</c:v>
                </c:pt>
                <c:pt idx="104">
                  <c:v>1.4522410308321293E-2</c:v>
                </c:pt>
                <c:pt idx="105">
                  <c:v>3.4264774993062137E-2</c:v>
                </c:pt>
                <c:pt idx="106">
                  <c:v>2.8078243446846871E-2</c:v>
                </c:pt>
                <c:pt idx="107">
                  <c:v>4.4250693793097852E-2</c:v>
                </c:pt>
                <c:pt idx="108">
                  <c:v>5.9386441484093506E-2</c:v>
                </c:pt>
                <c:pt idx="109">
                  <c:v>1.7873777697483727E-2</c:v>
                </c:pt>
                <c:pt idx="110">
                  <c:v>2.72407010197642E-2</c:v>
                </c:pt>
                <c:pt idx="111">
                  <c:v>8.6880525884528714E-2</c:v>
                </c:pt>
                <c:pt idx="112">
                  <c:v>2.4316616977254329E-2</c:v>
                </c:pt>
                <c:pt idx="113">
                  <c:v>3.9278269124527733E-2</c:v>
                </c:pt>
                <c:pt idx="114">
                  <c:v>2.2327173190812257E-2</c:v>
                </c:pt>
                <c:pt idx="115">
                  <c:v>2.9594827132919901E-2</c:v>
                </c:pt>
                <c:pt idx="116">
                  <c:v>3.4886873327195658E-2</c:v>
                </c:pt>
                <c:pt idx="117">
                  <c:v>8.2192422822118097E-2</c:v>
                </c:pt>
                <c:pt idx="118">
                  <c:v>5.4923690700283107E-2</c:v>
                </c:pt>
                <c:pt idx="119">
                  <c:v>8.3425782000024817E-2</c:v>
                </c:pt>
                <c:pt idx="120">
                  <c:v>0.21609756924832854</c:v>
                </c:pt>
                <c:pt idx="121">
                  <c:v>9.8713228013366253E-2</c:v>
                </c:pt>
                <c:pt idx="122">
                  <c:v>8.6345355104034002E-2</c:v>
                </c:pt>
                <c:pt idx="123">
                  <c:v>6.6258404326315037E-2</c:v>
                </c:pt>
                <c:pt idx="124">
                  <c:v>5.3332004385690059E-2</c:v>
                </c:pt>
                <c:pt idx="125">
                  <c:v>3.5227430673937264E-2</c:v>
                </c:pt>
                <c:pt idx="126">
                  <c:v>2.7244392627229302E-2</c:v>
                </c:pt>
                <c:pt idx="127">
                  <c:v>5.0936311483382908E-2</c:v>
                </c:pt>
                <c:pt idx="128">
                  <c:v>4.6847019344567996E-2</c:v>
                </c:pt>
                <c:pt idx="129">
                  <c:v>9.8632410168648044E-2</c:v>
                </c:pt>
                <c:pt idx="130">
                  <c:v>2.3467610434939504E-2</c:v>
                </c:pt>
                <c:pt idx="131">
                  <c:v>1.0498459101654626E-2</c:v>
                </c:pt>
                <c:pt idx="132">
                  <c:v>2.6321546174585677E-2</c:v>
                </c:pt>
                <c:pt idx="133">
                  <c:v>1.9973360622922504E-2</c:v>
                </c:pt>
                <c:pt idx="134">
                  <c:v>3.2020204700529686E-2</c:v>
                </c:pt>
                <c:pt idx="135">
                  <c:v>4.8800774229069359E-2</c:v>
                </c:pt>
                <c:pt idx="136">
                  <c:v>0.11354855028912425</c:v>
                </c:pt>
                <c:pt idx="137">
                  <c:v>7.0638498291373586E-2</c:v>
                </c:pt>
                <c:pt idx="138">
                  <c:v>3.7082534283399748E-2</c:v>
                </c:pt>
                <c:pt idx="139">
                  <c:v>4.2617350816726511E-2</c:v>
                </c:pt>
                <c:pt idx="140">
                  <c:v>5.1036864519119325E-2</c:v>
                </c:pt>
                <c:pt idx="141">
                  <c:v>4.3772161006927511E-2</c:v>
                </c:pt>
                <c:pt idx="142">
                  <c:v>4.9988463521003779E-2</c:v>
                </c:pt>
                <c:pt idx="143">
                  <c:v>7.3628865182399278E-2</c:v>
                </c:pt>
                <c:pt idx="144">
                  <c:v>3.888244926929476E-2</c:v>
                </c:pt>
                <c:pt idx="145">
                  <c:v>8.7965950369834678E-2</c:v>
                </c:pt>
                <c:pt idx="146">
                  <c:v>4.629532247781723E-2</c:v>
                </c:pt>
                <c:pt idx="147">
                  <c:v>5.1084267906844692E-2</c:v>
                </c:pt>
                <c:pt idx="148">
                  <c:v>6.4696009270847066E-2</c:v>
                </c:pt>
                <c:pt idx="149">
                  <c:v>2.4978969246149257E-2</c:v>
                </c:pt>
                <c:pt idx="150">
                  <c:v>3.455172665417177E-2</c:v>
                </c:pt>
                <c:pt idx="151">
                  <c:v>3.473776951432242E-2</c:v>
                </c:pt>
                <c:pt idx="152">
                  <c:v>2.0954132080077997E-2</c:v>
                </c:pt>
                <c:pt idx="153">
                  <c:v>2.6738457381725242E-2</c:v>
                </c:pt>
                <c:pt idx="154">
                  <c:v>7.7836085110902925E-2</c:v>
                </c:pt>
                <c:pt idx="155">
                  <c:v>5.1431115716695751E-2</c:v>
                </c:pt>
                <c:pt idx="156">
                  <c:v>5.9541346039623098E-2</c:v>
                </c:pt>
                <c:pt idx="157">
                  <c:v>1.597345247864727E-2</c:v>
                </c:pt>
                <c:pt idx="158">
                  <c:v>3.3610928803682431E-2</c:v>
                </c:pt>
                <c:pt idx="159">
                  <c:v>8.9951619505882222E-2</c:v>
                </c:pt>
                <c:pt idx="160">
                  <c:v>6.8412389606237217E-2</c:v>
                </c:pt>
                <c:pt idx="161">
                  <c:v>6.394185870885874E-2</c:v>
                </c:pt>
                <c:pt idx="162">
                  <c:v>1.6151092946529246E-2</c:v>
                </c:pt>
                <c:pt idx="163">
                  <c:v>9.7585134208202466E-3</c:v>
                </c:pt>
                <c:pt idx="164">
                  <c:v>4.8101285472512356E-2</c:v>
                </c:pt>
                <c:pt idx="165">
                  <c:v>3.5717252641916018E-2</c:v>
                </c:pt>
                <c:pt idx="166">
                  <c:v>2.2472050040959996E-2</c:v>
                </c:pt>
                <c:pt idx="167">
                  <c:v>0.11794264055788496</c:v>
                </c:pt>
                <c:pt idx="168">
                  <c:v>6.3664007931947764E-2</c:v>
                </c:pt>
                <c:pt idx="169">
                  <c:v>5.1251055672764806E-2</c:v>
                </c:pt>
                <c:pt idx="170">
                  <c:v>1.7318431288003741E-2</c:v>
                </c:pt>
                <c:pt idx="171">
                  <c:v>5.8875434100628003E-2</c:v>
                </c:pt>
                <c:pt idx="172">
                  <c:v>7.0137744769453975E-2</c:v>
                </c:pt>
                <c:pt idx="173">
                  <c:v>4.1480671614408368E-2</c:v>
                </c:pt>
                <c:pt idx="174">
                  <c:v>3.4959200769662614E-2</c:v>
                </c:pt>
                <c:pt idx="175">
                  <c:v>1.494944095611575E-2</c:v>
                </c:pt>
                <c:pt idx="176">
                  <c:v>2.9858645051717998E-2</c:v>
                </c:pt>
                <c:pt idx="177">
                  <c:v>1.2813439592718752E-2</c:v>
                </c:pt>
                <c:pt idx="178">
                  <c:v>5.6700044311583077E-2</c:v>
                </c:pt>
                <c:pt idx="179">
                  <c:v>4.0563069283962264E-2</c:v>
                </c:pt>
                <c:pt idx="180">
                  <c:v>3.6673940718174008E-2</c:v>
                </c:pt>
                <c:pt idx="181">
                  <c:v>2.1966157481074503E-2</c:v>
                </c:pt>
                <c:pt idx="182">
                  <c:v>4.4392202049493512E-2</c:v>
                </c:pt>
                <c:pt idx="183">
                  <c:v>7.7709478326141765E-2</c:v>
                </c:pt>
              </c:numCache>
            </c:numRef>
          </c:val>
          <c:smooth val="0"/>
        </c:ser>
        <c:dLbls>
          <c:showLegendKey val="0"/>
          <c:showVal val="0"/>
          <c:showCatName val="0"/>
          <c:showSerName val="0"/>
          <c:showPercent val="0"/>
          <c:showBubbleSize val="0"/>
        </c:dLbls>
        <c:marker val="1"/>
        <c:smooth val="0"/>
        <c:axId val="-866775184"/>
        <c:axId val="-866799120"/>
      </c:lineChart>
      <c:catAx>
        <c:axId val="-86680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781712"/>
        <c:crosses val="autoZero"/>
        <c:auto val="1"/>
        <c:lblAlgn val="ctr"/>
        <c:lblOffset val="100"/>
        <c:noMultiLvlLbl val="0"/>
      </c:catAx>
      <c:valAx>
        <c:axId val="-86678171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802384"/>
        <c:crosses val="autoZero"/>
        <c:crossBetween val="between"/>
      </c:valAx>
      <c:valAx>
        <c:axId val="-86679912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775184"/>
        <c:crosses val="max"/>
        <c:crossBetween val="between"/>
      </c:valAx>
      <c:catAx>
        <c:axId val="-866775184"/>
        <c:scaling>
          <c:orientation val="minMax"/>
        </c:scaling>
        <c:delete val="1"/>
        <c:axPos val="b"/>
        <c:numFmt formatCode="General" sourceLinked="1"/>
        <c:majorTickMark val="out"/>
        <c:minorTickMark val="none"/>
        <c:tickLblPos val="nextTo"/>
        <c:crossAx val="-8667991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[Tester.xlsm]New_TR!PivotTable1</c:name>
    <c:fmtId val="8"/>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7"/>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New_TR!$A$2:$A$4</c:f>
              <c:strCache>
                <c:ptCount val="2"/>
                <c:pt idx="0">
                  <c:v>EVEN</c:v>
                </c:pt>
                <c:pt idx="1">
                  <c:v>ODD</c:v>
                </c:pt>
              </c:strCache>
            </c:strRef>
          </c:cat>
          <c:val>
            <c:numRef>
              <c:f>New_TR!$B$2:$B$4</c:f>
              <c:numCache>
                <c:formatCode>0.00000</c:formatCode>
                <c:ptCount val="2"/>
                <c:pt idx="0">
                  <c:v>2.34216964547185E-5</c:v>
                </c:pt>
                <c:pt idx="1">
                  <c:v>2.2871352300263843E-5</c:v>
                </c:pt>
              </c:numCache>
            </c:numRef>
          </c:val>
          <c:smooth val="0"/>
        </c:ser>
        <c:ser>
          <c:idx val="1"/>
          <c:order val="1"/>
          <c:tx>
            <c:strRef>
              <c:f>New_TR!$C$1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New_TR!$A$2:$A$4</c:f>
              <c:strCache>
                <c:ptCount val="2"/>
                <c:pt idx="0">
                  <c:v>EVEN</c:v>
                </c:pt>
                <c:pt idx="1">
                  <c:v>ODD</c:v>
                </c:pt>
              </c:strCache>
            </c:strRef>
          </c:cat>
          <c:val>
            <c:numRef>
              <c:f>New_TR!$C$2:$C$4</c:f>
              <c:numCache>
                <c:formatCode>0.00000</c:formatCode>
                <c:ptCount val="2"/>
                <c:pt idx="0">
                  <c:v>2.9230294235212149E-5</c:v>
                </c:pt>
                <c:pt idx="1">
                  <c:v>2.6048701548138645E-5</c:v>
                </c:pt>
              </c:numCache>
            </c:numRef>
          </c:val>
          <c:smooth val="0"/>
        </c:ser>
        <c:dLbls>
          <c:showLegendKey val="0"/>
          <c:showVal val="0"/>
          <c:showCatName val="0"/>
          <c:showSerName val="0"/>
          <c:showPercent val="0"/>
          <c:showBubbleSize val="0"/>
        </c:dLbls>
        <c:marker val="1"/>
        <c:smooth val="0"/>
        <c:axId val="-866789328"/>
        <c:axId val="-866774640"/>
      </c:lineChart>
      <c:lineChart>
        <c:grouping val="standard"/>
        <c:varyColors val="0"/>
        <c:ser>
          <c:idx val="2"/>
          <c:order val="2"/>
          <c:tx>
            <c:strRef>
              <c:f>New_TR!$D$1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New_TR!$A$2:$A$4</c:f>
              <c:strCache>
                <c:ptCount val="2"/>
                <c:pt idx="0">
                  <c:v>EVEN</c:v>
                </c:pt>
                <c:pt idx="1">
                  <c:v>ODD</c:v>
                </c:pt>
              </c:strCache>
            </c:strRef>
          </c:cat>
          <c:val>
            <c:numRef>
              <c:f>New_TR!$D$2:$D$4</c:f>
              <c:numCache>
                <c:formatCode>0.00000</c:formatCode>
                <c:ptCount val="2"/>
                <c:pt idx="0">
                  <c:v>3.9799526852630455E-4</c:v>
                </c:pt>
                <c:pt idx="1">
                  <c:v>6.9031901244137736E-4</c:v>
                </c:pt>
              </c:numCache>
            </c:numRef>
          </c:val>
          <c:smooth val="0"/>
        </c:ser>
        <c:dLbls>
          <c:showLegendKey val="0"/>
          <c:showVal val="0"/>
          <c:showCatName val="0"/>
          <c:showSerName val="0"/>
          <c:showPercent val="0"/>
          <c:showBubbleSize val="0"/>
        </c:dLbls>
        <c:marker val="1"/>
        <c:smooth val="0"/>
        <c:axId val="-866773008"/>
        <c:axId val="-866792048"/>
      </c:lineChart>
      <c:catAx>
        <c:axId val="-866789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774640"/>
        <c:crosses val="autoZero"/>
        <c:auto val="1"/>
        <c:lblAlgn val="ctr"/>
        <c:lblOffset val="100"/>
        <c:noMultiLvlLbl val="0"/>
      </c:catAx>
      <c:valAx>
        <c:axId val="-86677464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789328"/>
        <c:crosses val="autoZero"/>
        <c:crossBetween val="between"/>
      </c:valAx>
      <c:valAx>
        <c:axId val="-86679204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773008"/>
        <c:crosses val="max"/>
        <c:crossBetween val="between"/>
      </c:valAx>
      <c:catAx>
        <c:axId val="-866773008"/>
        <c:scaling>
          <c:orientation val="minMax"/>
        </c:scaling>
        <c:delete val="1"/>
        <c:axPos val="b"/>
        <c:numFmt formatCode="General" sourceLinked="1"/>
        <c:majorTickMark val="out"/>
        <c:minorTickMark val="none"/>
        <c:tickLblPos val="nextTo"/>
        <c:crossAx val="-86679204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[Tester.xlsm]New_BASE!PivotTable1</c:name>
    <c:fmtId val="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New_BASE!$A$2:$A$8</c:f>
              <c:multiLvlStrCache>
                <c:ptCount val="4"/>
                <c:lvl>
                  <c:pt idx="0">
                    <c:v>1</c:v>
                  </c:pt>
                  <c:pt idx="1">
                    <c:v>2</c:v>
                  </c:pt>
                  <c:pt idx="2">
                    <c:v>1</c:v>
                  </c:pt>
                  <c:pt idx="3">
                    <c:v>2</c:v>
                  </c:pt>
                </c:lvl>
                <c:lvl>
                  <c:pt idx="0">
                    <c:v>EVEN</c:v>
                  </c:pt>
                  <c:pt idx="2">
                    <c:v>ODD</c:v>
                  </c:pt>
                </c:lvl>
              </c:multiLvlStrCache>
            </c:multiLvlStrRef>
          </c:cat>
          <c:val>
            <c:numRef>
              <c:f>New_BASE!$B$2:$B$8</c:f>
              <c:numCache>
                <c:formatCode>0.00000</c:formatCode>
                <c:ptCount val="4"/>
                <c:pt idx="0">
                  <c:v>1.1521718326038208</c:v>
                </c:pt>
                <c:pt idx="1">
                  <c:v>1.1505871378425239</c:v>
                </c:pt>
                <c:pt idx="2">
                  <c:v>1.1521954150141582</c:v>
                </c:pt>
                <c:pt idx="3">
                  <c:v>1.150609298136787</c:v>
                </c:pt>
              </c:numCache>
            </c:numRef>
          </c:val>
          <c:smooth val="0"/>
        </c:ser>
        <c:ser>
          <c:idx val="1"/>
          <c:order val="1"/>
          <c:tx>
            <c:strRef>
              <c:f>New_BASE!$C$1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New_BASE!$A$2:$A$8</c:f>
              <c:multiLvlStrCache>
                <c:ptCount val="4"/>
                <c:lvl>
                  <c:pt idx="0">
                    <c:v>1</c:v>
                  </c:pt>
                  <c:pt idx="1">
                    <c:v>2</c:v>
                  </c:pt>
                  <c:pt idx="2">
                    <c:v>1</c:v>
                  </c:pt>
                  <c:pt idx="3">
                    <c:v>2</c:v>
                  </c:pt>
                </c:lvl>
                <c:lvl>
                  <c:pt idx="0">
                    <c:v>EVEN</c:v>
                  </c:pt>
                  <c:pt idx="2">
                    <c:v>ODD</c:v>
                  </c:pt>
                </c:lvl>
              </c:multiLvlStrCache>
            </c:multiLvlStrRef>
          </c:cat>
          <c:val>
            <c:numRef>
              <c:f>New_BASE!$C$2:$C$8</c:f>
              <c:numCache>
                <c:formatCode>0.00000</c:formatCode>
                <c:ptCount val="4"/>
                <c:pt idx="0">
                  <c:v>1.1519699955103444</c:v>
                </c:pt>
                <c:pt idx="1">
                  <c:v>1.1503731557551553</c:v>
                </c:pt>
                <c:pt idx="2">
                  <c:v>1.1519243914994026</c:v>
                </c:pt>
                <c:pt idx="3">
                  <c:v>1.1503300668278624</c:v>
                </c:pt>
              </c:numCache>
            </c:numRef>
          </c:val>
          <c:smooth val="0"/>
        </c:ser>
        <c:dLbls>
          <c:showLegendKey val="0"/>
          <c:showVal val="0"/>
          <c:showCatName val="0"/>
          <c:showSerName val="0"/>
          <c:showPercent val="0"/>
          <c:showBubbleSize val="0"/>
        </c:dLbls>
        <c:marker val="1"/>
        <c:smooth val="0"/>
        <c:axId val="-866779536"/>
        <c:axId val="-866786064"/>
      </c:lineChart>
      <c:lineChart>
        <c:grouping val="standard"/>
        <c:varyColors val="0"/>
        <c:ser>
          <c:idx val="2"/>
          <c:order val="2"/>
          <c:tx>
            <c:strRef>
              <c:f>New_BASE!$D$1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New_BASE!$A$2:$A$8</c:f>
              <c:multiLvlStrCache>
                <c:ptCount val="4"/>
                <c:lvl>
                  <c:pt idx="0">
                    <c:v>1</c:v>
                  </c:pt>
                  <c:pt idx="1">
                    <c:v>2</c:v>
                  </c:pt>
                  <c:pt idx="2">
                    <c:v>1</c:v>
                  </c:pt>
                  <c:pt idx="3">
                    <c:v>2</c:v>
                  </c:pt>
                </c:lvl>
                <c:lvl>
                  <c:pt idx="0">
                    <c:v>EVEN</c:v>
                  </c:pt>
                  <c:pt idx="2">
                    <c:v>ODD</c:v>
                  </c:pt>
                </c:lvl>
              </c:multiLvlStrCache>
            </c:multiLvlStrRef>
          </c:cat>
          <c:val>
            <c:numRef>
              <c:f>New_BASE!$D$2:$D$8</c:f>
              <c:numCache>
                <c:formatCode>0.00000</c:formatCode>
                <c:ptCount val="4"/>
                <c:pt idx="0">
                  <c:v>4.14238592225185E-4</c:v>
                </c:pt>
                <c:pt idx="1">
                  <c:v>3.8175441561242359E-4</c:v>
                </c:pt>
                <c:pt idx="2">
                  <c:v>7.4551532429355163E-4</c:v>
                </c:pt>
                <c:pt idx="3">
                  <c:v>6.3512592561657465E-4</c:v>
                </c:pt>
              </c:numCache>
            </c:numRef>
          </c:val>
          <c:smooth val="0"/>
        </c:ser>
        <c:dLbls>
          <c:showLegendKey val="0"/>
          <c:showVal val="0"/>
          <c:showCatName val="0"/>
          <c:showSerName val="0"/>
          <c:showPercent val="0"/>
          <c:showBubbleSize val="0"/>
        </c:dLbls>
        <c:marker val="1"/>
        <c:smooth val="0"/>
        <c:axId val="-866774096"/>
        <c:axId val="-866788240"/>
      </c:lineChart>
      <c:catAx>
        <c:axId val="-866779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786064"/>
        <c:crosses val="autoZero"/>
        <c:auto val="1"/>
        <c:lblAlgn val="ctr"/>
        <c:lblOffset val="100"/>
        <c:noMultiLvlLbl val="0"/>
      </c:catAx>
      <c:valAx>
        <c:axId val="-86678606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779536"/>
        <c:crosses val="autoZero"/>
        <c:crossBetween val="between"/>
      </c:valAx>
      <c:valAx>
        <c:axId val="-86678824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774096"/>
        <c:crosses val="max"/>
        <c:crossBetween val="between"/>
      </c:valAx>
      <c:catAx>
        <c:axId val="-866774096"/>
        <c:scaling>
          <c:orientation val="minMax"/>
        </c:scaling>
        <c:delete val="1"/>
        <c:axPos val="b"/>
        <c:numFmt formatCode="General" sourceLinked="1"/>
        <c:majorTickMark val="out"/>
        <c:minorTickMark val="none"/>
        <c:tickLblPos val="nextTo"/>
        <c:crossAx val="-86678824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12</xdr:col>
      <xdr:colOff>45160</xdr:colOff>
      <xdr:row>15</xdr:row>
      <xdr:rowOff>154865</xdr:rowOff>
    </xdr:from>
    <xdr:ext cx="1824990" cy="4901229"/>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332595"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11</xdr:col>
      <xdr:colOff>600075</xdr:colOff>
      <xdr:row>2</xdr:row>
      <xdr:rowOff>22860</xdr:rowOff>
    </xdr:from>
    <xdr:ext cx="1828800" cy="2370829"/>
    <mc:AlternateContent xmlns:mc="http://schemas.openxmlformats.org/markup-compatibility/2006" xmlns:a14="http://schemas.microsoft.com/office/drawing/2010/main">
      <mc:Choice Requires="a14">
        <xdr:graphicFrame macro="">
          <xdr:nvGraphicFramePr>
            <xdr:cNvPr id="4"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277910"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oneCellAnchor>
    <xdr:from>
      <xdr:col>4</xdr:col>
      <xdr:colOff>102674</xdr:colOff>
      <xdr:row>46</xdr:row>
      <xdr:rowOff>24942</xdr:rowOff>
    </xdr:from>
    <xdr:ext cx="1828800" cy="1442757"/>
    <mc:AlternateContent xmlns:mc="http://schemas.openxmlformats.org/markup-compatibility/2006" xmlns:a14="http://schemas.microsoft.com/office/drawing/2010/main">
      <mc:Choice Requires="a14">
        <xdr:graphicFrame macro="">
          <xdr:nvGraphicFramePr>
            <xdr:cNvPr id="2" name="FEATURE 8"/>
            <xdr:cNvGraphicFramePr/>
          </xdr:nvGraphicFramePr>
          <xdr:xfrm>
            <a:off x="0" y="0"/>
            <a:ext cx="0" cy="0"/>
          </xdr:xfrm>
          <a:graphic>
            <a:graphicData uri="http://schemas.microsoft.com/office/drawing/2010/slicer">
              <sle:slicer xmlns:sle="http://schemas.microsoft.com/office/drawing/2010/slicer" name="FEATURE 8"/>
            </a:graphicData>
          </a:graphic>
        </xdr:graphicFrame>
      </mc:Choice>
      <mc:Fallback xmlns="">
        <xdr:sp macro="" textlink="">
          <xdr:nvSpPr>
            <xdr:cNvPr id="0" name=""/>
            <xdr:cNvSpPr>
              <a:spLocks noTextEdit="1"/>
            </xdr:cNvSpPr>
          </xdr:nvSpPr>
          <xdr:spPr>
            <a:xfrm>
              <a:off x="5571145" y="8787942"/>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110518</xdr:colOff>
      <xdr:row>33</xdr:row>
      <xdr:rowOff>98339</xdr:rowOff>
    </xdr:from>
    <xdr:ext cx="1828800" cy="2237256"/>
    <mc:AlternateContent xmlns:mc="http://schemas.openxmlformats.org/markup-compatibility/2006" xmlns:a14="http://schemas.microsoft.com/office/drawing/2010/main">
      <mc:Choice Requires="a14">
        <xdr:graphicFrame macro="">
          <xdr:nvGraphicFramePr>
            <xdr:cNvPr id="3" name="SEQUENCEID 7"/>
            <xdr:cNvGraphicFramePr/>
          </xdr:nvGraphicFramePr>
          <xdr:xfrm>
            <a:off x="0" y="0"/>
            <a:ext cx="0" cy="0"/>
          </xdr:xfrm>
          <a:graphic>
            <a:graphicData uri="http://schemas.microsoft.com/office/drawing/2010/slicer">
              <sle:slicer xmlns:sle="http://schemas.microsoft.com/office/drawing/2010/slicer" name="SEQUENCEID 7"/>
            </a:graphicData>
          </a:graphic>
        </xdr:graphicFrame>
      </mc:Choice>
      <mc:Fallback xmlns="">
        <xdr:sp macro="" textlink="">
          <xdr:nvSpPr>
            <xdr:cNvPr id="0" name=""/>
            <xdr:cNvSpPr>
              <a:spLocks noTextEdit="1"/>
            </xdr:cNvSpPr>
          </xdr:nvSpPr>
          <xdr:spPr>
            <a:xfrm>
              <a:off x="5578989" y="6384839"/>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122844</xdr:colOff>
      <xdr:row>21</xdr:row>
      <xdr:rowOff>134191</xdr:rowOff>
    </xdr:from>
    <xdr:ext cx="1828800" cy="2082620"/>
    <mc:AlternateContent xmlns:mc="http://schemas.openxmlformats.org/markup-compatibility/2006" xmlns:a14="http://schemas.microsoft.com/office/drawing/2010/main">
      <mc:Choice Requires="a14">
        <xdr:graphicFrame macro="">
          <xdr:nvGraphicFramePr>
            <xdr:cNvPr id="4" name="PROCESSID 10"/>
            <xdr:cNvGraphicFramePr/>
          </xdr:nvGraphicFramePr>
          <xdr:xfrm>
            <a:off x="0" y="0"/>
            <a:ext cx="0" cy="0"/>
          </xdr:xfrm>
          <a:graphic>
            <a:graphicData uri="http://schemas.microsoft.com/office/drawing/2010/slicer">
              <sle:slicer xmlns:sle="http://schemas.microsoft.com/office/drawing/2010/slicer" name="PROCESSID 10"/>
            </a:graphicData>
          </a:graphic>
        </xdr:graphicFrame>
      </mc:Choice>
      <mc:Fallback xmlns="">
        <xdr:sp macro="" textlink="">
          <xdr:nvSpPr>
            <xdr:cNvPr id="0" name=""/>
            <xdr:cNvSpPr>
              <a:spLocks noTextEdit="1"/>
            </xdr:cNvSpPr>
          </xdr:nvSpPr>
          <xdr:spPr>
            <a:xfrm>
              <a:off x="5591315" y="4134691"/>
              <a:ext cx="1828800" cy="2082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113880</xdr:colOff>
      <xdr:row>54</xdr:row>
      <xdr:rowOff>125233</xdr:rowOff>
    </xdr:from>
    <xdr:ext cx="1862979" cy="1580030"/>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582351" y="10412233"/>
              <a:ext cx="1862979" cy="1580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0" cy="2167218"/>
    <mc:AlternateContent xmlns:mc="http://schemas.openxmlformats.org/markup-compatibility/2006" xmlns:a14="http://schemas.microsoft.com/office/drawing/2010/main">
      <mc:Choice Requires="a14">
        <xdr:graphicFrame macro="">
          <xdr:nvGraphicFramePr>
            <xdr:cNvPr id="7" name="RUNDATE 3"/>
            <xdr:cNvGraphicFramePr/>
          </xdr:nvGraphicFramePr>
          <xdr:xfrm>
            <a:off x="0" y="0"/>
            <a:ext cx="0" cy="0"/>
          </xdr:xfrm>
          <a:graphic>
            <a:graphicData uri="http://schemas.microsoft.com/office/drawing/2010/slicer">
              <sle:slicer xmlns:sle="http://schemas.microsoft.com/office/drawing/2010/slicer" name="RUNDATE 3"/>
            </a:graphicData>
          </a:graphic>
        </xdr:graphicFrame>
      </mc:Choice>
      <mc:Fallback xmlns="">
        <xdr:sp macro="" textlink="">
          <xdr:nvSpPr>
            <xdr:cNvPr id="0" name=""/>
            <xdr:cNvSpPr>
              <a:spLocks noTextEdit="1"/>
            </xdr:cNvSpPr>
          </xdr:nvSpPr>
          <xdr:spPr>
            <a:xfrm>
              <a:off x="5615044" y="67235"/>
              <a:ext cx="1827120"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147638</xdr:colOff>
      <xdr:row>12</xdr:row>
      <xdr:rowOff>128588</xdr:rowOff>
    </xdr:from>
    <xdr:ext cx="1862138" cy="1523999"/>
    <mc:AlternateContent xmlns:mc="http://schemas.openxmlformats.org/markup-compatibility/2006" xmlns:a14="http://schemas.microsoft.com/office/drawing/2010/main">
      <mc:Choice Requires="a14">
        <xdr:graphicFrame macro="">
          <xdr:nvGraphicFramePr>
            <xdr:cNvPr id="8" name="NETPROCESSID 3"/>
            <xdr:cNvGraphicFramePr/>
          </xdr:nvGraphicFramePr>
          <xdr:xfrm>
            <a:off x="0" y="0"/>
            <a:ext cx="0" cy="0"/>
          </xdr:xfrm>
          <a:graphic>
            <a:graphicData uri="http://schemas.microsoft.com/office/drawing/2010/slicer">
              <sle:slicer xmlns:sle="http://schemas.microsoft.com/office/drawing/2010/slicer" name="NETPROCESSID 3"/>
            </a:graphicData>
          </a:graphic>
        </xdr:graphicFrame>
      </mc:Choice>
      <mc:Fallback xmlns="">
        <xdr:sp macro="" textlink="">
          <xdr:nvSpPr>
            <xdr:cNvPr id="0" name=""/>
            <xdr:cNvSpPr>
              <a:spLocks noTextEdit="1"/>
            </xdr:cNvSpPr>
          </xdr:nvSpPr>
          <xdr:spPr>
            <a:xfrm>
              <a:off x="5616109" y="2414588"/>
              <a:ext cx="1862138" cy="1523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4</xdr:col>
      <xdr:colOff>102674</xdr:colOff>
      <xdr:row>46</xdr:row>
      <xdr:rowOff>24942</xdr:rowOff>
    </xdr:from>
    <xdr:ext cx="1828800" cy="1442757"/>
    <mc:AlternateContent xmlns:mc="http://schemas.openxmlformats.org/markup-compatibility/2006" xmlns:a14="http://schemas.microsoft.com/office/drawing/2010/main">
      <mc:Choice Requires="a14">
        <xdr:graphicFrame macro="">
          <xdr:nvGraphicFramePr>
            <xdr:cNvPr id="2" name="FEATURE 6"/>
            <xdr:cNvGraphicFramePr/>
          </xdr:nvGraphicFramePr>
          <xdr:xfrm>
            <a:off x="0" y="0"/>
            <a:ext cx="0" cy="0"/>
          </xdr:xfrm>
          <a:graphic>
            <a:graphicData uri="http://schemas.microsoft.com/office/drawing/2010/slicer">
              <sle:slicer xmlns:sle="http://schemas.microsoft.com/office/drawing/2010/slicer" name="FEATURE 6"/>
            </a:graphicData>
          </a:graphic>
        </xdr:graphicFrame>
      </mc:Choice>
      <mc:Fallback xmlns="">
        <xdr:sp macro="" textlink="">
          <xdr:nvSpPr>
            <xdr:cNvPr id="0" name=""/>
            <xdr:cNvSpPr>
              <a:spLocks noTextEdit="1"/>
            </xdr:cNvSpPr>
          </xdr:nvSpPr>
          <xdr:spPr>
            <a:xfrm>
              <a:off x="5369999" y="8349792"/>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110518</xdr:colOff>
      <xdr:row>33</xdr:row>
      <xdr:rowOff>98339</xdr:rowOff>
    </xdr:from>
    <xdr:ext cx="1828800" cy="2237256"/>
    <mc:AlternateContent xmlns:mc="http://schemas.openxmlformats.org/markup-compatibility/2006" xmlns:a14="http://schemas.microsoft.com/office/drawing/2010/main">
      <mc:Choice Requires="a14">
        <xdr:graphicFrame macro="">
          <xdr:nvGraphicFramePr>
            <xdr:cNvPr id="3" name="SEQUENCEID 5"/>
            <xdr:cNvGraphicFramePr/>
          </xdr:nvGraphicFramePr>
          <xdr:xfrm>
            <a:off x="0" y="0"/>
            <a:ext cx="0" cy="0"/>
          </xdr:xfrm>
          <a:graphic>
            <a:graphicData uri="http://schemas.microsoft.com/office/drawing/2010/slicer">
              <sle:slicer xmlns:sle="http://schemas.microsoft.com/office/drawing/2010/slicer" name="SEQUENCEID 5"/>
            </a:graphicData>
          </a:graphic>
        </xdr:graphicFrame>
      </mc:Choice>
      <mc:Fallback xmlns="">
        <xdr:sp macro="" textlink="">
          <xdr:nvSpPr>
            <xdr:cNvPr id="0" name=""/>
            <xdr:cNvSpPr>
              <a:spLocks noTextEdit="1"/>
            </xdr:cNvSpPr>
          </xdr:nvSpPr>
          <xdr:spPr>
            <a:xfrm>
              <a:off x="5377843" y="6070514"/>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122844</xdr:colOff>
      <xdr:row>21</xdr:row>
      <xdr:rowOff>134191</xdr:rowOff>
    </xdr:from>
    <xdr:ext cx="1828800" cy="2082620"/>
    <mc:AlternateContent xmlns:mc="http://schemas.openxmlformats.org/markup-compatibility/2006" xmlns:a14="http://schemas.microsoft.com/office/drawing/2010/main">
      <mc:Choice Requires="a14">
        <xdr:graphicFrame macro="">
          <xdr:nvGraphicFramePr>
            <xdr:cNvPr id="4" name="PROCESSID 8"/>
            <xdr:cNvGraphicFramePr/>
          </xdr:nvGraphicFramePr>
          <xdr:xfrm>
            <a:off x="0" y="0"/>
            <a:ext cx="0" cy="0"/>
          </xdr:xfrm>
          <a:graphic>
            <a:graphicData uri="http://schemas.microsoft.com/office/drawing/2010/slicer">
              <sle:slicer xmlns:sle="http://schemas.microsoft.com/office/drawing/2010/slicer" name="PROCESSID 8"/>
            </a:graphicData>
          </a:graphic>
        </xdr:graphicFrame>
      </mc:Choice>
      <mc:Fallback xmlns="">
        <xdr:sp macro="" textlink="">
          <xdr:nvSpPr>
            <xdr:cNvPr id="0" name=""/>
            <xdr:cNvSpPr>
              <a:spLocks noTextEdit="1"/>
            </xdr:cNvSpPr>
          </xdr:nvSpPr>
          <xdr:spPr>
            <a:xfrm>
              <a:off x="5390169" y="3934666"/>
              <a:ext cx="1828800" cy="2082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113880</xdr:colOff>
      <xdr:row>54</xdr:row>
      <xdr:rowOff>125233</xdr:rowOff>
    </xdr:from>
    <xdr:ext cx="1862979" cy="1580030"/>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381205" y="9897883"/>
              <a:ext cx="1862979" cy="1580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0" cy="2167218"/>
    <mc:AlternateContent xmlns:mc="http://schemas.openxmlformats.org/markup-compatibility/2006" xmlns:a14="http://schemas.microsoft.com/office/drawing/2010/main">
      <mc:Choice Requires="a14">
        <xdr:graphicFrame macro="">
          <xdr:nvGraphicFramePr>
            <xdr:cNvPr id="7" name="RUNDATE 2"/>
            <xdr:cNvGraphicFramePr/>
          </xdr:nvGraphicFramePr>
          <xdr:xfrm>
            <a:off x="0" y="0"/>
            <a:ext cx="0" cy="0"/>
          </xdr:xfrm>
          <a:graphic>
            <a:graphicData uri="http://schemas.microsoft.com/office/drawing/2010/slicer">
              <sle:slicer xmlns:sle="http://schemas.microsoft.com/office/drawing/2010/slicer" name="RUNDATE 2"/>
            </a:graphicData>
          </a:graphic>
        </xdr:graphicFrame>
      </mc:Choice>
      <mc:Fallback xmlns="">
        <xdr:sp macro="" textlink="">
          <xdr:nvSpPr>
            <xdr:cNvPr id="0" name=""/>
            <xdr:cNvSpPr>
              <a:spLocks noTextEdit="1"/>
            </xdr:cNvSpPr>
          </xdr:nvSpPr>
          <xdr:spPr>
            <a:xfrm>
              <a:off x="5413898" y="67235"/>
              <a:ext cx="1827120"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147638</xdr:colOff>
      <xdr:row>12</xdr:row>
      <xdr:rowOff>128588</xdr:rowOff>
    </xdr:from>
    <xdr:ext cx="1862138" cy="1523999"/>
    <mc:AlternateContent xmlns:mc="http://schemas.openxmlformats.org/markup-compatibility/2006" xmlns:a14="http://schemas.microsoft.com/office/drawing/2010/main">
      <mc:Choice Requires="a14">
        <xdr:graphicFrame macro="">
          <xdr:nvGraphicFramePr>
            <xdr:cNvPr id="8"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5414963" y="2300288"/>
              <a:ext cx="1862138" cy="1523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oneCellAnchor>
    <xdr:from>
      <xdr:col>4</xdr:col>
      <xdr:colOff>150299</xdr:colOff>
      <xdr:row>47</xdr:row>
      <xdr:rowOff>96379</xdr:rowOff>
    </xdr:from>
    <xdr:ext cx="1828800" cy="1442757"/>
    <mc:AlternateContent xmlns:mc="http://schemas.openxmlformats.org/markup-compatibility/2006" xmlns:a14="http://schemas.microsoft.com/office/drawing/2010/main">
      <mc:Choice Requires="a14">
        <xdr:graphicFrame macro="">
          <xdr:nvGraphicFramePr>
            <xdr:cNvPr id="2" name="FEATURE 7"/>
            <xdr:cNvGraphicFramePr/>
          </xdr:nvGraphicFramePr>
          <xdr:xfrm>
            <a:off x="0" y="0"/>
            <a:ext cx="0" cy="0"/>
          </xdr:xfrm>
          <a:graphic>
            <a:graphicData uri="http://schemas.microsoft.com/office/drawing/2010/slicer">
              <sle:slicer xmlns:sle="http://schemas.microsoft.com/office/drawing/2010/slicer" name="FEATURE 7"/>
            </a:graphicData>
          </a:graphic>
        </xdr:graphicFrame>
      </mc:Choice>
      <mc:Fallback xmlns="">
        <xdr:sp macro="" textlink="">
          <xdr:nvSpPr>
            <xdr:cNvPr id="0" name=""/>
            <xdr:cNvSpPr>
              <a:spLocks noTextEdit="1"/>
            </xdr:cNvSpPr>
          </xdr:nvSpPr>
          <xdr:spPr>
            <a:xfrm>
              <a:off x="5903399" y="8602204"/>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158143</xdr:colOff>
      <xdr:row>34</xdr:row>
      <xdr:rowOff>169776</xdr:rowOff>
    </xdr:from>
    <xdr:ext cx="1828800" cy="2237256"/>
    <mc:AlternateContent xmlns:mc="http://schemas.openxmlformats.org/markup-compatibility/2006" xmlns:a14="http://schemas.microsoft.com/office/drawing/2010/main">
      <mc:Choice Requires="a14">
        <xdr:graphicFrame macro="">
          <xdr:nvGraphicFramePr>
            <xdr:cNvPr id="3" name="SEQUENCEID 6"/>
            <xdr:cNvGraphicFramePr/>
          </xdr:nvGraphicFramePr>
          <xdr:xfrm>
            <a:off x="0" y="0"/>
            <a:ext cx="0" cy="0"/>
          </xdr:xfrm>
          <a:graphic>
            <a:graphicData uri="http://schemas.microsoft.com/office/drawing/2010/slicer">
              <sle:slicer xmlns:sle="http://schemas.microsoft.com/office/drawing/2010/slicer" name="SEQUENCEID 6"/>
            </a:graphicData>
          </a:graphic>
        </xdr:graphicFrame>
      </mc:Choice>
      <mc:Fallback xmlns="">
        <xdr:sp macro="" textlink="">
          <xdr:nvSpPr>
            <xdr:cNvPr id="0" name=""/>
            <xdr:cNvSpPr>
              <a:spLocks noTextEdit="1"/>
            </xdr:cNvSpPr>
          </xdr:nvSpPr>
          <xdr:spPr>
            <a:xfrm>
              <a:off x="5911243" y="6322926"/>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313344</xdr:colOff>
      <xdr:row>67</xdr:row>
      <xdr:rowOff>146097</xdr:rowOff>
    </xdr:from>
    <xdr:ext cx="1828800" cy="5628434"/>
    <mc:AlternateContent xmlns:mc="http://schemas.openxmlformats.org/markup-compatibility/2006" xmlns:a14="http://schemas.microsoft.com/office/drawing/2010/main">
      <mc:Choice Requires="a14">
        <xdr:graphicFrame macro="">
          <xdr:nvGraphicFramePr>
            <xdr:cNvPr id="4" name="PROCESSID 9"/>
            <xdr:cNvGraphicFramePr/>
          </xdr:nvGraphicFramePr>
          <xdr:xfrm>
            <a:off x="0" y="0"/>
            <a:ext cx="0" cy="0"/>
          </xdr:xfrm>
          <a:graphic>
            <a:graphicData uri="http://schemas.microsoft.com/office/drawing/2010/slicer">
              <sle:slicer xmlns:sle="http://schemas.microsoft.com/office/drawing/2010/slicer" name="PROCESSID 9"/>
            </a:graphicData>
          </a:graphic>
        </xdr:graphicFrame>
      </mc:Choice>
      <mc:Fallback xmlns="">
        <xdr:sp macro="" textlink="">
          <xdr:nvSpPr>
            <xdr:cNvPr id="0" name=""/>
            <xdr:cNvSpPr>
              <a:spLocks noTextEdit="1"/>
            </xdr:cNvSpPr>
          </xdr:nvSpPr>
          <xdr:spPr>
            <a:xfrm>
              <a:off x="6066444" y="12271422"/>
              <a:ext cx="1828800" cy="56284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161505</xdr:colOff>
      <xdr:row>56</xdr:row>
      <xdr:rowOff>6170</xdr:rowOff>
    </xdr:from>
    <xdr:ext cx="1862981" cy="158955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914605" y="10140770"/>
              <a:ext cx="1862981" cy="15895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2" cy="2167218"/>
    <mc:AlternateContent xmlns:mc="http://schemas.openxmlformats.org/markup-compatibility/2006" xmlns:a14="http://schemas.microsoft.com/office/drawing/2010/main">
      <mc:Choice Requires="a14">
        <xdr:graphicFrame macro="">
          <xdr:nvGraphicFramePr>
            <xdr:cNvPr id="7" name="RUNDATE 4"/>
            <xdr:cNvGraphicFramePr/>
          </xdr:nvGraphicFramePr>
          <xdr:xfrm>
            <a:off x="0" y="0"/>
            <a:ext cx="0" cy="0"/>
          </xdr:xfrm>
          <a:graphic>
            <a:graphicData uri="http://schemas.microsoft.com/office/drawing/2010/slicer">
              <sle:slicer xmlns:sle="http://schemas.microsoft.com/office/drawing/2010/slicer" name="RUNDATE 4"/>
            </a:graphicData>
          </a:graphic>
        </xdr:graphicFrame>
      </mc:Choice>
      <mc:Fallback xmlns="">
        <xdr:sp macro="" textlink="">
          <xdr:nvSpPr>
            <xdr:cNvPr id="0" name=""/>
            <xdr:cNvSpPr>
              <a:spLocks noTextEdit="1"/>
            </xdr:cNvSpPr>
          </xdr:nvSpPr>
          <xdr:spPr>
            <a:xfrm>
              <a:off x="5899673" y="67235"/>
              <a:ext cx="1827122"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159543</xdr:colOff>
      <xdr:row>12</xdr:row>
      <xdr:rowOff>128587</xdr:rowOff>
    </xdr:from>
    <xdr:ext cx="1862140" cy="1824037"/>
    <mc:AlternateContent xmlns:mc="http://schemas.openxmlformats.org/markup-compatibility/2006" xmlns:a14="http://schemas.microsoft.com/office/drawing/2010/main">
      <mc:Choice Requires="a14">
        <xdr:graphicFrame macro="">
          <xdr:nvGraphicFramePr>
            <xdr:cNvPr id="8"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912643" y="2300287"/>
              <a:ext cx="1862140" cy="182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oneCellAnchor>
    <xdr:from>
      <xdr:col>9</xdr:col>
      <xdr:colOff>114300</xdr:colOff>
      <xdr:row>1</xdr:row>
      <xdr:rowOff>7621</xdr:rowOff>
    </xdr:from>
    <xdr:ext cx="1828800" cy="952500"/>
    <mc:AlternateContent xmlns:mc="http://schemas.openxmlformats.org/markup-compatibility/2006">
      <mc:Choice xmlns:a14="http://schemas.microsoft.com/office/drawing/2010/main" Requires="a14">
        <xdr:graphicFrame macro="">
          <xdr:nvGraphicFramePr>
            <xdr:cNvPr id="2" name="IOSHIFT"/>
            <xdr:cNvGraphicFramePr/>
          </xdr:nvGraphicFramePr>
          <xdr:xfrm>
            <a:off x="0" y="0"/>
            <a:ext cx="0" cy="0"/>
          </xdr:xfrm>
          <a:graphic>
            <a:graphicData uri="http://schemas.microsoft.com/office/drawing/2010/slicer">
              <sle:slicer xmlns:sle="http://schemas.microsoft.com/office/drawing/2010/slicer" name="IOSHIFT"/>
            </a:graphicData>
          </a:graphic>
        </xdr:graphicFrame>
      </mc:Choice>
      <mc:Fallback>
        <xdr:sp macro="" textlink="">
          <xdr:nvSpPr>
            <xdr:cNvPr id="0" name=""/>
            <xdr:cNvSpPr>
              <a:spLocks noTextEdit="1"/>
            </xdr:cNvSpPr>
          </xdr:nvSpPr>
          <xdr:spPr>
            <a:xfrm>
              <a:off x="10728960" y="190501"/>
              <a:ext cx="1828800"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257175</xdr:colOff>
      <xdr:row>35</xdr:row>
      <xdr:rowOff>142876</xdr:rowOff>
    </xdr:from>
    <xdr:ext cx="1828800" cy="1299210"/>
    <mc:AlternateContent xmlns:mc="http://schemas.openxmlformats.org/markup-compatibility/2006" xmlns:a14="http://schemas.microsoft.com/office/drawing/2010/main">
      <mc:Choice Requires="a14">
        <xdr:graphicFrame macro="">
          <xdr:nvGraphicFramePr>
            <xdr:cNvPr id="3" name="MAXEPOCHS 1"/>
            <xdr:cNvGraphicFramePr/>
          </xdr:nvGraphicFramePr>
          <xdr:xfrm>
            <a:off x="0" y="0"/>
            <a:ext cx="0" cy="0"/>
          </xdr:xfrm>
          <a:graphic>
            <a:graphicData uri="http://schemas.microsoft.com/office/drawing/2010/slicer">
              <sle:slicer xmlns:sle="http://schemas.microsoft.com/office/drawing/2010/slicer" name="MAXEPOCHS 1"/>
            </a:graphicData>
          </a:graphic>
        </xdr:graphicFrame>
      </mc:Choice>
      <mc:Fallback xmlns="">
        <xdr:sp macro="" textlink="">
          <xdr:nvSpPr>
            <xdr:cNvPr id="0" name=""/>
            <xdr:cNvSpPr>
              <a:spLocks noTextEdit="1"/>
            </xdr:cNvSpPr>
          </xdr:nvSpPr>
          <xdr:spPr>
            <a:xfrm>
              <a:off x="11953875" y="6543676"/>
              <a:ext cx="1828800" cy="12992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228600</xdr:colOff>
      <xdr:row>27</xdr:row>
      <xdr:rowOff>114301</xdr:rowOff>
    </xdr:from>
    <xdr:ext cx="1828800" cy="1405890"/>
    <mc:AlternateContent xmlns:mc="http://schemas.openxmlformats.org/markup-compatibility/2006" xmlns:a14="http://schemas.microsoft.com/office/drawing/2010/main">
      <mc:Choice Requires="a14">
        <xdr:graphicFrame macro="">
          <xdr:nvGraphicFramePr>
            <xdr:cNvPr id="4"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11925300" y="5052061"/>
              <a:ext cx="1828800" cy="1405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161925</xdr:colOff>
      <xdr:row>22</xdr:row>
      <xdr:rowOff>114300</xdr:rowOff>
    </xdr:from>
    <xdr:ext cx="1828800" cy="866775"/>
    <mc:AlternateContent xmlns:mc="http://schemas.openxmlformats.org/markup-compatibility/2006" xmlns:a14="http://schemas.microsoft.com/office/drawing/2010/main">
      <mc:Choice Requires="a14">
        <xdr:graphicFrame macro="">
          <xdr:nvGraphicFramePr>
            <xdr:cNvPr id="5"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11858625" y="4137660"/>
              <a:ext cx="1828800" cy="866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11</xdr:col>
      <xdr:colOff>228600</xdr:colOff>
      <xdr:row>6</xdr:row>
      <xdr:rowOff>152401</xdr:rowOff>
    </xdr:from>
    <xdr:ext cx="1828800" cy="1588770"/>
    <mc:AlternateContent xmlns:mc="http://schemas.openxmlformats.org/markup-compatibility/2006" xmlns:a14="http://schemas.microsoft.com/office/drawing/2010/main">
      <mc:Choice Requires="a14">
        <xdr:graphicFrame macro="">
          <xdr:nvGraphicFramePr>
            <xdr:cNvPr id="6" name="WTTYPE"/>
            <xdr:cNvGraphicFramePr/>
          </xdr:nvGraphicFramePr>
          <xdr:xfrm>
            <a:off x="0" y="0"/>
            <a:ext cx="0" cy="0"/>
          </xdr:xfrm>
          <a:graphic>
            <a:graphicData uri="http://schemas.microsoft.com/office/drawing/2010/slicer">
              <sle:slicer xmlns:sle="http://schemas.microsoft.com/office/drawing/2010/slicer" name="WTTYPE"/>
            </a:graphicData>
          </a:graphic>
        </xdr:graphicFrame>
      </mc:Choice>
      <mc:Fallback xmlns="">
        <xdr:sp macro="" textlink="">
          <xdr:nvSpPr>
            <xdr:cNvPr id="0" name=""/>
            <xdr:cNvSpPr>
              <a:spLocks noTextEdit="1"/>
            </xdr:cNvSpPr>
          </xdr:nvSpPr>
          <xdr:spPr>
            <a:xfrm>
              <a:off x="12534900" y="1693545"/>
              <a:ext cx="1828800" cy="1144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504825</xdr:colOff>
      <xdr:row>15</xdr:row>
      <xdr:rowOff>104775</xdr:rowOff>
    </xdr:from>
    <xdr:ext cx="1828800" cy="1144905"/>
    <mc:AlternateContent xmlns:mc="http://schemas.openxmlformats.org/markup-compatibility/2006" xmlns:a14="http://schemas.microsoft.com/office/drawing/2010/main">
      <mc:Choice Requires="a14">
        <xdr:graphicFrame macro="">
          <xdr:nvGraphicFramePr>
            <xdr:cNvPr id="7" name="DATASAMPLELEN"/>
            <xdr:cNvGraphicFramePr/>
          </xdr:nvGraphicFramePr>
          <xdr:xfrm>
            <a:off x="0" y="0"/>
            <a:ext cx="0" cy="0"/>
          </xdr:xfrm>
          <a:graphic>
            <a:graphicData uri="http://schemas.microsoft.com/office/drawing/2010/slicer">
              <sle:slicer xmlns:sle="http://schemas.microsoft.com/office/drawing/2010/slicer" name="DATASAMPLELEN"/>
            </a:graphicData>
          </a:graphic>
        </xdr:graphicFrame>
      </mc:Choice>
      <mc:Fallback xmlns="">
        <xdr:sp macro="" textlink="">
          <xdr:nvSpPr>
            <xdr:cNvPr id="0" name=""/>
            <xdr:cNvSpPr>
              <a:spLocks noTextEdit="1"/>
            </xdr:cNvSpPr>
          </xdr:nvSpPr>
          <xdr:spPr>
            <a:xfrm>
              <a:off x="10372725" y="2847975"/>
              <a:ext cx="1828800" cy="1144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504825</xdr:colOff>
      <xdr:row>15</xdr:row>
      <xdr:rowOff>95250</xdr:rowOff>
    </xdr:from>
    <xdr:ext cx="1828800" cy="1163955"/>
    <mc:AlternateContent xmlns:mc="http://schemas.openxmlformats.org/markup-compatibility/2006" xmlns:a14="http://schemas.microsoft.com/office/drawing/2010/main">
      <mc:Choice Requires="a14">
        <xdr:graphicFrame macro="">
          <xdr:nvGraphicFramePr>
            <xdr:cNvPr id="8" name="DATAPREDICTIONLEN"/>
            <xdr:cNvGraphicFramePr/>
          </xdr:nvGraphicFramePr>
          <xdr:xfrm>
            <a:off x="0" y="0"/>
            <a:ext cx="0" cy="0"/>
          </xdr:xfrm>
          <a:graphic>
            <a:graphicData uri="http://schemas.microsoft.com/office/drawing/2010/slicer">
              <sle:slicer xmlns:sle="http://schemas.microsoft.com/office/drawing/2010/slicer" name="DATAPREDICTIONLEN"/>
            </a:graphicData>
          </a:graphic>
        </xdr:graphicFrame>
      </mc:Choice>
      <mc:Fallback xmlns="">
        <xdr:sp macro="" textlink="">
          <xdr:nvSpPr>
            <xdr:cNvPr id="0" name=""/>
            <xdr:cNvSpPr>
              <a:spLocks noTextEdit="1"/>
            </xdr:cNvSpPr>
          </xdr:nvSpPr>
          <xdr:spPr>
            <a:xfrm>
              <a:off x="12201525" y="2838450"/>
              <a:ext cx="1828800" cy="11639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13</xdr:col>
      <xdr:colOff>542925</xdr:colOff>
      <xdr:row>15</xdr:row>
      <xdr:rowOff>123825</xdr:rowOff>
    </xdr:from>
    <xdr:ext cx="1828800" cy="2425065"/>
    <mc:AlternateContent xmlns:mc="http://schemas.openxmlformats.org/markup-compatibility/2006" xmlns:a14="http://schemas.microsoft.com/office/drawing/2010/main">
      <mc:Choice Requires="a14">
        <xdr:graphicFrame macro="">
          <xdr:nvGraphicFramePr>
            <xdr:cNvPr id="9"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14068425" y="2867025"/>
              <a:ext cx="1828800"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6</xdr:col>
      <xdr:colOff>95250</xdr:colOff>
      <xdr:row>0</xdr:row>
      <xdr:rowOff>104775</xdr:rowOff>
    </xdr:from>
    <xdr:ext cx="1853565" cy="2425065"/>
    <mc:AlternateContent xmlns:mc="http://schemas.openxmlformats.org/markup-compatibility/2006" xmlns:a14="http://schemas.microsoft.com/office/drawing/2010/main">
      <mc:Choice Requires="a14">
        <xdr:graphicFrame macro="">
          <xdr:nvGraphicFramePr>
            <xdr:cNvPr id="10" name="CLIENTSTART"/>
            <xdr:cNvGraphicFramePr/>
          </xdr:nvGraphicFramePr>
          <xdr:xfrm>
            <a:off x="0" y="0"/>
            <a:ext cx="0" cy="0"/>
          </xdr:xfrm>
          <a:graphic>
            <a:graphicData uri="http://schemas.microsoft.com/office/drawing/2010/slicer">
              <sle:slicer xmlns:sle="http://schemas.microsoft.com/office/drawing/2010/slicer" name="CLIENTSTART"/>
            </a:graphicData>
          </a:graphic>
        </xdr:graphicFrame>
      </mc:Choice>
      <mc:Fallback xmlns="">
        <xdr:sp macro="" textlink="">
          <xdr:nvSpPr>
            <xdr:cNvPr id="0" name=""/>
            <xdr:cNvSpPr>
              <a:spLocks noTextEdit="1"/>
            </xdr:cNvSpPr>
          </xdr:nvSpPr>
          <xdr:spPr>
            <a:xfrm>
              <a:off x="9185910" y="104775"/>
              <a:ext cx="1853565"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6</xdr:col>
      <xdr:colOff>582930</xdr:colOff>
      <xdr:row>30</xdr:row>
      <xdr:rowOff>62865</xdr:rowOff>
    </xdr:from>
    <xdr:ext cx="1828800" cy="904875"/>
    <mc:AlternateContent xmlns:mc="http://schemas.openxmlformats.org/markup-compatibility/2006">
      <mc:Choice xmlns:a14="http://schemas.microsoft.com/office/drawing/2010/main" Requires="a14">
        <xdr:graphicFrame macro="">
          <xdr:nvGraphicFramePr>
            <xdr:cNvPr id="11" name="CLIENTNAME"/>
            <xdr:cNvGraphicFramePr/>
          </xdr:nvGraphicFramePr>
          <xdr:xfrm>
            <a:off x="0" y="0"/>
            <a:ext cx="0" cy="0"/>
          </xdr:xfrm>
          <a:graphic>
            <a:graphicData uri="http://schemas.microsoft.com/office/drawing/2010/slicer">
              <sle:slicer xmlns:sle="http://schemas.microsoft.com/office/drawing/2010/slicer" name="CLIENTNAME"/>
            </a:graphicData>
          </a:graphic>
        </xdr:graphicFrame>
      </mc:Choice>
      <mc:Fallback>
        <xdr:sp macro="" textlink="">
          <xdr:nvSpPr>
            <xdr:cNvPr id="0" name=""/>
            <xdr:cNvSpPr>
              <a:spLocks noTextEdit="1"/>
            </xdr:cNvSpPr>
          </xdr:nvSpPr>
          <xdr:spPr>
            <a:xfrm>
              <a:off x="9201150" y="5549265"/>
              <a:ext cx="1828800"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14</xdr:col>
      <xdr:colOff>266700</xdr:colOff>
      <xdr:row>4</xdr:row>
      <xdr:rowOff>76200</xdr:rowOff>
    </xdr:from>
    <xdr:ext cx="1828800" cy="1973581"/>
    <mc:AlternateContent xmlns:mc="http://schemas.openxmlformats.org/markup-compatibility/2006" xmlns:a14="http://schemas.microsoft.com/office/drawing/2010/main">
      <mc:Choice Requires="a14">
        <xdr:graphicFrame macro="">
          <xdr:nvGraphicFramePr>
            <xdr:cNvPr id="12" name="WTLEVEL"/>
            <xdr:cNvGraphicFramePr/>
          </xdr:nvGraphicFramePr>
          <xdr:xfrm>
            <a:off x="0" y="0"/>
            <a:ext cx="0" cy="0"/>
          </xdr:xfrm>
          <a:graphic>
            <a:graphicData uri="http://schemas.microsoft.com/office/drawing/2010/slicer">
              <sle:slicer xmlns:sle="http://schemas.microsoft.com/office/drawing/2010/slicer" name="WTLEVEL"/>
            </a:graphicData>
          </a:graphic>
        </xdr:graphicFrame>
      </mc:Choice>
      <mc:Fallback xmlns="">
        <xdr:sp macro="" textlink="">
          <xdr:nvSpPr>
            <xdr:cNvPr id="0" name=""/>
            <xdr:cNvSpPr>
              <a:spLocks noTextEdit="1"/>
            </xdr:cNvSpPr>
          </xdr:nvSpPr>
          <xdr:spPr>
            <a:xfrm>
              <a:off x="14401800" y="1693545"/>
              <a:ext cx="1828800" cy="10877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6</xdr:col>
      <xdr:colOff>171450</xdr:colOff>
      <xdr:row>23</xdr:row>
      <xdr:rowOff>114301</xdr:rowOff>
    </xdr:from>
    <xdr:ext cx="1853565" cy="895350"/>
    <mc:AlternateContent xmlns:mc="http://schemas.openxmlformats.org/markup-compatibility/2006" xmlns:a14="http://schemas.microsoft.com/office/drawing/2010/main">
      <mc:Choice Requires="a14">
        <xdr:graphicFrame macro="">
          <xdr:nvGraphicFramePr>
            <xdr:cNvPr id="13" name="DOTRAINING"/>
            <xdr:cNvGraphicFramePr/>
          </xdr:nvGraphicFramePr>
          <xdr:xfrm>
            <a:off x="0" y="0"/>
            <a:ext cx="0" cy="0"/>
          </xdr:xfrm>
          <a:graphic>
            <a:graphicData uri="http://schemas.microsoft.com/office/drawing/2010/slicer">
              <sle:slicer xmlns:sle="http://schemas.microsoft.com/office/drawing/2010/slicer" name="DOTRAINING"/>
            </a:graphicData>
          </a:graphic>
        </xdr:graphicFrame>
      </mc:Choice>
      <mc:Fallback xmlns="">
        <xdr:sp macro="" textlink="">
          <xdr:nvSpPr>
            <xdr:cNvPr id="0" name=""/>
            <xdr:cNvSpPr>
              <a:spLocks noTextEdit="1"/>
            </xdr:cNvSpPr>
          </xdr:nvSpPr>
          <xdr:spPr>
            <a:xfrm>
              <a:off x="9262110" y="4320541"/>
              <a:ext cx="1853565"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4</xdr:col>
      <xdr:colOff>1760220</xdr:colOff>
      <xdr:row>16</xdr:row>
      <xdr:rowOff>53340</xdr:rowOff>
    </xdr:from>
    <xdr:to>
      <xdr:col>6</xdr:col>
      <xdr:colOff>38100</xdr:colOff>
      <xdr:row>29</xdr:row>
      <xdr:rowOff>142875</xdr:rowOff>
    </xdr:to>
    <mc:AlternateContent xmlns:mc="http://schemas.openxmlformats.org/markup-compatibility/2006">
      <mc:Choice xmlns:a14="http://schemas.microsoft.com/office/drawing/2010/main" Requires="a14">
        <xdr:graphicFrame macro="">
          <xdr:nvGraphicFramePr>
            <xdr:cNvPr id="14" name="LASTEPOCH"/>
            <xdr:cNvGraphicFramePr/>
          </xdr:nvGraphicFramePr>
          <xdr:xfrm>
            <a:off x="0" y="0"/>
            <a:ext cx="0" cy="0"/>
          </xdr:xfrm>
          <a:graphic>
            <a:graphicData uri="http://schemas.microsoft.com/office/drawing/2010/slicer">
              <sle:slicer xmlns:sle="http://schemas.microsoft.com/office/drawing/2010/slicer" name="LASTEPOCH"/>
            </a:graphicData>
          </a:graphic>
        </xdr:graphicFrame>
      </mc:Choice>
      <mc:Fallback>
        <xdr:sp macro="" textlink="">
          <xdr:nvSpPr>
            <xdr:cNvPr id="0" name=""/>
            <xdr:cNvSpPr>
              <a:spLocks noTextEdit="1"/>
            </xdr:cNvSpPr>
          </xdr:nvSpPr>
          <xdr:spPr>
            <a:xfrm>
              <a:off x="6827520" y="2979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1722120</xdr:colOff>
      <xdr:row>0</xdr:row>
      <xdr:rowOff>76201</xdr:rowOff>
    </xdr:from>
    <xdr:to>
      <xdr:col>6</xdr:col>
      <xdr:colOff>0</xdr:colOff>
      <xdr:row>5</xdr:row>
      <xdr:rowOff>68581</xdr:rowOff>
    </xdr:to>
    <mc:AlternateContent xmlns:mc="http://schemas.openxmlformats.org/markup-compatibility/2006">
      <mc:Choice xmlns:a14="http://schemas.microsoft.com/office/drawing/2010/main" Requires="a14">
        <xdr:graphicFrame macro="">
          <xdr:nvGraphicFramePr>
            <xdr:cNvPr id="15" name="ENGINESIDE"/>
            <xdr:cNvGraphicFramePr/>
          </xdr:nvGraphicFramePr>
          <xdr:xfrm>
            <a:off x="0" y="0"/>
            <a:ext cx="0" cy="0"/>
          </xdr:xfrm>
          <a:graphic>
            <a:graphicData uri="http://schemas.microsoft.com/office/drawing/2010/slicer">
              <sle:slicer xmlns:sle="http://schemas.microsoft.com/office/drawing/2010/slicer" name="ENGINESIDE"/>
            </a:graphicData>
          </a:graphic>
        </xdr:graphicFrame>
      </mc:Choice>
      <mc:Fallback>
        <xdr:sp macro="" textlink="">
          <xdr:nvSpPr>
            <xdr:cNvPr id="0" name=""/>
            <xdr:cNvSpPr>
              <a:spLocks noTextEdit="1"/>
            </xdr:cNvSpPr>
          </xdr:nvSpPr>
          <xdr:spPr>
            <a:xfrm>
              <a:off x="6789420" y="76201"/>
              <a:ext cx="1828800" cy="9067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434340</xdr:colOff>
      <xdr:row>30</xdr:row>
      <xdr:rowOff>76200</xdr:rowOff>
    </xdr:from>
    <xdr:to>
      <xdr:col>6</xdr:col>
      <xdr:colOff>487680</xdr:colOff>
      <xdr:row>43</xdr:row>
      <xdr:rowOff>165735</xdr:rowOff>
    </xdr:to>
    <mc:AlternateContent xmlns:mc="http://schemas.openxmlformats.org/markup-compatibility/2006">
      <mc:Choice xmlns:a14="http://schemas.microsoft.com/office/drawing/2010/main" Requires="a14">
        <xdr:graphicFrame macro="">
          <xdr:nvGraphicFramePr>
            <xdr:cNvPr id="16" name="SIMULATIONID 1"/>
            <xdr:cNvGraphicFramePr/>
          </xdr:nvGraphicFramePr>
          <xdr:xfrm>
            <a:off x="0" y="0"/>
            <a:ext cx="0" cy="0"/>
          </xdr:xfrm>
          <a:graphic>
            <a:graphicData uri="http://schemas.microsoft.com/office/drawing/2010/slicer">
              <sle:slicer xmlns:sle="http://schemas.microsoft.com/office/drawing/2010/slicer" name="SIMULATIONID 1"/>
            </a:graphicData>
          </a:graphic>
        </xdr:graphicFrame>
      </mc:Choice>
      <mc:Fallback>
        <xdr:sp macro="" textlink="">
          <xdr:nvSpPr>
            <xdr:cNvPr id="0" name=""/>
            <xdr:cNvSpPr>
              <a:spLocks noTextEdit="1"/>
            </xdr:cNvSpPr>
          </xdr:nvSpPr>
          <xdr:spPr>
            <a:xfrm>
              <a:off x="7277100" y="55626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invalid="1" saveData="0" refreshedBy="gcaglion" refreshedDate="43798.904817592593" createdVersion="5" refreshedVersion="5" minRefreshableVersion="3" recordCount="11718236">
  <cacheSource type="external" connectionId="8"/>
  <cacheFields count="21">
    <cacheField name="PROCESSID" numFmtId="0" sqlType="6">
      <sharedItems containsSemiMixedTypes="0" containsString="0" containsNumber="1" containsInteger="1" minValue="92" maxValue="19392" count="1694">
        <n v="9004"/>
        <n v="11900"/>
        <n v="9900"/>
        <n v="9912"/>
        <n v="7272"/>
        <n v="8408"/>
        <n v="2216"/>
        <n v="12896"/>
        <n v="10408"/>
        <n v="14108"/>
        <n v="3396"/>
        <n v="12652"/>
        <n v="12292"/>
        <n v="3244"/>
        <n v="2132"/>
        <n v="6704"/>
        <n v="5644"/>
        <n v="4004"/>
        <n v="10104"/>
        <n v="10012"/>
        <n v="7324"/>
        <n v="12651"/>
        <n v="2568"/>
        <n v="8352"/>
        <n v="11940"/>
        <n v="14312"/>
        <n v="15764"/>
        <n v="16240"/>
        <n v="16380"/>
        <n v="15244"/>
        <n v="15720"/>
        <n v="10608"/>
        <n v="4232"/>
        <n v="11724"/>
        <n v="8092"/>
        <n v="13796"/>
        <n v="3332"/>
        <n v="4332"/>
        <n v="11644"/>
        <n v="4980"/>
        <n v="1327"/>
        <n v="12124"/>
        <n v="11448"/>
        <n v="12060"/>
        <n v="1212"/>
        <n v="7116"/>
        <n v="10036"/>
        <n v="15172"/>
        <n v="12468"/>
        <n v="7760"/>
        <n v="14360"/>
        <n v="368"/>
        <n v="15900"/>
        <n v="12916"/>
        <n v="5420"/>
        <n v="2562"/>
        <n v="2567"/>
        <n v="7348"/>
        <n v="7700"/>
        <n v="16136"/>
        <n v="9735"/>
        <n v="2932"/>
        <n v="9736"/>
        <n v="11308"/>
        <n v="10295"/>
        <n v="7464"/>
        <n v="14851"/>
        <n v="12016"/>
        <n v="11428"/>
        <n v="12040"/>
        <n v="13656"/>
        <n v="16280"/>
        <n v="2052"/>
        <n v="14276"/>
        <n v="11427"/>
        <n v="12636"/>
        <n v="13100"/>
        <n v="16192"/>
        <n v="13548"/>
        <n v="13968"/>
        <n v="5072"/>
        <n v="2561"/>
        <n v="2563"/>
        <n v="13616"/>
        <n v="10680"/>
        <n v="5364"/>
        <n v="16028"/>
        <n v="14208"/>
        <n v="1708"/>
        <n v="7648"/>
        <n v="7832"/>
        <n v="5292"/>
        <n v="9036"/>
        <n v="2566"/>
        <n v="7172"/>
        <n v="9652"/>
        <n v="14880"/>
        <n v="10072"/>
        <n v="13836"/>
        <n v="10780"/>
        <n v="11364"/>
        <n v="8604"/>
        <n v="9440"/>
        <n v="9556"/>
        <n v="6412"/>
        <n v="13068"/>
        <n v="14240"/>
        <n v="5952"/>
        <n v="10296"/>
        <n v="13428"/>
        <n v="6476"/>
        <n v="15052"/>
        <n v="12164"/>
        <n v="13255"/>
        <n v="13360"/>
        <n v="2972"/>
        <n v="6080"/>
        <n v="13256"/>
        <n v="14556"/>
        <n v="7228"/>
        <n v="12880"/>
        <n v="10712"/>
        <n v="3128"/>
        <n v="2924"/>
        <n v="10596"/>
        <n v="11376"/>
        <n v="12100"/>
        <n v="10452"/>
        <n v="6912"/>
        <n v="7164"/>
        <n v="12332"/>
        <n v="5828"/>
        <n v="5656"/>
        <n v="5652"/>
        <n v="12200"/>
        <n v="11416"/>
        <n v="2720"/>
        <n v="15952"/>
        <n v="9092"/>
        <n v="9695"/>
        <n v="7540"/>
        <n v="10348"/>
        <n v="12376"/>
        <n v="9693"/>
        <n v="9688"/>
        <n v="9691"/>
        <n v="9689"/>
        <n v="9692"/>
        <n v="5716"/>
        <n v="11260"/>
        <n v="6956"/>
        <n v="11184"/>
        <n v="12260"/>
        <n v="11808"/>
        <n v="11796"/>
        <n v="9960"/>
        <n v="12099"/>
        <n v="13000"/>
        <n v="11568"/>
        <n v="11444"/>
        <n v="12160"/>
        <n v="12500"/>
        <n v="10480"/>
        <n v="16504"/>
        <n v="1999"/>
        <n v="9696"/>
        <n v="5684"/>
        <n v="6475"/>
        <n v="12408"/>
        <n v="1848"/>
        <n v="12407"/>
        <n v="12628"/>
        <n v="4912"/>
        <n v="10460"/>
        <n v="2000"/>
        <n v="7539"/>
        <n v="7862"/>
        <n v="14124"/>
        <n v="9690"/>
        <n v="10272"/>
        <n v="9694"/>
        <n v="9224"/>
        <n v="12452"/>
        <n v="10868"/>
        <n v="1796"/>
        <n v="5316"/>
        <n v="10600"/>
        <n v="5492"/>
        <n v="1328"/>
        <n v="6132"/>
        <n v="11704"/>
        <n v="13852"/>
        <n v="1325"/>
        <n v="7896"/>
        <n v="12344"/>
        <n v="2984"/>
        <n v="10836"/>
        <n v="7144"/>
        <n v="956"/>
        <n v="7020"/>
        <n v="14168"/>
        <n v="9003"/>
        <n v="15148"/>
        <n v="2564"/>
        <n v="14292"/>
        <n v="1326"/>
        <n v="13680"/>
        <n v="12732"/>
        <n v="14536"/>
        <n v="2565"/>
        <n v="14564"/>
        <n v="11876"/>
        <n v="1296"/>
        <n v="4532"/>
        <n v="6336"/>
        <n v="7796"/>
        <n v="4940"/>
        <n v="3276"/>
        <n v="12591"/>
        <n v="8292"/>
        <n v="6984"/>
        <n v="1284"/>
        <n v="10304"/>
        <n v="15756"/>
        <n v="4312"/>
        <n v="11744"/>
        <n v="4180"/>
        <n v="7624"/>
        <n v="11164"/>
        <n v="14096"/>
        <n v="6948"/>
        <n v="14804"/>
        <n v="7636"/>
        <n v="6844"/>
        <n v="1036"/>
        <n v="10648"/>
        <n v="8406"/>
        <n v="5504"/>
        <n v="13583"/>
        <n v="13180"/>
        <n v="1600"/>
        <n v="4900"/>
        <n v="3460"/>
        <n v="13307"/>
        <n v="11700"/>
        <n v="11596"/>
        <n v="12467"/>
        <n v="14868"/>
        <n v="7808"/>
        <n v="12064"/>
        <n v="11595"/>
        <n v="8944"/>
        <n v="7171"/>
        <n v="13336"/>
        <n v="11594"/>
        <n v="3344"/>
        <n v="11259"/>
        <n v="5916"/>
        <n v="7592"/>
        <n v="11848"/>
        <n v="5748"/>
        <n v="5915"/>
        <n v="13584"/>
        <n v="12096"/>
        <n v="13892"/>
        <n v="8440"/>
        <n v="9404"/>
        <n v="9888"/>
        <n v="13640"/>
        <n v="8407"/>
        <n v="11608"/>
        <n v="12583"/>
        <n v="7432"/>
        <n v="12584"/>
        <n v="10208"/>
        <n v="5688"/>
        <n v="5940"/>
        <n v="8724"/>
        <n v="9488"/>
        <n v="9204"/>
        <n v="9512"/>
        <n v="5192"/>
        <n v="7115"/>
        <n v="6592"/>
        <n v="15456"/>
        <n v="14524"/>
        <n v="9348"/>
        <n v="12112"/>
        <n v="14308"/>
        <n v="10552"/>
        <n v="1980"/>
        <n v="8072"/>
        <n v="11840"/>
        <n v="10996"/>
        <n v="13560"/>
        <n v="14044"/>
        <n v="11532"/>
        <n v="6136"/>
        <n v="9364"/>
        <n v="6104"/>
        <n v="804"/>
        <n v="3796"/>
        <n v="3008"/>
        <n v="12592"/>
        <n v="4567"/>
        <n v="11380"/>
        <n v="4572"/>
        <n v="4568"/>
        <n v="13308"/>
        <n v="12756"/>
        <n v="4571"/>
        <n v="14260"/>
        <n v="12536"/>
        <n v="4570"/>
        <n v="11723"/>
        <n v="4569"/>
        <n v="1460"/>
        <n v="11252"/>
        <n v="13480"/>
        <n v="1943"/>
        <n v="12180"/>
        <n v="14136"/>
        <n v="7860"/>
        <n v="8484"/>
        <n v="6832"/>
        <n v="1944"/>
        <n v="15080"/>
        <n v="14447"/>
        <n v="7368"/>
        <n v="6096"/>
        <n v="7952"/>
        <n v="11672"/>
        <n v="14624"/>
        <n v="13456"/>
        <n v="12648"/>
        <n v="14372"/>
        <n v="13108"/>
        <n v="9744"/>
        <n v="3464"/>
        <n v="3007"/>
        <n v="9056"/>
        <n v="13396"/>
        <n v="1560"/>
        <n v="6087"/>
        <n v="14784"/>
        <n v="8552"/>
        <n v="10812"/>
        <n v="12650"/>
        <n v="1592"/>
        <n v="10728"/>
        <n v="11426"/>
        <n v="8687"/>
        <n v="13716"/>
        <n v="13032"/>
        <n v="6591"/>
        <n v="12259"/>
        <n v="14640"/>
        <n v="13352"/>
        <n v="5872"/>
        <n v="4472"/>
        <n v="12604"/>
        <n v="12755"/>
        <n v="1656"/>
        <n v="12291"/>
        <n v="6444"/>
        <n v="13316"/>
        <n v="1295"/>
        <n v="8924"/>
        <n v="8688"/>
        <n v="11228"/>
        <n v="9511"/>
        <n v="8296"/>
        <n v="13872"/>
        <n v="8372"/>
        <n v="9052"/>
        <n v="6464"/>
        <n v="9768"/>
        <n v="12616"/>
        <n v="11280"/>
        <n v="6816"/>
        <n v="12084"/>
        <n v="11258"/>
        <n v="14176"/>
        <n v="14544"/>
        <n v="2464"/>
        <n v="2336"/>
        <n v="14008"/>
        <n v="128"/>
        <n v="14484"/>
        <n v="13608"/>
        <n v="7699"/>
        <n v="2616"/>
        <n v="11388"/>
        <n v="15200"/>
        <n v="9500"/>
        <n v="9316"/>
        <n v="2608"/>
        <n v="8544"/>
        <n v="5276"/>
        <n v="1236"/>
        <n v="12744"/>
        <n v="464"/>
        <n v="14864"/>
        <n v="6896"/>
        <n v="340"/>
        <n v="13615"/>
        <n v="8272"/>
        <n v="13128"/>
        <n v="15108"/>
        <n v="8020"/>
        <n v="14796"/>
        <n v="11408"/>
        <n v="8392"/>
        <n v="8391"/>
        <n v="11183"/>
        <n v="11182"/>
        <n v="14332"/>
        <n v="13060"/>
        <n v="127"/>
        <n v="6396"/>
        <n v="3032"/>
        <n v="9124"/>
        <n v="14448"/>
        <n v="7396"/>
        <n v="14076"/>
        <n v="1956"/>
        <n v="1960"/>
        <n v="12992"/>
        <n v="6395"/>
        <n v="9732"/>
        <n v="12560"/>
        <n v="12904"/>
        <n v="4520"/>
        <n v="764"/>
        <n v="14712"/>
        <n v="13652"/>
        <n v="8271"/>
        <n v="8968"/>
        <n v="14000"/>
        <n v="14123"/>
        <n v="6088"/>
        <n v="13644"/>
        <n v="8756"/>
        <n v="11996"/>
        <n v="6384"/>
        <n v="12048"/>
        <n v="12496"/>
        <n v="14232"/>
        <n v="8164"/>
        <n v="14244"/>
        <n v="1580"/>
        <n v="10764"/>
        <n v="11024"/>
        <n v="9420"/>
        <n v="12590"/>
        <n v="7252"/>
        <n v="9764"/>
        <n v="10720"/>
        <n v="10696"/>
        <n v="8512"/>
        <n v="10916"/>
        <n v="10576"/>
        <n v="10808"/>
        <n v="6520"/>
        <n v="13664"/>
        <n v="8551"/>
        <n v="880"/>
        <n v="8584"/>
        <n v="14768"/>
        <n v="17008"/>
        <n v="3463"/>
        <n v="13736"/>
        <n v="14980"/>
        <n v="9584"/>
        <n v="8348"/>
        <n v="15544"/>
        <n v="10952"/>
        <n v="14584"/>
        <n v="12776"/>
        <n v="12404"/>
        <n v="9852"/>
        <n v="5643"/>
        <n v="10748"/>
        <n v="1684"/>
        <n v="1572"/>
        <n v="6672"/>
        <n v="12352"/>
        <n v="8008"/>
        <n v="5852"/>
        <n v="13240"/>
        <n v="8412"/>
        <n v="8755"/>
        <n v="5964"/>
        <n v="1584"/>
        <n v="10912"/>
        <n v="12460"/>
        <n v="6836"/>
        <n v="6024"/>
        <n v="14528"/>
        <n v="10132"/>
        <n v="5256"/>
        <n v="5760"/>
        <n v="13572"/>
        <n v="2560"/>
        <n v="13200"/>
        <n v="12244"/>
        <n v="12304"/>
        <n v="10763"/>
        <n v="5700"/>
        <n v="8216"/>
        <n v="8792"/>
        <n v="11412"/>
        <n v="9055"/>
        <n v="10392"/>
        <n v="12704"/>
        <n v="8004"/>
        <n v="15027"/>
        <n v="6692"/>
        <n v="8860"/>
        <n v="7656"/>
        <n v="7920"/>
        <n v="11972"/>
        <n v="10744"/>
        <n v="15028"/>
        <n v="6884"/>
        <n v="13632"/>
        <n v="8304"/>
        <n v="8592"/>
        <n v="8288"/>
        <n v="6500"/>
        <n v="1916"/>
        <n v="12607"/>
        <n v="12964"/>
        <n v="9156"/>
        <n v="16304"/>
        <n v="11776"/>
        <n v="6644"/>
        <n v="6788"/>
        <n v="9054"/>
        <n v="8888"/>
        <n v="4224"/>
        <n v="9155"/>
        <n v="13351"/>
        <n v="9154"/>
        <n v="12608"/>
        <n v="8796"/>
        <n v="15072"/>
        <n v="3539"/>
        <n v="13528"/>
        <n v="1184"/>
        <n v="1996"/>
        <n v="10743"/>
        <n v="11363"/>
        <n v="13868"/>
        <n v="1396"/>
        <n v="11456"/>
        <n v="13999"/>
        <n v="9002"/>
        <n v="8776"/>
        <n v="3188"/>
        <n v="2352"/>
        <n v="13199"/>
        <n v="11112"/>
        <n v="10992"/>
        <n v="15928"/>
        <n v="11248"/>
        <n v="9304"/>
        <n v="10444"/>
        <n v="2923"/>
        <n v="14288"/>
        <n v="15543"/>
        <n v="3540"/>
        <n v="8019"/>
        <n v="339"/>
        <n v="14916"/>
        <n v="16320"/>
        <n v="6260"/>
        <n v="2584"/>
        <n v="14095"/>
        <n v="10192"/>
        <n v="3728"/>
        <n v="3583"/>
        <n v="3584"/>
        <n v="8128"/>
        <n v="11792"/>
        <n v="13168"/>
        <n v="6368"/>
        <n v="3856"/>
        <n v="16376"/>
        <n v="8791"/>
        <n v="12552"/>
        <n v="8988"/>
        <n v="495"/>
        <n v="5068"/>
        <n v="15780"/>
        <n v="6560"/>
        <n v="1360"/>
        <n v="16288"/>
        <n v="10020"/>
        <n v="8200"/>
        <n v="6568"/>
        <n v="9051"/>
        <n v="16704"/>
        <n v="17244"/>
        <n v="15088"/>
        <n v="5580"/>
        <n v="5255"/>
        <n v="11128"/>
        <n v="3736"/>
        <n v="5164"/>
        <n v="5372"/>
        <n v="15160"/>
        <n v="12731"/>
        <n v="9452"/>
        <n v="11279"/>
        <n v="14783"/>
        <n v="17400"/>
        <n v="17212"/>
        <n v="8060"/>
        <n v="5412"/>
        <n v="11516"/>
        <n v="10640"/>
        <n v="12788"/>
        <n v="8964"/>
        <n v="16135"/>
        <n v="9583"/>
        <n v="8280"/>
        <n v="15576"/>
        <n v="5163"/>
        <n v="4939"/>
        <n v="14548"/>
        <n v="1312"/>
        <n v="1644"/>
        <n v="5116"/>
        <n v="16287"/>
        <n v="13239"/>
        <n v="10584"/>
        <n v="8963"/>
        <n v="15000"/>
        <n v="9340"/>
        <n v="16528"/>
        <n v="13484"/>
        <n v="10752"/>
        <n v="16668"/>
        <n v="7424"/>
        <n v="8772"/>
        <n v="16592"/>
        <n v="10639"/>
        <n v="10747"/>
        <n v="14555"/>
        <n v="4680"/>
        <n v="1211"/>
        <n v="6967"/>
        <n v="6966"/>
        <n v="16932"/>
        <n v="6968"/>
        <n v="5642"/>
        <n v="10032"/>
        <n v="6664"/>
        <n v="13988"/>
        <n v="4564"/>
        <n v="8040"/>
        <n v="2348"/>
        <n v="11556"/>
        <n v="14331"/>
        <n v="15864"/>
        <n v="11980"/>
        <n v="5884"/>
        <n v="14748"/>
        <n v="13427"/>
        <n v="1912"/>
        <n v="6492"/>
        <n v="15284"/>
        <n v="15064"/>
        <n v="9604"/>
        <n v="11652"/>
        <n v="8508"/>
        <n v="13426"/>
        <n v="10156"/>
        <n v="10736"/>
        <n v="14239"/>
        <n v="8812"/>
        <n v="12072"/>
        <n v="10160"/>
        <n v="8196"/>
        <n v="2388"/>
        <n v="11807"/>
        <n v="5020"/>
        <n v="10092"/>
        <n v="15480"/>
        <n v="14456"/>
        <n v="508"/>
        <n v="15836"/>
        <n v="9644"/>
        <n v="3712"/>
        <n v="3152"/>
        <n v="6068"/>
        <n v="14132"/>
        <n v="3920"/>
        <n v="14747"/>
        <n v="7788"/>
        <n v="11375"/>
        <n v="3232"/>
        <n v="11016"/>
        <n v="10284"/>
        <n v="15520"/>
        <n v="9804"/>
        <n v="16303"/>
        <n v="13268"/>
        <n v="12290"/>
        <n v="6696"/>
        <n v="10368"/>
        <n v="7864"/>
        <n v="8795"/>
        <n v="8794"/>
        <n v="7588"/>
        <n v="1292"/>
        <n v="2828"/>
        <n v="15428"/>
        <n v="8104"/>
        <n v="5040"/>
        <n v="7488"/>
        <n v="12188"/>
        <n v="14356"/>
        <n v="8312"/>
        <n v="17088"/>
        <n v="16176"/>
        <n v="5883"/>
        <n v="13132"/>
        <n v="9968"/>
        <n v="9053"/>
        <n v="16720"/>
        <n v="10807"/>
        <n v="10303"/>
        <n v="5968"/>
        <n v="2320"/>
        <n v="13588"/>
        <n v="13008"/>
        <n v="2528"/>
        <n v="17148"/>
        <n v="2068"/>
        <n v="13992"/>
        <n v="11468"/>
        <n v="4519"/>
        <n v="11578"/>
        <n v="4844"/>
        <n v="12908"/>
        <n v="6772"/>
        <n v="3732"/>
        <n v="12012"/>
        <n v="2392"/>
        <n v="10084"/>
        <n v="8956"/>
        <n v="13684"/>
        <n v="6308"/>
        <n v="11224"/>
        <n v="11244"/>
        <n v="12172"/>
        <n v="11903"/>
        <n v="8480"/>
        <n v="14613"/>
        <n v="14611"/>
        <n v="14616"/>
        <n v="14610"/>
        <n v="14615"/>
        <n v="13344"/>
        <n v="14614"/>
        <n v="11411"/>
        <n v="2880"/>
        <n v="7300"/>
        <n v="12336"/>
        <n v="15992"/>
        <n v="3040"/>
        <n v="7988"/>
        <n v="9288"/>
        <n v="4516"/>
        <n v="16272"/>
        <n v="11580"/>
        <n v="15304"/>
        <n v="2688"/>
        <n v="12700"/>
        <n v="13267"/>
        <n v="14612"/>
        <n v="11124"/>
        <n v="13192"/>
        <n v="4856"/>
        <n v="14024"/>
        <n v="2260"/>
        <n v="5796"/>
        <n v="11304"/>
        <n v="13564"/>
        <n v="11579"/>
        <n v="8680"/>
        <n v="1412"/>
        <n v="14639"/>
        <n v="2588"/>
        <n v="6116"/>
        <n v="10004"/>
        <n v="11979"/>
        <n v="14984"/>
        <n v="11904"/>
        <n v="13335"/>
        <n v="5371"/>
        <n v="14359"/>
        <n v="15036"/>
        <n v="5356"/>
        <n v="9984"/>
        <n v="5264"/>
        <n v="14840"/>
        <n v="10580"/>
        <n v="12280"/>
        <n v="10695"/>
        <n v="10432"/>
        <n v="4518"/>
        <n v="8560"/>
        <n v="5248"/>
        <n v="10288"/>
        <n v="3076"/>
        <n v="10044"/>
        <n v="13188"/>
        <n v="8184"/>
        <n v="2772"/>
        <n v="244"/>
        <n v="13916"/>
        <n v="9796"/>
        <n v="6032"/>
        <n v="5411"/>
        <n v="13263"/>
        <n v="11410"/>
        <n v="1756"/>
        <n v="12676"/>
        <n v="9196"/>
        <n v="8018"/>
        <n v="13924"/>
        <n v="680"/>
        <n v="1752"/>
        <n v="12708"/>
        <n v="13452"/>
        <n v="14107"/>
        <n v="3060"/>
        <n v="1444"/>
        <n v="3084"/>
        <n v="12832"/>
        <n v="10568"/>
        <n v="8483"/>
        <n v="11836"/>
        <n v="12712"/>
        <n v="13320"/>
        <n v="11008"/>
        <n v="15736"/>
        <n v="6740"/>
        <n v="12108"/>
        <n v="7000"/>
        <n v="14652"/>
        <n v="6688"/>
        <n v="14384"/>
        <n v="11374"/>
        <n v="9728"/>
        <n v="15308"/>
        <n v="14500"/>
        <n v="12492"/>
        <n v="12532"/>
        <n v="4400"/>
        <n v="4408"/>
        <n v="14328"/>
        <n v="8140"/>
        <n v="5632"/>
        <n v="14632"/>
        <n v="1868"/>
        <n v="6756"/>
        <n v="13956"/>
        <n v="11902"/>
        <n v="14112"/>
        <n v="6564"/>
        <n v="14128"/>
        <n v="14127"/>
        <n v="14126"/>
        <n v="7831"/>
        <n v="13612"/>
        <n v="14688"/>
        <n v="12680"/>
        <n v="5172"/>
        <n v="12276"/>
        <n v="11722"/>
        <n v="8984"/>
        <n v="3144"/>
        <n v="12184"/>
        <n v="13075"/>
        <n v="14480"/>
        <n v="6320"/>
        <n v="10500"/>
        <n v="9140"/>
        <n v="15920"/>
        <n v="11703"/>
        <n v="14532"/>
        <n v="13076"/>
        <n v="15892"/>
        <n v="2351"/>
        <n v="9088"/>
        <n v="15608"/>
        <n v="1847"/>
        <n v="6255"/>
        <n v="3184"/>
        <n v="16168"/>
        <n v="13048"/>
        <n v="12331"/>
        <n v="8532"/>
        <n v="4000"/>
        <n v="15268"/>
        <n v="8656"/>
        <n v="12582"/>
        <n v="14924"/>
        <n v="9032"/>
        <n v="16068"/>
        <n v="7816"/>
        <n v="126"/>
        <n v="14094"/>
        <n v="8436"/>
        <n v="10638"/>
        <n v="11828"/>
        <n v="12808"/>
        <n v="9911"/>
        <n v="14912"/>
        <n v="14900"/>
        <n v="9812"/>
        <n v="15724"/>
        <n v="2916"/>
        <n v="12300"/>
        <n v="2908"/>
        <n v="10244"/>
        <n v="14020"/>
        <n v="4196"/>
        <n v="11348"/>
        <n v="14948"/>
        <n v="10804"/>
        <n v="14188"/>
        <n v="10928"/>
        <n v="14040"/>
        <n v="12780"/>
        <n v="12972"/>
        <n v="9072"/>
        <n v="11420"/>
        <n v="3924"/>
        <n v="12080"/>
        <n v="1576"/>
        <n v="13356"/>
        <n v="11515"/>
        <n v="2840"/>
        <n v="12632"/>
        <n v="6883"/>
        <n v="2915"/>
        <n v="15524"/>
        <n v="7720"/>
        <n v="15612"/>
        <n v="10128"/>
        <n v="10312"/>
        <n v="15348"/>
        <n v="14071"/>
        <n v="12730"/>
        <n v="16312"/>
        <n v="5108"/>
        <n v="7795"/>
        <n v="4436"/>
        <n v="7623"/>
        <n v="2272"/>
        <n v="9752"/>
        <n v="10428"/>
        <n v="13072"/>
        <n v="15732"/>
        <n v="10280"/>
        <n v="11531"/>
        <n v="13980"/>
        <n v="5464"/>
        <n v="12516"/>
        <n v="8704"/>
        <n v="8482"/>
        <n v="8012"/>
        <n v="13998"/>
        <n v="2652"/>
        <n v="10860"/>
        <n v="448"/>
        <n v="14028"/>
        <n v="8904"/>
        <n v="14252"/>
        <n v="12316"/>
        <n v="2796"/>
        <n v="12531"/>
        <n v="10904"/>
        <n v="4200"/>
        <n v="13040"/>
        <n v="10844"/>
        <n v="9603"/>
        <n v="10892"/>
        <n v="11004"/>
        <n v="4348"/>
        <n v="360"/>
        <n v="1352"/>
        <n v="11360"/>
        <n v="4124"/>
        <n v="15256"/>
        <n v="16008"/>
        <n v="2324"/>
        <n v="1864"/>
        <n v="11120"/>
        <n v="7622"/>
        <n v="7828"/>
        <n v="8424"/>
        <n v="12440"/>
        <n v="13676"/>
        <n v="13476"/>
        <n v="5864"/>
        <n v="11684"/>
        <n v="15904"/>
        <n v="11624"/>
        <n v="10746"/>
        <n v="3496"/>
        <n v="7052"/>
        <n v="776"/>
        <n v="10184"/>
        <n v="16116"/>
        <n v="10120"/>
        <n v="4384"/>
        <n v="16344"/>
        <n v="1096"/>
        <n v="8564"/>
        <n v="2896"/>
        <n v="12228"/>
        <n v="2340"/>
        <n v="12675"/>
        <n v="8686"/>
        <n v="10520"/>
        <n v="12187"/>
        <n v="11924"/>
        <n v="7564"/>
        <n v="10968"/>
        <n v="7840"/>
        <n v="13375"/>
        <n v="15760"/>
        <n v="13376"/>
        <n v="15324"/>
        <n v="12056"/>
        <n v="16223"/>
        <n v="11936"/>
        <n v="11935"/>
        <n v="12912"/>
        <n v="13224"/>
        <n v="13272"/>
        <n v="6512"/>
        <n v="6911"/>
        <n v="9552"/>
        <n v="13780"/>
        <n v="9828"/>
        <n v="96"/>
        <n v="6947"/>
        <n v="12660"/>
        <n v="12679"/>
        <n v="3628"/>
        <n v="10356"/>
        <n v="9123"/>
        <n v="14056"/>
        <n v="3968"/>
        <n v="2820"/>
        <n v="15276"/>
        <n v="12380"/>
        <n v="2944"/>
        <n v="14396"/>
        <n v="11160"/>
        <n v="14631"/>
        <n v="13580"/>
        <n v="14856"/>
        <n v="17140"/>
        <n v="16224"/>
        <n v="15388"/>
        <n v="6888"/>
        <n v="4566"/>
        <n v="10155"/>
        <n v="10852"/>
        <n v="11559"/>
        <n v="9363"/>
        <n v="12132"/>
        <n v="12000"/>
        <n v="15784"/>
        <n v="6988"/>
        <n v="4936"/>
        <n v="5204"/>
        <n v="7863"/>
        <n v="1008"/>
        <n v="7904"/>
        <n v="13340"/>
        <n v="9555"/>
        <n v="7764"/>
        <n v="8507"/>
        <n v="9719"/>
        <n v="14220"/>
        <n v="14588"/>
        <n v="14947"/>
        <n v="6596"/>
        <n v="9168"/>
        <n v="10523"/>
        <n v="11920"/>
        <n v="10524"/>
        <n v="13559"/>
        <n v="11560"/>
        <n v="11192"/>
        <n v="12451"/>
        <n v="4517"/>
        <n v="4172"/>
        <n v="3075"/>
        <n v="12576"/>
        <n v="9153"/>
        <n v="9720"/>
        <n v="12212"/>
        <n v="12196"/>
        <n v="13700"/>
        <n v="10796"/>
        <n v="3784"/>
        <n v="11852"/>
        <n v="6900"/>
        <n v="9419"/>
        <n v="12032"/>
        <n v="7296"/>
        <n v="1840"/>
        <n v="6760"/>
        <n v="8220"/>
        <n v="6868"/>
        <n v="16856"/>
        <n v="13152"/>
        <n v="5668"/>
        <n v="1492"/>
        <n v="16328"/>
        <n v="5780"/>
        <n v="15779"/>
        <n v="11912"/>
        <n v="2056"/>
        <n v="2308"/>
        <n v="13372"/>
        <n v="2055"/>
        <n v="8844"/>
        <n v="9227"/>
        <n v="13388"/>
        <n v="9226"/>
        <n v="11296"/>
        <n v="12699"/>
        <n v="9228"/>
        <n v="9920"/>
        <n v="13871"/>
        <n v="11720"/>
        <n v="11984"/>
        <n v="6636"/>
        <n v="7736"/>
        <n v="13835"/>
        <n v="13932"/>
        <n v="13552"/>
        <n v="9848"/>
        <n v="13355"/>
        <n v="10960"/>
        <n v="15604"/>
        <n v="15032"/>
        <n v="14175"/>
        <n v="12736"/>
        <n v="13425"/>
        <n v="2804"/>
        <n v="4848"/>
        <n v="1016"/>
        <n v="1836"/>
        <n v="14238"/>
        <n v="644"/>
        <n v="15344"/>
        <n v="9160"/>
        <n v="252"/>
        <n v="876"/>
        <n v="16724"/>
        <n v="3948"/>
        <n v="12640"/>
        <n v="4515"/>
        <n v="15124"/>
        <n v="11884"/>
        <n v="12450"/>
        <n v="13607"/>
        <n v="15040"/>
        <n v="240"/>
        <n v="11683"/>
        <n v="12320"/>
        <n v="11883"/>
        <n v="19392"/>
        <n v="4284"/>
        <n v="7444"/>
        <n v="6604"/>
        <n v="10832"/>
        <n v="5280"/>
        <n v="6600"/>
        <n v="3056"/>
        <n v="1556"/>
        <n v="12227"/>
        <n v="10496"/>
        <n v="15096"/>
        <n v="8448"/>
        <n v="11191"/>
        <n v="14280"/>
        <n v="1484"/>
        <n v="14340"/>
        <n v="14339"/>
        <n v="14547"/>
        <n v="13292"/>
        <n v="13291"/>
        <n v="8852"/>
        <n v="7538"/>
        <n v="6004"/>
        <n v="12424"/>
        <n v="10784"/>
        <n v="13012"/>
        <n v="13752"/>
        <n v="14286"/>
        <n v="9276"/>
        <n v="6628"/>
        <n v="7748"/>
        <n v="14104"/>
        <n v="7004"/>
        <n v="14287"/>
        <n v="10620"/>
        <n v="12816"/>
        <n v="17220"/>
        <n v="14800"/>
        <n v="10508"/>
        <n v="12575"/>
        <n v="16222"/>
        <n v="9632"/>
        <n v="16612"/>
        <n v="3340"/>
        <n v="17292"/>
        <n v="12176"/>
        <n v="14944"/>
        <n v="14850"/>
        <n v="396"/>
        <n v="5456"/>
        <n v="14888"/>
        <n v="11988"/>
        <n v="12047"/>
        <n v="16175"/>
        <n v="1092"/>
        <n v="15412"/>
        <n v="1896"/>
        <n v="11696"/>
        <n v="8364"/>
        <n v="8900"/>
        <n v="9636"/>
        <n v="8044"/>
        <n v="17276"/>
        <n v="13896"/>
        <n v="9164"/>
        <n v="3395"/>
        <n v="14275"/>
        <n v="12907"/>
        <n v="4612"/>
        <n v="16024"/>
        <n v="12420"/>
        <n v="14316"/>
        <n v="6787"/>
        <n v="15863"/>
        <n v="10499"/>
        <n v="14885"/>
        <n v="14884"/>
        <n v="1908"/>
        <n v="11743"/>
        <n v="6463"/>
        <n v="14887"/>
        <n v="14886"/>
        <n v="8967"/>
        <n v="7852"/>
        <n v="15516"/>
        <n v="16584"/>
        <n v="13611"/>
        <n v="11992"/>
        <n v="13648"/>
        <n v="13483"/>
        <n v="14180"/>
        <n v="16792"/>
        <n v="1468"/>
        <n v="10724"/>
        <n v="6356"/>
        <n v="13176"/>
        <n v="640"/>
        <n v="3296"/>
        <n v="13960"/>
        <n v="3176"/>
        <n v="14760"/>
        <n v="12368"/>
        <n v="9631"/>
        <n v="14125"/>
        <n v="10632"/>
        <n v="7126"/>
        <n v="14274"/>
        <n v="1095"/>
        <n v="2476"/>
        <n v="14828"/>
        <n v="11104"/>
        <n v="7848"/>
        <n v="12556"/>
        <n v="9516"/>
        <n v="6498"/>
        <n v="2732"/>
        <n v="15132"/>
        <n v="12240"/>
        <n v="13704"/>
        <n v="920"/>
        <n v="12092"/>
        <n v="7440"/>
        <n v="12044"/>
        <n v="10806"/>
        <n v="10144"/>
        <n v="2456"/>
        <n v="11116"/>
        <n v="12512"/>
        <n v="7672"/>
        <n v="6544"/>
        <n v="14300"/>
        <n v="6184"/>
        <n v="2620"/>
        <n v="6499"/>
        <n v="6031"/>
        <n v="14883"/>
        <n v="15648"/>
        <n v="8100"/>
        <n v="8728"/>
        <n v="12252"/>
        <n v="13751"/>
        <n v="10064"/>
        <n v="9704"/>
        <n v="7836"/>
        <n v="5784"/>
        <n v="7352"/>
        <n v="2204"/>
        <n v="2492"/>
        <n v="960"/>
        <n v="14184"/>
        <n v="10220"/>
        <n v="9731"/>
        <n v="12828"/>
        <n v="7388"/>
        <n v="14395"/>
        <n v="11660"/>
        <n v="7839"/>
        <n v="14152"/>
        <n v="9068"/>
        <n v="11991"/>
        <n v="1968"/>
        <n v="6800"/>
        <n v="12603"/>
        <n v="6160"/>
        <n v="8603"/>
        <n v="2792"/>
        <n v="8295"/>
        <n v="2752"/>
        <n v="10476"/>
        <n v="5692"/>
        <n v="12063"/>
        <n v="15159"/>
        <n v="10302"/>
        <n v="11692"/>
        <n v="5699"/>
        <n v="7128"/>
        <n v="7127"/>
        <n v="8872"/>
        <n v="1380"/>
        <n v="8311"/>
        <n v="14776"/>
        <n v="15340"/>
        <n v="8011"/>
        <n v="1895"/>
        <n v="4256"/>
        <n v="15339"/>
        <n v="14492"/>
        <n v="13148"/>
        <n v="10599"/>
        <n v="9284"/>
        <n v="13147"/>
        <n v="13888"/>
        <n v="13146"/>
        <n v="679"/>
        <n v="11088"/>
        <n v="13904"/>
        <n v="6786"/>
        <n v="10820"/>
        <n v="14979"/>
        <n v="14504"/>
        <n v="10788"/>
        <n v="4347"/>
        <n v="12564"/>
        <n v="5651"/>
        <n v="5932"/>
        <n v="716"/>
        <n v="14704"/>
        <n v="3127"/>
        <n v="15812"/>
        <n v="12156"/>
        <n v="13870"/>
        <n v="12220"/>
        <n v="13923"/>
        <n v="9035"/>
        <n v="13444"/>
        <n v="10088"/>
        <n v="15840"/>
        <n v="1268"/>
        <n v="7647"/>
        <n v="3884"/>
        <n v="678"/>
        <n v="12812"/>
        <n v="11901"/>
        <n v="1920"/>
        <n v="5368"/>
        <n v="8887"/>
        <n v="2203"/>
        <n v="15723"/>
        <n v="5291"/>
        <n v="6079"/>
        <n v="15688"/>
        <n v="15687"/>
        <n v="15685"/>
        <n v="15684"/>
        <n v="15686"/>
        <n v="15683"/>
        <n v="15682"/>
        <n v="15681"/>
        <n v="1919"/>
        <n v="15060"/>
        <n v="12076"/>
        <n v="14782"/>
        <n v="11668"/>
        <n v="1480"/>
        <n v="10498"/>
        <n v="9439"/>
        <n v="10347"/>
        <n v="9031"/>
        <n v="11851"/>
        <n v="8360"/>
        <n v="16723"/>
        <n v="4540"/>
        <n v="6314"/>
        <n v="4132"/>
        <n v="14007"/>
        <n v="6316"/>
        <n v="6315"/>
        <n v="2964"/>
        <n v="1404"/>
        <n v="5800"/>
        <n v="11052"/>
        <n v="3528"/>
        <n v="11860"/>
        <n v="9104"/>
        <n v="15384"/>
        <n v="11607"/>
        <n v="6491"/>
        <n v="1852"/>
        <n v="8820"/>
        <n v="13779"/>
        <n v="14638"/>
        <n v="4512"/>
        <n v="6796"/>
        <n v="1132"/>
        <n v="9596"/>
        <n v="11919"/>
        <n v="13884"/>
        <n v="7559"/>
        <n v="12624"/>
        <n v="14820"/>
        <n v="9260"/>
        <n v="9509"/>
        <n v="17086"/>
        <n v="15152"/>
        <n v="17972"/>
        <n v="10783"/>
        <n v="16976"/>
        <n v="1967"/>
        <n v="3440"/>
        <n v="12449"/>
        <n v="1552"/>
        <n v="9232"/>
        <n v="15580"/>
        <n v="6876"/>
        <n v="17988"/>
        <n v="5704"/>
        <n v="6504"/>
        <n v="5176"/>
        <n v="2202"/>
        <n v="9510"/>
        <n v="12428"/>
        <n v="272"/>
        <n v="271"/>
        <n v="16496"/>
        <n v="17032"/>
        <n v="17031"/>
        <n v="17030"/>
        <n v="7560"/>
        <n v="10819"/>
        <n v="1820"/>
        <n v="1819"/>
        <n v="1488"/>
        <n v="15288"/>
        <n v="16536"/>
        <n v="16535"/>
        <n v="13887"/>
        <n v="13886"/>
        <n v="13544"/>
        <n v="11755"/>
        <n v="14978"/>
        <n v="9680"/>
        <n v="15980"/>
        <n v="17000"/>
        <n v="15319"/>
        <n v="13175"/>
        <n v="13174"/>
        <n v="15320"/>
        <n v="13173"/>
        <n v="7423"/>
        <n v="13172"/>
        <n v="11295"/>
        <n v="14651"/>
        <n v="3048"/>
        <n v="17204"/>
        <n v="18312"/>
        <n v="13496"/>
        <n v="5832"/>
        <n v="16264"/>
        <n v="15660"/>
        <n v="11593"/>
        <n v="14644"/>
        <n v="13536"/>
        <n v="11824"/>
        <n v="9940"/>
        <n v="18092"/>
        <n v="18348"/>
        <n v="10344"/>
        <n v="10271"/>
        <n v="15204"/>
        <n v="1915"/>
        <n v="17087"/>
        <n v="16388"/>
        <n v="8960"/>
        <n v="17872"/>
        <n v="12011"/>
        <n v="10507"/>
        <n v="15800"/>
        <n v="8328"/>
        <n v="16972"/>
        <n v="17356"/>
        <n v="715"/>
        <n v="16468"/>
        <n v="6784"/>
        <n v="10532"/>
        <n v="7256"/>
        <n v="18264"/>
        <n v="17100"/>
        <n v="5384"/>
        <n v="8071"/>
        <n v="1435"/>
        <n v="14004"/>
        <n v="11503"/>
        <n v="6000"/>
        <n v="18384"/>
        <n v="17956"/>
        <n v="17560"/>
        <n v="18100"/>
        <n v="14592"/>
        <n v="11987"/>
        <n v="15912"/>
        <n v="1436"/>
        <n v="16216"/>
        <n v="15372"/>
        <n v="7428"/>
        <n v="16396" u="1"/>
        <n v="14764" u="1"/>
        <n v="2404" u="1"/>
        <n v="11136" u="1"/>
        <n v="6240" u="1"/>
        <n v="16676" u="1"/>
        <n v="95" u="1"/>
        <n v="1260" u="1"/>
        <n v="2176" u="1"/>
        <n v="17696" u="1"/>
        <n v="12395" u="1"/>
        <n v="16443" u="1"/>
        <n v="8464" u="1"/>
        <n v="8668" u="1"/>
        <n v="6616" u="1"/>
        <n v="9924" u="1"/>
        <n v="16892" u="1"/>
        <n v="15248" u="1"/>
        <n v="2152" u="1"/>
        <n v="16300" u="1"/>
        <n v="16420" u="1"/>
        <n v="4888" u="1"/>
        <n v="16624" u="1"/>
        <n v="94" u="1"/>
        <n v="10944" u="1"/>
        <n v="4060" u="1"/>
        <n v="9012" u="1"/>
        <n v="13692" u="1"/>
        <n v="15796" u="1"/>
        <n v="17819" u="1"/>
        <n v="9388" u="1"/>
        <n v="11728" u="1"/>
        <n v="3451" u="1"/>
        <n v="7384" u="1"/>
        <n v="93" u="1"/>
        <n v="8476" u="1"/>
        <n v="9936" u="1"/>
        <n v="18408" u="1"/>
        <n v="11632" u="1"/>
        <n v="16444" u="1"/>
        <n v="7132" u="1"/>
        <n v="284" u="1"/>
        <n v="15872" u="1"/>
        <n v="13092" u="1"/>
        <n v="17604" u="1"/>
        <n v="92" u="1"/>
        <n v="18012" u="1"/>
        <n v="15776" u="1"/>
        <n v="11504" u="1"/>
        <n v="1632" u="1"/>
        <n v="10216" u="1"/>
        <n v="15540" u="1"/>
        <n v="4508" u="1"/>
        <n v="15100" u="1"/>
        <n v="17820" u="1"/>
        <n v="16736" u="1"/>
        <n v="9712" u="1"/>
        <n v="10560" u="1"/>
        <n v="15444" u="1"/>
        <n v="7224" u="1"/>
        <n v="1828" u="1"/>
        <n v="10936" u="1"/>
        <n v="12396" u="1"/>
        <n v="8972" u="1"/>
        <n v="11956" u="1"/>
        <n v="6768" u="1"/>
        <n v="4887" u="1"/>
        <n v="17366" u="1"/>
        <n v="17232" u="1"/>
        <n v="1176" u="1"/>
        <n v="992" u="1"/>
        <n v="3492" u="1"/>
        <n v="6720" u="1"/>
        <n v="7568" u="1"/>
        <n v="5008" u="1"/>
        <n v="9048" u="1"/>
        <n v="14512" u="1"/>
        <n v="9800" u="1"/>
        <n v="15599" u="1"/>
        <n v="3452" u="1"/>
        <n v="2800" u="1"/>
        <n v="7472" u="1"/>
        <n v="8652" u="1"/>
        <n v="17367" u="1"/>
        <n v="3216" u="1"/>
        <n v="16860" u="1"/>
        <n v="4252" u="1"/>
        <n v="6576" u="1"/>
        <n v="864" u="1"/>
        <n v="16872" u="1"/>
        <n v="10016" u="1"/>
        <n v="10864" u="1"/>
        <n v="13848" u="1"/>
        <n v="2548" u="1"/>
        <n v="18300" u="1"/>
        <n v="6952" u="1"/>
        <n v="3388" u="1"/>
        <n v="11648" u="1"/>
        <n v="14836" u="1"/>
        <n v="8428" u="1"/>
        <n v="10124" u="1"/>
        <n v="7344" u="1"/>
        <n v="4886" u="1"/>
        <n v="8600" u="1"/>
        <n v="1748" u="1"/>
        <n v="17164" u="1"/>
        <n v="17368" u="1"/>
        <n v="5871" u="1"/>
        <n v="14740" u="1"/>
        <n v="7567" u="1"/>
        <n v="13216" u="1"/>
        <n v="6432" u="1"/>
        <n v="1736" u="1"/>
        <n v="7704" u="1"/>
        <n v="16395" u="1"/>
        <n v="8880" u="1"/>
        <n v="14408" u="1"/>
        <n v="14580" u="1"/>
        <n v="7844" u="1"/>
        <n v="8048" u="1"/>
        <n v="9396" u="1"/>
        <n v="15568" u="1"/>
        <n v="2860" u="1"/>
        <n v="991" u="1"/>
        <n v="14420" u="1"/>
      </sharedItems>
    </cacheField>
    <cacheField name="THREADID" numFmtId="0" sqlType="6">
      <sharedItems containsSemiMixedTypes="0" containsString="0" containsNumber="1" containsInteger="1" minValue="8" maxValue="19180"/>
    </cacheField>
    <cacheField name="SEQUENCEID" numFmtId="0" sqlType="6">
      <sharedItems containsSemiMixedTypes="0" containsString="0" containsNumber="1" containsInteger="1" minValue="0" maxValue="120"/>
    </cacheField>
    <cacheField name="NETPROCESSID" numFmtId="0" sqlType="6">
      <sharedItems containsSemiMixedTypes="0" containsString="0" containsNumber="1" containsInteger="1" minValue="0" maxValue="19392" count="166">
        <n v="9004"/>
        <n v="11900"/>
        <n v="9900"/>
        <n v="9912"/>
        <n v="7272"/>
        <n v="8408"/>
        <n v="5644"/>
        <n v="10408"/>
        <n v="14108"/>
        <n v="12652"/>
        <n v="12292"/>
        <n v="6704"/>
        <n v="11808"/>
        <n v="10012"/>
        <n v="14360"/>
        <n v="12651"/>
        <n v="8352"/>
        <n v="13796"/>
        <n v="6956"/>
        <n v="14308"/>
        <n v="6912"/>
        <n v="9652"/>
        <n v="11184"/>
        <n v="12500"/>
        <n v="16504"/>
        <n v="0"/>
        <n v="6132"/>
        <n v="1284"/>
        <n v="14096"/>
        <n v="14524"/>
        <n v="15200"/>
        <n v="13736"/>
        <n v="12964"/>
        <n v="16320"/>
        <n v="17088"/>
        <n v="5116"/>
        <n v="16008"/>
        <n v="2068"/>
        <n v="10004"/>
        <n v="11468"/>
        <n v="1604"/>
        <n v="6116"/>
        <n v="10580"/>
        <n v="2772"/>
        <n v="13916"/>
        <n v="5411"/>
        <n v="13263"/>
        <n v="11410"/>
        <n v="9196"/>
        <n v="680"/>
        <n v="12708"/>
        <n v="6740"/>
        <n v="3084"/>
        <n v="11008"/>
        <n v="15736"/>
        <n v="9728"/>
        <n v="4400"/>
        <n v="8984"/>
        <n v="12184"/>
        <n v="10500"/>
        <n v="9140"/>
        <n v="7816"/>
        <n v="12300"/>
        <n v="4196"/>
        <n v="11348"/>
        <n v="10804"/>
        <n v="10280"/>
        <n v="12780"/>
        <n v="6883"/>
        <n v="10312"/>
        <n v="11360"/>
        <n v="2324"/>
        <n v="1864"/>
        <n v="7622"/>
        <n v="7828"/>
        <n v="10746"/>
        <n v="14152"/>
        <n v="9153"/>
        <n v="16724"/>
        <n v="3948"/>
        <n v="4515"/>
        <n v="11884"/>
        <n v="12450"/>
        <n v="13607"/>
        <n v="15040"/>
        <n v="8448"/>
        <n v="11683"/>
        <n v="12320"/>
        <n v="19392"/>
        <n v="10784"/>
        <n v="1556"/>
        <n v="8852"/>
        <n v="15096"/>
        <n v="11191"/>
        <n v="7538"/>
        <n v="12424"/>
        <n v="7004"/>
        <n v="6628"/>
        <n v="10620"/>
        <n v="12575"/>
        <n v="17220"/>
        <n v="14800"/>
        <n v="10508"/>
        <n v="9632"/>
        <n v="16612"/>
        <n v="3340"/>
        <n v="17292"/>
        <n v="14944"/>
        <n v="396"/>
        <n v="11988"/>
        <n v="12047"/>
        <n v="16175"/>
        <n v="1092"/>
        <n v="15412"/>
        <n v="11696"/>
        <n v="9636"/>
        <n v="3395"/>
        <n v="4612"/>
        <n v="16792"/>
        <n v="7126"/>
        <n v="12176"/>
        <n v="14274"/>
        <n v="13388"/>
        <n v="1895"/>
        <n v="15812"/>
        <n v="1919"/>
        <n v="10088"/>
        <n v="15723"/>
        <n v="10498"/>
        <n v="9439"/>
        <n v="8603"/>
        <n v="1404"/>
        <n v="5800"/>
        <n v="4512"/>
        <n v="13884"/>
        <n v="1488"/>
        <n v="9680"/>
        <n v="3048"/>
        <n v="15660"/>
        <n v="11593"/>
        <n v="14644"/>
        <n v="9152"/>
        <n v="6000"/>
        <n v="5384"/>
        <n v="14592"/>
        <n v="15248" u="1"/>
        <n v="18300" u="1"/>
        <n v="8048" u="1"/>
        <n v="128" u="1"/>
        <n v="7383" u="1"/>
        <n v="10864" u="1"/>
        <n v="1176" u="1"/>
        <n v="12395" u="1"/>
        <n v="12892" u="1"/>
        <n v="8728" u="1"/>
        <n v="14408" u="1"/>
        <n v="10016" u="1"/>
        <n v="14276" u="1"/>
        <n v="10944" u="1"/>
        <n v="14580" u="1"/>
        <n v="7344" u="1"/>
        <n v="7988" u="1"/>
        <n v="2800" u="1"/>
        <n v="9812" u="1"/>
        <n v="16872" u="1"/>
        <n v="15568" u="1"/>
      </sharedItems>
    </cacheField>
    <cacheField name="NETTHREADID" numFmtId="0" sqlType="6">
      <sharedItems containsSemiMixedTypes="0" containsString="0" containsNumber="1" containsInteger="1" minValue="0" maxValue="19180"/>
    </cacheField>
    <cacheField name="TO_CHAR(CLIENTSTART,'YYYY-MM-DD-HH24:MI')" numFmtId="0" sqlType="12">
      <sharedItems/>
    </cacheField>
    <cacheField name="MSER" numFmtId="0" sqlType="6">
      <sharedItems containsMixedTypes="1" containsNumber="1" minValue="-1.5764337033033399E-2" maxValue="5.72346819596937E+20"/>
    </cacheField>
    <cacheField name="POS" numFmtId="0" sqlType="6">
      <sharedItems containsSemiMixedTypes="0" containsString="0" containsNumber="1" containsInteger="1" minValue="0" maxValue="15091"/>
    </cacheField>
    <cacheField name="POSLABEL" numFmtId="0" sqlType="12">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15" count="16">
        <n v="0"/>
        <n v="1"/>
        <n v="2"/>
        <n v="3"/>
        <n v="8"/>
        <n v="9"/>
        <n v="10"/>
        <n v="11"/>
        <n v="12"/>
        <n v="13"/>
        <n v="14"/>
        <n v="15"/>
        <n v="4"/>
        <n v="5"/>
        <n v="6"/>
        <n v="7"/>
      </sharedItems>
    </cacheField>
    <cacheField name="WTLEVEL" numFmtId="0" sqlType="6">
      <sharedItems containsSemiMixedTypes="0" containsString="0" containsNumber="1" containsInteger="1" minValue="-1" maxValue="4" count="6">
        <n v="-1"/>
        <n v="0"/>
        <n v="2"/>
        <n v="3"/>
        <n v="4"/>
        <n v="1"/>
      </sharedItems>
    </cacheField>
    <cacheField name="ACTUALTRS" numFmtId="0" sqlType="6">
      <sharedItems containsBlank="1" containsMixedTypes="1" containsNumber="1" minValue="-98426929152" maxValue="277132.84375"/>
    </cacheField>
    <cacheField name="PREDICTEDTRS" numFmtId="0" sqlType="6">
      <sharedItems containsBlank="1" containsMixedTypes="1" containsNumber="1" minValue="-25852174336" maxValue="111.414024353027"/>
    </cacheField>
    <cacheField name="ABS(ACTUALTRS-PREDICTEDTRS)" numFmtId="0" sqlType="6">
      <sharedItems containsBlank="1" containsMixedTypes="1" containsNumber="1" minValue="0" maxValue="98426929151.608459"/>
    </cacheField>
    <cacheField name="ACTUALTR" numFmtId="0" sqlType="6">
      <sharedItems containsString="0" containsBlank="1" containsNumber="1" minValue="-431602080" maxValue="2925.13427734375"/>
    </cacheField>
    <cacheField name="PREDICTEDTR" numFmtId="0" sqlType="6">
      <sharedItems containsBlank="1" containsMixedTypes="1" containsNumber="1" minValue="-431602080" maxValue="62.9709663391113"/>
    </cacheField>
    <cacheField name="ABS(ACTUALTR-PREDICTEDTR)" numFmtId="0" sqlType="6">
      <sharedItems containsBlank="1" containsMixedTypes="1" containsNumber="1" minValue="0" maxValue="431602080.01940316"/>
    </cacheField>
    <cacheField name="ACTUALBASE" numFmtId="0" sqlType="6">
      <sharedItems containsString="0" containsBlank="1" containsNumber="1" minValue="-863204160" maxValue="3767"/>
    </cacheField>
    <cacheField name="PREDICTEDBASE" numFmtId="0" sqlType="6">
      <sharedItems containsBlank="1" containsMixedTypes="1" containsNumber="1" minValue="-2158020352" maxValue="3754.45849609375"/>
    </cacheField>
    <cacheField name="ABS(ACTUALBASE-PREDICTEDBASE)" numFmtId="0" sqlType="6">
      <sharedItems containsString="0" containsBlank="1" containsNumber="1" minValue="0" maxValue="431602081.1897100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806.937913888891" createdVersion="5" refreshedVersion="5" minRefreshableVersion="3" recordCount="22734">
  <cacheSource type="external" connectionId="5"/>
  <cacheFields count="7">
    <cacheField name="SIMULATIONID" numFmtId="0" sqlType="6">
      <sharedItems containsSemiMixedTypes="0" containsString="0" containsNumber="1" containsInteger="1" minValue="1" maxValue="31809" count="88">
        <n v="1000"/>
        <n v="6"/>
        <n v="69"/>
        <n v="10"/>
        <n v="83"/>
        <n v="13"/>
        <n v="543"/>
        <n v="17"/>
        <n v="123"/>
        <n v="9000"/>
        <n v="14"/>
        <n v="982"/>
        <n v="654"/>
        <n v="444"/>
        <n v="777"/>
        <n v="16"/>
        <n v="71"/>
        <n v="22"/>
        <n v="5"/>
        <n v="99"/>
        <n v="31809"/>
        <n v="5000"/>
        <n v="997"/>
        <n v="998"/>
        <n v="2375"/>
        <n v="2"/>
        <n v="800"/>
        <n v="13669"/>
        <n v="30"/>
        <n v="22267"/>
        <n v="182"/>
        <n v="70"/>
        <n v="3"/>
        <n v="20"/>
        <n v="40"/>
        <n v="760"/>
        <n v="990"/>
        <n v="970"/>
        <n v="321"/>
        <n v="1"/>
        <n v="801"/>
        <n v="7"/>
        <n v="1001"/>
        <n v="2290"/>
        <n v="600"/>
        <n v="80"/>
        <n v="2000"/>
        <n v="19"/>
        <n v="50"/>
        <n v="16759"/>
        <n v="110"/>
        <n v="81"/>
        <n v="77"/>
        <n v="82"/>
        <n v="90"/>
        <n v="555"/>
        <n v="400"/>
        <n v="865"/>
        <n v="95" u="1"/>
        <n v="94" u="1"/>
        <n v="32" u="1"/>
        <n v="9" u="1"/>
        <n v="66" u="1"/>
        <n v="51" u="1"/>
        <n v="12" u="1"/>
        <n v="888" u="1"/>
        <n v="727" u="1"/>
        <n v="31" u="1"/>
        <n v="21" u="1"/>
        <n v="89" u="1"/>
        <n v="88" u="1"/>
        <n v="15" u="1"/>
        <n v="4" u="1"/>
        <n v="101" u="1"/>
        <n v="49" u="1"/>
        <n v="87" u="1"/>
        <n v="100" u="1"/>
        <n v="86" u="1"/>
        <n v="48" u="1"/>
        <n v="8" u="1"/>
        <n v="85" u="1"/>
        <n v="98" u="1"/>
        <n v="84" u="1"/>
        <n v="999" u="1"/>
        <n v="97" u="1"/>
        <n v="726" u="1"/>
        <n v="96" u="1"/>
        <n v="11" u="1"/>
      </sharedItems>
    </cacheField>
    <cacheField name="PROCESSID" numFmtId="0" sqlType="6">
      <sharedItems containsSemiMixedTypes="0" containsString="0" containsNumber="1" containsInteger="1" minValue="32" maxValue="89824" count="844">
        <n v="396"/>
        <n v="436"/>
        <n v="680"/>
        <n v="876"/>
        <n v="1092"/>
        <n v="1284"/>
        <n v="1387"/>
        <n v="1404"/>
        <n v="1468"/>
        <n v="1488"/>
        <n v="1556"/>
        <n v="1676"/>
        <n v="1700"/>
        <n v="1864"/>
        <n v="1895"/>
        <n v="1919"/>
        <n v="2068"/>
        <n v="2236"/>
        <n v="2324"/>
        <n v="2332"/>
        <n v="2448"/>
        <n v="2772"/>
        <n v="2791"/>
        <n v="3048"/>
        <n v="3084"/>
        <n v="3296"/>
        <n v="3340"/>
        <n v="3395"/>
        <n v="3424"/>
        <n v="3439"/>
        <n v="3464"/>
        <n v="3948"/>
        <n v="4196"/>
        <n v="4400"/>
        <n v="4512"/>
        <n v="4515"/>
        <n v="4612"/>
        <n v="5116"/>
        <n v="5248"/>
        <n v="5384"/>
        <n v="5388"/>
        <n v="5411"/>
        <n v="5412"/>
        <n v="5644"/>
        <n v="5747"/>
        <n v="5800"/>
        <n v="5808"/>
        <n v="6000"/>
        <n v="6096"/>
        <n v="6116"/>
        <n v="6132"/>
        <n v="6168"/>
        <n v="6232"/>
        <n v="6628"/>
        <n v="6635"/>
        <n v="6704"/>
        <n v="6740"/>
        <n v="6883"/>
        <n v="6912"/>
        <n v="6952"/>
        <n v="6956"/>
        <n v="6991"/>
        <n v="6992"/>
        <n v="7004"/>
        <n v="7126"/>
        <n v="7272"/>
        <n v="7304"/>
        <n v="7364"/>
        <n v="7487"/>
        <n v="7538"/>
        <n v="7622"/>
        <n v="7692"/>
        <n v="7816"/>
        <n v="7828"/>
        <n v="8352"/>
        <n v="8408"/>
        <n v="8448"/>
        <n v="8603"/>
        <n v="8852"/>
        <n v="8984"/>
        <n v="9004"/>
        <n v="9136"/>
        <n v="9140"/>
        <n v="9153"/>
        <n v="9196"/>
        <n v="9439"/>
        <n v="9504"/>
        <n v="9632"/>
        <n v="9636"/>
        <n v="9652"/>
        <n v="9680"/>
        <n v="9728"/>
        <n v="9804"/>
        <n v="9900"/>
        <n v="9912"/>
        <n v="10004"/>
        <n v="10012"/>
        <n v="10064"/>
        <n v="10088"/>
        <n v="10280"/>
        <n v="10312"/>
        <n v="10408"/>
        <n v="10498"/>
        <n v="10500"/>
        <n v="10508"/>
        <n v="10580"/>
        <n v="10620"/>
        <n v="10704"/>
        <n v="10746"/>
        <n v="10760"/>
        <n v="10784"/>
        <n v="10804"/>
        <n v="11008"/>
        <n v="11116"/>
        <n v="11180"/>
        <n v="11184"/>
        <n v="11191"/>
        <n v="11348"/>
        <n v="11360"/>
        <n v="11410"/>
        <n v="11419"/>
        <n v="11452"/>
        <n v="11468"/>
        <n v="11593"/>
        <n v="11683"/>
        <n v="11692"/>
        <n v="11696"/>
        <n v="11721"/>
        <n v="11808"/>
        <n v="11884"/>
        <n v="11900"/>
        <n v="11956"/>
        <n v="11988"/>
        <n v="11992"/>
        <n v="12047"/>
        <n v="12120"/>
        <n v="12176"/>
        <n v="12184"/>
        <n v="12292"/>
        <n v="12300"/>
        <n v="12320"/>
        <n v="12424"/>
        <n v="12450"/>
        <n v="12500"/>
        <n v="12575"/>
        <n v="12651"/>
        <n v="12652"/>
        <n v="12656"/>
        <n v="12708"/>
        <n v="12780"/>
        <n v="12964"/>
        <n v="13263"/>
        <n v="13388"/>
        <n v="13552"/>
        <n v="13607"/>
        <n v="13736"/>
        <n v="13796"/>
        <n v="13869"/>
        <n v="13884"/>
        <n v="13916"/>
        <n v="14096"/>
        <n v="14108"/>
        <n v="14152"/>
        <n v="14180"/>
        <n v="14274"/>
        <n v="14308"/>
        <n v="14360"/>
        <n v="14524"/>
        <n v="14592"/>
        <n v="14644"/>
        <n v="14760"/>
        <n v="14800"/>
        <n v="14944"/>
        <n v="15040"/>
        <n v="15096"/>
        <n v="15120"/>
        <n v="15200"/>
        <n v="15404"/>
        <n v="15412"/>
        <n v="15628"/>
        <n v="15660"/>
        <n v="15723"/>
        <n v="15736"/>
        <n v="15812"/>
        <n v="15888"/>
        <n v="16008"/>
        <n v="16108"/>
        <n v="16175"/>
        <n v="16320"/>
        <n v="16504"/>
        <n v="16608"/>
        <n v="16612"/>
        <n v="16724"/>
        <n v="16747"/>
        <n v="16748"/>
        <n v="16792"/>
        <n v="17064"/>
        <n v="17088"/>
        <n v="17220"/>
        <n v="17292"/>
        <n v="17380"/>
        <n v="17528"/>
        <n v="17744"/>
        <n v="18240"/>
        <n v="18388"/>
        <n v="18500"/>
        <n v="18584"/>
        <n v="19392"/>
        <n v="8816" u="1"/>
        <n v="7464" u="1"/>
        <n v="10124" u="1"/>
        <n v="3700" u="1"/>
        <n v="10912" u="1"/>
        <n v="6495" u="1"/>
        <n v="2140" u="1"/>
        <n v="8312" u="1"/>
        <n v="1964" u="1"/>
        <n v="7472" u="1"/>
        <n v="4935" u="1"/>
        <n v="6692" u="1"/>
        <n v="6172" u="1"/>
        <n v="1444" u="1"/>
        <n v="9163" u="1"/>
        <n v="5392" u="1"/>
        <n v="9620" u="1"/>
        <n v="1184" u="1"/>
        <n v="4352" u="1"/>
        <n v="3964" u="1"/>
        <n v="11448" u="1"/>
        <n v="7283" u="1"/>
        <n v="9888" u="1"/>
        <n v="9368" u="1"/>
        <n v="1836" u="1"/>
        <n v="1576" u="1"/>
        <n v="5920" u="1"/>
        <n v="10156" u="1"/>
        <n v="4620" u="1"/>
        <n v="4100" u="1"/>
        <n v="15624" u="1"/>
        <n v="10944" u="1"/>
        <n v="2408" u="1"/>
        <n v="8864" u="1"/>
        <n v="2148" u="1"/>
        <n v="8344" u="1"/>
        <n v="5731" u="1"/>
        <n v="7228" u="1"/>
        <n v="6448" u="1"/>
        <n v="10172" u="1"/>
        <n v="4888" u="1"/>
        <n v="3972" u="1"/>
        <n v="2932" u="1"/>
        <n v="10960" u="1"/>
        <n v="9400" u="1"/>
        <n v="6976" u="1"/>
        <n v="18300" u="1"/>
        <n v="11228" u="1"/>
        <n v="4896" u="1"/>
        <n v="1060" u="1"/>
        <n v="3976" u="1"/>
        <n v="240" u="1"/>
        <n v="5353" u="1"/>
        <n v="14616" u="1"/>
        <n v="3456" u="1"/>
        <n v="2676" u="1"/>
        <n v="2416" u="1"/>
        <n v="8896" u="1"/>
        <n v="7504" u="1"/>
        <n v="12284" u="1"/>
        <n v="5944" u="1"/>
        <n v="9952" u="1"/>
        <n v="8912" u="1"/>
        <n v="7512" u="1"/>
        <n v="7252" u="1"/>
        <n v="12820" u="1"/>
        <n v="5692" u="1"/>
        <n v="10220" u="1"/>
        <n v="1259" u="1"/>
        <n v="4912" u="1"/>
        <n v="9700" u="1"/>
        <n v="3724" u="1"/>
        <n v="14648" u="1"/>
        <n v="9448" u="1"/>
        <n v="8928" u="1"/>
        <n v="1976" u="1"/>
        <n v="7520" u="1"/>
        <n v="7260" u="1"/>
        <n v="5960" u="1"/>
        <n v="11276" u="1"/>
        <n v="5440" u="1"/>
        <n v="10236" u="1"/>
        <n v="9716" u="1"/>
        <n v="4140" u="1"/>
        <n v="13167" u="1"/>
        <n v="3468" u="1"/>
        <n v="2168" u="1"/>
        <n v="8048" u="1"/>
        <n v="7268" u="1"/>
        <n v="12395" u="1"/>
        <n v="6748" u="1"/>
        <n v="13372" u="1"/>
        <n v="6488" u="1"/>
        <n v="1328" u="1"/>
        <n v="4928" u="1"/>
        <n v="8692" u="1"/>
        <n v="1068" u="1"/>
        <n v="14160" u="1"/>
        <n v="6882" u="1"/>
        <n v="10000" u="1"/>
        <n v="1980" u="1"/>
        <n v="7796" u="1"/>
        <n v="7536" u="1"/>
        <n v="6496" u="1"/>
        <n v="11308" u="1"/>
        <n v="5196" u="1"/>
        <n v="4936" u="1"/>
        <n v="8708" u="1"/>
        <n v="17168" u="1"/>
        <n v="3736" u="1"/>
        <n v="3476" u="1"/>
        <n v="10016" u="1"/>
        <n v="2436" u="1"/>
        <n v="6827" u="1"/>
        <n v="2176" u="1"/>
        <n v="6307" u="1"/>
        <n v="8456" u="1"/>
        <n v="8064" u="1"/>
        <n v="7284" u="1"/>
        <n v="6764" u="1"/>
        <n v="13404" u="1"/>
        <n v="4684" u="1"/>
        <n v="4164" u="1"/>
        <n v="3740" u="1"/>
        <n v="8135" u="1"/>
        <n v="73624" u="1"/>
        <n v="8992" u="1"/>
        <n v="528" u="1"/>
        <n v="8072" u="1"/>
        <n v="5992" u="1"/>
        <n v="5732" u="1"/>
        <n v="5212" u="1"/>
        <n v="9780" u="1"/>
        <n v="9260" u="1"/>
        <n v="17232" u="1"/>
        <n v="984" u="1"/>
        <n v="15248" u="1"/>
        <n v="13688" u="1"/>
        <n v="12128" u="1"/>
        <n v="2444" u="1"/>
        <n v="9528" u="1"/>
        <n v="128" u="1"/>
        <n v="7820" u="1"/>
        <n v="488" u="1"/>
        <n v="14476" u="1"/>
        <n v="6780" u="1"/>
        <n v="6260" u="1"/>
        <n v="10836" u="1"/>
        <n v="1336" u="1"/>
        <n v="8236" u="1"/>
        <n v="3748" u="1"/>
        <n v="11167" u="1"/>
        <n v="3228" u="1"/>
        <n v="10584" u="1"/>
        <n v="17800" u="1"/>
        <n v="7568" u="1"/>
        <n v="12932" u="1"/>
        <n v="12412" u="1"/>
        <n v="5748" u="1"/>
        <n v="9812" u="1"/>
        <n v="8252" u="1"/>
        <n v="4012" u="1"/>
        <n v="12160" u="1"/>
        <n v="2712" u="1"/>
        <n v="10600" u="1"/>
        <n v="10080" u="1"/>
        <n v="9560" u="1"/>
        <n v="596" u="1"/>
        <n v="7316" u="1"/>
        <n v="12491" u="1"/>
        <n v="6796" u="1"/>
        <n v="11908" u="1"/>
        <n v="1340" u="1"/>
        <n v="10348" u="1"/>
        <n v="4456" u="1"/>
        <n v="8788" u="1"/>
        <n v="15296" u="1"/>
        <n v="3756" u="1"/>
        <n v="9056" u="1"/>
        <n v="532" u="1"/>
        <n v="7064" u="1"/>
        <n v="1732" u="1"/>
        <n v="6804" u="1"/>
        <n v="13484" u="1"/>
        <n v="5764" u="1"/>
        <n v="11404" u="1"/>
        <n v="10364" u="1"/>
        <n v="1212" u="1"/>
        <n v="4464" u="1"/>
        <n v="8804" u="1"/>
        <n v="13232" u="1"/>
        <n v="11672" u="1"/>
        <n v="9592" u="1"/>
        <n v="7072" u="1"/>
        <n v="6552" u="1"/>
        <n v="96" u="1"/>
        <n v="360" u="1"/>
        <n v="1344" u="1"/>
        <n v="5252" u="1"/>
        <n v="8820" u="1"/>
        <n v="8300" u="1"/>
        <n v="3244" u="1"/>
        <n v="2984" u="1"/>
        <n v="7403" u="1"/>
        <n v="7860" u="1"/>
        <n v="1736" u="1"/>
        <n v="11436" u="1"/>
        <n v="5000" u="1"/>
        <n v="9356" u="1"/>
        <n v="4028" u="1"/>
        <n v="14304" u="1"/>
        <n v="10664" u="1"/>
        <n v="10144" u="1"/>
        <n v="2468" u="1"/>
        <n v="9104" u="1"/>
        <n v="7868" u="1"/>
        <n v="7088" u="1"/>
        <n v="6828" u="1"/>
        <n v="1608" u="1"/>
        <n v="6048" u="1"/>
        <n v="11972" u="1"/>
        <n v="10932" u="1"/>
        <n v="9892" u="1"/>
        <n v="9372" u="1"/>
        <n v="4228" u="1"/>
        <n v="14840" u="1"/>
        <n v="796" u="1"/>
        <n v="2472" u="1"/>
        <n v="9120" u="1"/>
        <n v="8600" u="1"/>
        <n v="7876" u="1"/>
        <n v="7616" u="1"/>
        <n v="6316" u="1"/>
        <n v="5796" u="1"/>
        <n v="4756" u="1"/>
        <n v="264" u="1"/>
        <n v="11736" u="1"/>
        <n v="8144" u="1"/>
        <n v="7884" u="1"/>
        <n v="7104" u="1"/>
        <n v="13044" u="1"/>
        <n v="5284" u="1"/>
        <n v="8364" u="1"/>
        <n v="3780" u="1"/>
        <n v="9152" u="1"/>
        <n v="8632" u="1"/>
        <n v="15140" u="1"/>
        <n v="1484" u="1"/>
        <n v="5812" u="1"/>
        <n v="10460" u="1"/>
        <n v="8380" u="1"/>
        <n v="3264" u="1"/>
        <n v="6860" u="1"/>
        <n v="5820" u="1"/>
        <n v="5040" u="1"/>
        <n v="8396" u="1"/>
        <n v="3528" u="1"/>
        <n v="8270" u="1"/>
        <n v="9184" u="1"/>
        <n v="8168" u="1"/>
        <n v="2008" u="1"/>
        <n v="7908" u="1"/>
        <n v="7648" u="1"/>
        <n v="1748" u="1"/>
        <n v="6608" u="1"/>
        <n v="11532" u="1"/>
        <n v="5568" u="1"/>
        <n v="4052" u="1"/>
        <n v="12903" u="1"/>
        <n v="7719" u="1"/>
        <n v="9720" u="1"/>
        <n v="7656" u="1"/>
        <n v="14148" u="1"/>
        <n v="12068" u="1"/>
        <n v="3276" u="1"/>
        <n v="6364" u="1"/>
        <n v="5844" u="1"/>
        <n v="4804" u="1"/>
        <n v="9484" u="1"/>
        <n v="8444" u="1"/>
        <n v="3800" u="1"/>
        <n v="3540" u="1"/>
        <n v="10272" u="1"/>
        <n v="6955" u="1"/>
        <n v="9752" u="1"/>
        <n v="9232" u="1"/>
        <n v="6435" u="1"/>
        <n v="6892" u="1"/>
        <n v="13140" u="1"/>
        <n v="1624" u="1"/>
        <n v="6112" u="1"/>
        <n v="10540" u="1"/>
        <n v="4812" u="1"/>
        <n v="4064" u="1"/>
        <n v="13928" u="1"/>
        <n v="12888" u="1"/>
        <n v="9768" u="1"/>
        <n v="9248" u="1"/>
        <n v="8728" u="1"/>
        <n v="544" u="1"/>
        <n v="8208" u="1"/>
        <n v="6640" u="1"/>
        <n v="5340" u="1"/>
        <n v="5080" u="1"/>
        <n v="10036" u="1"/>
        <n v="1236" u="1"/>
        <n v="8996" u="1"/>
        <n v="3288" u="1"/>
        <n v="11864" u="1"/>
        <n v="10304" u="1"/>
        <n v="9784" u="1"/>
        <n v="8744" u="1"/>
        <n v="7688" u="1"/>
        <n v="6648" u="1"/>
        <n v="13172" u="1"/>
        <n v="18028" u="1"/>
        <n v="11612" u="1"/>
        <n v="10572" u="1"/>
        <n v="10052" u="1"/>
        <n v="8492" u="1"/>
        <n v="3812" u="1"/>
        <n v="11880" u="1"/>
        <n v="32" u="1"/>
        <n v="7176" u="1"/>
        <n v="6396" u="1"/>
        <n v="5616" u="1"/>
        <n v="5356" u="1"/>
        <n v="9548" u="1"/>
        <n v="8508" u="1"/>
        <n v="3816" u="1"/>
        <n v="13976" u="1"/>
        <n v="9816" u="1"/>
        <n v="2256" u="1"/>
        <n v="7444" u="1"/>
        <n v="6924" u="1"/>
        <n v="6664" u="1"/>
        <n v="9044" u="1"/>
        <n v="8524" u="1"/>
        <n v="3560" u="1"/>
        <n v="11912" u="1"/>
        <n v="9832" u="1"/>
        <n v="9312" u="1"/>
        <n v="548" u="1"/>
        <n v="15820" u="1"/>
        <n v="7192" u="1"/>
        <n v="6932" u="1"/>
        <n v="6152" u="1"/>
        <n v="5892" u="1"/>
        <n v="11140" u="1"/>
        <n v="5372" u="1"/>
        <n v="9580" u="1"/>
        <n v="8540" u="1"/>
        <n v="15568" u="1"/>
        <n v="61028" u="1"/>
        <n v="11408" u="1"/>
        <n v="5246" u="1"/>
        <n v="2524" u="1"/>
        <n v="9848" u="1"/>
        <n v="7980" u="1"/>
        <n v="7460" u="1"/>
        <n v="14276" u="1"/>
        <n v="8556" u="1"/>
        <n v="47036" u="1"/>
        <n v="2528" u="1"/>
        <n v="9344" u="1"/>
        <n v="8304" u="1"/>
        <n v="7988" u="1"/>
        <n v="5648" u="1"/>
        <n v="8572" u="1"/>
        <n v="3832" u="1"/>
        <n v="14040" u="1"/>
        <n v="7476" u="1"/>
        <n v="6176" u="1"/>
        <n v="5656" u="1"/>
        <n v="5396" u="1"/>
        <n v="9628" u="1"/>
        <n v="4616" u="1"/>
        <n v="3576" u="1"/>
        <n v="10479" u="1"/>
        <n v="3056" u="1"/>
        <n v="10936" u="1"/>
        <n v="2536" u="1"/>
        <n v="9896" u="1"/>
        <n v="8856" u="1"/>
        <n v="7484" u="1"/>
        <n v="1772" u="1"/>
        <n v="1252" u="1"/>
        <n v="9644" u="1"/>
        <n v="9124" u="1"/>
        <n v="2800" u="1"/>
        <n v="10952" u="1"/>
        <n v="2280" u="1"/>
        <n v="8012" u="1"/>
        <n v="3907" u="1"/>
        <n v="7232" u="1"/>
        <n v="6712" u="1"/>
        <n v="5932" u="1"/>
        <n v="11740" u="1"/>
        <n v="4112" u="1"/>
        <n v="944" u="1"/>
        <n v="13568" u="1"/>
        <n v="10968" u="1"/>
        <n v="8888" u="1"/>
        <n v="7760" u="1"/>
        <n v="6460" u="1"/>
        <n v="1516" u="1"/>
        <n v="5940" u="1"/>
        <n v="11756" u="1"/>
        <n v="10196" u="1"/>
        <n v="8636" u="1"/>
        <n v="232" u="1"/>
        <n v="14104" u="1"/>
        <n v="880" u="1"/>
        <n v="3068" u="1"/>
        <n v="1908" u="1"/>
        <n v="6208" u="1"/>
        <n v="5688" u="1"/>
        <n v="1388" u="1"/>
        <n v="8195" u="1"/>
        <n v="9172" u="1"/>
        <n v="13080" u="1"/>
        <n v="7256" u="1"/>
        <n v="13868" u="1"/>
        <n v="11268" u="1"/>
        <n v="5176" u="1"/>
        <n v="10228" u="1"/>
        <n v="8668" u="1"/>
        <n v="13096" u="1"/>
        <n v="3076" u="1"/>
        <n v="9976" u="1"/>
        <n v="9456" u="1"/>
        <n v="7524" u="1"/>
        <n v="7264" u="1"/>
        <n v="5704" u="1"/>
        <n v="1132" u="1"/>
        <n v="3860" u="1"/>
        <n v="8952" u="1"/>
        <n v="8432" u="1"/>
        <n v="2044" u="1"/>
        <n v="8052" u="1"/>
        <n v="7532" u="1"/>
        <n v="10780" u="1"/>
        <n v="10260" u="1"/>
        <n v="1264" u="1"/>
        <n v="4152" u="1"/>
        <n v="2564" u="1"/>
        <n v="10008" u="1"/>
        <n v="624" u="1"/>
        <n v="9488" u="1"/>
        <n v="7020" u="1"/>
        <n v="11836" u="1"/>
        <n v="10796" u="1"/>
        <n v="9236" u="1"/>
        <n v="4160" u="1"/>
        <n v="3088" u="1"/>
        <n v="10544" u="1"/>
        <n v="560" u="1"/>
        <n v="7808" u="1"/>
        <n v="6508" u="1"/>
        <n v="12892" u="1"/>
        <n v="10355" u="1"/>
        <n v="3352" u="1"/>
        <n v="12640" u="1"/>
        <n v="89824" u="1"/>
        <n v="9063" u="1"/>
        <n v="10560" u="1"/>
        <n v="8480" u="1"/>
        <n v="7296" u="1"/>
        <n v="5216" u="1"/>
        <n v="10308" u="1"/>
        <n v="9788" u="1"/>
        <n v="4696" u="1"/>
        <n v="8748" u="1"/>
        <n v="3616" u="1"/>
        <n v="14216" u="1"/>
        <n v="6587" u="1"/>
        <n v="8084" u="1"/>
        <n v="1792" u="1"/>
        <n v="6784" u="1"/>
        <n v="6264" u="1"/>
        <n v="8244" u="1"/>
        <n v="3880" u="1"/>
        <n v="13192" u="1"/>
        <n v="3100" u="1"/>
        <n v="11632" u="1"/>
        <n v="10592" u="1"/>
        <n v="2580" u="1"/>
        <n v="1924" u="1"/>
        <n v="6792" u="1"/>
        <n v="5752" u="1"/>
        <n v="2844" u="1"/>
        <n v="7383" u="1"/>
        <n v="9568" u="1"/>
        <n v="9048" u="1"/>
        <n v="2064" u="1"/>
        <n v="7580" u="1"/>
        <n v="12956" u="1"/>
        <n v="4980" u="1"/>
        <n v="9836" u="1"/>
        <n v="2848" u="1"/>
        <n v="10104" u="1"/>
        <n v="6548" u="1"/>
        <n v="5768" u="1"/>
        <n v="1408" u="1"/>
        <n v="3892" u="1"/>
        <n v="956" u="1"/>
        <n v="14280" u="1"/>
        <n v="10120" u="1"/>
        <n v="16872" u="1"/>
        <n v="6556" u="1"/>
        <n v="6296" u="1"/>
        <n v="5776" u="1"/>
        <n v="8308" u="1"/>
        <n v="14296" u="1"/>
        <n v="10136" u="1"/>
        <n v="8576" u="1"/>
        <n v="8124" u="1"/>
        <n v="7344" u="1"/>
        <n v="6564" u="1"/>
        <n v="5004" u="1"/>
        <n v="9884" u="1"/>
        <n v="8324" u="1"/>
        <n v="15352" u="1"/>
        <n v="3120" u="1"/>
        <n v="7415" u="1"/>
        <n v="10152" u="1"/>
        <n v="8592" u="1"/>
        <n v="8132" u="1"/>
        <n v="7612" u="1"/>
        <n v="14580" u="1"/>
        <n v="11460" u="1"/>
        <n v="5532" u="1"/>
        <n v="10420" u="1"/>
        <n v="9380" u="1"/>
        <n v="12831" u="1"/>
        <n v="12768" u="1"/>
        <n v="2864" u="1"/>
        <n v="2344" u="1"/>
        <n v="8140" u="1"/>
        <n v="1936" u="1"/>
        <n v="7620" u="1"/>
        <n v="7360" u="1"/>
        <n v="6320" u="1"/>
        <n v="1416" u="1"/>
        <n v="8356" u="1"/>
        <n v="11744" u="1"/>
        <n v="6651" u="1"/>
        <n v="8624" u="1"/>
        <n v="8148" u="1"/>
        <n v="7888" u="1"/>
        <n v="7628" u="1"/>
        <n v="476" u="1"/>
        <n v="1548" u="1"/>
        <n v="12012" u="1"/>
        <n v="10972" u="1"/>
        <n v="8892" u="1"/>
        <n v="8372" u="1"/>
        <n v="2872" u="1"/>
        <n v="7636" u="1"/>
        <n v="7376" u="1"/>
        <n v="444" u="1"/>
        <n v="6856" u="1"/>
        <n v="9948" u="1"/>
        <n v="8199" u="1"/>
        <n v="9176" u="1"/>
        <n v="8164" u="1"/>
        <n v="11004" u="1"/>
        <n v="5304" u="1"/>
        <n v="4264" u="1"/>
        <n v="3400" u="1"/>
        <n v="3140" u="1"/>
        <n v="2620" u="1"/>
        <n v="10232" u="1"/>
        <n v="2100" u="1"/>
        <n v="8172" u="1"/>
        <n v="7912" u="1"/>
        <n v="6092" u="1"/>
        <n v="1164" u="1"/>
        <n v="8420" u="1"/>
        <n v="14408" u="1"/>
        <n v="3144" u="1"/>
        <n v="9208" u="1"/>
        <n v="6880" u="1"/>
        <n v="12076" u="1"/>
        <n v="9996" u="1"/>
        <n v="13652" u="1"/>
        <n v="13132" u="1"/>
        <n v="5848" u="1"/>
        <n v="8972" u="1"/>
        <n v="8200" u="1"/>
        <n v="7936" u="1"/>
        <n v="7156" u="1"/>
        <n v="5856" u="1"/>
        <n v="11588" u="1"/>
        <n v="11068" u="1"/>
        <n v="8531" u="1"/>
        <n v="5076" u="1"/>
        <n v="9508" u="1"/>
        <n v="8988" u="1"/>
        <n v="8216" u="1"/>
        <n v="7944" u="1"/>
        <n v="6644" u="1"/>
        <n v="6384" u="1"/>
        <n v="5084" u="1"/>
        <n v="10044" u="1"/>
        <n v="42336" u="1"/>
        <n v="13306" u="1"/>
        <n v="2707" u="1"/>
        <n v="8500" u="1"/>
        <n v="10328" u="1"/>
        <n v="9288" u="1"/>
        <n v="7440" u="1"/>
        <n v="6920" u="1"/>
        <n v="6400" u="1"/>
        <n v="17036" u="1"/>
        <n v="1176" u="1"/>
        <n v="3688" u="1"/>
        <n v="11904" u="1"/>
        <n v="10864" u="1"/>
        <n v="1828" u="1"/>
        <n v="7188" u="1"/>
        <n v="13212" u="1"/>
        <n v="416" u="1"/>
        <n v="5368" u="1"/>
        <n v="4848" u="1"/>
        <n v="9572" u="1"/>
        <n v="4328" u="1"/>
        <n v="8532" u="1"/>
        <n v="8863" u="1"/>
        <n v="10880" u="1"/>
        <n v="10360" u="1"/>
        <n v="2132" u="1"/>
        <n v="7716" u="1"/>
        <n v="4856" u="1"/>
        <n v="9588" u="1"/>
        <n v="3696" u="1"/>
      </sharedItems>
    </cacheField>
    <cacheField name="THREADID" numFmtId="0" sqlType="6">
      <sharedItems containsSemiMixedTypes="0" containsString="0" containsNumber="1" containsInteger="1" minValue="376" maxValue="20160"/>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611" u="1"/>
        <n v="3654" u="1"/>
        <n v="3697" u="1"/>
        <n v="3740" u="1"/>
        <n v="3783" u="1"/>
        <n v="3826" u="1"/>
        <n v="3869" u="1"/>
        <n v="3912" u="1"/>
        <n v="3955" u="1"/>
        <n v="3998" u="1"/>
        <n v="4041" u="1"/>
        <n v="4084" u="1"/>
        <n v="4115" u="1"/>
        <n v="4158" u="1"/>
        <n v="3031" u="1"/>
        <n v="4201" u="1"/>
        <n v="4244" u="1"/>
        <n v="3074" u="1"/>
        <n v="4287" u="1"/>
        <n v="4330" u="1"/>
        <n v="3117" u="1"/>
        <n v="4373" u="1"/>
        <n v="4416" u="1"/>
        <n v="3160" u="1"/>
        <n v="4459" u="1"/>
        <n v="4502" u="1"/>
        <n v="3203" u="1"/>
        <n v="4545" u="1"/>
        <n v="4588" u="1"/>
        <n v="3246" u="1"/>
        <n v="4631" u="1"/>
        <n v="4674" u="1"/>
        <n v="3289" u="1"/>
        <n v="4717" u="1"/>
        <n v="4760" u="1"/>
        <n v="3332" u="1"/>
        <n v="4803" u="1"/>
        <n v="4846" u="1"/>
        <n v="3375" u="1"/>
        <n v="4889" u="1"/>
        <n v="4932" u="1"/>
        <n v="3418" u="1"/>
        <n v="4975" u="1"/>
        <n v="3461" u="1"/>
        <n v="3504" u="1"/>
        <n v="3547" u="1"/>
        <n v="3590" u="1"/>
        <n v="3633" u="1"/>
        <n v="3676" u="1"/>
        <n v="3719" u="1"/>
        <n v="3762" u="1"/>
        <n v="3805" u="1"/>
        <n v="3848" u="1"/>
        <n v="3891" u="1"/>
        <n v="3934" u="1"/>
        <n v="3977" u="1"/>
        <n v="4020" u="1"/>
        <n v="4063" u="1"/>
        <n v="4116" u="1"/>
        <n v="3010" u="1"/>
        <n v="4159" u="1"/>
        <n v="4202" u="1"/>
        <n v="3053" u="1"/>
        <n v="4245" u="1"/>
        <n v="4288" u="1"/>
        <n v="3096" u="1"/>
        <n v="4331" u="1"/>
        <n v="4374" u="1"/>
        <n v="3139" u="1"/>
        <n v="4417" u="1"/>
        <n v="4460" u="1"/>
        <n v="3182" u="1"/>
        <n v="4503" u="1"/>
        <n v="4546" u="1"/>
        <n v="3225" u="1"/>
        <n v="4589" u="1"/>
        <n v="4632" u="1"/>
        <n v="3268" u="1"/>
        <n v="4675" u="1"/>
        <n v="4718" u="1"/>
        <n v="3311" u="1"/>
        <n v="4761" u="1"/>
        <n v="4804" u="1"/>
        <n v="3354" u="1"/>
        <n v="4847" u="1"/>
        <n v="4890" u="1"/>
        <n v="3397" u="1"/>
        <n v="4933" u="1"/>
        <n v="4976" u="1"/>
        <n v="3440" u="1"/>
        <n v="3483" u="1"/>
        <n v="3526" u="1"/>
        <n v="3569" u="1"/>
        <n v="3612" u="1"/>
        <n v="3655" u="1"/>
        <n v="3698" u="1"/>
        <n v="3741" u="1"/>
        <n v="3784" u="1"/>
        <n v="3827" u="1"/>
        <n v="3870" u="1"/>
        <n v="3913" u="1"/>
        <n v="3956" u="1"/>
        <n v="3999" u="1"/>
        <n v="4042" u="1"/>
        <n v="4085" u="1"/>
        <n v="4117" u="1"/>
        <n v="4160" u="1"/>
        <n v="3032" u="1"/>
        <n v="4203" u="1"/>
        <n v="4246" u="1"/>
        <n v="3075" u="1"/>
        <n v="4289" u="1"/>
        <n v="4332" u="1"/>
        <n v="3118" u="1"/>
        <n v="4375" u="1"/>
        <n v="4418" u="1"/>
        <n v="3161" u="1"/>
        <n v="4461" u="1"/>
        <n v="4504" u="1"/>
        <n v="3204" u="1"/>
        <n v="4547" u="1"/>
        <n v="4590" u="1"/>
        <n v="3247" u="1"/>
        <n v="4633" u="1"/>
        <n v="4676" u="1"/>
        <n v="3290" u="1"/>
        <n v="4719" u="1"/>
        <n v="4762" u="1"/>
        <n v="3333" u="1"/>
        <n v="4805" u="1"/>
        <n v="4848" u="1"/>
        <n v="3376" u="1"/>
        <n v="4891" u="1"/>
        <n v="4934" u="1"/>
        <n v="3419" u="1"/>
        <n v="4977" u="1"/>
        <n v="3462" u="1"/>
        <n v="3505" u="1"/>
        <n v="3548" u="1"/>
        <n v="3591" u="1"/>
        <n v="3634" u="1"/>
        <n v="3677" u="1"/>
        <n v="3720" u="1"/>
        <n v="3763" u="1"/>
        <n v="3806" u="1"/>
        <n v="3849" u="1"/>
        <n v="3892" u="1"/>
        <n v="3935" u="1"/>
        <n v="3978" u="1"/>
        <n v="4021" u="1"/>
        <n v="4064" u="1"/>
        <n v="4118" u="1"/>
        <n v="3011" u="1"/>
        <n v="4161" u="1"/>
        <n v="4204" u="1"/>
        <n v="3054" u="1"/>
        <n v="4247" u="1"/>
        <n v="4290" u="1"/>
        <n v="3097" u="1"/>
        <n v="4333" u="1"/>
        <n v="4376" u="1"/>
        <n v="3140" u="1"/>
        <n v="4419" u="1"/>
        <n v="4462" u="1"/>
        <n v="3183" u="1"/>
        <n v="4505" u="1"/>
        <n v="4548" u="1"/>
        <n v="3226" u="1"/>
        <n v="4591" u="1"/>
        <n v="4634" u="1"/>
        <n v="3269" u="1"/>
        <n v="4677" u="1"/>
        <n v="4720" u="1"/>
        <n v="3312" u="1"/>
        <n v="4763" u="1"/>
        <n v="4806" u="1"/>
        <n v="3355" u="1"/>
        <n v="4849" u="1"/>
        <n v="4892" u="1"/>
        <n v="3398" u="1"/>
        <n v="4935" u="1"/>
        <n v="4978" u="1"/>
        <n v="3441" u="1"/>
        <n v="3484" u="1"/>
        <n v="3527" u="1"/>
        <n v="3570" u="1"/>
        <n v="3613" u="1"/>
        <n v="3656" u="1"/>
        <n v="3699" u="1"/>
        <n v="3742" u="1"/>
        <n v="3785" u="1"/>
        <n v="3828" u="1"/>
        <n v="3871" u="1"/>
        <n v="3914" u="1"/>
        <n v="3957" u="1"/>
        <n v="4000" u="1"/>
        <n v="4043" u="1"/>
        <n v="4086" u="1"/>
        <n v="4119" u="1"/>
        <n v="4162" u="1"/>
        <n v="3033" u="1"/>
        <n v="4205" u="1"/>
        <n v="4248" u="1"/>
        <n v="3076" u="1"/>
        <n v="4291" u="1"/>
        <n v="4334" u="1"/>
        <n v="3119" u="1"/>
        <n v="4377" u="1"/>
        <n v="4420" u="1"/>
        <n v="3162" u="1"/>
        <n v="4463" u="1"/>
        <n v="4506" u="1"/>
        <n v="3205" u="1"/>
        <n v="4549" u="1"/>
        <n v="4592" u="1"/>
        <n v="3248" u="1"/>
        <n v="4635" u="1"/>
        <n v="4678" u="1"/>
        <n v="3291" u="1"/>
        <n v="4721" u="1"/>
        <n v="4764" u="1"/>
        <n v="3334" u="1"/>
        <n v="4807" u="1"/>
        <n v="4850" u="1"/>
        <n v="3377" u="1"/>
        <n v="4893" u="1"/>
        <n v="4936" u="1"/>
        <n v="3420" u="1"/>
        <n v="4979" u="1"/>
        <n v="3463" u="1"/>
        <n v="3506" u="1"/>
        <n v="3549" u="1"/>
        <n v="3592" u="1"/>
        <n v="3635" u="1"/>
        <n v="3678" u="1"/>
        <n v="3721" u="1"/>
        <n v="3764" u="1"/>
        <n v="3807" u="1"/>
        <n v="3850" u="1"/>
        <n v="3893" u="1"/>
        <n v="3936" u="1"/>
        <n v="3979" u="1"/>
        <n v="4022" u="1"/>
        <n v="4065" u="1"/>
        <n v="4120" u="1"/>
        <n v="3012" u="1"/>
        <n v="4163" u="1"/>
        <n v="4206" u="1"/>
        <n v="3055" u="1"/>
        <n v="4249" u="1"/>
        <n v="4292" u="1"/>
        <n v="3098" u="1"/>
        <n v="4335" u="1"/>
        <n v="4378" u="1"/>
        <n v="3141" u="1"/>
        <n v="4421" u="1"/>
        <n v="4464" u="1"/>
        <n v="3184" u="1"/>
        <n v="4507" u="1"/>
        <n v="4550" u="1"/>
        <n v="3227" u="1"/>
        <n v="4593" u="1"/>
        <n v="4636" u="1"/>
        <n v="3270" u="1"/>
        <n v="4679" u="1"/>
        <n v="4722" u="1"/>
        <n v="3313" u="1"/>
        <n v="4765" u="1"/>
        <n v="4808" u="1"/>
        <n v="3356" u="1"/>
        <n v="4851" u="1"/>
        <n v="4894" u="1"/>
        <n v="3399" u="1"/>
        <n v="4937" u="1"/>
        <n v="4980" u="1"/>
        <n v="3442" u="1"/>
        <n v="3485" u="1"/>
        <n v="3528" u="1"/>
        <n v="3571" u="1"/>
        <n v="3614" u="1"/>
        <n v="3657" u="1"/>
        <n v="3700" u="1"/>
        <n v="3743" u="1"/>
        <n v="3786" u="1"/>
        <n v="3829" u="1"/>
        <n v="3872" u="1"/>
        <n v="3915" u="1"/>
        <n v="3958" u="1"/>
        <n v="4001" u="1"/>
        <n v="4044" u="1"/>
        <n v="4087" u="1"/>
        <n v="4121" u="1"/>
        <n v="4164" u="1"/>
        <n v="3034" u="1"/>
        <n v="4207" u="1"/>
        <n v="4250" u="1"/>
        <n v="3077" u="1"/>
        <n v="4293" u="1"/>
        <n v="4336" u="1"/>
        <n v="3120" u="1"/>
        <n v="4379" u="1"/>
        <n v="4422" u="1"/>
        <n v="3163" u="1"/>
        <n v="4465" u="1"/>
        <n v="4508" u="1"/>
        <n v="3206" u="1"/>
        <n v="4551" u="1"/>
        <n v="4594" u="1"/>
        <n v="3249" u="1"/>
        <n v="4637" u="1"/>
        <n v="4680" u="1"/>
        <n v="3292" u="1"/>
        <n v="4723" u="1"/>
        <n v="4766" u="1"/>
        <n v="3335" u="1"/>
        <n v="4809" u="1"/>
        <n v="4852" u="1"/>
        <n v="3378" u="1"/>
        <n v="4895" u="1"/>
        <n v="4938" u="1"/>
        <n v="3421" u="1"/>
        <n v="4981" u="1"/>
        <n v="3464" u="1"/>
        <n v="3507" u="1"/>
        <n v="3550" u="1"/>
        <n v="3593" u="1"/>
        <n v="3636" u="1"/>
        <n v="3679" u="1"/>
        <n v="3722" u="1"/>
        <n v="3765" u="1"/>
        <n v="3808" u="1"/>
        <n v="3851" u="1"/>
        <n v="3894" u="1"/>
        <n v="3937" u="1"/>
        <n v="3980" u="1"/>
        <n v="4023" u="1"/>
        <n v="4066" u="1"/>
        <n v="4122" u="1"/>
        <n v="3013" u="1"/>
        <n v="4165" u="1"/>
        <n v="4208" u="1"/>
        <n v="3056" u="1"/>
        <n v="4251" u="1"/>
        <n v="4294" u="1"/>
        <n v="3099" u="1"/>
        <n v="4337" u="1"/>
        <n v="4380" u="1"/>
        <n v="3142" u="1"/>
        <n v="4423" u="1"/>
        <n v="4466" u="1"/>
        <n v="3185" u="1"/>
        <n v="4509" u="1"/>
        <n v="4552" u="1"/>
        <n v="3228" u="1"/>
        <n v="4595" u="1"/>
        <n v="4638" u="1"/>
        <n v="3271" u="1"/>
        <n v="4681" u="1"/>
        <n v="4724" u="1"/>
        <n v="3314" u="1"/>
        <n v="4767" u="1"/>
        <n v="4810" u="1"/>
        <n v="3357" u="1"/>
        <n v="4853" u="1"/>
        <n v="4896" u="1"/>
        <n v="3400" u="1"/>
        <n v="4939" u="1"/>
        <n v="4982" u="1"/>
        <n v="3443" u="1"/>
        <n v="3486" u="1"/>
        <n v="3529" u="1"/>
        <n v="3572" u="1"/>
        <n v="3615" u="1"/>
        <n v="3658" u="1"/>
        <n v="3701" u="1"/>
        <n v="3744" u="1"/>
        <n v="3787" u="1"/>
        <n v="3830" u="1"/>
        <n v="3873" u="1"/>
        <n v="3916" u="1"/>
        <n v="3959" u="1"/>
        <n v="4002" u="1"/>
        <n v="4045" u="1"/>
        <n v="4088" u="1"/>
        <n v="4123" u="1"/>
        <n v="4166" u="1"/>
        <n v="3035" u="1"/>
        <n v="4209" u="1"/>
        <n v="4252" u="1"/>
        <n v="3078" u="1"/>
        <n v="4295" u="1"/>
        <n v="4338" u="1"/>
        <n v="3121" u="1"/>
        <n v="4381" u="1"/>
        <n v="4424" u="1"/>
        <n v="3164" u="1"/>
        <n v="4467" u="1"/>
        <n v="4510" u="1"/>
        <n v="3207" u="1"/>
        <n v="4553" u="1"/>
        <n v="4596" u="1"/>
        <n v="3250" u="1"/>
        <n v="4639" u="1"/>
        <n v="4682" u="1"/>
        <n v="3293" u="1"/>
        <n v="4725" u="1"/>
        <n v="4768" u="1"/>
        <n v="3336" u="1"/>
        <n v="4811" u="1"/>
        <n v="4854" u="1"/>
        <n v="3379" u="1"/>
        <n v="4897" u="1"/>
        <n v="4940" u="1"/>
        <n v="3422" u="1"/>
        <n v="4983" u="1"/>
        <n v="3465" u="1"/>
        <n v="3508" u="1"/>
        <n v="3551" u="1"/>
        <n v="3594" u="1"/>
        <n v="3637" u="1"/>
        <n v="3680" u="1"/>
        <n v="3723" u="1"/>
        <n v="3766" u="1"/>
        <n v="3809" u="1"/>
        <n v="3852" u="1"/>
        <n v="3895" u="1"/>
        <n v="3938" u="1"/>
        <n v="3981" u="1"/>
        <n v="4024" u="1"/>
        <n v="4067" u="1"/>
        <n v="4124" u="1"/>
        <n v="3014" u="1"/>
        <n v="4167" u="1"/>
        <n v="4210" u="1"/>
        <n v="3057" u="1"/>
        <n v="4253" u="1"/>
        <n v="4296" u="1"/>
        <n v="3100" u="1"/>
        <n v="4339" u="1"/>
        <n v="4382" u="1"/>
        <n v="3143" u="1"/>
        <n v="4425" u="1"/>
        <n v="4468" u="1"/>
        <n v="3186" u="1"/>
        <n v="4511" u="1"/>
        <n v="4554" u="1"/>
        <n v="3229" u="1"/>
        <n v="4597" u="1"/>
        <n v="4640" u="1"/>
        <n v="3272" u="1"/>
        <n v="4683" u="1"/>
        <n v="4726" u="1"/>
        <n v="3315" u="1"/>
        <n v="4769" u="1"/>
        <n v="4812" u="1"/>
        <n v="3358" u="1"/>
        <n v="4855" u="1"/>
        <n v="4898" u="1"/>
        <n v="3401" u="1"/>
        <n v="4941" u="1"/>
        <n v="4984" u="1"/>
        <n v="3444" u="1"/>
        <n v="3487" u="1"/>
        <n v="3530" u="1"/>
        <n v="3573" u="1"/>
        <n v="3616" u="1"/>
        <n v="3659" u="1"/>
        <n v="3702" u="1"/>
        <n v="3745" u="1"/>
        <n v="3788" u="1"/>
        <n v="3831" u="1"/>
        <n v="3874" u="1"/>
        <n v="3917" u="1"/>
        <n v="3960" u="1"/>
        <n v="4003" u="1"/>
        <n v="4046" u="1"/>
        <n v="4089" u="1"/>
        <n v="4125" u="1"/>
        <n v="4168" u="1"/>
        <n v="3036" u="1"/>
        <n v="4211" u="1"/>
        <n v="4254" u="1"/>
        <n v="3079" u="1"/>
        <n v="4297" u="1"/>
        <n v="4340" u="1"/>
        <n v="3122" u="1"/>
        <n v="4383" u="1"/>
        <n v="4426" u="1"/>
        <n v="3165" u="1"/>
        <n v="4469" u="1"/>
        <n v="4512" u="1"/>
        <n v="3208" u="1"/>
        <n v="4555" u="1"/>
        <n v="4598" u="1"/>
        <n v="3251" u="1"/>
        <n v="4641" u="1"/>
        <n v="4684" u="1"/>
        <n v="3294" u="1"/>
        <n v="4727" u="1"/>
        <n v="4770" u="1"/>
        <n v="3337" u="1"/>
        <n v="4813" u="1"/>
        <n v="4856" u="1"/>
        <n v="3380" u="1"/>
        <n v="4899" u="1"/>
        <n v="4942" u="1"/>
        <n v="3423" u="1"/>
        <n v="4985" u="1"/>
        <n v="3466" u="1"/>
        <n v="3509" u="1"/>
        <n v="3552" u="1"/>
        <n v="3595" u="1"/>
        <n v="3638" u="1"/>
        <n v="3681" u="1"/>
        <n v="3724" u="1"/>
        <n v="3767" u="1"/>
        <n v="3810" u="1"/>
        <n v="3853" u="1"/>
        <n v="3896" u="1"/>
        <n v="3939" u="1"/>
        <n v="3982" u="1"/>
        <n v="4025" u="1"/>
        <n v="4068" u="1"/>
        <n v="4126" u="1"/>
        <n v="3015" u="1"/>
        <n v="4169" u="1"/>
        <n v="4212" u="1"/>
        <n v="3058" u="1"/>
        <n v="4255" u="1"/>
        <n v="4298" u="1"/>
        <n v="3101" u="1"/>
        <n v="4341" u="1"/>
        <n v="4384" u="1"/>
        <n v="3144" u="1"/>
        <n v="4427" u="1"/>
        <n v="4470" u="1"/>
        <n v="3187" u="1"/>
        <n v="4513" u="1"/>
        <n v="4556" u="1"/>
        <n v="3230" u="1"/>
        <n v="4599" u="1"/>
        <n v="4642" u="1"/>
        <n v="3273" u="1"/>
        <n v="4685" u="1"/>
        <n v="4728" u="1"/>
        <n v="3316" u="1"/>
        <n v="4771" u="1"/>
        <n v="4814" u="1"/>
        <n v="3359" u="1"/>
        <n v="4857" u="1"/>
        <n v="4900" u="1"/>
        <n v="3402" u="1"/>
        <n v="4943" u="1"/>
        <n v="4986" u="1"/>
        <n v="3445" u="1"/>
        <n v="3488" u="1"/>
        <n v="3531" u="1"/>
        <n v="3574" u="1"/>
        <n v="3617" u="1"/>
        <n v="3660" u="1"/>
        <n v="3703" u="1"/>
        <n v="3746" u="1"/>
        <n v="3789" u="1"/>
        <n v="3832" u="1"/>
        <n v="3875" u="1"/>
        <n v="3918" u="1"/>
        <n v="3961" u="1"/>
        <n v="4004" u="1"/>
        <n v="4047" u="1"/>
        <n v="4090" u="1"/>
        <n v="4127" u="1"/>
        <n v="4170" u="1"/>
        <n v="3037" u="1"/>
        <n v="4213" u="1"/>
        <n v="4256" u="1"/>
        <n v="3080" u="1"/>
        <n v="4299" u="1"/>
        <n v="4342" u="1"/>
        <n v="3123" u="1"/>
        <n v="4385" u="1"/>
        <n v="4428" u="1"/>
        <n v="3166" u="1"/>
        <n v="4471" u="1"/>
        <n v="4514" u="1"/>
        <n v="3209" u="1"/>
        <n v="4557" u="1"/>
        <n v="4600" u="1"/>
        <n v="3252" u="1"/>
        <n v="4643" u="1"/>
        <n v="4686" u="1"/>
        <n v="3295" u="1"/>
        <n v="4729" u="1"/>
        <n v="4772" u="1"/>
        <n v="3338" u="1"/>
        <n v="4815" u="1"/>
        <n v="4858" u="1"/>
        <n v="3381" u="1"/>
        <n v="4901" u="1"/>
        <n v="4944" u="1"/>
        <n v="3424" u="1"/>
        <n v="4987" u="1"/>
        <n v="3467" u="1"/>
        <n v="3510" u="1"/>
        <n v="3553" u="1"/>
        <n v="3596" u="1"/>
        <n v="3639" u="1"/>
        <n v="3682" u="1"/>
        <n v="3725" u="1"/>
        <n v="3768" u="1"/>
        <n v="3811" u="1"/>
        <n v="3854" u="1"/>
        <n v="3897" u="1"/>
        <n v="3940" u="1"/>
        <n v="3983" u="1"/>
        <n v="4026" u="1"/>
        <n v="4069" u="1"/>
        <n v="4128" u="1"/>
        <n v="3016" u="1"/>
        <n v="4171" u="1"/>
        <n v="4214" u="1"/>
        <n v="3059" u="1"/>
        <n v="4257" u="1"/>
        <n v="4300" u="1"/>
        <n v="3102" u="1"/>
        <n v="4343" u="1"/>
        <n v="4386" u="1"/>
        <n v="3145" u="1"/>
        <n v="4429" u="1"/>
        <n v="4472" u="1"/>
        <n v="3188" u="1"/>
        <n v="4515" u="1"/>
        <n v="4558" u="1"/>
        <n v="3231" u="1"/>
        <n v="4601" u="1"/>
        <n v="4644" u="1"/>
        <n v="3274" u="1"/>
        <n v="4687" u="1"/>
        <n v="4730" u="1"/>
        <n v="3317" u="1"/>
        <n v="4773" u="1"/>
        <n v="4816" u="1"/>
        <n v="3360" u="1"/>
        <n v="4859" u="1"/>
        <n v="4902" u="1"/>
        <n v="3403" u="1"/>
        <n v="4945" u="1"/>
        <n v="4988" u="1"/>
        <n v="3446" u="1"/>
        <n v="3489" u="1"/>
        <n v="3532" u="1"/>
        <n v="3575" u="1"/>
        <n v="3618" u="1"/>
        <n v="3661" u="1"/>
        <n v="3704" u="1"/>
        <n v="3747" u="1"/>
        <n v="3790" u="1"/>
        <n v="3833" u="1"/>
        <n v="3876" u="1"/>
        <n v="3919" u="1"/>
        <n v="3962" u="1"/>
        <n v="4005" u="1"/>
        <n v="4048" u="1"/>
        <n v="4091" u="1"/>
        <n v="4129" u="1"/>
        <n v="4172" u="1"/>
        <n v="3038" u="1"/>
        <n v="4215" u="1"/>
        <n v="4258" u="1"/>
        <n v="3081" u="1"/>
        <n v="4301" u="1"/>
        <n v="4344" u="1"/>
        <n v="3124" u="1"/>
        <n v="4387" u="1"/>
        <n v="4430" u="1"/>
        <n v="3167" u="1"/>
        <n v="4473" u="1"/>
        <n v="4516" u="1"/>
        <n v="3210" u="1"/>
        <n v="4559" u="1"/>
        <n v="4602" u="1"/>
        <n v="3253" u="1"/>
        <n v="4645" u="1"/>
        <n v="4688" u="1"/>
        <n v="3296" u="1"/>
        <n v="4731" u="1"/>
        <n v="4774" u="1"/>
        <n v="3339" u="1"/>
        <n v="4817" u="1"/>
        <n v="4860" u="1"/>
        <n v="3382" u="1"/>
        <n v="4903" u="1"/>
        <n v="4946" u="1"/>
        <n v="3425" u="1"/>
        <n v="4989" u="1"/>
        <n v="3468" u="1"/>
        <n v="3511" u="1"/>
        <n v="3554" u="1"/>
        <n v="3597" u="1"/>
        <n v="3640" u="1"/>
        <n v="3683" u="1"/>
        <n v="3726" u="1"/>
        <n v="3769" u="1"/>
        <n v="3812" u="1"/>
        <n v="3855" u="1"/>
        <n v="3898" u="1"/>
        <n v="3941" u="1"/>
        <n v="3984" u="1"/>
        <n v="4027" u="1"/>
        <n v="4070" u="1"/>
        <n v="4130" u="1"/>
        <n v="3017" u="1"/>
        <n v="4173" u="1"/>
        <n v="4216" u="1"/>
        <n v="3060" u="1"/>
        <n v="4259" u="1"/>
        <n v="4302" u="1"/>
        <n v="3103" u="1"/>
        <n v="4345" u="1"/>
        <n v="4388" u="1"/>
        <n v="3146" u="1"/>
        <n v="4431" u="1"/>
        <n v="4474" u="1"/>
        <n v="3189" u="1"/>
        <n v="4517" u="1"/>
        <n v="4560" u="1"/>
        <n v="3232" u="1"/>
        <n v="4603" u="1"/>
        <n v="4646" u="1"/>
        <n v="3275" u="1"/>
        <n v="4689" u="1"/>
        <n v="4732" u="1"/>
        <n v="3318" u="1"/>
        <n v="4775" u="1"/>
        <n v="4818" u="1"/>
        <n v="3361" u="1"/>
        <n v="4861" u="1"/>
        <n v="4904" u="1"/>
        <n v="3404" u="1"/>
        <n v="4947" u="1"/>
        <n v="4990" u="1"/>
        <n v="3447" u="1"/>
        <n v="3490" u="1"/>
        <n v="3533" u="1"/>
        <n v="3576" u="1"/>
        <n v="3619" u="1"/>
        <n v="3662" u="1"/>
        <n v="3705" u="1"/>
        <n v="3748" u="1"/>
        <n v="3791" u="1"/>
        <n v="3834" u="1"/>
        <n v="3877" u="1"/>
        <n v="3920" u="1"/>
        <n v="3963" u="1"/>
        <n v="4006" u="1"/>
        <n v="4049" u="1"/>
        <n v="4092" u="1"/>
        <n v="4131" u="1"/>
        <n v="4174" u="1"/>
        <n v="3039" u="1"/>
        <n v="4217" u="1"/>
        <n v="4260" u="1"/>
        <n v="3082" u="1"/>
        <n v="4303" u="1"/>
        <n v="4346" u="1"/>
        <n v="3125" u="1"/>
        <n v="4389" u="1"/>
        <n v="4432" u="1"/>
        <n v="3168" u="1"/>
        <n v="4475" u="1"/>
        <n v="4518" u="1"/>
        <n v="3211" u="1"/>
        <n v="4561" u="1"/>
        <n v="4604" u="1"/>
        <n v="3254" u="1"/>
        <n v="4647" u="1"/>
        <n v="4690" u="1"/>
        <n v="3297" u="1"/>
        <n v="4733" u="1"/>
        <n v="4776" u="1"/>
        <n v="3340" u="1"/>
        <n v="4819" u="1"/>
        <n v="4862" u="1"/>
        <n v="3383" u="1"/>
        <n v="4905" u="1"/>
        <n v="4948" u="1"/>
        <n v="3426" u="1"/>
        <n v="4991" u="1"/>
        <n v="3469" u="1"/>
        <n v="3512" u="1"/>
        <n v="3555" u="1"/>
        <n v="3598" u="1"/>
        <n v="3641" u="1"/>
        <n v="3684" u="1"/>
        <n v="3727" u="1"/>
        <n v="3770" u="1"/>
        <n v="3813" u="1"/>
        <n v="3856" u="1"/>
        <n v="3899" u="1"/>
        <n v="3942" u="1"/>
        <n v="3985" u="1"/>
        <n v="4028" u="1"/>
        <n v="4071" u="1"/>
        <n v="4132" u="1"/>
        <n v="3018" u="1"/>
        <n v="4175" u="1"/>
        <n v="4218" u="1"/>
        <n v="3061" u="1"/>
        <n v="4261" u="1"/>
        <n v="4304" u="1"/>
        <n v="3104" u="1"/>
        <n v="4347" u="1"/>
        <n v="4390" u="1"/>
        <n v="3147" u="1"/>
        <n v="4433" u="1"/>
        <n v="4476" u="1"/>
        <n v="3190" u="1"/>
        <n v="4519" u="1"/>
        <n v="4562" u="1"/>
        <n v="3233" u="1"/>
        <n v="4605" u="1"/>
        <n v="4648" u="1"/>
        <n v="3276" u="1"/>
        <n v="4691" u="1"/>
        <n v="4734" u="1"/>
        <n v="3319" u="1"/>
        <n v="4777" u="1"/>
        <n v="4820" u="1"/>
        <n v="3362" u="1"/>
        <n v="4863" u="1"/>
        <n v="4906" u="1"/>
        <n v="3405" u="1"/>
        <n v="4949" u="1"/>
        <n v="4992" u="1"/>
        <n v="3448" u="1"/>
        <n v="3491" u="1"/>
        <n v="3534" u="1"/>
        <n v="3577" u="1"/>
        <n v="3620" u="1"/>
        <n v="3663" u="1"/>
        <n v="3706" u="1"/>
        <n v="3749" u="1"/>
        <n v="3792" u="1"/>
        <n v="3835" u="1"/>
        <n v="3878" u="1"/>
        <n v="3921" u="1"/>
        <n v="3964" u="1"/>
        <n v="4007" u="1"/>
        <n v="4050" u="1"/>
        <n v="4093" u="1"/>
        <n v="4133" u="1"/>
        <n v="4176" u="1"/>
        <n v="3040" u="1"/>
        <n v="4219" u="1"/>
        <n v="4262" u="1"/>
        <n v="3083" u="1"/>
        <n v="4305" u="1"/>
        <n v="4348" u="1"/>
        <n v="3126" u="1"/>
        <n v="4391" u="1"/>
        <n v="4434" u="1"/>
        <n v="3169" u="1"/>
        <n v="4477" u="1"/>
        <n v="4520" u="1"/>
        <n v="3212" u="1"/>
        <n v="4563" u="1"/>
        <n v="4606" u="1"/>
        <n v="3255" u="1"/>
        <n v="4649" u="1"/>
        <n v="4692" u="1"/>
        <n v="3298" u="1"/>
        <n v="4735" u="1"/>
        <n v="4778" u="1"/>
        <n v="3341" u="1"/>
        <n v="4821" u="1"/>
        <n v="4864" u="1"/>
        <n v="3384" u="1"/>
        <n v="4907" u="1"/>
        <n v="4950" u="1"/>
        <n v="3427" u="1"/>
        <n v="4993" u="1"/>
        <n v="3470" u="1"/>
        <n v="3513" u="1"/>
        <n v="3556" u="1"/>
        <n v="3599" u="1"/>
        <n v="3642" u="1"/>
        <n v="3685" u="1"/>
        <n v="3728" u="1"/>
        <n v="3771" u="1"/>
        <n v="3814" u="1"/>
        <n v="3857" u="1"/>
        <n v="3900" u="1"/>
        <n v="3943" u="1"/>
        <n v="3986" u="1"/>
        <n v="4029" u="1"/>
        <n v="4072" u="1"/>
        <n v="4134" u="1"/>
        <n v="3019" u="1"/>
        <n v="4177" u="1"/>
        <n v="4220" u="1"/>
        <n v="3062" u="1"/>
        <n v="4263" u="1"/>
        <n v="4306" u="1"/>
        <n v="3105" u="1"/>
        <n v="4349" u="1"/>
        <n v="4392" u="1"/>
        <n v="3148" u="1"/>
        <n v="4435" u="1"/>
        <n v="4478" u="1"/>
        <n v="3191" u="1"/>
        <n v="4521" u="1"/>
        <n v="4564" u="1"/>
        <n v="3234" u="1"/>
        <n v="4607" u="1"/>
        <n v="4650" u="1"/>
        <n v="3277" u="1"/>
        <n v="4693" u="1"/>
        <n v="4736" u="1"/>
        <n v="3320" u="1"/>
        <n v="4779" u="1"/>
        <n v="4822" u="1"/>
        <n v="3363" u="1"/>
        <n v="4865" u="1"/>
        <n v="4908" u="1"/>
        <n v="3406" u="1"/>
        <n v="4951" u="1"/>
        <n v="4994" u="1"/>
        <n v="3449" u="1"/>
        <n v="3492" u="1"/>
        <n v="3535" u="1"/>
        <n v="3578" u="1"/>
        <n v="3621" u="1"/>
        <n v="3664" u="1"/>
        <n v="3707" u="1"/>
        <n v="3750" u="1"/>
        <n v="3793" u="1"/>
        <n v="3836" u="1"/>
        <n v="3879" u="1"/>
        <n v="3922" u="1"/>
        <n v="3965" u="1"/>
        <n v="4008" u="1"/>
        <n v="4051" u="1"/>
        <n v="4094" u="1"/>
        <n v="4135" u="1"/>
        <n v="4178" u="1"/>
        <n v="3041" u="1"/>
        <n v="4221" u="1"/>
        <n v="4264" u="1"/>
        <n v="3084" u="1"/>
        <n v="4307" u="1"/>
        <n v="4350" u="1"/>
        <n v="3127" u="1"/>
        <n v="4393" u="1"/>
        <n v="4436" u="1"/>
        <n v="3170" u="1"/>
        <n v="4479" u="1"/>
        <n v="4522" u="1"/>
        <n v="3213" u="1"/>
        <n v="4565" u="1"/>
        <n v="4608" u="1"/>
        <n v="3256" u="1"/>
        <n v="4651" u="1"/>
        <n v="4694" u="1"/>
        <n v="3299" u="1"/>
        <n v="4737" u="1"/>
        <n v="4780" u="1"/>
        <n v="3342" u="1"/>
        <n v="4823" u="1"/>
        <n v="4866" u="1"/>
        <n v="3385" u="1"/>
        <n v="4909" u="1"/>
        <n v="4952" u="1"/>
        <n v="3428" u="1"/>
        <n v="4995" u="1"/>
        <n v="3471" u="1"/>
        <n v="3514" u="1"/>
        <n v="3557" u="1"/>
        <n v="3600" u="1"/>
        <n v="3643" u="1"/>
        <n v="3686" u="1"/>
        <n v="3729" u="1"/>
        <n v="3772" u="1"/>
        <n v="3815" u="1"/>
        <n v="3858" u="1"/>
        <n v="3901" u="1"/>
        <n v="3944" u="1"/>
        <n v="3987" u="1"/>
        <n v="4030" u="1"/>
        <n v="4073" u="1"/>
        <n v="4136" u="1"/>
        <n v="3020" u="1"/>
        <n v="4179" u="1"/>
        <n v="4222" u="1"/>
        <n v="3063" u="1"/>
        <n v="4265" u="1"/>
        <n v="4308" u="1"/>
        <n v="3106" u="1"/>
        <n v="4351" u="1"/>
        <n v="4394" u="1"/>
        <n v="3149" u="1"/>
        <n v="4437" u="1"/>
        <n v="4480" u="1"/>
        <n v="3192" u="1"/>
        <n v="4523" u="1"/>
        <n v="4566" u="1"/>
        <n v="3235" u="1"/>
        <n v="4609" u="1"/>
        <n v="4652" u="1"/>
        <n v="3278" u="1"/>
        <n v="4695" u="1"/>
        <n v="4738" u="1"/>
        <n v="3321" u="1"/>
        <n v="4781" u="1"/>
        <n v="4824" u="1"/>
        <n v="3364" u="1"/>
        <n v="4867" u="1"/>
        <n v="4910" u="1"/>
        <n v="3407" u="1"/>
        <n v="4953" u="1"/>
        <n v="4996" u="1"/>
        <n v="3450" u="1"/>
        <n v="3493" u="1"/>
        <n v="3536" u="1"/>
        <n v="3579" u="1"/>
        <n v="3622" u="1"/>
        <n v="3665" u="1"/>
        <n v="3708" u="1"/>
        <n v="3751" u="1"/>
        <n v="3794" u="1"/>
        <n v="3837" u="1"/>
        <n v="3880" u="1"/>
        <n v="3923" u="1"/>
        <n v="3966" u="1"/>
        <n v="4009" u="1"/>
        <n v="4052" u="1"/>
        <n v="4095" u="1"/>
        <n v="4137" u="1"/>
        <n v="4180" u="1"/>
        <n v="3042" u="1"/>
        <n v="4223" u="1"/>
        <n v="4266" u="1"/>
        <n v="3085" u="1"/>
        <n v="4309" u="1"/>
        <n v="4352" u="1"/>
        <n v="3128" u="1"/>
        <n v="4395" u="1"/>
        <n v="4438" u="1"/>
        <n v="3171" u="1"/>
        <n v="4481" u="1"/>
        <n v="4524" u="1"/>
        <n v="3214" u="1"/>
        <n v="4567" u="1"/>
        <n v="4610" u="1"/>
        <n v="3257" u="1"/>
        <n v="4653" u="1"/>
        <n v="4696" u="1"/>
        <n v="3300" u="1"/>
        <n v="4739" u="1"/>
        <n v="4782" u="1"/>
        <n v="3343" u="1"/>
        <n v="4825" u="1"/>
        <n v="4868" u="1"/>
        <n v="3386" u="1"/>
        <n v="4911" u="1"/>
        <n v="4954" u="1"/>
        <n v="3429" u="1"/>
        <n v="4997" u="1"/>
        <n v="3472" u="1"/>
        <n v="3515" u="1"/>
        <n v="3558" u="1"/>
        <n v="3601" u="1"/>
        <n v="3644" u="1"/>
        <n v="3687" u="1"/>
        <n v="3730" u="1"/>
        <n v="3773" u="1"/>
        <n v="3816" u="1"/>
        <n v="3859" u="1"/>
        <n v="3902" u="1"/>
        <n v="3945" u="1"/>
        <n v="3988" u="1"/>
        <n v="4031" u="1"/>
        <n v="4074" u="1"/>
        <n v="4138" u="1"/>
        <n v="3021" u="1"/>
        <n v="4181" u="1"/>
        <n v="4224" u="1"/>
        <n v="3064" u="1"/>
        <n v="4267" u="1"/>
        <n v="4310" u="1"/>
        <n v="3107" u="1"/>
        <n v="4353" u="1"/>
        <n v="4396" u="1"/>
        <n v="3150" u="1"/>
        <n v="4439" u="1"/>
        <n v="4482" u="1"/>
        <n v="3193" u="1"/>
        <n v="4525" u="1"/>
        <n v="4568" u="1"/>
        <n v="3236" u="1"/>
        <n v="4611" u="1"/>
        <n v="4654" u="1"/>
        <n v="3279" u="1"/>
        <n v="4697" u="1"/>
        <n v="4740" u="1"/>
        <n v="3322" u="1"/>
        <n v="4783" u="1"/>
        <n v="4826" u="1"/>
        <n v="3365" u="1"/>
        <n v="4869" u="1"/>
        <n v="4912" u="1"/>
        <n v="3408" u="1"/>
        <n v="4955" u="1"/>
        <n v="4998" u="1"/>
        <n v="3451" u="1"/>
        <n v="3494" u="1"/>
        <n v="3537" u="1"/>
        <n v="3580" u="1"/>
        <n v="3623" u="1"/>
        <n v="3666" u="1"/>
        <n v="3709" u="1"/>
        <n v="3752" u="1"/>
        <n v="3795" u="1"/>
        <n v="3838" u="1"/>
        <n v="3881" u="1"/>
        <n v="3924" u="1"/>
        <n v="3967" u="1"/>
        <n v="4010" u="1"/>
        <n v="4053" u="1"/>
        <n v="4096" u="1"/>
        <n v="3000" u="1"/>
        <n v="4139" u="1"/>
        <n v="4182" u="1"/>
        <n v="3043" u="1"/>
        <n v="4225" u="1"/>
        <n v="4268" u="1"/>
        <n v="3086" u="1"/>
        <n v="4311" u="1"/>
        <n v="4354" u="1"/>
        <n v="3129" u="1"/>
        <n v="4397" u="1"/>
        <n v="4440" u="1"/>
        <n v="3172" u="1"/>
        <n v="4483" u="1"/>
        <n v="4526" u="1"/>
        <n v="3215" u="1"/>
        <n v="4569" u="1"/>
        <n v="4612" u="1"/>
        <n v="3258" u="1"/>
        <n v="4655" u="1"/>
        <n v="4698" u="1"/>
        <n v="3301" u="1"/>
        <n v="4741" u="1"/>
        <n v="4784" u="1"/>
        <n v="3344" u="1"/>
        <n v="4827" u="1"/>
        <n v="4870" u="1"/>
        <n v="3387" u="1"/>
        <n v="4913" u="1"/>
        <n v="4956" u="1"/>
        <n v="3430" u="1"/>
        <n v="4999" u="1"/>
        <n v="3473" u="1"/>
        <n v="3516" u="1"/>
        <n v="3559" u="1"/>
        <n v="3602" u="1"/>
        <n v="3645" u="1"/>
        <n v="3688" u="1"/>
        <n v="3731" u="1"/>
        <n v="3774" u="1"/>
        <n v="3817" u="1"/>
        <n v="3860" u="1"/>
        <n v="3903" u="1"/>
        <n v="3946" u="1"/>
        <n v="3989" u="1"/>
        <n v="4032" u="1"/>
        <n v="4075" u="1"/>
        <n v="4097" u="1"/>
        <n v="4140" u="1"/>
        <n v="3022" u="1"/>
        <n v="4183" u="1"/>
        <n v="4226" u="1"/>
        <n v="3065" u="1"/>
        <n v="4269" u="1"/>
        <n v="4312" u="1"/>
        <n v="3108" u="1"/>
        <n v="4355" u="1"/>
        <n v="4398" u="1"/>
        <n v="3151" u="1"/>
        <n v="4441" u="1"/>
        <n v="4484" u="1"/>
        <n v="3194" u="1"/>
        <n v="4527" u="1"/>
        <n v="4570" u="1"/>
        <n v="3237" u="1"/>
        <n v="4613" u="1"/>
        <n v="4656" u="1"/>
        <n v="3280" u="1"/>
        <n v="4699" u="1"/>
        <n v="4742" u="1"/>
        <n v="3323" u="1"/>
        <n v="4785" u="1"/>
        <n v="4828" u="1"/>
        <n v="3366" u="1"/>
        <n v="4871" u="1"/>
        <n v="4914" u="1"/>
        <n v="3409" u="1"/>
        <n v="4957" u="1"/>
        <n v="3452" u="1"/>
        <n v="3495" u="1"/>
        <n v="3538" u="1"/>
        <n v="3581" u="1"/>
        <n v="3624" u="1"/>
        <n v="3667" u="1"/>
        <n v="3710" u="1"/>
        <n v="3753" u="1"/>
        <n v="3796" u="1"/>
        <n v="3839" u="1"/>
        <n v="3882" u="1"/>
        <n v="3925" u="1"/>
        <n v="3968" u="1"/>
        <n v="4011" u="1"/>
        <n v="4054" u="1"/>
        <n v="4098" u="1"/>
        <n v="3001" u="1"/>
        <n v="4141" u="1"/>
        <n v="4184" u="1"/>
        <n v="3044" u="1"/>
        <n v="4227" u="1"/>
        <n v="4270" u="1"/>
        <n v="3087" u="1"/>
        <n v="4313" u="1"/>
        <n v="4356" u="1"/>
        <n v="3130" u="1"/>
        <n v="4399" u="1"/>
        <n v="4442" u="1"/>
        <n v="3173" u="1"/>
        <n v="4485" u="1"/>
        <n v="4528" u="1"/>
        <n v="3216" u="1"/>
        <n v="4571" u="1"/>
        <n v="4614" u="1"/>
        <n v="3259" u="1"/>
        <n v="4657" u="1"/>
        <n v="4700" u="1"/>
        <n v="3302" u="1"/>
        <n v="4743" u="1"/>
        <n v="4786" u="1"/>
        <n v="3345" u="1"/>
        <n v="4829" u="1"/>
        <n v="4872" u="1"/>
        <n v="3388" u="1"/>
        <n v="4915" u="1"/>
        <n v="4958" u="1"/>
        <n v="3431" u="1"/>
        <n v="3474" u="1"/>
        <n v="3517" u="1"/>
        <n v="3560" u="1"/>
        <n v="3603" u="1"/>
        <n v="3646" u="1"/>
        <n v="3689" u="1"/>
        <n v="3732" u="1"/>
        <n v="3775" u="1"/>
        <n v="3818" u="1"/>
        <n v="3861" u="1"/>
        <n v="3904" u="1"/>
        <n v="3947" u="1"/>
        <n v="3990" u="1"/>
        <n v="4033" u="1"/>
        <n v="4076" u="1"/>
        <n v="4099" u="1"/>
        <n v="4142" u="1"/>
        <n v="3023" u="1"/>
        <n v="4185" u="1"/>
        <n v="4228" u="1"/>
        <n v="3066" u="1"/>
        <n v="4271" u="1"/>
        <n v="4314" u="1"/>
        <n v="3109" u="1"/>
        <n v="4357" u="1"/>
        <n v="4400" u="1"/>
        <n v="3152" u="1"/>
        <n v="4443" u="1"/>
        <n v="4486" u="1"/>
        <n v="3195" u="1"/>
        <n v="4529" u="1"/>
        <n v="4572" u="1"/>
        <n v="3238" u="1"/>
        <n v="4615" u="1"/>
        <n v="4658" u="1"/>
        <n v="3281" u="1"/>
        <n v="4701" u="1"/>
        <n v="4744" u="1"/>
        <n v="3324" u="1"/>
        <n v="4787" u="1"/>
        <n v="4830" u="1"/>
        <n v="3367" u="1"/>
        <n v="4873" u="1"/>
        <n v="4916" u="1"/>
        <n v="3410" u="1"/>
        <n v="4959" u="1"/>
        <n v="3453" u="1"/>
        <n v="3496" u="1"/>
        <n v="3539" u="1"/>
        <n v="3582" u="1"/>
        <n v="3625" u="1"/>
        <n v="3668" u="1"/>
        <n v="3711" u="1"/>
        <n v="3754" u="1"/>
        <n v="3797" u="1"/>
        <n v="3840" u="1"/>
        <n v="3883" u="1"/>
        <n v="3926" u="1"/>
        <n v="3969" u="1"/>
        <n v="4012" u="1"/>
        <n v="4055" u="1"/>
        <n v="4100" u="1"/>
        <n v="3002" u="1"/>
        <n v="4143" u="1"/>
        <n v="4186" u="1"/>
        <n v="3045" u="1"/>
        <n v="4229" u="1"/>
        <n v="4272" u="1"/>
        <n v="3088" u="1"/>
        <n v="4315" u="1"/>
        <n v="4358" u="1"/>
        <n v="3131" u="1"/>
        <n v="4401" u="1"/>
        <n v="4444" u="1"/>
        <n v="3174" u="1"/>
        <n v="4487" u="1"/>
        <n v="4530" u="1"/>
        <n v="3217" u="1"/>
        <n v="4573" u="1"/>
        <n v="4616" u="1"/>
        <n v="3260" u="1"/>
        <n v="4659" u="1"/>
        <n v="4702" u="1"/>
        <n v="3303" u="1"/>
        <n v="4745" u="1"/>
        <n v="4788" u="1"/>
        <n v="3346" u="1"/>
        <n v="4831" u="1"/>
        <n v="4874" u="1"/>
        <n v="3389" u="1"/>
        <n v="4917" u="1"/>
        <n v="4960" u="1"/>
        <n v="3432" u="1"/>
        <n v="3475" u="1"/>
        <n v="3518" u="1"/>
        <n v="3561" u="1"/>
        <n v="3604" u="1"/>
        <n v="3647" u="1"/>
        <n v="3690" u="1"/>
        <n v="3733" u="1"/>
        <n v="3776" u="1"/>
        <n v="3819" u="1"/>
        <n v="3862" u="1"/>
        <n v="3905" u="1"/>
        <n v="3948" u="1"/>
        <n v="3991" u="1"/>
        <n v="4034" u="1"/>
        <n v="4077" u="1"/>
        <n v="4101" u="1"/>
        <n v="4144" u="1"/>
        <n v="3024" u="1"/>
        <n v="4187" u="1"/>
        <n v="4230" u="1"/>
        <n v="3067" u="1"/>
        <n v="4273" u="1"/>
        <n v="4316" u="1"/>
        <n v="3110" u="1"/>
        <n v="4359" u="1"/>
        <n v="4402" u="1"/>
        <n v="3153" u="1"/>
        <n v="4445" u="1"/>
        <n v="4488" u="1"/>
        <n v="3196" u="1"/>
        <n v="4531" u="1"/>
        <n v="4574" u="1"/>
        <n v="3239" u="1"/>
        <n v="4617" u="1"/>
        <n v="4660" u="1"/>
        <n v="3282" u="1"/>
        <n v="4703" u="1"/>
        <n v="4746" u="1"/>
        <n v="3325" u="1"/>
        <n v="4789" u="1"/>
        <n v="4832" u="1"/>
        <n v="3368" u="1"/>
        <n v="4875" u="1"/>
        <n v="4918" u="1"/>
        <n v="3411" u="1"/>
        <n v="4961" u="1"/>
        <n v="3454" u="1"/>
        <n v="3497" u="1"/>
        <n v="3540" u="1"/>
        <n v="3583" u="1"/>
        <n v="3626" u="1"/>
        <n v="3669" u="1"/>
        <n v="3712" u="1"/>
        <n v="3755" u="1"/>
        <n v="3798" u="1"/>
        <n v="3841" u="1"/>
        <n v="3884" u="1"/>
        <n v="3927" u="1"/>
        <n v="3970" u="1"/>
        <n v="4013" u="1"/>
        <n v="4056" u="1"/>
        <n v="4102" u="1"/>
        <n v="3003" u="1"/>
        <n v="4145" u="1"/>
        <n v="4188" u="1"/>
        <n v="3046" u="1"/>
        <n v="4231" u="1"/>
        <n v="4274" u="1"/>
        <n v="3089" u="1"/>
        <n v="4317" u="1"/>
        <n v="4360" u="1"/>
        <n v="3132" u="1"/>
        <n v="4403" u="1"/>
        <n v="4446" u="1"/>
        <n v="3175" u="1"/>
        <n v="4489" u="1"/>
        <n v="4532" u="1"/>
        <n v="3218" u="1"/>
        <n v="4575" u="1"/>
        <n v="4618" u="1"/>
        <n v="3261" u="1"/>
        <n v="4661" u="1"/>
        <n v="4704" u="1"/>
        <n v="3304" u="1"/>
        <n v="4747" u="1"/>
        <n v="4790" u="1"/>
        <n v="3347" u="1"/>
        <n v="4833" u="1"/>
        <n v="4876" u="1"/>
        <n v="3390" u="1"/>
        <n v="4919" u="1"/>
        <n v="4962" u="1"/>
        <n v="3433" u="1"/>
        <n v="3476" u="1"/>
        <n v="3519" u="1"/>
        <n v="3562" u="1"/>
        <n v="3605" u="1"/>
        <n v="3648" u="1"/>
        <n v="3691" u="1"/>
        <n v="3734" u="1"/>
        <n v="3777" u="1"/>
        <n v="3820" u="1"/>
        <n v="3863" u="1"/>
        <n v="3906" u="1"/>
        <n v="3949" u="1"/>
        <n v="3992" u="1"/>
        <n v="4035" u="1"/>
        <n v="4078" u="1"/>
        <n v="4103" u="1"/>
        <n v="4146" u="1"/>
        <n v="3025" u="1"/>
        <n v="4189" u="1"/>
        <n v="4232" u="1"/>
        <n v="3068" u="1"/>
        <n v="4275" u="1"/>
        <n v="4318" u="1"/>
        <n v="3111" u="1"/>
        <n v="4361" u="1"/>
        <n v="4404" u="1"/>
        <n v="3154" u="1"/>
        <n v="4447" u="1"/>
        <n v="4490" u="1"/>
        <n v="3197" u="1"/>
        <n v="4533" u="1"/>
        <n v="4576" u="1"/>
        <n v="3240" u="1"/>
        <n v="4619" u="1"/>
        <n v="4662" u="1"/>
        <n v="3283" u="1"/>
        <n v="4705" u="1"/>
        <n v="4748" u="1"/>
        <n v="3326" u="1"/>
        <n v="4791" u="1"/>
        <n v="4834" u="1"/>
        <n v="3369" u="1"/>
        <n v="4877" u="1"/>
        <n v="4920" u="1"/>
        <n v="3412" u="1"/>
        <n v="4963" u="1"/>
        <n v="3455" u="1"/>
        <n v="3498" u="1"/>
        <n v="3541" u="1"/>
        <n v="3584" u="1"/>
        <n v="3627" u="1"/>
        <n v="3670" u="1"/>
        <n v="3713" u="1"/>
        <n v="3756" u="1"/>
        <n v="3799" u="1"/>
        <n v="3842" u="1"/>
        <n v="3885" u="1"/>
        <n v="3928" u="1"/>
        <n v="3971" u="1"/>
        <n v="4014" u="1"/>
        <n v="4057" u="1"/>
        <n v="4104" u="1"/>
        <n v="3004" u="1"/>
        <n v="4147" u="1"/>
        <n v="4190" u="1"/>
        <n v="3047" u="1"/>
        <n v="4233" u="1"/>
        <n v="4276" u="1"/>
        <n v="3090" u="1"/>
        <n v="4319" u="1"/>
        <n v="4362" u="1"/>
        <n v="3133" u="1"/>
        <n v="4405" u="1"/>
        <n v="4448" u="1"/>
        <n v="3176" u="1"/>
        <n v="4491" u="1"/>
        <n v="4534" u="1"/>
        <n v="3219" u="1"/>
        <n v="4577" u="1"/>
        <n v="4620" u="1"/>
        <n v="3262" u="1"/>
        <n v="4663" u="1"/>
        <n v="4706" u="1"/>
        <n v="3305" u="1"/>
        <n v="4749" u="1"/>
        <n v="4792" u="1"/>
        <n v="3348" u="1"/>
        <n v="4835" u="1"/>
        <n v="4878" u="1"/>
        <n v="3391" u="1"/>
        <n v="4921" u="1"/>
        <n v="4964" u="1"/>
        <n v="3434" u="1"/>
        <n v="3477" u="1"/>
        <n v="3520" u="1"/>
        <n v="3563" u="1"/>
        <n v="3606" u="1"/>
        <n v="3649" u="1"/>
        <n v="3692" u="1"/>
        <n v="3735" u="1"/>
        <n v="3778" u="1"/>
        <n v="3821" u="1"/>
        <n v="3864" u="1"/>
        <n v="3907" u="1"/>
        <n v="3950" u="1"/>
        <n v="3993" u="1"/>
        <n v="4036" u="1"/>
        <n v="4079" u="1"/>
        <n v="4105" u="1"/>
        <n v="4148" u="1"/>
        <n v="3026" u="1"/>
        <n v="4191" u="1"/>
        <n v="4234" u="1"/>
        <n v="3069" u="1"/>
        <n v="4277" u="1"/>
        <n v="4320" u="1"/>
        <n v="3112" u="1"/>
        <n v="4363" u="1"/>
        <n v="4406" u="1"/>
        <n v="3155" u="1"/>
        <n v="4449" u="1"/>
        <n v="4492" u="1"/>
        <n v="3198" u="1"/>
        <n v="4535" u="1"/>
        <n v="4578" u="1"/>
        <n v="3241" u="1"/>
        <n v="4621" u="1"/>
        <n v="4664" u="1"/>
        <n v="3284" u="1"/>
        <n v="4707" u="1"/>
        <n v="4750" u="1"/>
        <n v="3327" u="1"/>
        <n v="4793" u="1"/>
        <n v="4836" u="1"/>
        <n v="3370" u="1"/>
        <n v="4879" u="1"/>
        <n v="4922" u="1"/>
        <n v="3413" u="1"/>
        <n v="4965" u="1"/>
        <n v="3456" u="1"/>
        <n v="3499" u="1"/>
        <n v="3542" u="1"/>
        <n v="3585" u="1"/>
        <n v="3628" u="1"/>
        <n v="3671" u="1"/>
        <n v="3714" u="1"/>
        <n v="3757" u="1"/>
        <n v="3800" u="1"/>
        <n v="3843" u="1"/>
        <n v="3886" u="1"/>
        <n v="3929" u="1"/>
        <n v="3972" u="1"/>
        <n v="4015" u="1"/>
        <n v="4058" u="1"/>
        <n v="4106" u="1"/>
        <n v="3005" u="1"/>
        <n v="4149" u="1"/>
        <n v="4192" u="1"/>
        <n v="3048" u="1"/>
        <n v="4235" u="1"/>
        <n v="4278" u="1"/>
        <n v="3091" u="1"/>
        <n v="4321" u="1"/>
        <n v="4364" u="1"/>
        <n v="3134" u="1"/>
        <n v="4407" u="1"/>
        <n v="4450" u="1"/>
        <n v="3177" u="1"/>
        <n v="4493" u="1"/>
        <n v="4536" u="1"/>
        <n v="3220" u="1"/>
        <n v="4579" u="1"/>
        <n v="4622" u="1"/>
        <n v="3263" u="1"/>
        <n v="4665" u="1"/>
        <n v="4708" u="1"/>
        <n v="3306" u="1"/>
        <n v="4751" u="1"/>
        <n v="4794" u="1"/>
        <n v="3349" u="1"/>
        <n v="4837" u="1"/>
        <n v="4880" u="1"/>
        <n v="3392" u="1"/>
        <n v="4923" u="1"/>
        <n v="4966" u="1"/>
        <n v="3435" u="1"/>
        <n v="3478" u="1"/>
        <n v="3521" u="1"/>
        <n v="3564" u="1"/>
        <n v="3607" u="1"/>
        <n v="3650" u="1"/>
        <n v="3693" u="1"/>
        <n v="3736" u="1"/>
        <n v="3779" u="1"/>
        <n v="3822" u="1"/>
        <n v="3865" u="1"/>
        <n v="3908" u="1"/>
        <n v="3951" u="1"/>
        <n v="3994" u="1"/>
        <n v="4037" u="1"/>
        <n v="4080" u="1"/>
        <n v="4107" u="1"/>
        <n v="4150" u="1"/>
        <n v="3027" u="1"/>
        <n v="4193" u="1"/>
        <n v="4236" u="1"/>
        <n v="3070" u="1"/>
        <n v="4279" u="1"/>
        <n v="4322" u="1"/>
        <n v="3113" u="1"/>
        <n v="4365" u="1"/>
        <n v="4408" u="1"/>
        <n v="3156" u="1"/>
        <n v="4451" u="1"/>
        <n v="4494" u="1"/>
        <n v="3199" u="1"/>
        <n v="4537" u="1"/>
        <n v="4580" u="1"/>
        <n v="3242" u="1"/>
        <n v="4623" u="1"/>
        <n v="4666" u="1"/>
        <n v="3285" u="1"/>
        <n v="4709" u="1"/>
        <n v="4752" u="1"/>
        <n v="3328" u="1"/>
        <n v="4795" u="1"/>
        <n v="4838" u="1"/>
        <n v="3371" u="1"/>
        <n v="4881" u="1"/>
        <n v="4924" u="1"/>
        <n v="3414" u="1"/>
        <n v="4967" u="1"/>
        <n v="3457" u="1"/>
        <n v="3500" u="1"/>
        <n v="3543" u="1"/>
        <n v="3586" u="1"/>
        <n v="3629" u="1"/>
        <n v="3672" u="1"/>
        <n v="3715" u="1"/>
        <n v="3758" u="1"/>
        <n v="3801" u="1"/>
        <n v="3844" u="1"/>
        <n v="3887" u="1"/>
        <n v="3930" u="1"/>
        <n v="3973" u="1"/>
        <n v="4016" u="1"/>
        <n v="4059" u="1"/>
        <n v="4108" u="1"/>
        <n v="3006" u="1"/>
        <n v="4151" u="1"/>
        <n v="4194" u="1"/>
        <n v="3049" u="1"/>
        <n v="4237" u="1"/>
        <n v="4280" u="1"/>
        <n v="3092" u="1"/>
        <n v="4323" u="1"/>
        <n v="4366" u="1"/>
        <n v="3135" u="1"/>
        <n v="4409" u="1"/>
        <n v="4452" u="1"/>
        <n v="3178" u="1"/>
        <n v="4495" u="1"/>
        <n v="4538" u="1"/>
        <n v="3221" u="1"/>
        <n v="4581" u="1"/>
        <n v="4624" u="1"/>
        <n v="3264" u="1"/>
        <n v="4667" u="1"/>
        <n v="4710" u="1"/>
        <n v="3307" u="1"/>
        <n v="4753" u="1"/>
        <n v="4796" u="1"/>
        <n v="3350" u="1"/>
        <n v="4839" u="1"/>
        <n v="4882" u="1"/>
        <n v="3393" u="1"/>
        <n v="4925" u="1"/>
        <n v="4968" u="1"/>
        <n v="3436" u="1"/>
        <n v="3479" u="1"/>
        <n v="3522" u="1"/>
        <n v="3565" u="1"/>
        <n v="3608" u="1"/>
        <n v="3651" u="1"/>
        <n v="3694" u="1"/>
        <n v="3737" u="1"/>
        <n v="3780" u="1"/>
        <n v="3823" u="1"/>
        <n v="3866" u="1"/>
        <n v="3909" u="1"/>
        <n v="3952" u="1"/>
        <n v="3995" u="1"/>
        <n v="4038" u="1"/>
        <n v="4081" u="1"/>
        <n v="4109" u="1"/>
        <n v="4152" u="1"/>
        <n v="3028" u="1"/>
        <n v="4195" u="1"/>
        <n v="4238" u="1"/>
        <n v="3071" u="1"/>
        <n v="4281" u="1"/>
        <n v="4324" u="1"/>
        <n v="3114" u="1"/>
        <n v="4367" u="1"/>
        <n v="4410" u="1"/>
        <n v="3157" u="1"/>
        <n v="4453" u="1"/>
        <n v="4496" u="1"/>
        <n v="3200" u="1"/>
        <n v="4539" u="1"/>
        <n v="4582" u="1"/>
        <n v="3243" u="1"/>
        <n v="4625" u="1"/>
        <n v="4668" u="1"/>
        <n v="3286" u="1"/>
        <n v="4711" u="1"/>
        <n v="4754" u="1"/>
        <n v="3329" u="1"/>
        <n v="4797" u="1"/>
        <n v="4840" u="1"/>
        <n v="3372" u="1"/>
        <n v="4883" u="1"/>
        <n v="4926" u="1"/>
        <n v="3415" u="1"/>
        <n v="4969" u="1"/>
        <n v="3458" u="1"/>
        <n v="3501" u="1"/>
        <n v="3544" u="1"/>
        <n v="3587" u="1"/>
        <n v="3630" u="1"/>
        <n v="3673" u="1"/>
        <n v="3716" u="1"/>
        <n v="3759" u="1"/>
        <n v="3802" u="1"/>
        <n v="3845" u="1"/>
        <n v="3888" u="1"/>
        <n v="3931" u="1"/>
        <n v="3974" u="1"/>
        <n v="4017" u="1"/>
        <n v="4060" u="1"/>
        <n v="4110" u="1"/>
        <n v="3007" u="1"/>
        <n v="4153" u="1"/>
        <n v="4196" u="1"/>
        <n v="3050" u="1"/>
        <n v="4239" u="1"/>
        <n v="4282" u="1"/>
        <n v="3093" u="1"/>
        <n v="4325" u="1"/>
        <n v="4368" u="1"/>
        <n v="3136" u="1"/>
        <n v="4411" u="1"/>
        <n v="4454" u="1"/>
        <n v="3179" u="1"/>
        <n v="4497" u="1"/>
        <n v="4540" u="1"/>
        <n v="3222" u="1"/>
        <n v="4583" u="1"/>
        <n v="4626" u="1"/>
        <n v="3265" u="1"/>
        <n v="4669" u="1"/>
        <n v="4712" u="1"/>
        <n v="3308" u="1"/>
        <n v="4755" u="1"/>
        <n v="4798" u="1"/>
        <n v="3351" u="1"/>
        <n v="4841" u="1"/>
        <n v="4884" u="1"/>
        <n v="3394" u="1"/>
        <n v="4927" u="1"/>
        <n v="4970" u="1"/>
        <n v="3437" u="1"/>
        <n v="3480" u="1"/>
        <n v="3523" u="1"/>
        <n v="3566" u="1"/>
        <n v="3609" u="1"/>
        <n v="3652" u="1"/>
        <n v="3695" u="1"/>
        <n v="3738" u="1"/>
        <n v="3781" u="1"/>
        <n v="3824" u="1"/>
        <n v="3867" u="1"/>
        <n v="3910" u="1"/>
        <n v="3953" u="1"/>
        <n v="3996" u="1"/>
        <n v="4039" u="1"/>
        <n v="4082" u="1"/>
        <n v="4111" u="1"/>
        <n v="4154" u="1"/>
        <n v="3029" u="1"/>
        <n v="4197" u="1"/>
        <n v="4240" u="1"/>
        <n v="3072" u="1"/>
        <n v="4283" u="1"/>
        <n v="4326" u="1"/>
        <n v="3115" u="1"/>
        <n v="4369" u="1"/>
        <n v="4412" u="1"/>
        <n v="3158" u="1"/>
        <n v="4455" u="1"/>
        <n v="4498" u="1"/>
        <n v="3201" u="1"/>
        <n v="4541" u="1"/>
        <n v="4584" u="1"/>
        <n v="3244" u="1"/>
        <n v="4627" u="1"/>
        <n v="4670" u="1"/>
        <n v="3287" u="1"/>
        <n v="4713" u="1"/>
        <n v="4756" u="1"/>
        <n v="3330" u="1"/>
        <n v="4799" u="1"/>
        <n v="4842" u="1"/>
        <n v="3373" u="1"/>
        <n v="4885" u="1"/>
        <n v="4928" u="1"/>
        <n v="3416" u="1"/>
        <n v="4971" u="1"/>
        <n v="3459" u="1"/>
        <n v="3502" u="1"/>
        <n v="3545" u="1"/>
        <n v="3588" u="1"/>
        <n v="3631" u="1"/>
        <n v="3674" u="1"/>
        <n v="3717" u="1"/>
        <n v="3760" u="1"/>
        <n v="3803" u="1"/>
        <n v="3846" u="1"/>
        <n v="3889" u="1"/>
        <n v="3932" u="1"/>
        <n v="3975" u="1"/>
        <n v="4018" u="1"/>
        <n v="4061" u="1"/>
        <n v="4112" u="1"/>
        <n v="3008" u="1"/>
        <n v="4155" u="1"/>
        <n v="4198" u="1"/>
        <n v="3051" u="1"/>
        <n v="4241" u="1"/>
        <n v="4284" u="1"/>
        <n v="3094" u="1"/>
        <n v="4327" u="1"/>
        <n v="4370" u="1"/>
        <n v="3137" u="1"/>
        <n v="4413" u="1"/>
        <n v="4456" u="1"/>
        <n v="3180" u="1"/>
        <n v="4499" u="1"/>
        <n v="4542" u="1"/>
        <n v="3223" u="1"/>
        <n v="4585" u="1"/>
        <n v="4628" u="1"/>
        <n v="3266" u="1"/>
        <n v="4671" u="1"/>
        <n v="4714" u="1"/>
        <n v="3309" u="1"/>
        <n v="4757" u="1"/>
        <n v="4800" u="1"/>
        <n v="3352" u="1"/>
        <n v="4843" u="1"/>
        <n v="4886" u="1"/>
        <n v="3395" u="1"/>
        <n v="4929" u="1"/>
        <n v="4972" u="1"/>
        <n v="3438" u="1"/>
        <n v="3481" u="1"/>
        <n v="3524" u="1"/>
        <n v="3567" u="1"/>
        <n v="3610" u="1"/>
        <n v="3653" u="1"/>
        <n v="3696" u="1"/>
        <n v="3739" u="1"/>
        <n v="3782" u="1"/>
        <n v="3825" u="1"/>
        <n v="3868" u="1"/>
        <n v="3911" u="1"/>
        <n v="3954" u="1"/>
        <n v="3997" u="1"/>
        <n v="4040" u="1"/>
        <n v="4083" u="1"/>
        <n v="4113" u="1"/>
        <n v="4156" u="1"/>
        <n v="3030" u="1"/>
        <n v="4199" u="1"/>
        <n v="4242" u="1"/>
        <n v="3073" u="1"/>
        <n v="4285" u="1"/>
        <n v="4328" u="1"/>
        <n v="3116" u="1"/>
        <n v="4371" u="1"/>
        <n v="4414" u="1"/>
        <n v="3159" u="1"/>
        <n v="4457" u="1"/>
        <n v="4500" u="1"/>
        <n v="3202" u="1"/>
        <n v="4543" u="1"/>
        <n v="4586" u="1"/>
        <n v="3245" u="1"/>
        <n v="4629" u="1"/>
        <n v="4672" u="1"/>
        <n v="3288" u="1"/>
        <n v="4715" u="1"/>
        <n v="4758" u="1"/>
        <n v="3331" u="1"/>
        <n v="4801" u="1"/>
        <n v="4844" u="1"/>
        <n v="3374" u="1"/>
        <n v="4887" u="1"/>
        <n v="4930" u="1"/>
        <n v="3417" u="1"/>
        <n v="4973" u="1"/>
        <n v="3460" u="1"/>
        <n v="3503" u="1"/>
        <n v="3546" u="1"/>
        <n v="3589" u="1"/>
        <n v="3632" u="1"/>
        <n v="3675" u="1"/>
        <n v="3718" u="1"/>
        <n v="3761" u="1"/>
        <n v="3804" u="1"/>
        <n v="3847" u="1"/>
        <n v="3890" u="1"/>
        <n v="3933" u="1"/>
        <n v="3976" u="1"/>
        <n v="4019" u="1"/>
        <n v="4062" u="1"/>
        <n v="4114" u="1"/>
        <n v="3009" u="1"/>
        <n v="4157" u="1"/>
        <n v="4200" u="1"/>
        <n v="3052" u="1"/>
        <n v="4243" u="1"/>
        <n v="4286" u="1"/>
        <n v="3095" u="1"/>
        <n v="4329" u="1"/>
        <n v="4372" u="1"/>
        <n v="3138" u="1"/>
        <n v="4415" u="1"/>
        <n v="4458" u="1"/>
        <n v="3181" u="1"/>
        <n v="4501" u="1"/>
        <n v="4544" u="1"/>
        <n v="3224" u="1"/>
        <n v="4587" u="1"/>
        <n v="4630" u="1"/>
        <n v="3267" u="1"/>
        <n v="4673" u="1"/>
        <n v="4716" u="1"/>
        <n v="3310" u="1"/>
        <n v="4759" u="1"/>
        <n v="4802" u="1"/>
        <n v="3353" u="1"/>
        <n v="4845" u="1"/>
        <n v="4888" u="1"/>
        <n v="3396" u="1"/>
        <n v="4931" u="1"/>
        <n v="4974" u="1"/>
        <n v="3439" u="1"/>
        <n v="3482" u="1"/>
        <n v="3525" u="1"/>
        <n v="3568" u="1"/>
      </sharedItems>
    </cacheField>
    <cacheField name="DURATION" numFmtId="0" sqlType="6">
      <sharedItems containsSemiMixedTypes="0" containsString="0" containsNumber="1" containsInteger="1" minValue="46" maxValue="75258"/>
    </cacheField>
    <cacheField name="MSE_T" numFmtId="0" sqlType="6">
      <sharedItems containsSemiMixedTypes="0" containsString="0" containsNumber="1" minValue="1.00165052572265E-5" maxValue="59.213775634765597"/>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811.95677326389" createdVersion="5" refreshedVersion="5" minRefreshableVersion="3" recordCount="576">
  <cacheSource type="worksheet">
    <worksheetSource name="T_ForecastError_2"/>
  </cacheSource>
  <cacheFields count="14">
    <cacheField name="CLIENTSTART" numFmtId="22">
      <sharedItems containsSemiMixedTypes="0" containsNonDate="0" containsDate="1" containsString="0" minDate="2019-12-12T22:52:53" maxDate="2019-12-12T22:55:05"/>
    </cacheField>
    <cacheField name="PROCESSID" numFmtId="0">
      <sharedItems containsSemiMixedTypes="0" containsString="0" containsNumber="1" containsInteger="1" minValue="9422" maxValue="9422"/>
    </cacheField>
    <cacheField name="THREADID" numFmtId="0">
      <sharedItems containsSemiMixedTypes="0" containsString="0" containsNumber="1" containsInteger="1" minValue="7184" maxValue="7184"/>
    </cacheField>
    <cacheField name="SEQUENCEID" numFmtId="0">
      <sharedItems containsSemiMixedTypes="0" containsString="0" containsNumber="1" containsInteger="1" minValue="0" maxValue="23"/>
    </cacheField>
    <cacheField name="LASTTIME" numFmtId="0">
      <sharedItems count="137">
        <s v="2018-08-29-23:00"/>
        <s v="2018-08-30-00:00"/>
        <s v="2018-08-30-01:00"/>
        <s v="2018-08-30-02:00"/>
        <s v="2018-08-30-03:00"/>
        <s v="2018-08-30-04:00"/>
        <s v="2018-08-30-05:00"/>
        <s v="2018-08-30-06:00"/>
        <s v="2018-08-30-07:00"/>
        <s v="2018-08-30-08:00"/>
        <s v="2018-08-30-09:00"/>
        <s v="2018-08-30-10:00"/>
        <s v="2018-08-30-11:00"/>
        <s v="2018-08-30-12:00"/>
        <s v="2018-08-30-13:00"/>
        <s v="2018-08-30-14:00"/>
        <s v="2018-08-30-15:00"/>
        <s v="2018-08-30-16:00"/>
        <s v="2018-08-30-17:00"/>
        <s v="2018-08-30-18:00"/>
        <s v="2018-08-30-19:00"/>
        <s v="2018-08-30-20:00"/>
        <s v="2018-08-30-21:00"/>
        <s v="2018-08-30-22:00"/>
        <s v="2018-08-28-20:00" u="1"/>
        <s v="2018-08-29-14:00" u="1"/>
        <s v="2018-08-17-00:00" u="1"/>
        <s v="2018-08-29-03:00" u="1"/>
        <s v="2018-09-17-00:00" u="1"/>
        <s v="2018-08-27-23:00" u="1"/>
        <s v="2018-08-28-17:00" u="1"/>
        <s v="2018-08-27-12:00" u="1"/>
        <s v="2018-08-28-06:00" u="1"/>
        <s v="2018-09-04-00:00" u="1"/>
        <s v="2018-08-27-01:00" u="1"/>
        <s v="2018-08-29-20:00" u="1"/>
        <s v="2018-09-18-00:00" u="1"/>
        <s v="2018-08-20-00:00" u="1"/>
        <s v="2018-09-20-00:00" u="1"/>
        <s v="2018-08-27-09:00" u="1"/>
        <s v="2018-08-28-23:00" u="1"/>
        <s v="2018-08-29-17:00" u="1"/>
        <s v="2018-08-28-12:00" u="1"/>
        <s v="2018-08-29-06:00" u="1"/>
        <s v="2018-09-05-00:00" u="1"/>
        <s v="2018-08-28-01:00" u="1"/>
        <s v="2018-09-19-00:00" u="1"/>
        <s v="2018-08-21-00:00" u="1"/>
        <s v="2018-09-21-00:00" u="1"/>
        <s v="2018-08-27-15:00" u="1"/>
        <s v="2018-08-28-09:00" u="1"/>
        <s v="2018-08-27-04:00" u="1"/>
        <s v="2018-08-06-00:00" u="1"/>
        <s v="2018-08-29-12:00" u="1"/>
        <s v="2018-09-06-00:00" u="1"/>
        <s v="2018-08-29-01:00" u="1"/>
        <s v="2018-08-22-00:00" u="1"/>
        <s v="2018-08-27-21:00" u="1"/>
        <s v="2018-08-28-15:00" u="1"/>
        <s v="2018-08-29-09:00" u="1"/>
        <s v="2018-08-27-10:00" u="1"/>
        <s v="2018-08-28-04:00" u="1"/>
        <s v="2018-08-07-00:00" u="1"/>
        <s v="2018-09-07-00:00" u="1"/>
        <s v="2018-08-27-18:00" u="1"/>
        <s v="2018-08-23-00:00" u="1"/>
        <s v="2018-08-27-07:00" u="1"/>
        <s v="2018-08-28-21:00" u="1"/>
        <s v="2018-08-29-15:00" u="1"/>
        <s v="2018-08-28-10:00" u="1"/>
        <s v="2018-08-29-04:00" u="1"/>
        <s v="2018-08-08-00:00" u="1"/>
        <s v="2018-08-10-00:00" u="1"/>
        <s v="2018-09-10-00:00" u="1"/>
        <s v="2018-08-28-18:00" u="1"/>
        <s v="2018-08-24-00:00" u="1"/>
        <s v="2018-08-27-13:00" u="1"/>
        <s v="2018-08-28-07:00" u="1"/>
        <s v="2018-09-24-00:00" u="1"/>
        <s v="2018-08-27-02:00" u="1"/>
        <s v="2018-08-29-21:00" u="1"/>
        <s v="2018-08-29-10:00" u="1"/>
        <s v="2018-08-09-00:00" u="1"/>
        <s v="2018-09-11-00:00" u="1"/>
        <s v="2018-08-29-18:00" u="1"/>
        <s v="2018-08-28-13:00" u="1"/>
        <s v="2018-08-29-07:00" u="1"/>
        <s v="2018-09-25-00:00" u="1"/>
        <s v="2018-08-28-02:00" u="1"/>
        <s v="2018-08-27-16:00" u="1"/>
        <s v="2018-09-12-00:00" u="1"/>
        <s v="2018-08-27-05:00" u="1"/>
        <s v="2018-08-29-13:00" u="1"/>
        <s v="2018-09-26-00:00" u="1"/>
        <s v="2018-08-29-02:00" u="1"/>
        <s v="2018-08-13-00:00" u="1"/>
        <s v="2018-08-27-22:00" u="1"/>
        <s v="2018-08-28-16:00" u="1"/>
        <s v="2018-09-13-00:00" u="1"/>
        <s v="2018-08-27-11:00" u="1"/>
        <s v="2018-08-28-05:00" u="1"/>
        <s v="2018-08-27-00:00" u="1"/>
        <s v="2018-09-27-00:00" u="1"/>
        <s v="2018-08-27-19:00" u="1"/>
        <s v="2018-08-27-08:00" u="1"/>
        <s v="2018-08-14-00:00" u="1"/>
        <s v="2018-08-28-22:00" u="1"/>
        <s v="2018-08-29-16:00" u="1"/>
        <s v="2018-09-14-00:00" u="1"/>
        <s v="2018-08-28-11:00" u="1"/>
        <s v="2018-08-29-05:00" u="1"/>
        <s v="2018-08-28-00:00" u="1"/>
        <s v="2018-09-28-00:00" u="1"/>
        <s v="2018-07-30-00:00" u="1"/>
        <s v="2018-08-24-23:00" u="1"/>
        <s v="2018-08-01-00:00" u="1"/>
        <s v="2018-08-28-19:00" u="1"/>
        <s v="2018-08-27-14:00" u="1"/>
        <s v="2018-08-28-08:00" u="1"/>
        <s v="2018-08-15-00:00" u="1"/>
        <s v="2018-08-27-03:00" u="1"/>
        <s v="2018-08-29-22:00" u="1"/>
        <s v="2018-08-29-11:00" u="1"/>
        <s v="2018-08-29-00:00" u="1"/>
        <s v="2018-07-31-00:00" u="1"/>
        <s v="2018-08-31-00:00" u="1"/>
        <s v="2018-08-02-00:00" u="1"/>
        <s v="2018-08-29-19:00" u="1"/>
        <s v="2018-08-27-20:00" u="1"/>
        <s v="2018-08-28-14:00" u="1"/>
        <s v="2018-08-29-08:00" u="1"/>
        <s v="2018-08-16-00:00" u="1"/>
        <s v="2018-08-28-03:00" u="1"/>
        <s v="2018-08-27-17:00" u="1"/>
        <s v="2018-08-03-00:00" u="1"/>
        <s v="2018-08-27-06:00" u="1"/>
        <s v="2018-09-03-00:00" u="1"/>
      </sharedItems>
    </cacheField>
    <cacheField name="ACTUALH" numFmtId="0">
      <sharedItems containsSemiMixedTypes="0" containsString="0" containsNumber="1" minValue="1.1659799814224201" maxValue="1.1717400550842301"/>
    </cacheField>
    <cacheField name="FORECASTH" numFmtId="0">
      <sharedItems containsString="0" containsBlank="1" containsNumber="1" minValue="1.1656250953674301" maxValue="1.1713514328002901"/>
    </cacheField>
    <cacheField name="ERRORH" numFmtId="0">
      <sharedItems containsString="0" containsBlank="1" containsNumber="1" minValue="5.1975250240000003E-5" maxValue="9.7918510437000009E-4"/>
    </cacheField>
    <cacheField name="ACTUALL" numFmtId="0">
      <sharedItems containsSemiMixedTypes="0" containsString="0" containsNumber="1" minValue="1.1641000509262101" maxValue="1.1705399751663199"/>
    </cacheField>
    <cacheField name="FORECASTL" numFmtId="0">
      <sharedItems containsString="0" containsBlank="1" containsNumber="1" minValue="1.1635240316391" maxValue="1.1705574989318801"/>
    </cacheField>
    <cacheField name="ERRORL" numFmtId="0">
      <sharedItems containsString="0" containsBlank="1" containsNumber="1" minValue="7.259845733E-5" maxValue="2.2950172424399998E-3"/>
    </cacheField>
    <cacheField name="TRADEPROFIT" numFmtId="0">
      <sharedItems containsSemiMixedTypes="0" containsString="0" containsNumber="1" containsInteger="1" minValue="-324" maxValue="206"/>
    </cacheField>
    <cacheField name="TRADERESULT" numFmtId="0">
      <sharedItems containsSemiMixedTypes="0" containsString="0" containsNumber="1" containsInteger="1" minValue="-1" maxValue="0"/>
    </cacheField>
    <cacheField name="OUTCOME"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812.582484837963" createdVersion="5" refreshedVersion="5" minRefreshableVersion="3" recordCount="548">
  <cacheSource type="external" connectionId="2"/>
  <cacheFields count="73">
    <cacheField name="PROCESSID" numFmtId="0" sqlType="6">
      <sharedItems containsSemiMixedTypes="0" containsString="0" containsNumber="1" containsInteger="1" minValue="9656" maxValue="20232" count="11">
        <n v="9656"/>
        <n v="9816"/>
        <n v="11911"/>
        <n v="11944"/>
        <n v="12300"/>
        <n v="13512"/>
        <n v="14700"/>
        <n v="16588"/>
        <n v="16648"/>
        <n v="19720"/>
        <n v="20232"/>
      </sharedItems>
    </cacheField>
    <cacheField name="ENGINETYPE" numFmtId="0" sqlType="6">
      <sharedItems containsSemiMixedTypes="0" containsString="0" containsNumber="1" containsInteger="1" minValue="-842150451" maxValue="-842150451" count="1">
        <n v="-842150451"/>
      </sharedItems>
    </cacheField>
    <cacheField name="DATASAMPLELEN" numFmtId="0" sqlType="6">
      <sharedItems containsSemiMixedTypes="0" containsString="0" containsNumber="1" containsInteger="1" minValue="5" maxValue="50" count="4">
        <n v="32"/>
        <n v="5" u="1"/>
        <n v="50" u="1"/>
        <n v="10" u="1"/>
      </sharedItems>
    </cacheField>
    <cacheField name="DATAPREDICTIONLEN" numFmtId="0" sqlType="6">
      <sharedItems containsSemiMixedTypes="0" containsString="0" containsNumber="1" containsInteger="1" minValue="2" maxValue="16" count="4">
        <n v="3"/>
        <n v="2"/>
        <n v="15" u="1"/>
        <n v="16" u="1"/>
      </sharedItems>
    </cacheField>
    <cacheField name="DATAFEATURESCNT" numFmtId="0" sqlType="6">
      <sharedItems containsString="0" containsBlank="1" count="1">
        <m/>
      </sharedItems>
    </cacheField>
    <cacheField name="DATABATCHSIZE" numFmtId="0" sqlType="6">
      <sharedItems containsSemiMixedTypes="0" containsString="0" containsNumber="1" containsInteger="1" minValue="1" maxValue="1" count="1">
        <n v="1"/>
      </sharedItems>
    </cacheField>
    <cacheField name="WNNDECOMPLEVEL" numFmtId="0" sqlType="6">
      <sharedItems containsSemiMixedTypes="0" containsString="0" containsNumber="1" containsInteger="1" minValue="-1" maxValue="8" count="4">
        <n v="4"/>
        <n v="-1"/>
        <n v="8"/>
        <n v="2"/>
      </sharedItems>
    </cacheField>
    <cacheField name="WNNWAVELETTYPE" numFmtId="0" sqlType="6">
      <sharedItems containsSemiMixedTypes="0" containsString="0" containsNumber="1" containsInteger="1" minValue="-1" maxValue="12" count="5">
        <n v="12"/>
        <n v="0"/>
        <n v="-1"/>
        <n v="2"/>
        <n v="1"/>
      </sharedItems>
    </cacheField>
    <cacheField name="READFROM" numFmtId="0" sqlType="6">
      <sharedItems containsString="0" containsBlank="1" count="1">
        <m/>
      </sharedItems>
    </cacheField>
    <cacheField name="SAVETODB" numFmtId="0" sqlType="6">
      <sharedItems containsString="0" containsBlank="1" count="1">
        <m/>
      </sharedItems>
    </cacheField>
    <cacheField name="SAVETOFILE" numFmtId="0" sqlType="6">
      <sharedItems containsString="0" containsBlank="1" count="1">
        <m/>
      </sharedItems>
    </cacheField>
    <cacheField name="ORAUSERNAME" numFmtId="0" sqlType="12">
      <sharedItems containsString="0" containsBlank="1" count="1">
        <m/>
      </sharedItems>
    </cacheField>
    <cacheField name="ORAPASSWORD" numFmtId="0" sqlType="12">
      <sharedItems containsString="0" containsBlank="1" count="1">
        <m/>
      </sharedItems>
    </cacheField>
    <cacheField name="ORACONNSTRING" numFmtId="0" sqlType="12">
      <sharedItems containsString="0" containsBlank="1" count="1">
        <m/>
      </sharedItems>
    </cacheField>
    <cacheField name="ENGINEPID" numFmtId="0" sqlType="6">
      <sharedItems containsSemiMixedTypes="0" containsString="0" containsNumber="1" containsInteger="1" minValue="9656" maxValue="20232" count="11">
        <n v="9656"/>
        <n v="9816"/>
        <n v="11911"/>
        <n v="11944"/>
        <n v="12300"/>
        <n v="13512"/>
        <n v="14700"/>
        <n v="16588"/>
        <n v="16648"/>
        <n v="19720"/>
        <n v="20232"/>
      </sharedItems>
    </cacheField>
    <cacheField name="COREID" numFmtId="0" sqlType="6">
      <sharedItems containsSemiMixedTypes="0" containsString="0" containsNumber="1" containsInteger="1" minValue="0" maxValue="0" count="1">
        <n v="0"/>
      </sharedItems>
    </cacheField>
    <cacheField name="LAYER" numFmtId="0" sqlType="6">
      <sharedItems containsSemiMixedTypes="0" containsString="0" containsNumber="1" containsInteger="1" minValue="0" maxValue="0" count="1">
        <n v="0"/>
      </sharedItems>
    </cacheField>
    <cacheField name="CORETHREADID" numFmtId="0" sqlType="6">
      <sharedItems containsSemiMixedTypes="0" containsString="0" containsNumber="1" containsInteger="1" minValue="3880" maxValue="20140" count="11">
        <n v="20140"/>
        <n v="15800"/>
        <n v="18724"/>
        <n v="6344"/>
        <n v="12708"/>
        <n v="9900"/>
        <n v="13272"/>
        <n v="9956"/>
        <n v="10472"/>
        <n v="16648"/>
        <n v="3880"/>
      </sharedItems>
    </cacheField>
    <cacheField name="CORETYPE" numFmtId="0" sqlType="6">
      <sharedItems containsSemiMixedTypes="0" containsString="0" containsNumber="1" containsInteger="1" minValue="-842150451" maxValue="-842150451" count="1">
        <n v="-842150451"/>
      </sharedItems>
    </cacheField>
    <cacheField name="PROCESSID2" numFmtId="0" sqlType="6">
      <sharedItems containsSemiMixedTypes="0" containsString="0" containsNumber="1" containsInteger="1" minValue="9656" maxValue="20232" count="11">
        <n v="9656"/>
        <n v="9816"/>
        <n v="11911"/>
        <n v="11944"/>
        <n v="12300"/>
        <n v="13512"/>
        <n v="14700"/>
        <n v="16588"/>
        <n v="16648"/>
        <n v="19720"/>
        <n v="20232"/>
      </sharedItems>
    </cacheField>
    <cacheField name="IOSHIFT" numFmtId="0" sqlType="6">
      <sharedItems containsSemiMixedTypes="0" containsString="0" containsNumber="1" containsInteger="1" minValue="0" maxValue="16" count="2">
        <n v="0"/>
        <n v="16" u="1"/>
      </sharedItems>
    </cacheField>
    <cacheField name="ENGINESIDE" numFmtId="0" sqlType="6">
      <sharedItems containsSemiMixedTypes="0" containsString="0" containsNumber="1" containsInteger="1" minValue="0" maxValue="1" count="2">
        <n v="0"/>
        <n v="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14" count="15">
        <n v="2"/>
        <n v="3"/>
        <n v="1"/>
        <n v="0"/>
        <n v="13" u="1"/>
        <n v="5" u="1"/>
        <n v="14" u="1"/>
        <n v="6" u="1"/>
        <n v="7" u="1"/>
        <n v="8" u="1"/>
        <n v="9" u="1"/>
        <n v="10" u="1"/>
        <n v="11" u="1"/>
        <n v="4" u="1"/>
        <n v="12" u="1"/>
      </sharedItems>
    </cacheField>
    <cacheField name="DT" numFmtId="0" sqlType="6">
      <sharedItems containsSemiMixedTypes="0" containsString="0" containsNumber="1" containsInteger="1" minValue="1" maxValue="1" count="1">
        <n v="1"/>
      </sharedItems>
    </cacheField>
    <cacheField name="WTLEVEL" numFmtId="0" sqlType="6">
      <sharedItems containsSemiMixedTypes="0" containsString="0" containsNumber="1" containsInteger="1" minValue="0" maxValue="9" count="10">
        <n v="0"/>
        <n v="1"/>
        <n v="2"/>
        <n v="3"/>
        <n v="4"/>
        <n v="5"/>
        <n v="6"/>
        <n v="7"/>
        <n v="8"/>
        <n v="9"/>
      </sharedItems>
    </cacheField>
    <cacheField name="WTTYPE" numFmtId="0" sqlType="6">
      <sharedItems containsSemiMixedTypes="0" containsString="0" containsNumber="1" containsInteger="1" minValue="-1" maxValue="12" count="5">
        <n v="12"/>
        <n v="-1"/>
        <n v="0"/>
        <n v="2"/>
        <n v="1"/>
      </sharedItems>
    </cacheField>
    <cacheField name="PROCESSID3" numFmtId="0" sqlType="6">
      <sharedItems containsSemiMixedTypes="0" containsString="0" containsNumber="1" containsInteger="1" minValue="9656" maxValue="20232" count="11">
        <n v="9656"/>
        <n v="9816"/>
        <n v="11911"/>
        <n v="11944"/>
        <n v="12300"/>
        <n v="13512"/>
        <n v="14700"/>
        <n v="16588"/>
        <n v="16648"/>
        <n v="19720"/>
        <n v="20232"/>
      </sharedItems>
    </cacheField>
    <cacheField name="THREADID" numFmtId="0" sqlType="6">
      <sharedItems containsSemiMixedTypes="0" containsString="0" containsNumber="1" containsInteger="1" minValue="3880" maxValue="20140" count="11">
        <n v="20140"/>
        <n v="15800"/>
        <n v="18724"/>
        <n v="6344"/>
        <n v="12708"/>
        <n v="9900"/>
        <n v="13272"/>
        <n v="9956"/>
        <n v="10472"/>
        <n v="16648"/>
        <n v="3880"/>
      </sharedItems>
    </cacheField>
    <cacheField name="COREID2" numFmtId="0" sqlType="6">
      <sharedItems containsString="0" containsBlank="1" count="1">
        <m/>
      </sharedItems>
    </cacheField>
    <cacheField name="LEVELRATIOS" numFmtId="0" sqlType="12">
      <sharedItems count="4">
        <s v="1.00000"/>
        <s v="5.00000" u="1"/>
        <s v="8.00000" u="1"/>
        <s v="2.00000" u="1"/>
      </sharedItems>
    </cacheField>
    <cacheField name="LEVELACTIVATIONS" numFmtId="0" sqlType="12">
      <sharedItems count="1">
        <s v="1,1,1"/>
      </sharedItems>
    </cacheField>
    <cacheField name="USECONTEXT" numFmtId="0" sqlType="6">
      <sharedItems containsSemiMixedTypes="0" containsString="0" containsNumber="1" containsInteger="1" minValue="0" maxValue="1" count="2">
        <n v="0"/>
        <n v="1" u="1"/>
      </sharedItems>
    </cacheField>
    <cacheField name="USEBIAS" numFmtId="0" sqlType="6">
      <sharedItems containsSemiMixedTypes="0" containsString="0" containsNumber="1" containsInteger="1" minValue="0" maxValue="0" count="1">
        <n v="0"/>
      </sharedItems>
    </cacheField>
    <cacheField name="MAXEPOCHS" numFmtId="0" sqlType="6">
      <sharedItems containsSemiMixedTypes="0" containsString="0" containsNumber="1" containsInteger="1" minValue="20" maxValue="1000" count="6">
        <n v="200"/>
        <n v="50"/>
        <n v="20"/>
        <n v="100" u="1"/>
        <n v="1000" u="1"/>
        <n v="150" u="1"/>
      </sharedItems>
    </cacheField>
    <cacheField name="TARGETMSE" numFmtId="0" sqlType="6">
      <sharedItems containsSemiMixedTypes="0" containsString="0" containsNumber="1" minValue="1.0000000000000001E-5" maxValue="1.0000000000000001E-5" count="1">
        <n v="1.0000000000000001E-5"/>
      </sharedItems>
    </cacheField>
    <cacheField name="NETSAVEFREQUENCY" numFmtId="0" sqlType="6">
      <sharedItems containsSemiMixedTypes="0" containsString="0" containsNumber="1" containsInteger="1" minValue="10" maxValue="10" count="1">
        <n v="10"/>
      </sharedItems>
    </cacheField>
    <cacheField name="STOPONDIVERGENCE" numFmtId="0" sqlType="6">
      <sharedItems containsSemiMixedTypes="0" containsString="0" containsNumber="1" containsInteger="1" minValue="0" maxValue="0" count="1">
        <n v="0"/>
      </sharedItems>
    </cacheField>
    <cacheField name="BPALGO" numFmtId="0" sqlType="6">
      <sharedItems containsSemiMixedTypes="0" containsString="0" containsNumber="1" containsInteger="1" minValue="0" maxValue="0" count="1">
        <n v="0"/>
      </sharedItems>
    </cacheField>
    <cacheField name="BPSTD_LEARNINGRATE" numFmtId="0" sqlType="6">
      <sharedItems containsSemiMixedTypes="0" containsString="0" containsNumber="1" minValue="1E-3" maxValue="1E-3" count="1">
        <n v="1E-3"/>
      </sharedItems>
    </cacheField>
    <cacheField name="BPSTD_LEARNINGMOMENTUM" numFmtId="0" sqlType="6">
      <sharedItems containsSemiMixedTypes="0" containsString="0" containsNumber="1" minValue="0.8" maxValue="0.8" count="1">
        <n v="0.8"/>
      </sharedItems>
    </cacheField>
    <cacheField name="BPSCGD_MAXK" numFmtId="0" sqlType="6">
      <sharedItems containsSemiMixedTypes="0" containsString="0" containsNumber="1" containsInteger="1" minValue="-842150451" maxValue="-842150451" count="1">
        <n v="-842150451"/>
      </sharedItems>
    </cacheField>
    <cacheField name="PROCESSID4" numFmtId="0" sqlType="6">
      <sharedItems containsSemiMixedTypes="0" containsString="0" containsNumber="1" containsInteger="1" minValue="9656" maxValue="20232" count="11">
        <n v="9656"/>
        <n v="9816"/>
        <n v="11911"/>
        <n v="11944"/>
        <n v="12300"/>
        <n v="13512"/>
        <n v="14700"/>
        <n v="16588"/>
        <n v="16648"/>
        <n v="19720"/>
        <n v="20232"/>
      </sharedItems>
    </cacheField>
    <cacheField name="SEQUENCEID" numFmtId="0" sqlType="6">
      <sharedItems containsSemiMixedTypes="0" containsString="0" containsNumber="1" containsInteger="1" minValue="0" maxValue="0" count="1">
        <n v="0"/>
      </sharedItems>
    </cacheField>
    <cacheField name="SIMULATIONID" numFmtId="0" sqlType="6">
      <sharedItems containsSemiMixedTypes="0" containsString="0" containsNumber="1" containsInteger="1" minValue="1" maxValue="90" count="8">
        <n v="86"/>
        <n v="1"/>
        <n v="77"/>
        <n v="90"/>
        <n v="80"/>
        <n v="82"/>
        <n v="81"/>
        <n v="78"/>
      </sharedItems>
    </cacheField>
    <cacheField name="NETPROCESSID" numFmtId="0" sqlType="6">
      <sharedItems containsSemiMixedTypes="0" containsString="0" containsNumber="1" containsInteger="1" minValue="436" maxValue="20232" count="94">
        <n v="9656"/>
        <n v="9816"/>
        <n v="11911"/>
        <n v="11944"/>
        <n v="12300"/>
        <n v="13512"/>
        <n v="14700"/>
        <n v="16588"/>
        <n v="16648"/>
        <n v="19720"/>
        <n v="20232"/>
        <n v="1700" u="1"/>
        <n v="2791" u="1"/>
        <n v="6991" u="1"/>
        <n v="10760" u="1"/>
        <n v="13884" u="1"/>
        <n v="2332" u="1"/>
        <n v="10704" u="1"/>
        <n v="11419" u="1"/>
        <n v="18240" u="1"/>
        <n v="11992" u="1"/>
        <n v="14274" u="1"/>
        <n v="15628" u="1"/>
        <n v="12656" u="1"/>
        <n v="14644" u="1"/>
        <n v="14152" u="1"/>
        <n v="16748" u="1"/>
        <n v="5388" u="1"/>
        <n v="11956" u="1"/>
        <n v="11180" u="1"/>
        <n v="436" u="1"/>
        <n v="9136" u="1"/>
        <n v="11692" u="1"/>
        <n v="10064" u="1"/>
        <n v="17528" u="1"/>
        <n v="14760" u="1"/>
        <n v="3048" u="1"/>
        <n v="15120" u="1"/>
        <n v="15404" u="1"/>
        <n v="6232" u="1"/>
        <n v="8603" u="1"/>
        <n v="10804" u="1"/>
        <n v="1895" u="1"/>
        <n v="6952" u="1"/>
        <n v="15723" u="1"/>
        <n v="1488" u="1"/>
        <n v="6635" u="1"/>
        <n v="7487" u="1"/>
        <n v="14308" u="1"/>
        <n v="14592" u="1"/>
        <n v="18500" u="1"/>
        <n v="16108" u="1"/>
        <n v="18388" u="1"/>
        <n v="9439" u="1"/>
        <n v="19392" u="1"/>
        <n v="1919" u="1"/>
        <n v="10088" u="1"/>
        <n v="11721" u="1"/>
        <n v="5808" u="1"/>
        <n v="7692" u="1"/>
        <n v="6168" u="1"/>
        <n v="7304" u="1"/>
        <n v="5747" u="1"/>
        <n v="6992" u="1"/>
        <n v="4512" u="1"/>
        <n v="14180" u="1"/>
        <n v="9504" u="1"/>
        <n v="10498" u="1"/>
        <n v="3296" u="1"/>
        <n v="5800" u="1"/>
        <n v="1387" u="1"/>
        <n v="3424" u="1"/>
        <n v="2236" u="1"/>
        <n v="5384" u="1"/>
        <n v="11593" u="1"/>
        <n v="7126" u="1"/>
        <n v="12176" u="1"/>
        <n v="11116" u="1"/>
        <n v="15660" u="1"/>
        <n v="6000" u="1"/>
        <n v="1676" u="1"/>
        <n v="12120" u="1"/>
        <n v="15812" u="1"/>
        <n v="15888" u="1"/>
        <n v="17380" u="1"/>
        <n v="9153" u="1"/>
        <n v="3439" u="1"/>
        <n v="1404" u="1"/>
        <n v="7364" u="1"/>
        <n v="1468" u="1"/>
        <n v="9680" u="1"/>
        <n v="13869" u="1"/>
        <n v="16608" u="1"/>
        <n v="17744" u="1"/>
      </sharedItems>
    </cacheField>
    <cacheField name="CLIENTNAME" numFmtId="0" sqlType="12">
      <sharedItems count="2">
        <s v="Root.Tester"/>
        <s v="MT5_account_25615969" u="1"/>
      </sharedItems>
    </cacheField>
    <cacheField name="CLIENTSTART" numFmtId="0" sqlType="11">
      <sharedItems containsSemiMixedTypes="0" containsNonDate="0" containsDate="1" containsString="0" minDate="2019-09-06T21:07:36" maxDate="2019-12-13T13:54:56" count="149">
        <d v="2019-12-13T12:40:27"/>
        <d v="2019-12-06T13:45:16"/>
        <d v="2019-12-12T09:56:45"/>
        <d v="2019-12-13T13:08:21"/>
        <d v="2019-12-12T09:12:18"/>
        <d v="2019-12-13T12:59:44"/>
        <d v="2019-12-13T13:21:56"/>
        <d v="2019-12-13T13:54:56"/>
        <d v="2019-12-13T12:48:37"/>
        <d v="2019-12-13T13:39:13"/>
        <d v="2019-12-13T08:52:47"/>
        <d v="2019-09-15T16:33:45" u="1"/>
        <d v="2019-11-17T23:39:36" u="1"/>
        <d v="2019-12-02T18:01:01" u="1"/>
        <d v="2019-09-15T17:22:37" u="1"/>
        <d v="2019-12-02T17:31:45" u="1"/>
        <d v="2019-12-03T16:51:09" u="1"/>
        <d v="2019-12-02T17:28:41" u="1"/>
        <d v="2019-09-15T17:22:38" u="1"/>
        <d v="2019-11-24T11:55:26" u="1"/>
        <d v="2019-11-29T18:05:04" u="1"/>
        <d v="2019-11-30T20:05:17" u="1"/>
        <d v="2019-11-30T20:44:26" u="1"/>
        <d v="2019-11-25T19:57:09" u="1"/>
        <d v="2019-12-03T23:04:43" u="1"/>
        <d v="2019-11-17T22:18:56" u="1"/>
        <d v="2019-11-30T00:10:01" u="1"/>
        <d v="2019-11-30T19:39:05" u="1"/>
        <d v="2019-09-06T21:07:36" u="1"/>
        <d v="2019-09-19T13:37:47" u="1"/>
        <d v="2019-09-19T13:37:48" u="1"/>
        <d v="2019-11-30T20:09:34" u="1"/>
        <d v="2019-12-02T20:16:03" u="1"/>
        <d v="2019-11-29T22:09:20" u="1"/>
        <d v="2019-12-02T18:14:09" u="1"/>
        <d v="2019-09-19T13:37:49" u="1"/>
        <d v="2019-11-29T18:49:17" u="1"/>
        <d v="2019-12-01T21:02:49" u="1"/>
        <d v="2019-09-19T13:37:50" u="1"/>
        <d v="2019-10-12T11:28:39" u="1"/>
        <d v="2019-12-01T00:31:44" u="1"/>
        <d v="2019-09-19T13:37:51" u="1"/>
        <d v="2019-10-12T11:28:40" u="1"/>
        <d v="2019-12-03T20:06:21" u="1"/>
        <d v="2019-12-01T21:06:41" u="1"/>
        <d v="2019-11-24T21:26:43" u="1"/>
        <d v="2019-09-19T13:37:52" u="1"/>
        <d v="2019-10-12T11:28:41" u="1"/>
        <d v="2019-11-23T00:00:07" u="1"/>
        <d v="2019-11-17T23:30:32" u="1"/>
        <d v="2019-09-19T13:37:53" u="1"/>
        <d v="2019-10-12T11:28:42" u="1"/>
        <d v="2019-09-15T17:22:23" u="1"/>
        <d v="2019-12-02T19:56:27" u="1"/>
        <d v="2019-12-02T21:27:16" u="1"/>
        <d v="2019-12-03T17:30:59" u="1"/>
        <d v="2019-11-22T20:54:19" u="1"/>
        <d v="2019-09-19T13:37:54" u="1"/>
        <d v="2019-10-12T11:28:43" u="1"/>
        <d v="2019-11-30T21:00:03" u="1"/>
        <d v="2019-09-15T17:22:24" u="1"/>
        <d v="2019-11-22T23:48:10" u="1"/>
        <d v="2019-11-23T20:44:11" u="1"/>
        <d v="2019-11-30T19:38:51" u="1"/>
        <d v="2019-12-01T00:15:17" u="1"/>
        <d v="2019-12-03T18:55:33" u="1"/>
        <d v="2019-09-19T13:37:55" u="1"/>
        <d v="2019-10-12T11:28:44" u="1"/>
        <d v="2019-09-15T17:22:25" u="1"/>
        <d v="2019-11-19T22:37:57" u="1"/>
        <d v="2019-11-19T22:58:40" u="1"/>
        <d v="2019-12-02T18:36:32" u="1"/>
        <d v="2019-11-24T21:07:59" u="1"/>
        <d v="2019-11-26T17:03:03" u="1"/>
        <d v="2019-11-30T20:26:11" u="1"/>
        <d v="2019-12-02T18:09:17" u="1"/>
        <d v="2019-12-03T18:10:40" u="1"/>
        <d v="2019-09-19T13:37:56" u="1"/>
        <d v="2019-10-12T11:28:45" u="1"/>
        <d v="2019-11-29T18:02:11" u="1"/>
        <d v="2019-12-03T13:47:56" u="1"/>
        <d v="2019-09-15T17:22:26" u="1"/>
        <d v="2019-09-19T13:37:57" u="1"/>
        <d v="2019-10-12T11:28:46" u="1"/>
        <d v="2019-11-29T18:18:43" u="1"/>
        <d v="2019-09-15T17:22:27" u="1"/>
        <d v="2019-10-18T17:03:35" u="1"/>
        <d v="2019-11-21T22:08:05" u="1"/>
        <d v="2019-12-04T16:44:42" u="1"/>
        <d v="2019-12-04T19:07:27" u="1"/>
        <d v="2019-11-19T22:49:53" u="1"/>
        <d v="2019-11-23T20:35:25" u="1"/>
        <d v="2019-12-03T14:44:53" u="1"/>
        <d v="2019-09-19T13:37:58" u="1"/>
        <d v="2019-10-12T11:28:47" u="1"/>
        <d v="2019-11-23T16:31:13" u="1"/>
        <d v="2019-11-23T20:05:53" u="1"/>
        <d v="2019-11-30T01:27:29" u="1"/>
        <d v="2019-09-15T17:22:28" u="1"/>
        <d v="2019-11-26T14:16:10" u="1"/>
        <d v="2019-09-19T13:37:59" u="1"/>
        <d v="2019-10-12T11:28:48" u="1"/>
        <d v="2019-12-02T19:53:52" u="1"/>
        <d v="2019-12-02T21:24:41" u="1"/>
        <d v="2019-09-15T17:22:29" u="1"/>
        <d v="2019-11-21T21:34:37" u="1"/>
        <d v="2019-11-30T19:35:52" u="1"/>
        <d v="2019-10-12T11:28:49" u="1"/>
        <d v="2019-09-15T17:22:30" u="1"/>
        <d v="2019-10-20T23:34:45" u="1"/>
        <d v="2019-12-04T11:22:07" u="1"/>
        <d v="2019-12-04T16:32:04" u="1"/>
        <d v="2019-10-12T11:28:50" u="1"/>
        <d v="2019-11-21T20:07:00" u="1"/>
        <d v="2019-09-15T17:22:31" u="1"/>
        <d v="2019-11-19T18:36:55" u="1"/>
        <d v="2019-09-19T13:38:00" u="1"/>
        <d v="2019-10-12T11:28:51" u="1"/>
        <d v="2019-12-01T21:29:06" u="1"/>
        <d v="2019-09-15T17:22:32" u="1"/>
        <d v="2019-12-02T18:42:24" u="1"/>
        <d v="2019-09-19T13:38:01" u="1"/>
        <d v="2019-12-01T12:47:12" u="1"/>
        <d v="2019-10-12T11:28:52" u="1"/>
        <d v="2019-11-24T03:07:25" u="1"/>
        <d v="2019-09-15T17:22:33" u="1"/>
        <d v="2019-11-23T17:45:54" u="1"/>
        <d v="2019-09-19T13:38:02" u="1"/>
        <d v="2019-09-15T16:33:42" u="1"/>
        <d v="2019-10-12T11:28:53" u="1"/>
        <d v="2019-12-04T17:14:05" u="1"/>
        <d v="2019-09-15T17:22:34" u="1"/>
        <d v="2019-12-04T15:08:21" u="1"/>
        <d v="2019-09-19T13:38:03" u="1"/>
        <d v="2019-11-19T12:54:39" u="1"/>
        <d v="2019-11-24T21:00:50" u="1"/>
        <d v="2019-09-15T16:33:43" u="1"/>
        <d v="2019-10-12T11:28:54" u="1"/>
        <d v="2019-11-19T18:59:13" u="1"/>
        <d v="2019-09-15T17:22:35" u="1"/>
        <d v="2019-11-24T21:11:35" u="1"/>
        <d v="2019-09-19T13:38:04" u="1"/>
        <d v="2019-12-01T23:55:15" u="1"/>
        <d v="2019-09-15T16:33:44" u="1"/>
        <d v="2019-10-12T11:28:55" u="1"/>
        <d v="2019-11-29T19:52:14" u="1"/>
        <d v="2019-11-29T23:53:22" u="1"/>
        <d v="2019-09-15T17:22:36" u="1"/>
        <d v="2019-12-03T00:28:59" u="1"/>
      </sharedItems>
    </cacheField>
    <cacheField name="DURATION" numFmtId="0" sqlType="6">
      <sharedItems containsSemiMixedTypes="0" containsString="0" containsNumber="1" minValue="28069.900799999999" maxValue="678602.34299999999" count="11">
        <n v="355357.94380000001"/>
        <n v="245249.3903"/>
        <n v="292136.96620000002"/>
        <n v="28069.900799999999"/>
        <n v="601306.79229999997"/>
        <n v="123543.7965"/>
        <n v="279644.49359999999"/>
        <n v="678602.34299999999"/>
        <n v="126315.7213"/>
        <n v="136215.70129999999"/>
        <n v="85379.121899999998"/>
      </sharedItems>
    </cacheField>
    <cacheField name="SIMULATIONSTARTTRAIN" numFmtId="0" sqlType="12">
      <sharedItems count="4">
        <s v="2017-11-29-07:00"/>
        <s v="2017-11-28-15:00"/>
        <s v="2017-12-13-07:00"/>
        <s v="2017-11-28-19:00"/>
      </sharedItems>
    </cacheField>
    <cacheField name="SIMULATIONSTARTINFER" numFmtId="0" sqlType="12">
      <sharedItems containsString="0" containsBlank="1" count="1">
        <m/>
      </sharedItems>
    </cacheField>
    <cacheField name="SIMULATIONSTARTVALID" numFmtId="0" sqlType="12">
      <sharedItems containsString="0" containsBlank="1" count="1">
        <m/>
      </sharedItems>
    </cacheField>
    <cacheField name="DOTRAINING" numFmtId="0" sqlType="6">
      <sharedItems containsSemiMixedTypes="0" containsString="0" containsNumber="1" containsInteger="1" minValue="0" maxValue="1" count="2">
        <n v="1"/>
        <n v="0" u="1"/>
      </sharedItems>
    </cacheField>
    <cacheField name="DOTRAINRUN" numFmtId="0" sqlType="6">
      <sharedItems containsString="0" containsBlank="1" count="1">
        <m/>
      </sharedItems>
    </cacheField>
    <cacheField name="DOTESTRUN" numFmtId="0" sqlType="6">
      <sharedItems containsSemiMixedTypes="0" containsString="0" containsNumber="1" containsInteger="1" minValue="0" maxValue="0" count="1">
        <n v="0"/>
      </sharedItems>
    </cacheField>
    <cacheField name="CLIENTXMLFILE" numFmtId="0" sqlType="12">
      <sharedItems containsString="0" containsBlank="1" count="1">
        <m/>
      </sharedItems>
    </cacheField>
    <cacheField name="SHAPEXMLFILE" numFmtId="0" sqlType="12">
      <sharedItems containsString="0" containsBlank="1" count="1">
        <m/>
      </sharedItems>
    </cacheField>
    <cacheField name="ACTIONXMLFILE" numFmtId="0" sqlType="12">
      <sharedItems containsString="0" containsBlank="1" count="1">
        <m/>
      </sharedItems>
    </cacheField>
    <cacheField name="ENGINEXMLFILE" numFmtId="0" sqlType="12">
      <sharedItems containsString="0" containsBlank="1" count="1">
        <m/>
      </sharedItems>
    </cacheField>
    <cacheField name="PROCESSID5" numFmtId="0" sqlType="6">
      <sharedItems containsSemiMixedTypes="0" containsString="0" containsNumber="1" containsInteger="1" minValue="9656" maxValue="20232" count="11">
        <n v="9656"/>
        <n v="9816"/>
        <n v="11911"/>
        <n v="11944"/>
        <n v="12300"/>
        <n v="13512"/>
        <n v="14700"/>
        <n v="16588"/>
        <n v="16648"/>
        <n v="19720"/>
        <n v="20232"/>
      </sharedItems>
    </cacheField>
    <cacheField name="THREADID2" numFmtId="0" sqlType="6">
      <sharedItems containsSemiMixedTypes="0" containsString="0" containsNumber="1" containsInteger="1" minValue="3880" maxValue="20140" count="11">
        <n v="20140"/>
        <n v="15800"/>
        <n v="18724"/>
        <n v="6344"/>
        <n v="12708"/>
        <n v="9900"/>
        <n v="13272"/>
        <n v="9956"/>
        <n v="10472"/>
        <n v="16648"/>
        <n v="3880"/>
      </sharedItems>
    </cacheField>
    <cacheField name="LASTEPOCH" numFmtId="0" sqlType="6">
      <sharedItems containsSemiMixedTypes="0" containsString="0" containsNumber="1" containsInteger="1" minValue="11" maxValue="87" count="7">
        <n v="60"/>
        <n v="43"/>
        <n v="51"/>
        <n v="49"/>
        <n v="87"/>
        <n v="19"/>
        <n v="11"/>
      </sharedItems>
    </cacheField>
    <cacheField name="LASTMSE" numFmtId="0" sqlType="6">
      <sharedItems containsSemiMixedTypes="0" containsString="0" containsNumber="1" minValue="4.0829088538885099E-3" maxValue="1.14439874887466E-2" count="11">
        <n v="4.0829088538885099E-3"/>
        <n v="9.2276437208056398E-3"/>
        <n v="7.6218005269765897E-3"/>
        <n v="1.14439874887466E-2"/>
        <n v="1.0839935392141301E-2"/>
        <n v="8.5967006161809002E-3"/>
        <n v="9.1671245172619802E-3"/>
        <n v="7.7873836271464799E-3"/>
        <n v="9.6237603574991192E-3"/>
        <n v="9.3638589605688997E-3"/>
        <n v="9.9344030022621207E-3"/>
      </sharedItems>
    </cacheField>
    <cacheField name="PROCESSID6" numFmtId="0" sqlType="6">
      <sharedItems containsSemiMixedTypes="0" containsString="0" containsNumber="1" containsInteger="1" minValue="9656" maxValue="20232" count="11">
        <n v="9656"/>
        <n v="9816"/>
        <n v="11911"/>
        <n v="11944"/>
        <n v="12300"/>
        <n v="13512"/>
        <n v="14700"/>
        <n v="16588"/>
        <n v="16648"/>
        <n v="19720"/>
        <n v="20232"/>
      </sharedItems>
    </cacheField>
    <cacheField name="THREADID3" numFmtId="0" sqlType="6">
      <sharedItems containsSemiMixedTypes="0" containsString="0" containsNumber="1" containsInteger="1" minValue="3880" maxValue="20140" count="11">
        <n v="20140"/>
        <n v="15800"/>
        <n v="18724"/>
        <n v="6344"/>
        <n v="12708"/>
        <n v="9900"/>
        <n v="13272"/>
        <n v="9956"/>
        <n v="10472"/>
        <n v="16648"/>
        <n v="3880"/>
      </sharedItems>
    </cacheField>
    <cacheField name="NETPROCESSID2" numFmtId="0" sqlType="6">
      <sharedItems containsSemiMixedTypes="0" containsString="0" containsNumber="1" containsInteger="1" minValue="9656" maxValue="20232" count="11">
        <n v="9656"/>
        <n v="9816"/>
        <n v="11911"/>
        <n v="11944"/>
        <n v="12300"/>
        <n v="13512"/>
        <n v="14700"/>
        <n v="16588"/>
        <n v="16648"/>
        <n v="19720"/>
        <n v="20232"/>
      </sharedItems>
    </cacheField>
    <cacheField name="NETTHREADID" numFmtId="0" sqlType="6">
      <sharedItems containsSemiMixedTypes="0" containsString="0" containsNumber="1" containsInteger="1" minValue="3880" maxValue="20140" count="11">
        <n v="20140"/>
        <n v="15800"/>
        <n v="18724"/>
        <n v="6344"/>
        <n v="12708"/>
        <n v="9900"/>
        <n v="13272"/>
        <n v="9956"/>
        <n v="10472"/>
        <n v="16648"/>
        <n v="3880"/>
      </sharedItems>
    </cacheField>
    <cacheField name="FEATURE2" numFmtId="0" sqlType="12">
      <sharedItems count="2">
        <s v="HIGH"/>
        <s v="LOW"/>
      </sharedItems>
    </cacheField>
    <cacheField name="LASTDATE" numFmtId="0" sqlType="12">
      <sharedItems count="2">
        <s v="2018-07-27-17:00"/>
        <s v="2018-07-27-19:00"/>
      </sharedItems>
    </cacheField>
    <cacheField name="LASTPOS" numFmtId="0" sqlType="6">
      <sharedItems containsSemiMixedTypes="0" containsString="0" containsNumber="1" containsInteger="1" minValue="3832" maxValue="4088" count="5">
        <n v="4072"/>
        <n v="4074"/>
        <n v="4088"/>
        <n v="3832"/>
        <n v="4084"/>
      </sharedItems>
    </cacheField>
    <cacheField name="AVGMSER" numFmtId="0" sqlType="6">
      <sharedItems containsSemiMixedTypes="0" containsString="0" containsNumber="1" minValue="4.08099917694926E-3" maxValue="1.14196194335818E-2" count="11">
        <n v="4.08099917694926E-3"/>
        <n v="9.1184834018349595E-3"/>
        <n v="7.5184707529842897E-3"/>
        <n v="1.14196194335818E-2"/>
        <n v="1.0718091391027E-2"/>
        <n v="9.0571278706193005E-3"/>
        <n v="9.0594245120883005E-3"/>
        <n v="7.7056107111275196E-3"/>
        <n v="9.5000602304935507E-3"/>
        <n v="9.2812087386846508E-3"/>
        <n v="9.7920773550868E-3"/>
      </sharedItems>
    </cacheField>
    <cacheField name="AVGERRORBASE" numFmtId="0" sqlType="6">
      <sharedItems containsSemiMixedTypes="0" containsString="0" containsNumber="1" minValue="3.1186867043450878E-4" maxValue="6.0214574976969924E-4" count="22">
        <n v="3.1186867043450878E-4"/>
        <n v="3.1186949643307102E-4"/>
        <n v="3.6960927250074237E-4"/>
        <n v="3.7389354993725809E-4"/>
        <n v="3.6416382828537223E-4"/>
        <n v="3.6617015925421965E-4"/>
        <n v="6.0214574976969924E-4"/>
        <n v="5.9591075426151593E-4"/>
        <n v="5.6274327804662705E-4"/>
        <n v="5.6235553073098244E-4"/>
        <n v="4.9876709498850784E-4"/>
        <n v="5.0621769033542933E-4"/>
        <n v="3.6611084417682008E-4"/>
        <n v="3.688231873882752E-4"/>
        <n v="3.9396876255101817E-4"/>
        <n v="3.9173035018229149E-4"/>
        <n v="4.2369064202675078E-4"/>
        <n v="4.1821769368850282E-4"/>
        <n v="4.0176295363521838E-4"/>
        <n v="3.9083649428010609E-4"/>
        <n v="4.6096267572759712E-4"/>
        <n v="4.5005560098264043E-4"/>
      </sharedItems>
    </cacheField>
    <cacheField name="AVGERRORTRS" numFmtId="0" sqlType="6">
      <sharedItems containsSemiMixedTypes="0" containsString="0" containsNumber="1" minValue="3.2776614085039298E-2" maxValue="6.5376996388670366E-2" count="22">
        <n v="3.2776614085039298E-2"/>
        <n v="3.4215028123092697E-2"/>
        <n v="4.0549664128283029E-2"/>
        <n v="3.9295205895014465E-2"/>
        <n v="3.9952304096859188E-2"/>
        <n v="3.8483509808094778E-2"/>
        <n v="6.3283901286190006E-2"/>
        <n v="6.5376996388670366E-2"/>
        <n v="6.1738242411556635E-2"/>
        <n v="5.9102099858741153E-2"/>
        <n v="5.2419123723683528E-2"/>
        <n v="5.5536944105161273E-2"/>
        <n v="4.016573029600444E-2"/>
        <n v="3.8762320416816543E-2"/>
        <n v="3.7132075714236899E-2"/>
        <n v="3.9992767209049936E-2"/>
        <n v="4.4528846562329791E-2"/>
        <n v="4.5882438045229915E-2"/>
        <n v="4.4077146378725625E-2"/>
        <n v="4.1075803776024433E-2"/>
        <n v="5.0572017876892167E-2"/>
        <n v="4.7299688505623015E-2"/>
      </sharedItems>
    </cacheField>
  </cacheFields>
  <extLst>
    <ext xmlns:x14="http://schemas.microsoft.com/office/spreadsheetml/2009/9/main" uri="{725AE2AE-9491-48be-B2B4-4EB974FC3084}">
      <x14:pivotCacheDefinition pivotCacheId="13"/>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812.61606828704" createdVersion="5" refreshedVersion="5" minRefreshableVersion="3" recordCount="24">
  <cacheSource type="worksheet">
    <worksheetSource name="T_ForecasterError_1"/>
  </cacheSource>
  <cacheFields count="13">
    <cacheField name="CLIENTSTART" numFmtId="22">
      <sharedItems containsSemiMixedTypes="0" containsNonDate="0" containsDate="1" containsString="0" minDate="2019-12-13T14:45:45" maxDate="2019-12-13T14:46:50"/>
    </cacheField>
    <cacheField name="PROCESSID" numFmtId="0">
      <sharedItems containsSemiMixedTypes="0" containsString="0" containsNumber="1" containsInteger="1" minValue="1060" maxValue="20419"/>
    </cacheField>
    <cacheField name="THREADID" numFmtId="0">
      <sharedItems containsSemiMixedTypes="0" containsString="0" containsNumber="1" containsInteger="1" minValue="416" maxValue="19444"/>
    </cacheField>
    <cacheField name="SEQUENCEID" numFmtId="0">
      <sharedItems containsSemiMixedTypes="0" containsString="0" containsNumber="1" containsInteger="1" minValue="0" maxValue="0"/>
    </cacheField>
    <cacheField name="LASTTIME" numFmtId="0">
      <sharedItems containsBlank="1" count="99">
        <s v="2018-08-30-06:00"/>
        <s v="2018-08-30-03:00"/>
        <s v="2018-08-30-09:00"/>
        <s v="2018-08-30-02:00"/>
        <s v="2018-08-30-15:00"/>
        <s v="2018-08-30-08:00"/>
        <s v="2018-08-30-13:00"/>
        <s v="2018-08-30-07:00"/>
        <s v="2018-08-30-05:00"/>
        <s v="2018-08-30-11:00"/>
        <s v="2018-08-30-10:00"/>
        <s v="2018-08-30-20:00"/>
        <s v="2018-08-30-04:00"/>
        <s v="2018-08-30-00:00"/>
        <s v="2018-08-29-23:00"/>
        <s v="2018-08-30-17:00"/>
        <s v="2018-08-30-01:00"/>
        <s v="2018-08-30-22:00"/>
        <s v="2018-08-30-14:00"/>
        <s v="2018-08-30-19:00"/>
        <s v="2018-08-30-21:00"/>
        <s v="2018-08-30-12:00"/>
        <s v="2018-08-30-18:00"/>
        <s v="2018-08-30-16:00"/>
        <s v="2018-08-28-20:00" u="1"/>
        <s v="2018-08-29-14:00" u="1"/>
        <m u="1"/>
        <s v="2018-08-29-03:00" u="1"/>
        <s v="2018-08-27-23:00" u="1"/>
        <s v="2018-08-28-17:00" u="1"/>
        <s v="2018-08-27-12:00" u="1"/>
        <s v="2018-08-28-06:00" u="1"/>
        <s v="2018-08-27-01:00" u="1"/>
        <s v="2018-08-29-20:00" u="1"/>
        <s v="2018-08-27-09:00" u="1"/>
        <s v="2018-08-28-23:00" u="1"/>
        <s v="2018-08-29-17:00" u="1"/>
        <s v="2018-09-28-23:00" u="1"/>
        <s v="2018-08-28-12:00" u="1"/>
        <s v="2018-08-29-06:00" u="1"/>
        <s v="2018-08-28-01:00" u="1"/>
        <s v="2018-08-27-15:00" u="1"/>
        <s v="2018-08-28-09:00" u="1"/>
        <s v="2018-08-27-04:00" u="1"/>
        <s v="2018-08-29-12:00" u="1"/>
        <s v="2018-08-29-01:00" u="1"/>
        <s v="2018-08-27-21:00" u="1"/>
        <s v="2018-08-28-15:00" u="1"/>
        <s v="2018-08-29-09:00" u="1"/>
        <s v="2018-08-27-10:00" u="1"/>
        <s v="2018-08-28-04:00" u="1"/>
        <s v="2018-08-27-18:00" u="1"/>
        <s v="2018-08-27-07:00" u="1"/>
        <s v="2018-08-28-21:00" u="1"/>
        <s v="2018-08-29-15:00" u="1"/>
        <s v="2018-08-28-10:00" u="1"/>
        <s v="2018-08-29-04:00" u="1"/>
        <s v="2018-08-28-18:00" u="1"/>
        <s v="2018-08-27-13:00" u="1"/>
        <s v="2018-08-28-07:00" u="1"/>
        <s v="2018-08-27-02:00" u="1"/>
        <s v="2018-08-29-21:00" u="1"/>
        <s v="2018-08-29-10:00" u="1"/>
        <s v="2018-08-29-18:00" u="1"/>
        <s v="2018-08-28-13:00" u="1"/>
        <s v="2018-08-29-07:00" u="1"/>
        <s v="2018-08-28-02:00" u="1"/>
        <s v="2018-08-27-16:00" u="1"/>
        <s v="2018-08-27-05:00" u="1"/>
        <s v="2018-08-29-13:00" u="1"/>
        <s v="2018-08-29-02:00" u="1"/>
        <s v="2018-08-27-22:00" u="1"/>
        <s v="2018-08-28-16:00" u="1"/>
        <s v="2018-08-27-11:00" u="1"/>
        <s v="2018-08-28-05:00" u="1"/>
        <s v="2018-08-27-00:00" u="1"/>
        <s v="2018-08-27-19:00" u="1"/>
        <s v="2018-08-27-08:00" u="1"/>
        <s v="2018-08-28-22:00" u="1"/>
        <s v="2018-08-29-16:00" u="1"/>
        <s v="2018-08-28-11:00" u="1"/>
        <s v="2018-08-29-05:00" u="1"/>
        <s v="2018-08-28-00:00" u="1"/>
        <s v="2018-08-24-23:00" u="1"/>
        <s v="2018-12-30-00:00" u="1"/>
        <s v="2018-08-28-19:00" u="1"/>
        <s v="2018-08-27-14:00" u="1"/>
        <s v="2018-08-28-08:00" u="1"/>
        <s v="2018-08-27-03:00" u="1"/>
        <s v="2018-08-29-22:00" u="1"/>
        <s v="2018-08-29-11:00" u="1"/>
        <s v="2018-08-29-00:00" u="1"/>
        <s v="2018-08-29-19:00" u="1"/>
        <s v="2018-08-27-20:00" u="1"/>
        <s v="2018-08-28-14:00" u="1"/>
        <s v="2018-08-29-08:00" u="1"/>
        <s v="2018-08-28-03:00" u="1"/>
        <s v="2018-08-27-17:00" u="1"/>
        <s v="2018-08-27-06:00" u="1"/>
      </sharedItems>
    </cacheField>
    <cacheField name="ACTUALH" numFmtId="0">
      <sharedItems containsSemiMixedTypes="0" containsString="0" containsNumber="1" minValue="1.1659799814224201" maxValue="1.1717400550842301"/>
    </cacheField>
    <cacheField name="FORECASTH" numFmtId="0">
      <sharedItems containsString="0" containsBlank="1" containsNumber="1" minValue="1.16557836532593" maxValue="1.1712679862976101"/>
    </cacheField>
    <cacheField name="ERRORH" numFmtId="0">
      <sharedItems containsString="0" containsBlank="1" containsNumber="1" minValue="4.887580872E-5" maxValue="2.04133987426E-3"/>
    </cacheField>
    <cacheField name="ACTUALL" numFmtId="0">
      <sharedItems containsSemiMixedTypes="0" containsString="0" containsNumber="1" minValue="1.1641000509262101" maxValue="1.1705399751663199"/>
    </cacheField>
    <cacheField name="FORECASTL" numFmtId="0">
      <sharedItems containsString="0" containsBlank="1" containsNumber="1" minValue="1.16426837444305" maxValue="1.17066562175751"/>
    </cacheField>
    <cacheField name="ERRORL" numFmtId="0">
      <sharedItems containsString="0" containsBlank="1" containsNumber="1" minValue="1.1789798737E-4" maxValue="3.5480260848999999E-3"/>
    </cacheField>
    <cacheField name="TRADEPROFIT" numFmtId="0">
      <sharedItems containsNonDate="0" containsString="0" containsBlank="1"/>
    </cacheField>
    <cacheField name="TRADERESULT"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812.622172569441" createdVersion="5" refreshedVersion="5" minRefreshableVersion="3" recordCount="17808">
  <cacheSource type="external" connectionId="7"/>
  <cacheFields count="22">
    <cacheField name="PROCESSID" numFmtId="0" sqlType="6">
      <sharedItems containsSemiMixedTypes="0" containsString="0" containsNumber="1" containsInteger="1" minValue="32" maxValue="20456" count="793">
        <n v="7140"/>
        <n v="16108"/>
        <n v="16728"/>
        <n v="6523"/>
        <n v="9115"/>
        <n v="15296"/>
        <n v="18764"/>
        <n v="11816"/>
        <n v="14136"/>
        <n v="17640"/>
        <n v="13096"/>
        <n v="15668"/>
        <n v="1479"/>
        <n v="7719"/>
        <n v="9587"/>
        <n v="147"/>
        <n v="18860"/>
        <n v="11680"/>
        <n v="6828"/>
        <n v="16712"/>
        <n v="9824"/>
        <n v="8560"/>
        <n v="10483"/>
        <n v="15912"/>
        <n v="13827" u="1"/>
        <n v="13764" u="1"/>
        <n v="6164" u="1"/>
        <n v="5384" u="1"/>
        <n v="1312" u="1"/>
        <n v="10124" u="1"/>
        <n v="20000" u="1"/>
        <n v="16112" u="1"/>
        <n v="14552" u="1"/>
        <n v="18708" u="1"/>
        <n v="10912" u="1"/>
        <n v="19496" u="1"/>
        <n v="15340" u="1"/>
        <n v="7472" u="1"/>
        <n v="6952" u="1"/>
        <n v="6432" u="1"/>
        <n v="5912" u="1"/>
        <n v="11180" u="1"/>
        <n v="18015" u="1"/>
        <n v="9620" u="1"/>
        <n v="8580" u="1"/>
        <n v="3964" u="1"/>
        <n v="19780" u="1"/>
        <n v="10471" u="1"/>
        <n v="2404" u="1"/>
        <n v="15419" u="1"/>
        <n v="8328" u="1"/>
        <n v="4031" u="1"/>
        <n v="8000" u="1"/>
        <n v="13339" u="1"/>
        <n v="14836" u="1"/>
        <n v="1836" u="1"/>
        <n v="11196" u="1"/>
        <n v="10156" u="1"/>
        <n v="9116" u="1"/>
        <n v="15624" u="1"/>
        <n v="14584" u="1"/>
        <n v="18772" u="1"/>
        <n v="8071" u="1"/>
        <n v="10944" u="1"/>
        <n v="12772" u="1"/>
        <n v="17228" u="1"/>
        <n v="18016" u="1"/>
        <n v="3712" u="1"/>
        <n v="14600" u="1"/>
        <n v="10960" u="1"/>
        <n v="12457" u="1"/>
        <n v="9400" u="1"/>
        <n v="2152" u="1"/>
        <n v="8360" u="1"/>
        <n v="19403" u="1"/>
        <n v="14348" u="1"/>
        <n v="13828" u="1"/>
        <n v="18300" u="1"/>
        <n v="6456" u="1"/>
        <n v="1580" u="1"/>
        <n v="1060" u="1"/>
        <n v="16176" u="1"/>
        <n v="7567" u="1"/>
        <n v="13450" u="1"/>
        <n v="18584" u="1"/>
        <n v="8896" u="1"/>
        <n v="17544" u="1"/>
        <n v="16504" u="1"/>
        <n v="1972" u="1"/>
        <n v="5747" u="1"/>
        <n v="15404" u="1"/>
        <n v="20412" u="1"/>
        <n v="19372" u="1"/>
        <n v="3263" u="1"/>
        <n v="12804" u="1"/>
        <n v="9164" u="1"/>
        <n v="15672" u="1"/>
        <n v="12095" u="1"/>
        <n v="19719" u="1"/>
        <n v="7315" u="1"/>
        <n v="10472" u="1"/>
        <n v="15940" u="1"/>
        <n v="7252" u="1"/>
        <n v="12300" u="1"/>
        <n v="1324" u="1"/>
        <n v="10220" u="1"/>
        <n v="4912" u="1"/>
        <n v="12631" u="1"/>
        <n v="7126" u="1"/>
        <n v="18900" u="1"/>
        <n v="12048" u="1"/>
        <n v="18711" u="1"/>
        <n v="2164" u="1"/>
        <n v="14396" u="1"/>
        <n v="388" u="1"/>
        <n v="10756" u="1"/>
        <n v="10236" u="1"/>
        <n v="13750" u="1"/>
        <n v="18144" u="1"/>
        <n v="8676" u="1"/>
        <n v="13167" u="1"/>
        <n v="15184" u="1"/>
        <n v="12127" u="1"/>
        <n v="13104" u="1"/>
        <n v="17892" u="1"/>
        <n v="10567" u="1"/>
        <n v="19720" u="1"/>
        <n v="12458" u="1"/>
        <n v="8048" u="1"/>
        <n v="11418" u="1"/>
        <n v="12915" u="1"/>
        <n v="12395" u="1"/>
        <n v="7008" u="1"/>
        <n v="11812" u="1"/>
        <n v="10772" u="1"/>
        <n v="5188" u="1"/>
        <n v="20256" u="1"/>
        <n v="3992" u="1"/>
        <n v="6882" u="1"/>
        <n v="10583" u="1"/>
        <n v="12600" u="1"/>
        <n v="16884" u="1"/>
        <n v="18712" u="1"/>
        <n v="8960" u="1"/>
        <n v="1915" u="1"/>
        <n v="19500" u="1"/>
        <n v="16443" u="1"/>
        <n v="11308" u="1"/>
        <n v="5456" u="1"/>
        <n v="4416" u="1"/>
        <n v="15216" u="1"/>
        <n v="17956" u="1"/>
        <n v="3216" u="1"/>
        <n v="8127" u="1"/>
        <n v="12096" u="1"/>
        <n v="10016" u="1"/>
        <n v="14507" u="1"/>
        <n v="16004" u="1"/>
        <n v="11387" u="1"/>
        <n v="10347" u="1"/>
        <n v="17200" u="1"/>
        <n v="16272" u="1"/>
        <n v="17988" u="1"/>
        <n v="12632" u="1"/>
        <n v="11592" u="1"/>
        <n v="2700" u="1"/>
        <n v="14003" u="1"/>
        <n v="1919" u="1"/>
        <n v="16444" u="1"/>
        <n v="11860" u="1"/>
        <n v="9260" u="1"/>
        <n v="8740" u="1"/>
        <n v="17232" u="1"/>
        <n v="15248" u="1"/>
        <n v="18020" u="1"/>
        <n v="9528" u="1"/>
        <n v="15059" u="1"/>
        <n v="8488" u="1"/>
        <n v="128" u="1"/>
        <n v="14476" u="1"/>
        <n v="19596" u="1"/>
        <n v="12396" u="1"/>
        <n v="6000" u="1"/>
        <n v="1336" u="1"/>
        <n v="10316" u="1"/>
        <n v="9276" u="1"/>
        <n v="11104" u="1"/>
        <n v="10064" u="1"/>
        <n v="16052" u="1"/>
        <n v="15532" u="1"/>
        <n v="7568" u="1"/>
        <n v="6268" u="1"/>
        <n v="12412" u="1"/>
        <n v="16508" u="1"/>
        <n v="11892" u="1"/>
        <n v="2775" u="1"/>
        <n v="20416" u="1"/>
        <n v="9812" u="1"/>
        <n v="19376" u="1"/>
        <n v="8252" u="1"/>
        <n v="13783" u="1"/>
        <n v="3752" u="1"/>
        <n v="3492" u="1"/>
        <n v="12160" u="1"/>
        <n v="2712" u="1"/>
        <n v="11577" u="1"/>
        <n v="8520" u="1"/>
        <n v="6079" u="1"/>
        <n v="7836" u="1"/>
        <n v="14508" u="1"/>
        <n v="6796" u="1"/>
        <n v="4016" u="1"/>
        <n v="13216" u="1"/>
        <n v="11656" u="1"/>
        <n v="11136" u="1"/>
        <n v="5370" u="1"/>
        <n v="15044" u="1"/>
        <n v="19755" u="1"/>
        <n v="14004" u="1"/>
        <n v="10427" u="1"/>
        <n v="10884" u="1"/>
        <n v="18148" u="1"/>
        <n v="17108" u="1"/>
        <n v="728" u="1"/>
        <n v="19724" u="1"/>
        <n v="13500" u="1"/>
        <n v="12980" u="1"/>
        <n v="9860" u="1"/>
        <n v="13768" u="1"/>
        <n v="12728" u="1"/>
        <n v="9671" u="1"/>
        <n v="18968" u="1"/>
        <n v="2204" u="1"/>
        <n v="8120" u="1"/>
        <n v="16116" u="1"/>
        <n v="1996" u="1"/>
        <n v="19756" u="1"/>
        <n v="1736" u="1"/>
        <n v="18716" u="1"/>
        <n v="10979" u="1"/>
        <n v="12996" u="1"/>
        <n v="11956" u="1"/>
        <n v="11373" u="1"/>
        <n v="4028" u="1"/>
        <n v="15864" u="1"/>
        <n v="7671" u="1"/>
        <n v="8647" u="1"/>
        <n v="2468" u="1"/>
        <n v="9104" u="1"/>
        <n v="8128" u="1"/>
        <n v="13012" u="1"/>
        <n v="16668" u="1"/>
        <n v="11452" u="1"/>
        <n v="5528" u="1"/>
        <n v="5008" u="1"/>
        <n v="8852" u="1"/>
        <n v="1088" u="1"/>
        <n v="13800" u="1"/>
        <n v="17204" u="1"/>
        <n v="10680" u="1"/>
        <n v="8600" u="1"/>
        <n v="15108" u="1"/>
        <n v="1675" u="1"/>
        <n v="6576" u="1"/>
        <n v="6056" u="1"/>
        <n v="1480" u="1"/>
        <n v="4756" u="1"/>
        <n v="264" u="1"/>
        <n v="20419" u="1"/>
        <n v="20356" u="1"/>
        <n v="3386" u="1"/>
        <n v="12776" u="1"/>
        <n v="17236" u="1"/>
        <n v="3126" u="1"/>
        <n v="11736" u="1"/>
        <n v="9656" u="1"/>
        <n v="19915" u="1"/>
        <n v="9924" u="1"/>
        <n v="17520" u="1"/>
        <n v="4244" u="1"/>
        <n v="11232" u="1"/>
        <n v="9672" u="1"/>
        <n v="15723" u="1"/>
        <n v="5875" u="1"/>
        <n v="14620" u="1"/>
        <n v="12083" u="1"/>
        <n v="1679" u="1"/>
        <n v="4512" u="1"/>
        <n v="8900" u="1"/>
        <n v="20420" u="1"/>
        <n v="864" u="1"/>
        <n v="3264" u="1"/>
        <n v="2744" u="1"/>
        <n v="604" u="1"/>
        <n v="8648" u="1"/>
        <n v="17048" u="1"/>
        <n v="7640" u="1"/>
        <n v="19916" u="1"/>
        <n v="17836" u="1"/>
        <n v="12036" u="1"/>
        <n v="9956" u="1"/>
        <n v="8396" u="1"/>
        <n v="16544" u="1"/>
        <n v="14904" u="1"/>
        <n v="14384" u="1"/>
        <n v="9704" u="1"/>
        <n v="4394" u="1"/>
        <n v="1748" u="1"/>
        <n v="13092" u="1"/>
        <n v="1488" u="1"/>
        <n v="8932" u="1"/>
        <n v="14983" u="1"/>
        <n v="12903" u="1"/>
        <n v="5245" u="1"/>
        <n v="13880" u="1"/>
        <n v="18404" u="1"/>
        <n v="3272" u="1"/>
        <n v="2492" u="1"/>
        <n v="19192" u="1"/>
        <n v="18152" u="1"/>
        <n v="7656" u="1"/>
        <n v="16860" u="1"/>
        <n v="12068" u="1"/>
        <n v="8428" u="1"/>
        <n v="16608" u="1"/>
        <n v="10256" u="1"/>
        <n v="2236" u="1"/>
        <n v="7664" u="1"/>
        <n v="5387" u="1"/>
        <n v="14164" u="1"/>
        <n v="6364" u="1"/>
        <n v="16892" u="1"/>
        <n v="11564" u="1"/>
        <n v="19823" u="1"/>
        <n v="267" u="1"/>
        <n v="4060" u="1"/>
        <n v="14432" u="1"/>
        <n v="19508" u="1"/>
        <n v="3280" u="1"/>
        <n v="6498" u="1"/>
        <n v="9815" u="1"/>
        <n v="6955" u="1"/>
        <n v="16260" u="1"/>
        <n v="7672" u="1"/>
        <n v="14700" u="1"/>
        <n v="13140" u="1"/>
        <n v="12620" u="1"/>
        <n v="16924" u="1"/>
        <n v="11060" u="1"/>
        <n v="10540" u="1"/>
        <n v="9500" u="1"/>
        <n v="15031" u="1"/>
        <n v="4292" u="1"/>
        <n v="16420" u="1"/>
        <n v="10288" u="1"/>
        <n v="18311" u="1"/>
        <n v="148" u="1"/>
        <n v="6443" u="1"/>
        <n v="8728" u="1"/>
        <n v="15756" u="1"/>
        <n v="14716" u="1"/>
        <n v="10036" u="1"/>
        <n v="8476" u="1"/>
        <n v="18532" u="1"/>
        <n v="12904" u="1"/>
        <n v="17492" u="1"/>
        <n v="17366" u="1"/>
        <n v="20360" u="1"/>
        <n v="2508" u="1"/>
        <n v="15252" u="1"/>
        <n v="13692" u="1"/>
        <n v="19856" u="1"/>
        <n v="9012" u="1"/>
        <n v="4308" u="1"/>
        <n v="8492" u="1"/>
        <n v="16736" u="1"/>
        <n v="12983" u="1"/>
        <n v="16547" u="1"/>
        <n v="6522" u="1"/>
        <n v="9800" u="1"/>
        <n v="32" u="1"/>
        <n v="17083" u="1"/>
        <n v="5876" u="1"/>
        <n v="3816" u="1"/>
        <n v="9816" u="1"/>
        <n v="17367" u="1"/>
        <n v="8776" u="1"/>
        <n v="7704" u="1"/>
        <n v="14764" u="1"/>
        <n v="7184" u="1"/>
        <n v="1632" u="1"/>
        <n v="17840" u="1"/>
        <n v="1112" u="1"/>
        <n v="15552" u="1"/>
        <n v="13472" u="1"/>
        <n v="808" u="1"/>
        <n v="11912" u="1"/>
        <n v="20456" u="1"/>
        <n v="18376" u="1"/>
        <n v="16340" u="1"/>
        <n v="15820" u="1"/>
        <n v="4915" u="1"/>
        <n v="13220" u="1"/>
        <n v="17084" u="1"/>
        <n v="10163" u="1"/>
        <n v="4852" u="1"/>
        <n v="8540" u="1"/>
        <n v="15568" u="1"/>
        <n v="19700" u="1"/>
        <n v="17620" u="1"/>
        <n v="18408" u="1"/>
        <n v="17368" u="1"/>
        <n v="1896" u="1"/>
        <n v="14276" u="1"/>
        <n v="20236" u="1"/>
        <n v="13236" u="1"/>
        <n v="12984" u="1"/>
        <n v="11944" u="1"/>
        <n v="6491" u="1"/>
        <n v="6168" u="1"/>
        <n v="11692" u="1"/>
        <n v="5388" u="1"/>
        <n v="18976" u="1"/>
        <n v="3962" u="1"/>
        <n v="15600" u="1"/>
        <n v="16644" u="1"/>
        <n v="13788" u="1"/>
        <n v="17243" u="1"/>
        <n v="19260" u="1"/>
        <n v="11251" u="1"/>
        <n v="12748" u="1"/>
        <n v="16199" u="1"/>
        <n v="17968" u="1"/>
        <n v="18756" u="1"/>
        <n v="17716" u="1"/>
        <n v="812" u="1"/>
        <n v="16676" u="1"/>
        <n v="9439" u="1"/>
        <n v="6767" u="1"/>
        <n v="7484" u="1"/>
        <n v="7224" u="1"/>
        <n v="19103" u="1"/>
        <n v="14592" u="1"/>
        <n v="14072" u="1"/>
        <n v="16708" u="1"/>
        <n v="2800" u="1"/>
        <n v="11409" u="1"/>
        <n v="8872" u="1"/>
        <n v="14860" u="1"/>
        <n v="14340" u="1"/>
        <n v="18347" u="1"/>
        <n v="3387" u="1"/>
        <n v="1579" u="1"/>
        <n v="3127" u="1"/>
        <n v="11740" u="1"/>
        <n v="11220" u="1"/>
        <n v="19860" u="1"/>
        <n v="4569" u="1"/>
        <n v="12008" u="1"/>
        <n v="10968" u="1"/>
        <n v="19608" u="1"/>
        <n v="8888" u="1"/>
        <n v="17528" u="1"/>
        <n v="14356" u="1"/>
        <n v="1776" u="1"/>
        <n v="10779" u="1"/>
        <n v="17276" u="1"/>
        <n v="12276" u="1"/>
        <n v="11236" u="1"/>
        <n v="19104" u="1"/>
        <n v="3328" u="1"/>
        <n v="16772" u="1"/>
        <n v="9487" u="1"/>
        <n v="11504" u="1"/>
        <n v="17560" u="1"/>
        <n v="7248" u="1"/>
        <n v="436" u="1"/>
        <n v="18348" u="1"/>
        <n v="11252" u="1"/>
        <n v="4908" u="1"/>
        <n v="8652" u="1"/>
        <n v="12623" u="1"/>
        <n v="2552" u="1"/>
        <n v="9960" u="1"/>
        <n v="6799" u="1"/>
        <n v="7776" u="1"/>
        <n v="14388" u="1"/>
        <n v="11851" u="1"/>
        <n v="11331" u="1"/>
        <n v="14782" u="1"/>
        <n v="1260" u="1"/>
        <n v="4916" u="1"/>
        <n v="19168" u="1"/>
        <n v="17088" u="1"/>
        <n v="12119" u="1"/>
        <n v="3076" u="1"/>
        <n v="18412" u="1"/>
        <n v="10244" u="1"/>
        <n v="20240" u="1"/>
        <n v="18160" u="1"/>
        <n v="1132" u="1"/>
        <n v="17120" u="1"/>
        <n v="14152" u="1"/>
        <n v="13632" u="1"/>
        <n v="12592" u="1"/>
        <n v="12072" u="1"/>
        <n v="11552" u="1"/>
        <n v="18759" u="1"/>
        <n v="14483" u="1"/>
        <n v="7532" u="1"/>
        <n v="14420" u="1"/>
        <n v="1784" u="1"/>
        <n v="6492" u="1"/>
        <n v="12860" u="1"/>
        <n v="5192" u="1"/>
        <n v="9031" u="1"/>
        <n v="9488" u="1"/>
        <n v="16648" u="1"/>
        <n v="7800" u="1"/>
        <n v="7280" u="1"/>
        <n v="17436" u="1"/>
        <n v="3151" u="1"/>
        <n v="10796" u="1"/>
        <n v="16264" u="1"/>
        <n v="8984" u="1"/>
        <n v="14972" u="1"/>
        <n v="6768" u="1"/>
        <n v="13412" u="1"/>
        <n v="12892" u="1"/>
        <n v="1528" u="1"/>
        <n v="13869" u="1"/>
        <n v="9315" u="1"/>
        <n v="1268" u="1"/>
        <n v="8732" u="1"/>
        <n v="3872" u="1"/>
        <n v="18067" u="1"/>
        <n v="13680" u="1"/>
        <n v="12120" u="1"/>
        <n v="11600" u="1"/>
        <n v="10560" u="1"/>
        <n v="18855" u="1"/>
        <n v="9520" u="1"/>
        <n v="13948" u="1"/>
        <n v="5476" u="1"/>
        <n v="20305" u="1"/>
        <n v="8748" u="1"/>
        <n v="15776" u="1"/>
        <n v="12656" u="1"/>
        <n v="2576" u="1"/>
        <n v="10056" u="1"/>
        <n v="7304" u="1"/>
        <n v="19612" u="1"/>
        <n v="13444" u="1"/>
        <n v="6524" u="1"/>
        <n v="9347" u="1"/>
        <n v="4964" u="1"/>
        <n v="9284" u="1"/>
        <n v="8244" u="1"/>
        <n v="20148" u="1"/>
        <n v="13192" u="1"/>
        <n v="628" u="1"/>
        <n v="15540" u="1"/>
        <n v="440" u="1"/>
        <n v="13460" u="1"/>
        <n v="1404" u="1"/>
        <n v="10860" u="1"/>
        <n v="20432" u="1"/>
        <n v="19392" u="1"/>
        <n v="1019" u="1"/>
        <n v="3364" u="1"/>
        <n v="3104" u="1"/>
        <n v="11648" u="1"/>
        <n v="7383" u="1"/>
        <n v="10088" u="1"/>
        <n v="14122" u="1"/>
        <n v="9048" u="1"/>
        <n v="19676" u="1"/>
        <n v="12436" u="1"/>
        <n v="16556" u="1"/>
        <n v="11916" u="1"/>
        <n v="5240" u="1"/>
        <n v="9836" u="1"/>
        <n v="955" u="1"/>
        <n v="12184" u="1"/>
        <n v="9584" u="1"/>
        <n v="2068" u="1"/>
        <n v="10498" u="1"/>
        <n v="19708" u="1"/>
        <n v="16588" u="1"/>
        <n v="17439" u="1"/>
        <n v="15840" u="1"/>
        <n v="15320" u="1"/>
        <n v="20307" u="1"/>
        <n v="20244" u="1"/>
        <n v="8686" u="1"/>
        <n v="9600" u="1"/>
        <n v="2332" u="1"/>
        <n v="16872" u="1"/>
        <n v="12011" u="1"/>
        <n v="13508" u="1"/>
        <n v="12988" u="1"/>
        <n v="12468" u="1"/>
        <n v="12342" u="1"/>
        <n v="8245" u="1"/>
        <n v="17944" u="1"/>
        <n v="2076" u="1"/>
        <n v="8124" u="1"/>
        <n v="3963" u="1"/>
        <n v="7344" u="1"/>
        <n v="6824" u="1"/>
        <n v="10467" u="1"/>
        <n v="16652" u="1"/>
        <n v="5784" u="1"/>
        <n v="15935" u="1"/>
        <n v="15872" u="1"/>
        <n v="20308" u="1"/>
        <n v="2860" u="1"/>
        <n v="6635" u="1"/>
        <n v="8592" u="1"/>
        <n v="16140" u="1"/>
        <n v="7352" u="1"/>
        <n v="14580" u="1"/>
        <n v="7092" u="1"/>
        <n v="13540" u="1"/>
        <n v="16747" u="1"/>
        <n v="9900" u="1"/>
        <n v="4492" u="1"/>
        <n v="8340" u="1"/>
        <n v="3644" u="1"/>
        <n v="10294" u="1"/>
        <n v="13288" u="1"/>
        <n v="11728" u="1"/>
        <n v="20088" u="1"/>
        <n v="1676" u="1"/>
        <n v="11996" u="1"/>
        <n v="5800" u="1"/>
        <n v="9396" u="1"/>
        <n v="16527" u="1"/>
        <n v="4500" u="1"/>
        <n v="3388" u="1"/>
        <n v="10704" u="1"/>
        <n v="15195" u="1"/>
        <n v="1678" u="1"/>
        <n v="6588" u="1"/>
        <n v="5548" u="1"/>
        <n v="10972" u="1"/>
        <n v="5288" u="1"/>
        <n v="4508" u="1"/>
        <n v="8892" u="1"/>
        <n v="16496" u="1"/>
        <n v="13903" u="1"/>
        <n v="12343" u="1"/>
        <n v="10783" u="1"/>
        <n v="8246" u="1"/>
        <n v="9680" u="1"/>
        <n v="19112" u="1"/>
        <n v="7636" u="1"/>
        <n v="19963" u="1"/>
        <n v="14108" u="1"/>
        <n v="1680" u="1"/>
        <n v="12028" u="1"/>
        <n v="5816" u="1"/>
        <n v="10468" u="1"/>
        <n v="9948" u="1"/>
        <n v="19648" u="1"/>
        <n v="16528" u="1"/>
        <n v="12296" u="1"/>
        <n v="8199" u="1"/>
        <n v="10216" u="1"/>
        <n v="18104" u="1"/>
        <n v="7384" u="1"/>
        <n v="14124" u="1"/>
        <n v="9050" u="1"/>
        <n v="19428" u="1"/>
        <n v="20216" u="1"/>
        <n v="9712" u="1"/>
        <n v="18136" u="1"/>
        <n v="7912" u="1"/>
        <n v="18010" u="1"/>
        <n v="7392" u="1"/>
        <n v="7132" u="1"/>
        <n v="14140" u="1"/>
        <n v="1684" u="1"/>
        <n v="6612" u="1"/>
        <n v="11540" u="1"/>
        <n v="10500" u="1"/>
        <n v="9980" u="1"/>
        <n v="19712" u="1"/>
        <n v="1164" u="1"/>
        <n v="14408" u="1"/>
        <n v="3404" u="1"/>
        <n v="18420" u="1"/>
        <n v="188" u="1"/>
        <n v="17128" u="1"/>
        <n v="11682" u="1"/>
        <n v="7660" u="1"/>
        <n v="8956" u="1"/>
        <n v="16624" u="1"/>
        <n v="14944" u="1"/>
        <n v="13904" u="1"/>
        <n v="12864" u="1"/>
        <n v="15338" u="1"/>
        <n v="8247" u="1"/>
        <n v="19240" u="1"/>
        <n v="17160" u="1"/>
        <n v="15212" u="1"/>
        <n v="18011" u="1"/>
        <n v="20028" u="1"/>
        <n v="5848" u="1"/>
        <n v="11052" u="1"/>
        <n v="18736" u="1"/>
        <n v="8972" u="1"/>
        <n v="15480" u="1"/>
        <n v="13920" u="1"/>
        <n v="9240" u="1"/>
        <n v="14251" u="1"/>
        <n v="13668" u="1"/>
        <n v="13148" u="1"/>
        <n v="12628" u="1"/>
        <n v="8531" u="1"/>
        <n v="10548" u="1"/>
        <n v="284" u="1"/>
        <n v="3936" u="1"/>
        <n v="11919" u="1"/>
        <n v="11336" u="1"/>
        <n v="7487" u="1"/>
        <n v="10816" u="1"/>
        <n v="1952" u="1"/>
        <n v="18012" u="1"/>
        <n v="12644" u="1"/>
        <n v="17760" u="1"/>
        <n v="16032" u="1"/>
        <n v="13952" u="1"/>
        <n v="19588" u="1"/>
        <n v="11415" u="1"/>
        <n v="20439" u="1"/>
        <n v="9272" u="1"/>
        <n v="13306" u="1"/>
        <n v="16300" u="1"/>
        <n v="480" u="1"/>
        <n v="13180" u="1"/>
        <n v="18044" u="1"/>
        <n v="10580" u="1"/>
        <n v="8500" u="1"/>
        <n v="16752" u="1"/>
        <n v="1044" u="1"/>
        <n v="13511" u="1"/>
        <n v="10848" u="1"/>
        <n v="14882" u="1"/>
        <n v="20408" u="1"/>
        <n v="579" u="1"/>
        <n v="6203" u="1"/>
        <n v="8248" u="1"/>
        <n v="13779" u="1"/>
        <n v="15796" u="1"/>
        <n v="15276" u="1"/>
        <n v="14236" u="1"/>
        <n v="17036" u="1"/>
        <n v="12156" u="1"/>
        <n v="18013" u="1"/>
        <n v="10076" u="1"/>
        <n v="1176" u="1"/>
        <n v="8516" u="1"/>
        <n v="17572" u="1"/>
        <n v="2908" u="1"/>
        <n v="10864" u="1"/>
        <n v="580" u="1"/>
        <n v="15812" u="1"/>
        <n v="7708" u="1"/>
        <n v="1828" u="1"/>
        <n v="18108" u="1"/>
        <n v="10155" u="1"/>
        <n v="5108" u="1"/>
        <n v="10880" u="1"/>
        <n v="19495" u="1"/>
        <n v="10360" u="1"/>
        <n v="9320" u="1"/>
        <n v="13354" u="1"/>
        <n v="1895" u="1"/>
        <n v="7456" u="1"/>
        <n v="17100" u="1"/>
        <n v="18014" u="1"/>
        <n v="10628" u="1"/>
        <n v="5116" u="1"/>
        <n v="9588" u="1"/>
        <n v="18928" u="1"/>
        <n v="16096" u="1"/>
        <n v="3696" u="1"/>
        <n v="13496" u="1"/>
        <n v="16659" u="1"/>
        <n v="10896" u="1"/>
        <n v="9856" u="1"/>
        <n v="2396" u="1"/>
      </sharedItems>
    </cacheField>
    <cacheField name="THREADID" numFmtId="0" sqlType="6">
      <sharedItems containsSemiMixedTypes="0" containsString="0" containsNumber="1" containsInteger="1" minValue="88" maxValue="20460" count="668">
        <n v="20068"/>
        <n v="4912"/>
        <n v="18492"/>
        <n v="13412"/>
        <n v="6084"/>
        <n v="18068"/>
        <n v="2728"/>
        <n v="10916"/>
        <n v="17520"/>
        <n v="12332"/>
        <n v="17464"/>
        <n v="11180"/>
        <n v="8696"/>
        <n v="4136"/>
        <n v="7516"/>
        <n v="9916"/>
        <n v="18516"/>
        <n v="20436"/>
        <n v="18160"/>
        <n v="12096"/>
        <n v="18512"/>
        <n v="7760"/>
        <n v="5576"/>
        <n v="9276"/>
        <n v="17384" u="1"/>
        <n v="7204" u="1"/>
        <n v="12724" u="1"/>
        <n v="5124" u="1"/>
        <n v="17920" u="1"/>
        <n v="16880" u="1"/>
        <n v="15072" u="1"/>
        <n v="908" u="1"/>
        <n v="14032" u="1"/>
        <n v="10912" u="1"/>
        <n v="19496" u="1"/>
        <n v="8832" u="1"/>
        <n v="16380" u="1"/>
        <n v="14300" u="1"/>
        <n v="17164" u="1"/>
        <n v="5392" u="1"/>
        <n v="10660" u="1"/>
        <n v="9620" u="1"/>
        <n v="16128" u="1"/>
        <n v="13528" u="1"/>
        <n v="16660" u="1"/>
        <n v="13796" u="1"/>
        <n v="11196" u="1"/>
        <n v="5140" u="1"/>
        <n v="9636" u="1"/>
        <n v="19024" u="1"/>
        <n v="9116" u="1"/>
        <n v="14584" u="1"/>
        <n v="17732" u="1"/>
        <n v="10424" u="1"/>
        <n v="8864" u="1"/>
        <n v="20348" u="1"/>
        <n v="1708" u="1"/>
        <n v="6188" u="1"/>
        <n v="10172" u="1"/>
        <n v="256" u="1"/>
        <n v="3712" u="1"/>
        <n v="13560" u="1"/>
        <n v="17764" u="1"/>
        <n v="2932" u="1"/>
        <n v="16472" u="1"/>
        <n v="15908" u="1"/>
        <n v="6456" u="1"/>
        <n v="12788" u="1"/>
        <n v="1580" u="1"/>
        <n v="17008" u="1"/>
        <n v="16176" u="1"/>
        <n v="3976" u="1"/>
        <n v="19876" u="1"/>
        <n v="3456" u="1"/>
        <n v="10976" u="1"/>
        <n v="10456" u="1"/>
        <n v="17544" u="1"/>
        <n v="16504" u="1"/>
        <n v="19372" u="1"/>
        <n v="13324" u="1"/>
        <n v="12804" u="1"/>
        <n v="20160" u="1"/>
        <n v="9164" u="1"/>
        <n v="8644" u="1"/>
        <n v="3460" u="1"/>
        <n v="11512" u="1"/>
        <n v="10472" u="1"/>
        <n v="7772" u="1"/>
        <n v="13860" u="1"/>
        <n v="17324" u="1"/>
        <n v="11780" u="1"/>
        <n v="5692" u="1"/>
        <n v="10220" u="1"/>
        <n v="14128" u="1"/>
        <n v="784" u="1"/>
        <n v="11528" u="1"/>
        <n v="9968" u="1"/>
        <n v="8928" u="1"/>
        <n v="17608" u="1"/>
        <n v="2164" u="1"/>
        <n v="13876" u="1"/>
        <n v="6480" u="1"/>
        <n v="11796" u="1"/>
        <n v="17104" u="1"/>
        <n v="15184" u="1"/>
        <n v="3728" u="1"/>
        <n v="18932" u="1"/>
        <n v="13104" u="1"/>
        <n v="16852" u="1"/>
        <n v="9464" u="1"/>
        <n v="7268" u="1"/>
        <n v="13892" u="1"/>
        <n v="19468" u="1"/>
        <n v="6488" u="1"/>
        <n v="1588" u="1"/>
        <n v="9212" u="1"/>
        <n v="18176" u="1"/>
        <n v="15720" u="1"/>
        <n v="14160" u="1"/>
        <n v="18964" u="1"/>
        <n v="12600" u="1"/>
        <n v="656" u="1"/>
        <n v="8960" u="1"/>
        <n v="7276" u="1"/>
        <n v="324" u="1"/>
        <n v="11576" u="1"/>
        <n v="8064" u="1"/>
        <n v="14964" u="1"/>
        <n v="6244" u="1"/>
        <n v="10804" u="1"/>
        <n v="1332" u="1"/>
        <n v="20320" u="1"/>
        <n v="9764" u="1"/>
        <n v="14712" u="1"/>
        <n v="12112" u="1"/>
        <n v="10552" u="1"/>
        <n v="7032" u="1"/>
        <n v="19564" u="1"/>
        <n v="9260" u="1"/>
        <n v="8220" u="1"/>
        <n v="14728" u="1"/>
        <n v="18020" u="1"/>
        <n v="16980" u="1"/>
        <n v="18808" u="1"/>
        <n v="17768" u="1"/>
        <n v="128" u="1"/>
        <n v="19596" u="1"/>
        <n v="20384" u="1"/>
        <n v="1076" u="1"/>
        <n v="14744" u="1"/>
        <n v="12144" u="1"/>
        <n v="11624" u="1"/>
        <n v="9024" u="1"/>
        <n v="16052" u="1"/>
        <n v="7828" u="1"/>
        <n v="14492" u="1"/>
        <n v="12412" u="1"/>
        <n v="11892" u="1"/>
        <n v="20416" u="1"/>
        <n v="4448" u="1"/>
        <n v="8772" u="1"/>
        <n v="4012" u="1"/>
        <n v="15800" u="1"/>
        <n v="2712" u="1"/>
        <n v="19912" u="1"/>
        <n v="9560" u="1"/>
        <n v="16792" u="1"/>
        <n v="14508" u="1"/>
        <n v="12428" u="1"/>
        <n v="10348" u="1"/>
        <n v="3496" u="1"/>
        <n v="18116" u="1"/>
        <n v="12696" u="1"/>
        <n v="12176" u="1"/>
        <n v="10616" u="1"/>
        <n v="18904" u="1"/>
        <n v="8104" u="1"/>
        <n v="6544" u="1"/>
        <n v="11924" u="1"/>
        <n v="11404" u="1"/>
        <n v="10364" u="1"/>
        <n v="14272" u="1"/>
        <n v="18148" u="1"/>
        <n v="12712" u="1"/>
        <n v="2720" u="1"/>
        <n v="16100" u="1"/>
        <n v="15580" u="1"/>
        <n v="14020" u="1"/>
        <n v="18684" u="1"/>
        <n v="9860" u="1"/>
        <n v="16368" u="1"/>
        <n v="14808" u="1"/>
        <n v="12728" u="1"/>
        <n v="9608" u="1"/>
        <n v="8568" u="1"/>
        <n v="15076" u="1"/>
        <n v="7080" u="1"/>
        <n v="18716" u="1"/>
        <n v="12996" u="1"/>
        <n v="88" u="1"/>
        <n v="19504" u="1"/>
        <n v="9356" u="1"/>
        <n v="8316" u="1"/>
        <n v="4028" u="1"/>
        <n v="3768" u="1"/>
        <n v="14824" u="1"/>
        <n v="2988" u="1"/>
        <n v="16132" u="1"/>
        <n v="1868" u="1"/>
        <n v="14052" u="1"/>
        <n v="19788" u="1"/>
        <n v="6828" u="1"/>
        <n v="6568" u="1"/>
        <n v="1608" u="1"/>
        <n v="10932" u="1"/>
        <n v="4228" u="1"/>
        <n v="3772" u="1"/>
        <n v="13800" u="1"/>
        <n v="2472" u="1"/>
        <n v="9640" u="1"/>
        <n v="16148" u="1"/>
        <n v="15628" u="1"/>
        <n v="15108" u="1"/>
        <n v="7356" u="1"/>
        <n v="19820" u="1"/>
        <n v="9388" u="1"/>
        <n v="8868" u="1"/>
        <n v="992" u="1"/>
        <n v="13296" u="1"/>
        <n v="17236" u="1"/>
        <n v="12256" u="1"/>
        <n v="11736" u="1"/>
        <n v="11216" u="1"/>
        <n v="10176" u="1"/>
        <n v="7884" u="1"/>
        <n v="18812" u="1"/>
        <n v="12004" u="1"/>
        <n v="5284" u="1"/>
        <n v="9924" u="1"/>
        <n v="12792" u="1"/>
        <n v="17268" u="1"/>
        <n v="3000" u="1"/>
        <n v="9672" u="1"/>
        <n v="8152" u="1"/>
        <n v="16764" u="1"/>
        <n v="5552" u="1"/>
        <n v="9420" u="1"/>
        <n v="4512" u="1"/>
        <n v="8900" u="1"/>
        <n v="17552" u="1"/>
        <n v="15408" u="1"/>
        <n v="14888" u="1"/>
        <n v="13848" u="1"/>
        <n v="13328" u="1"/>
        <n v="11768" u="1"/>
        <n v="8648" u="1"/>
        <n v="7900" u="1"/>
        <n v="15676" u="1"/>
        <n v="12556" u="1"/>
        <n v="12036" u="1"/>
        <n v="9956" u="1"/>
        <n v="14904" u="1"/>
        <n v="14384" u="1"/>
        <n v="17332" u="1"/>
        <n v="800" u="1"/>
        <n v="10224" u="1"/>
        <n v="9704" u="1"/>
        <n v="9184" u="1"/>
        <n v="16212" u="1"/>
        <n v="14132" u="1"/>
        <n v="12052" u="1"/>
        <n v="1488" u="1"/>
        <n v="11012" u="1"/>
        <n v="8932" u="1"/>
        <n v="16576" u="1"/>
        <n v="13880" u="1"/>
        <n v="19444" u="1"/>
        <n v="17364" u="1"/>
        <n v="19192" u="1"/>
        <n v="7396" u="1"/>
        <n v="14148" u="1"/>
        <n v="19980" u="1"/>
        <n v="1620" u="1"/>
        <n v="12588" u="1"/>
        <n v="1360" u="1"/>
        <n v="11816" u="1"/>
        <n v="7144" u="1"/>
        <n v="18972" u="1"/>
        <n v="12084" u="1"/>
        <n v="10524" u="1"/>
        <n v="10004" u="1"/>
        <n v="17680" u="1"/>
        <n v="4284" u="1"/>
        <n v="19508" u="1"/>
        <n v="868" u="1"/>
        <n v="18468" u="1"/>
        <n v="17428" u="1"/>
        <n v="16388" u="1"/>
        <n v="10272" u="1"/>
        <n v="2240" u="1"/>
        <n v="8712" u="1"/>
        <n v="7672" u="1"/>
        <n v="7412" u="1"/>
        <n v="7152" u="1"/>
        <n v="14180" u="1"/>
        <n v="20044" u="1"/>
        <n v="16924" u="1"/>
        <n v="5592" u="1"/>
        <n v="19792" u="1"/>
        <n v="15488" u="1"/>
        <n v="3544" u="1"/>
        <n v="12368" u="1"/>
        <n v="11848" u="1"/>
        <n v="11328" u="1"/>
        <n v="20328" u="1"/>
        <n v="19288" u="1"/>
        <n v="148" u="1"/>
        <n v="544" u="1"/>
        <n v="7160" u="1"/>
        <n v="1756" u="1"/>
        <n v="6900" u="1"/>
        <n v="13676" u="1"/>
        <n v="6120" u="1"/>
        <n v="9516" u="1"/>
        <n v="18532" u="1"/>
        <n v="1888" u="1"/>
        <n v="14732" u="1"/>
        <n v="18028" u="1"/>
        <n v="11612" u="1"/>
        <n v="9532" u="1"/>
        <n v="17776" u="1"/>
        <n v="15520" u="1"/>
        <n v="15000" u="1"/>
        <n v="14480" u="1"/>
        <n v="16484" u="1"/>
        <n v="19352" u="1"/>
        <n v="18312" u="1"/>
        <n v="8240" u="1"/>
        <n v="20140" u="1"/>
        <n v="6656" u="1"/>
        <n v="13188" u="1"/>
        <n v="11628" u="1"/>
        <n v="5616" u="1"/>
        <n v="10588" u="1"/>
        <n v="9028" u="1"/>
        <n v="16768" u="1"/>
        <n v="13976" u="1"/>
        <n v="17556" u="1"/>
        <n v="2776" u="1"/>
        <n v="10336" u="1"/>
        <n v="9816" u="1"/>
        <n v="7964" u="1"/>
        <n v="17052" u="1"/>
        <n v="18880" u="1"/>
        <n v="14512" u="1"/>
        <n v="3560" u="1"/>
        <n v="8272" u="1"/>
        <n v="14780" u="1"/>
        <n v="7192" u="1"/>
        <n v="19164" u="1"/>
        <n v="17084" u="1"/>
        <n v="4592" u="1"/>
        <n v="19700" u="1"/>
        <n v="11408" u="1"/>
        <n v="10368" u="1"/>
        <n v="15836" u="1"/>
        <n v="15316" u="1"/>
        <n v="6420" u="1"/>
        <n v="6160" u="1"/>
        <n v="12196" u="1"/>
        <n v="10116" u="1"/>
        <n v="19732" u="1"/>
        <n v="18692" u="1"/>
        <n v="3048" u="1"/>
        <n v="15852" u="1"/>
        <n v="20268" u="1"/>
        <n v="6948" u="1"/>
        <n v="11172" u="1"/>
        <n v="10652" u="1"/>
        <n v="15080" u="1"/>
        <n v="14040" u="1"/>
        <n v="876" u="1"/>
        <n v="18724" u="1"/>
        <n v="17684" u="1"/>
        <n v="9880" u="1"/>
        <n v="19512" u="1"/>
        <n v="8840" u="1"/>
        <n v="15348" u="1"/>
        <n v="7216" u="1"/>
        <n v="20300" u="1"/>
        <n v="13788" u="1"/>
        <n v="19260" u="1"/>
        <n v="11708" u="1"/>
        <n v="5656" u="1"/>
        <n v="19008" u="1"/>
        <n v="20080" u="1"/>
        <n v="9124" u="1"/>
        <n v="272" u="1"/>
        <n v="19828" u="1"/>
        <n v="13552" u="1"/>
        <n v="17748" u="1"/>
        <n v="12780" u="1"/>
        <n v="5152" u="1"/>
        <n v="18820" u="1"/>
        <n v="10968" u="1"/>
        <n v="10448" u="1"/>
        <n v="17528" u="1"/>
        <n v="2036" u="1"/>
        <n v="7240" u="1"/>
        <n v="17276" u="1"/>
        <n v="6200" u="1"/>
        <n v="15144" u="1"/>
        <n v="16772" u="1"/>
        <n v="9424" u="1"/>
        <n v="17560" u="1"/>
        <n v="14892" u="1"/>
        <n v="18348" u="1"/>
        <n v="11772" u="1"/>
        <n v="5688" u="1"/>
        <n v="11252" u="1"/>
        <n v="10732" u="1"/>
        <n v="9172" u="1"/>
        <n v="8652" u="1"/>
        <n v="13080" u="1"/>
        <n v="9440" u="1"/>
        <n v="2040" u="1"/>
        <n v="20460" u="1"/>
        <n v="11788" u="1"/>
        <n v="19168" u="1"/>
        <n v="3336" u="1"/>
        <n v="12576" u="1"/>
        <n v="9456" u="1"/>
        <n v="8936" u="1"/>
        <n v="14924" u="1"/>
        <n v="13884" u="1"/>
        <n v="18412" u="1"/>
        <n v="12844" u="1"/>
        <n v="11284" u="1"/>
        <n v="8684" u="1"/>
        <n v="14672" u="1"/>
        <n v="14152" u="1"/>
        <n v="10512" u="1"/>
        <n v="2300" u="1"/>
        <n v="15460" u="1"/>
        <n v="7532" u="1"/>
        <n v="14420" u="1"/>
        <n v="18444" u="1"/>
        <n v="6492" u="1"/>
        <n v="12860" u="1"/>
        <n v="12340" u="1"/>
        <n v="11300" u="1"/>
        <n v="5452" u="1"/>
        <n v="10780" u="1"/>
        <n v="10260" u="1"/>
        <n v="3344" u="1"/>
        <n v="12608" u="1"/>
        <n v="19768" u="1"/>
        <n v="16648" u="1"/>
        <n v="14956" u="1"/>
        <n v="7280" u="1"/>
        <n v="12876" u="1"/>
        <n v="10276" u="1"/>
        <n v="18224" u="1"/>
        <n v="14184" u="1"/>
        <n v="13664" u="1"/>
        <n v="8464" u="1"/>
        <n v="7548" u="1"/>
        <n v="13932" u="1"/>
        <n v="12892" u="1"/>
        <n v="12372" u="1"/>
        <n v="9252" u="1"/>
        <n v="18256" u="1"/>
        <n v="8732" u="1"/>
        <n v="16712" u="1"/>
        <n v="11348" u="1"/>
        <n v="9268" u="1"/>
        <n v="1140" u="1"/>
        <n v="4176" u="1"/>
        <n v="15256" u="1"/>
        <n v="18036" u="1"/>
        <n v="10056" u="1"/>
        <n v="8496" u="1"/>
        <n v="15524" u="1"/>
        <n v="18572" u="1"/>
        <n v="13712" u="1"/>
        <n v="19108" u="1"/>
        <n v="3360" u="1"/>
        <n v="17028" u="1"/>
        <n v="18856" u="1"/>
        <n v="8512" u="1"/>
        <n v="2060" u="1"/>
        <n v="16060" u="1"/>
        <n v="15540" u="1"/>
        <n v="1664" u="1"/>
        <n v="6532" u="1"/>
        <n v="12420" u="1"/>
        <n v="11380" u="1"/>
        <n v="20432" u="1"/>
        <n v="18352" u="1"/>
        <n v="4452" u="1"/>
        <n v="8780" u="1"/>
        <n v="19140" u="1"/>
        <n v="18100" u="1"/>
        <n v="12688" u="1"/>
        <n v="17060" u="1"/>
        <n v="3104" u="1"/>
        <n v="11648" u="1"/>
        <n v="9568" u="1"/>
        <n v="17848" u="1"/>
        <n v="8528" u="1"/>
        <n v="13996" u="1"/>
        <n v="5760" u="1"/>
        <n v="14264" u="1"/>
        <n v="11144" u="1"/>
        <n v="5768" u="1"/>
        <n v="17376" u="1"/>
        <n v="8292" u="1"/>
        <n v="15320" u="1"/>
        <n v="3372" u="1"/>
        <n v="11680" u="1"/>
        <n v="18952" u="1"/>
        <n v="9080" u="1"/>
        <n v="15068" u="1"/>
        <n v="6816" u="1"/>
        <n v="13508" u="1"/>
        <n v="12988" u="1"/>
        <n v="10388" u="1"/>
        <n v="14296" u="1"/>
        <n v="892" u="1"/>
        <n v="3376" u="1"/>
        <n v="10656" u="1"/>
        <n v="10136" u="1"/>
        <n v="20024" u="1"/>
        <n v="18984" u="1"/>
        <n v="17944" u="1"/>
        <n v="19772" u="1"/>
        <n v="5524" u="1"/>
        <n v="13272" u="1"/>
        <n v="14580" u="1"/>
        <n v="6832" u="1"/>
        <n v="10940" u="1"/>
        <n v="10420" u="1"/>
        <n v="9900" u="1"/>
        <n v="4492" u="1"/>
        <n v="3904" u="1"/>
        <n v="13288" u="1"/>
        <n v="10688" u="1"/>
        <n v="2604" u="1"/>
        <n v="8608" u="1"/>
        <n v="7360" u="1"/>
        <n v="6840" u="1"/>
        <n v="13036" u="1"/>
        <n v="11996" u="1"/>
        <n v="4500" u="1"/>
        <n v="8876" u="1"/>
        <n v="14864" u="1"/>
        <n v="20372" u="1"/>
        <n v="13824" u="1"/>
        <n v="3388" u="1"/>
        <n v="3128" u="1"/>
        <n v="1808" u="1"/>
        <n v="14092" u="1"/>
        <n v="5808" u="1"/>
        <n v="10972" u="1"/>
        <n v="18576" u="1"/>
        <n v="16496" u="1"/>
        <n v="20404" u="1"/>
        <n v="13840" u="1"/>
        <n v="12280" u="1"/>
        <n v="10200" u="1"/>
        <n v="9680" u="1"/>
        <n v="19900" u="1"/>
        <n v="6076" u="1"/>
        <n v="5816" u="1"/>
        <n v="4516" u="1"/>
        <n v="13336" u="1"/>
        <n v="17316" u="1"/>
        <n v="12296" u="1"/>
        <n v="9176" u="1"/>
        <n v="7904" u="1"/>
        <n v="7124" u="1"/>
        <n v="13604" u="1"/>
        <n v="6344" u="1"/>
        <n v="10484" u="1"/>
        <n v="19680" u="1"/>
        <n v="1032" u="1"/>
        <n v="14392" u="1"/>
        <n v="10752" u="1"/>
        <n v="8672" u="1"/>
        <n v="18924" u="1"/>
        <n v="17884" u="1"/>
        <n v="9980" u="1"/>
        <n v="1164" u="1"/>
        <n v="13368" u="1"/>
        <n v="18420" u="1"/>
        <n v="12848" u="1"/>
        <n v="9208" u="1"/>
        <n v="18168" u="1"/>
        <n v="7140" u="1"/>
        <n v="11036" u="1"/>
        <n v="15464" u="1"/>
        <n v="3408" u="1"/>
        <n v="12864" u="1"/>
        <n v="17412" u="1"/>
        <n v="2888" u="1"/>
        <n v="10784" u="1"/>
        <n v="9224" u="1"/>
        <n v="8188" u="1"/>
        <n v="7408" u="1"/>
        <n v="6888" u="1"/>
        <n v="12612" u="1"/>
        <n v="6108" u="1"/>
        <n v="19776" u="1"/>
        <n v="18736" u="1"/>
        <n v="4548" u="1"/>
        <n v="19524" u="1"/>
        <n v="3412" u="1"/>
        <n v="18484" u="1"/>
        <n v="11320" u="1"/>
        <n v="7936" u="1"/>
        <n v="20060" u="1"/>
        <n v="13148" u="1"/>
        <n v="8988" u="1"/>
        <n v="284" u="1"/>
        <n v="3936" u="1"/>
        <n v="12376" u="1"/>
        <n v="11336" u="1"/>
        <n v="18264" u="1"/>
        <n v="16284" u="1"/>
        <n v="7684" u="1"/>
        <n v="6904" u="1"/>
        <n v="19840" u="1"/>
        <n v="14992" u="1"/>
        <n v="6652" u="1"/>
        <n v="12140" u="1"/>
        <n v="19872" u="1"/>
        <n v="13968" u="1"/>
        <n v="18580" u="1"/>
        <n v="2904" u="1"/>
        <n v="2384" u="1"/>
        <n v="17288" u="1"/>
        <n v="8248" u="1"/>
        <n v="14236" u="1"/>
        <n v="6920" u="1"/>
        <n v="13716" u="1"/>
        <n v="19116" u="1"/>
        <n v="6400" u="1"/>
        <n v="15024" u="1"/>
        <n v="16532" u="1"/>
        <n v="2128" u="1"/>
        <n v="16332" u="1"/>
        <n v="416" u="1"/>
        <n v="12692" u="1"/>
        <n v="9572" u="1"/>
        <n v="17856" u="1"/>
        <n v="16816" u="1"/>
        <n v="18644" u="1"/>
        <n v="11400" u="1"/>
        <n v="10880" u="1"/>
        <n v="19432" u="1"/>
        <n v="17352" u="1"/>
        <n v="14268" u="1"/>
        <n v="19180" u="1"/>
        <n v="17100" u="1"/>
        <n v="11668" u="1"/>
        <n v="11148" u="1"/>
        <n v="16096" u="1"/>
        <n v="12976" u="1"/>
      </sharedItems>
    </cacheField>
    <cacheField name="SEQUENCEID" numFmtId="0" sqlType="6">
      <sharedItems containsSemiMixedTypes="0" containsString="0" containsNumber="1" containsInteger="1" minValue="0" maxValue="95" count="88">
        <n v="0"/>
        <n v="57" u="1"/>
        <n v="34" u="1"/>
        <n v="75" u="1"/>
        <n v="13" u="1"/>
        <n v="59" u="1"/>
        <n v="36" u="1"/>
        <n v="79" u="1"/>
        <n v="61" u="1"/>
        <n v="38" u="1"/>
        <n v="83" u="1"/>
        <n v="5" u="1"/>
        <n v="14" u="1"/>
        <n v="63" u="1"/>
        <n v="40" u="1"/>
        <n v="87" u="1"/>
        <n v="66" u="1"/>
        <n v="42" u="1"/>
        <n v="91" u="1"/>
        <n v="15" u="1"/>
        <n v="70" u="1"/>
        <n v="44" u="1"/>
        <n v="95" u="1"/>
        <n v="2" u="1"/>
        <n v="46" u="1"/>
        <n v="6" u="1"/>
        <n v="16" u="1"/>
        <n v="78" u="1"/>
        <n v="17" u="1"/>
        <n v="82" u="1"/>
        <n v="18" u="1"/>
        <n v="86" u="1"/>
        <n v="52" u="1"/>
        <n v="65" u="1"/>
        <n v="19" u="1"/>
        <n v="90" u="1"/>
        <n v="54" u="1"/>
        <n v="7" u="1"/>
        <n v="69" u="1"/>
        <n v="20" u="1"/>
        <n v="94" u="1"/>
        <n v="56" u="1"/>
        <n v="33" u="1"/>
        <n v="21" u="1"/>
        <n v="58" u="1"/>
        <n v="35" u="1"/>
        <n v="77" u="1"/>
        <n v="22" u="1"/>
        <n v="60" u="1"/>
        <n v="37" u="1"/>
        <n v="81" u="1"/>
        <n v="1" u="1"/>
        <n v="23" u="1"/>
        <n v="3" u="1"/>
        <n v="62" u="1"/>
        <n v="8" u="1"/>
        <n v="39" u="1"/>
        <n v="85" u="1"/>
        <n v="24" u="1"/>
        <n v="64" u="1"/>
        <n v="41" u="1"/>
        <n v="89" u="1"/>
        <n v="25" u="1"/>
        <n v="68" u="1"/>
        <n v="9" u="1"/>
        <n v="43" u="1"/>
        <n v="93" u="1"/>
        <n v="26" u="1"/>
        <n v="45" u="1"/>
        <n v="27" u="1"/>
        <n v="76" u="1"/>
        <n v="10" u="1"/>
        <n v="47" u="1"/>
        <n v="28" u="1"/>
        <n v="29" u="1"/>
        <n v="84" u="1"/>
        <n v="11" u="1"/>
        <n v="51" u="1"/>
        <n v="30" u="1"/>
        <n v="88" u="1"/>
        <n v="53" u="1"/>
        <n v="31" u="1"/>
        <n v="67" u="1"/>
        <n v="4" u="1"/>
        <n v="92" u="1"/>
        <n v="12" u="1"/>
        <n v="32" u="1"/>
        <n v="71" u="1"/>
      </sharedItems>
    </cacheField>
    <cacheField name="NETPROCESSID" numFmtId="0" sqlType="6">
      <sharedItems containsSemiMixedTypes="0" containsString="0" containsNumber="1" containsInteger="1" minValue="0" maxValue="20232" count="39">
        <n v="14700"/>
        <n v="0" u="1"/>
        <n v="2332" u="1"/>
        <n v="16648" u="1"/>
        <n v="10704" u="1"/>
        <n v="11911" u="1"/>
        <n v="14274" u="1"/>
        <n v="9816" u="1"/>
        <n v="12656" u="1"/>
        <n v="18584" u="1"/>
        <n v="19720" u="1"/>
        <n v="14152" u="1"/>
        <n v="5388" u="1"/>
        <n v="11180" u="1"/>
        <n v="16008" u="1"/>
        <n v="2068" u="1"/>
        <n v="16747" u="1"/>
        <n v="17528" u="1"/>
        <n v="268" u="1"/>
        <n v="15404" u="1"/>
        <n v="5456" u="1"/>
        <n v="1488" u="1"/>
        <n v="6635" u="1"/>
        <n v="7487" u="1"/>
        <n v="10088" u="1"/>
        <n v="11944" u="1"/>
        <n v="6168" u="1"/>
        <n v="7304" u="1"/>
        <n v="5747" u="1"/>
        <n v="20232" u="1"/>
        <n v="9656" u="1"/>
        <n v="2236" u="1"/>
        <n v="14164" u="1"/>
        <n v="1676" u="1"/>
        <n v="8996" u="1"/>
        <n v="13834" u="1"/>
        <n v="16588" u="1"/>
        <n v="13869" u="1"/>
        <n v="16608" u="1"/>
      </sharedItems>
    </cacheField>
    <cacheField name="NETTHREADID" numFmtId="0" sqlType="6">
      <sharedItems containsSemiMixedTypes="0" containsString="0" containsNumber="1" containsInteger="1" minValue="13272" maxValue="13272" count="1">
        <n v="13272"/>
      </sharedItems>
    </cacheField>
    <cacheField name="RUNDATE" numFmtId="0" sqlType="12">
      <sharedItems count="332">
        <s v="2019-12-13-14:28"/>
        <s v="2019-12-13-14:29"/>
        <s v="2019-11-27-13:12" u="1"/>
        <s v="2019-12-04-20:58" u="1"/>
        <s v="2019-12-04-21:11" u="1"/>
        <s v="2019-12-12-18:13" u="1"/>
        <s v="2019-09-26-18:04" u="1"/>
        <s v="2019-11-18-11:59" u="1"/>
        <s v="2019-11-29-09:58" u="1"/>
        <s v="2019-12-03-12:53" u="1"/>
        <s v="2019-12-03-13:47" u="1"/>
        <s v="2019-12-12-18:22" u="1"/>
        <s v="2019-12-13-13:08" u="1"/>
        <s v="2019-11-28-13:48" u="1"/>
        <s v="2019-12-03-00:28" u="1"/>
        <s v="2019-12-03-10:43" u="1"/>
        <s v="2019-12-13-10:04" u="1"/>
        <s v="2019-11-22-11:22" u="1"/>
        <s v="2019-11-28-11:38" u="1"/>
        <s v="2019-11-29-21:30" u="1"/>
        <s v="2019-12-03-10:52" u="1"/>
        <s v="2019-12-03-15:12" u="1"/>
        <s v="2019-12-03-17:31" u="1"/>
        <s v="2019-12-03-20:36" u="1"/>
        <s v="2019-12-13-14:51" u="1"/>
        <s v="2019-11-28-10:53" u="1"/>
        <s v="2019-11-28-11:47" u="1"/>
        <s v="2019-12-03-00:46" u="1"/>
        <s v="2019-12-03-13:02" u="1"/>
        <s v="2019-12-03-20:45" u="1"/>
        <s v="2019-12-04-23:35" u="1"/>
        <s v="2019-12-12-18:18" u="1"/>
        <s v="2019-12-02-21:30" u="1"/>
        <s v="2019-12-03-12:58" u="1"/>
        <s v="2019-12-03-20:54" u="1"/>
        <s v="2019-12-04-23:44" u="1"/>
        <s v="2019-12-13-12:50" u="1"/>
        <s v="2019-11-18-12:26" u="1"/>
        <s v="2019-12-03-14:14" u="1"/>
        <s v="2019-12-04-21:34" u="1"/>
        <s v="2019-12-13-10:09" u="1"/>
        <s v="2019-11-18-11:41" u="1"/>
        <s v="2019-11-20-13:51" u="1"/>
        <s v="2019-11-27-10:31" u="1"/>
        <s v="2019-12-03-15:17" u="1"/>
        <s v="2019-12-12-18:45" u="1"/>
        <s v="2019-12-03-13:07" u="1"/>
        <s v="2019-12-03-16:51" u="1"/>
        <s v="2019-12-04-18:16" u="1"/>
        <s v="2019-12-13-11:52" u="1"/>
        <s v="2019-11-18-11:28" u="1"/>
        <s v="2019-12-03-13:16" u="1"/>
        <s v="2019-12-03-20:59" u="1"/>
        <s v="2019-12-06-14:13" u="1"/>
        <s v="2019-12-13-14:02" u="1"/>
        <s v="2019-11-22-12:48" u="1"/>
        <s v="2019-12-04-21:39" u="1"/>
        <s v="2019-12-12-18:00" u="1"/>
        <s v="2019-11-28-12:32" u="1"/>
        <s v="2019-12-03-12:40" u="1"/>
        <s v="2019-12-03-17:00" u="1"/>
        <s v="2019-12-07-21:51" u="1"/>
        <s v="2019-11-19-17:58" u="1"/>
        <s v="2019-12-04-15:08" u="1"/>
        <s v="2019-12-04-16:33" u="1"/>
        <s v="2019-12-04-19:46" u="1"/>
        <s v="2019-12-06-14:09" u="1"/>
        <s v="2019-11-28-11:25" u="1"/>
        <s v="2019-11-29-10:49" u="1"/>
        <s v="2019-11-27-13:04" u="1"/>
        <s v="2019-11-28-11:34" u="1"/>
        <s v="2019-12-03-20:32" u="1"/>
        <s v="2019-11-28-11:43" u="1"/>
        <s v="2019-12-03-00:42" u="1"/>
        <s v="2019-12-03-20:41" u="1"/>
        <s v="2019-12-04-20:59" u="1"/>
        <s v="2019-12-04-21:12" u="1"/>
        <s v="2019-12-07-21:56" u="1"/>
        <s v="2019-12-12-18:14" u="1"/>
        <s v="2019-11-29-09:59" u="1"/>
        <s v="2019-11-29-18:49" u="1"/>
        <s v="2019-12-03-12:54" u="1"/>
        <s v="2019-12-03-20:50" u="1"/>
        <s v="2019-12-12-18:23" u="1"/>
        <s v="2019-12-13-13:09" u="1"/>
        <s v="2019-12-13-13:40" u="1"/>
        <s v="2019-10-06-22:50" u="1"/>
        <s v="2019-11-20-13:07" u="1"/>
        <s v="2019-11-28-13:49" u="1"/>
        <s v="2019-12-13-10:05" u="1"/>
        <s v="2019-12-13-12:24" u="1"/>
        <s v="2019-11-22-11:23" u="1"/>
        <s v="2019-11-27-13:09" u="1"/>
        <s v="2019-11-28-11:39" u="1"/>
        <s v="2019-11-28-13:58" u="1"/>
        <s v="2019-11-28-14:11" u="1"/>
        <s v="2019-11-29-10:22" u="1"/>
        <s v="2019-12-03-17:32" u="1"/>
        <s v="2019-12-03-20:37" u="1"/>
        <s v="2019-12-04-20:14" u="1"/>
        <s v="2019-12-12-18:41" u="1"/>
        <s v="2019-12-03-20:46" u="1"/>
        <s v="2019-12-04-20:23" u="1"/>
        <s v="2019-12-06-14:00" u="1"/>
        <s v="2019-12-12-18:19" u="1"/>
        <s v="2019-12-13-12:42" u="1"/>
        <s v="2019-11-18-11:24" u="1"/>
        <s v="2019-12-02-21:31" u="1"/>
        <s v="2019-12-07-22:23" u="1"/>
        <s v="2019-12-13-12:51" u="1"/>
        <s v="2019-10-06-22:55" u="1"/>
        <s v="2019-11-18-12:27" u="1"/>
        <s v="2019-12-03-14:15" u="1"/>
        <s v="2019-12-03-15:09" u="1"/>
        <s v="2019-12-13-13:54" u="1"/>
        <s v="2019-12-13-14:48" u="1"/>
        <s v="2019-11-27-10:32" u="1"/>
        <s v="2019-11-28-14:16" u="1"/>
        <s v="2019-12-03-13:30" u="1"/>
        <s v="2019-12-04-17:14" u="1"/>
        <s v="2019-12-04-20:19" u="1"/>
        <s v="2019-12-04-20:50" u="1"/>
        <s v="2019-12-12-18:46" u="1"/>
        <s v="2019-11-18-12:45" u="1"/>
        <s v="2019-11-20-12:36" u="1"/>
        <s v="2019-11-28-11:12" u="1"/>
        <s v="2019-12-02-21:27" u="1"/>
        <s v="2019-12-03-13:08" u="1"/>
        <s v="2019-12-03-16:52" u="1"/>
        <s v="2019-12-03-21:04" u="1"/>
        <s v="2019-12-04-18:17" u="1"/>
        <s v="2019-11-22-17:31" u="1"/>
        <s v="2019-11-28-11:21" u="1"/>
        <s v="2019-11-29-18:18" u="1"/>
        <s v="2019-12-13-14:03" u="1"/>
        <s v="2019-11-27-13:00" u="1"/>
        <s v="2019-11-29-19:52" u="1"/>
        <s v="2019-12-03-14:51" u="1"/>
        <s v="2019-12-04-20:46" u="1"/>
        <s v="2019-11-18-12:00" u="1"/>
        <s v="2019-12-03-20:06" u="1"/>
        <s v="2019-12-12-18:10" u="1"/>
        <s v="2019-11-29-11:03" u="1"/>
        <s v="2019-11-28-11:35" u="1"/>
        <s v="2019-11-28-13:54" u="1"/>
        <s v="2019-12-03-20:33" u="1"/>
        <s v="2019-12-13-10:10" u="1"/>
        <s v="2019-12-13-13:23" u="1"/>
        <s v="2019-11-18-11:11" u="1"/>
        <s v="2019-11-20-15:09" u="1"/>
        <s v="2019-11-27-10:01" u="1"/>
        <s v="2019-11-28-10:50" u="1"/>
        <s v="2019-12-03-20:42" u="1"/>
        <s v="2019-12-04-21:13" u="1"/>
        <s v="2019-12-04-23:32" u="1"/>
        <s v="2019-12-04-21:22" u="1"/>
        <s v="2019-12-04-23:41" u="1"/>
        <s v="2019-12-06-13:52" u="1"/>
        <s v="2019-12-13-13:41" u="1"/>
        <s v="2019-10-06-21:26" u="1"/>
        <s v="2019-10-06-22:51" u="1"/>
        <s v="2019-12-03-14:11" u="1"/>
        <s v="2019-12-13-12:25" u="1"/>
        <s v="2019-11-18-11:07" u="1"/>
        <s v="2019-11-29-10:23" u="1"/>
        <s v="2019-12-03-16:08" u="1"/>
        <s v="2019-12-03-17:33" u="1"/>
        <s v="2019-11-18-14:29" u="1"/>
        <s v="2019-11-29-10:32" u="1"/>
        <s v="2019-11-29-18:05" u="1"/>
        <s v="2019-11-29-22:35" u="1"/>
        <s v="2019-12-03-13:04" u="1"/>
        <s v="2019-12-03-20:47" u="1"/>
        <s v="2019-12-03-21:00" u="1"/>
        <s v="2019-12-04-19:07" u="1"/>
        <s v="2019-12-06-13:48" u="1"/>
        <s v="2019-12-06-14:01" u="1"/>
        <s v="2019-12-13-12:43" u="1"/>
        <s v="2019-10-06-22:47" u="1"/>
        <s v="2019-11-18-11:25" u="1"/>
        <s v="2019-12-03-20:56" u="1"/>
        <s v="2019-12-04-19:16" u="1"/>
        <s v="2019-12-06-14:10" u="1"/>
        <s v="2019-12-13-12:52" u="1"/>
        <s v="2019-11-18-10:09" u="1"/>
        <s v="2019-11-29-10:50" u="1"/>
        <s v="2019-11-29-18:23" u="1"/>
        <s v="2019-12-13-13:55" u="1"/>
        <s v="2019-12-13-14:49" u="1"/>
        <s v="2019-11-19-17:46" u="1"/>
        <s v="2019-11-22-11:29" u="1"/>
        <s v="2019-11-28-14:17" u="1"/>
        <s v="2019-12-03-11:12" u="1"/>
        <s v="2019-12-03-15:19" u="1"/>
        <s v="2019-11-28-11:13" u="1"/>
        <s v="2019-12-03-01:06" u="1"/>
        <s v="2019-12-03-14:34" u="1"/>
        <s v="2019-12-13-12:48" u="1"/>
        <s v="2019-11-22-11:47" u="1"/>
        <s v="2019-11-28-11:22" u="1"/>
        <s v="2019-11-28-13:41" u="1"/>
        <s v="2019-12-04-17:33" u="1"/>
        <s v="2019-12-13-14:04" u="1"/>
        <s v="2019-11-28-13:50" u="1"/>
        <s v="2019-12-03-14:52" u="1"/>
        <s v="2019-12-04-20:47" u="1"/>
        <s v="2019-12-12-18:02" u="1"/>
        <s v="2019-11-27-13:10" u="1"/>
        <s v="2019-12-03-12:42" u="1"/>
        <s v="2019-12-07-21:53" u="1"/>
        <s v="2019-12-12-18:11" u="1"/>
        <s v="2019-11-28-11:18" u="1"/>
        <s v="2019-11-29-11:04" u="1"/>
        <s v="2019-12-04-16:44" u="1"/>
        <s v="2019-12-13-12:21" u="1"/>
        <s v="2019-11-28-13:55" u="1"/>
        <s v="2019-12-03-20:34" u="1"/>
        <s v="2019-12-13-13:24" u="1"/>
        <s v="2019-12-03-12:47" u="1"/>
        <s v="2019-12-03-13:00" u="1"/>
        <s v="2019-12-03-20:43" u="1"/>
        <s v="2019-12-04-23:33" u="1"/>
        <s v="2019-12-12-18:16" u="1"/>
        <s v="2019-11-28-11:54" u="1"/>
        <s v="2019-11-29-22:09" u="1"/>
        <s v="2019-12-03-20:52" u="1"/>
        <s v="2019-12-04-23:42" u="1"/>
        <s v="2019-12-06-13:53" u="1"/>
        <s v="2019-11-18-11:30" u="1"/>
        <s v="2019-12-03-13:59" u="1"/>
        <s v="2019-12-13-14:45" u="1"/>
        <s v="2019-11-29-10:24" u="1"/>
        <s v="2019-12-03-15:15" u="1"/>
        <s v="2019-12-03-16:09" u="1"/>
        <s v="2019-12-04-21:41" u="1"/>
        <s v="2019-12-12-18:43" u="1"/>
        <s v="2019-11-18-12:42" u="1"/>
        <s v="2019-11-29-10:33" u="1"/>
        <s v="2019-12-02-21:24" u="1"/>
        <s v="2019-12-03-13:05" u="1"/>
        <s v="2019-12-03-14:30" u="1"/>
        <s v="2019-12-03-20:48" u="1"/>
        <s v="2019-12-04-20:25" u="1"/>
        <s v="2019-12-06-13:49" u="1"/>
        <s v="2019-12-13-11:50" u="1"/>
        <s v="2019-11-20-12:42" u="1"/>
        <s v="2019-12-03-20:57" u="1"/>
        <s v="2019-12-06-14:11" u="1"/>
        <s v="2019-11-22-11:52" u="1"/>
        <s v="2019-11-29-18:24" u="1"/>
        <s v="2019-12-03-18:55" u="1"/>
        <s v="2019-12-13-13:56" u="1"/>
        <s v="2019-11-20-13:54" u="1"/>
        <s v="2019-11-22-19:34" u="1"/>
        <s v="2019-11-28-12:30" u="1"/>
        <s v="2019-11-29-18:33" u="1"/>
        <s v="2019-11-18-12:47" u="1"/>
        <s v="2019-11-19-17:56" u="1"/>
        <s v="2019-12-03-14:35" u="1"/>
        <s v="2019-12-03-21:06" u="1"/>
        <s v="2019-11-28-11:23" u="1"/>
        <s v="2019-12-03-14:44" u="1"/>
        <s v="2019-12-03-18:10" u="1"/>
        <s v="2019-12-04-20:48" u="1"/>
        <s v="2019-12-12-18:03" u="1"/>
        <s v="2019-11-27-13:11" u="1"/>
        <s v="2019-11-28-11:41" u="1"/>
        <s v="2019-12-04-20:57" u="1"/>
        <s v="2019-12-04-21:10" u="1"/>
        <s v="2019-12-12-17:59" u="1"/>
        <s v="2019-12-12-18:12" u="1"/>
        <s v="2019-09-26-18:03" u="1"/>
        <s v="2019-11-18-14:30" u="1"/>
        <s v="2019-11-28-11:19" u="1"/>
        <s v="2019-11-29-09:57" u="1"/>
        <s v="2019-12-03-12:52" u="1"/>
        <s v="2019-12-06-10:05" u="1"/>
        <s v="2019-10-06-21:23" u="1"/>
        <s v="2019-12-03-15:02" u="1"/>
        <s v="2019-12-04-16:45" u="1"/>
        <s v="2019-12-13-12:22" u="1"/>
        <s v="2019-12-03-17:30" u="1"/>
        <s v="2019-12-03-20:35" u="1"/>
        <s v="2019-12-04-11:22" u="1"/>
        <s v="2019-11-28-11:46" u="1"/>
        <s v="2019-11-29-18:02" u="1"/>
        <s v="2019-11-29-22:32" u="1"/>
        <s v="2019-12-03-00:45" u="1"/>
        <s v="2019-12-03-13:01" u="1"/>
        <s v="2019-12-03-15:20" u="1"/>
        <s v="2019-12-03-20:44" u="1"/>
        <s v="2019-12-04-23:34" u="1"/>
        <s v="2019-12-06-13:45" u="1"/>
        <s v="2019-12-12-18:17" u="1"/>
        <s v="2019-12-13-12:40" u="1"/>
        <s v="2019-11-20-12:07" u="1"/>
        <s v="2019-11-28-11:55" u="1"/>
        <s v="2019-12-03-20:53" u="1"/>
        <s v="2019-12-04-21:24" u="1"/>
        <s v="2019-12-04-23:43" u="1"/>
        <s v="2019-12-03-14:13" u="1"/>
        <s v="2019-12-13-10:08" u="1"/>
        <s v="2019-12-13-14:46" u="1"/>
        <s v="2019-12-03-15:16" u="1"/>
        <s v="2019-12-12-18:44" u="1"/>
        <s v="2019-11-18-10:24" u="1"/>
        <s v="2019-12-03-14:31" u="1"/>
        <s v="2019-12-03-20:49" u="1"/>
        <s v="2019-12-03-21:02" u="1"/>
        <s v="2019-12-04-18:15" u="1"/>
        <s v="2019-12-04-19:09" u="1"/>
        <s v="2019-12-13-11:51" u="1"/>
        <s v="2019-12-13-13:39" u="1"/>
        <s v="2019-12-06-14:12" u="1"/>
        <s v="2019-11-20-13:46" u="1"/>
        <s v="2019-11-22-11:53" u="1"/>
        <s v="2019-11-22-12:47" u="1"/>
        <s v="2019-11-28-12:22" u="1"/>
        <s v="2019-12-13-13:57" u="1"/>
        <s v="2019-11-20-13:55" u="1"/>
        <s v="2019-11-20-15:02" u="1"/>
        <s v="2019-12-04-17:17" u="1"/>
        <s v="2019-12-04-16:32" u="1"/>
        <s v="2019-12-04-17:26" u="1"/>
        <s v="2019-11-22-11:49" u="1"/>
        <s v="2019-11-28-12:18" u="1"/>
        <s v="2019-12-03-14:45" u="1"/>
        <s v="2019-12-04-17:35" u="1"/>
        <s v="2019-11-29-11:10" u="1"/>
        <s v="2019-12-04-20:49" u="1"/>
        <s v="2019-12-12-18:04" u="1"/>
        <s v="2019-12-13-13:21" u="1"/>
      </sharedItems>
    </cacheField>
    <cacheField name="MSER" numFmtId="0" sqlType="6">
      <sharedItems containsSemiMixedTypes="0" containsString="0" containsNumber="1" minValue="890055.25" maxValue="890064.1875" count="22">
        <n v="890056.3125"/>
        <n v="890058.5625"/>
        <n v="890058.0625"/>
        <n v="890058.3125"/>
        <n v="890061.5625"/>
        <n v="890060"/>
        <n v="890057.6875"/>
        <n v="890059.25"/>
        <n v="890059.3125"/>
        <n v="890060.8125"/>
        <n v="890062.5625"/>
        <n v="890059.1875"/>
        <n v="890055.25"/>
        <n v="890061"/>
        <n v="890064.1875"/>
        <n v="890063.6875"/>
        <n v="890064"/>
        <n v="890062.8125"/>
        <n v="890057"/>
        <n v="890058.4375"/>
        <n v="890056.5625"/>
        <n v="890056.4375"/>
      </sharedItems>
    </cacheField>
    <cacheField name="POS" numFmtId="0" sqlType="6">
      <sharedItems containsSemiMixedTypes="0" containsString="0" containsNumber="1" containsInteger="1" minValue="0" maxValue="370"/>
    </cacheField>
    <cacheField name="POSEVEN" numFmtId="0" sqlType="12">
      <sharedItems count="2">
        <s v="EVEN"/>
        <s v="ODD"/>
      </sharedItems>
    </cacheField>
    <cacheField name="POSLABEL" numFmtId="0" sqlType="12">
      <sharedItems count="8000">
        <s v="2018-08-24-18:00"/>
        <s v="2018-08-24-19:00"/>
        <s v="2018-08-24-20:00"/>
        <s v="2018-08-24-21:00"/>
        <s v="2018-08-24-22:00"/>
        <s v="2018-08-24-23:00"/>
        <s v="2018-08-27-00:00"/>
        <s v="2018-08-27-01:00"/>
        <s v="2018-08-27-02:00"/>
        <s v="2018-08-27-03:00"/>
        <s v="2018-08-27-04:00"/>
        <s v="2018-08-27-05:00"/>
        <s v="2018-08-27-06:00"/>
        <s v="2018-08-27-07:00"/>
        <s v="2018-08-27-08:00"/>
        <s v="2018-08-27-09:00"/>
        <s v="2018-08-27-10:00"/>
        <s v="2018-08-27-11:00"/>
        <s v="2018-08-27-12:00"/>
        <s v="2018-08-27-13:00"/>
        <s v="2018-08-27-14:00"/>
        <s v="2018-08-27-15:00"/>
        <s v="2018-08-27-16:00"/>
        <s v="2018-08-27-17:00"/>
        <s v="2018-08-27-18:00"/>
        <s v="2018-08-27-19:00"/>
        <s v="2018-08-27-20:00"/>
        <s v="2018-08-27-21:00"/>
        <s v="2018-08-27-22:00"/>
        <s v="2018-08-27-23:00"/>
        <s v="2018-08-28-00:00"/>
        <s v="2018-08-28-01:00"/>
        <s v="2018-08-28-02:00"/>
        <s v="2018-08-28-03:00"/>
        <s v="2018-08-28-04:00"/>
        <s v="2018-08-28-05:00"/>
        <s v="2018-08-28-06:00"/>
        <s v="2018-08-28-07:00"/>
        <s v="2018-08-28-08:00"/>
        <s v="2018-08-28-09:00"/>
        <s v="2018-08-28-10:00"/>
        <s v="2018-08-28-11:00"/>
        <s v="2018-08-28-12:00"/>
        <s v="2018-08-28-13:00"/>
        <s v="2018-08-28-14:00"/>
        <s v="2018-08-28-15:00"/>
        <s v="2018-08-28-16:00"/>
        <s v="2018-08-28-17:00"/>
        <s v="2018-08-28-18:00"/>
        <s v="2018-08-28-19:00"/>
        <s v="2018-08-28-20:00"/>
        <s v="2018-08-28-21:00"/>
        <s v="2018-08-28-22:00"/>
        <s v="2018-08-28-23:00"/>
        <s v="2018-08-29-00:00"/>
        <s v="2018-08-29-01:00"/>
        <s v="2018-08-29-02:00"/>
        <s v="2018-08-29-03:00"/>
        <s v="2018-08-29-04:00"/>
        <s v="2018-08-29-05:00"/>
        <s v="2018-08-24-13:00"/>
        <s v="2018-08-24-14:00"/>
        <s v="2018-08-24-15:00"/>
        <s v="2018-08-24-16:00"/>
        <s v="2018-08-24-17:00"/>
        <s v="2018-08-29-06:00"/>
        <s v="2018-08-29-07:00"/>
        <s v="2018-08-29-08:00"/>
        <s v="2018-08-29-09:00"/>
        <s v="2018-08-29-10:00"/>
        <s v="2018-08-29-11:00"/>
        <s v="2018-08-29-12:00"/>
        <s v="2018-08-29-13:00"/>
        <s v="2018-08-29-14:00"/>
        <s v="2018-08-29-15:00"/>
        <s v="2018-08-29-16:00"/>
        <s v="2018-08-29-17:00"/>
        <s v="2018-08-29-18:00"/>
        <s v="2018-08-29-19:00"/>
        <s v="2018-08-29-20:00"/>
        <s v="2018-08-29-21:00"/>
        <s v="2018-08-29-22:00"/>
        <s v="2018-08-29-23:00"/>
        <s v="2018-08-30-00:00"/>
        <s v="2018-08-30-01:00"/>
        <s v="2018-08-30-02:00"/>
        <s v="2018-08-30-03:00"/>
        <s v="2018-08-30-04:00"/>
        <s v="2018-08-30-05:00"/>
        <s v="9999-99-99-99:384"/>
        <s v="2018-08-09-22:00"/>
        <s v="2018-08-09-23:00"/>
        <s v="2018-08-10-00:00"/>
        <s v="2018-08-10-01:00"/>
        <s v="2018-08-10-02:00"/>
        <s v="2018-08-10-03:00"/>
        <s v="2018-08-10-04:00"/>
        <s v="2018-08-10-05:00"/>
        <s v="2018-08-10-06:00"/>
        <s v="2018-08-10-07:00"/>
        <s v="2018-08-10-08:00"/>
        <s v="2018-08-10-09:00"/>
        <s v="2018-08-10-10:00"/>
        <s v="2018-08-10-11:00"/>
        <s v="2018-08-10-12:00"/>
        <s v="2018-08-10-13:00"/>
        <s v="2018-08-10-14:00"/>
        <s v="2018-08-10-15:00"/>
        <s v="2018-08-10-16:00"/>
        <s v="2018-08-10-17:00"/>
        <s v="2018-08-10-18:00"/>
        <s v="2018-08-10-19:00"/>
        <s v="2018-08-10-20:00"/>
        <s v="2018-08-20-12:00"/>
        <s v="2018-08-20-13:00"/>
        <s v="2018-08-20-14:00"/>
        <s v="2018-08-20-15:00"/>
        <s v="2018-08-20-16:00"/>
        <s v="2018-08-20-17:00"/>
        <s v="2018-08-20-18:00"/>
        <s v="2018-08-20-19:00"/>
        <s v="2018-08-20-20:00"/>
        <s v="2018-08-20-21:00"/>
        <s v="2018-08-20-22:00"/>
        <s v="2018-08-20-23:00"/>
        <s v="2018-08-21-00:00"/>
        <s v="2018-08-21-01:00"/>
        <s v="2018-08-21-02:00"/>
        <s v="2018-08-21-03:00"/>
        <s v="2018-08-21-04:00"/>
        <s v="2018-08-21-05:00"/>
        <s v="2018-08-21-06:00"/>
        <s v="2018-08-21-07:00"/>
        <s v="2018-08-21-08:00"/>
        <s v="2018-08-21-09:00"/>
        <s v="2018-08-21-10:00"/>
        <s v="2018-08-21-11:00"/>
        <s v="2018-08-21-12:00"/>
        <s v="2018-08-21-13:00"/>
        <s v="2018-08-14-10:00"/>
        <s v="2018-08-14-11:00"/>
        <s v="2018-08-14-12:00"/>
        <s v="2018-08-14-13:00"/>
        <s v="2018-08-14-14:00"/>
        <s v="2018-08-14-15:00"/>
        <s v="2018-08-14-16:00"/>
        <s v="2018-08-14-17:00"/>
        <s v="2018-08-14-18:00"/>
        <s v="2018-08-14-19:00"/>
        <s v="2018-08-14-20:00"/>
        <s v="2018-08-14-21:00"/>
        <s v="2018-08-14-22:00"/>
        <s v="2018-08-14-23:00"/>
        <s v="2018-08-15-00:00"/>
        <s v="2018-08-15-01:00"/>
        <s v="2018-08-15-02:00"/>
        <s v="2018-08-15-03:00"/>
        <s v="2018-08-15-04:00"/>
        <s v="2018-08-15-05:00"/>
        <s v="2018-08-15-06:00"/>
        <s v="2018-08-15-07:00"/>
        <s v="2018-08-15-08:00"/>
        <s v="2018-08-15-09:00"/>
        <s v="2018-08-15-10:00"/>
        <s v="2018-08-15-11:00"/>
        <s v="2018-08-15-12:00"/>
        <s v="2018-08-15-13:00"/>
        <s v="2018-08-15-14:00"/>
        <s v="2018-08-15-15:00"/>
        <s v="2018-08-15-16:00"/>
        <s v="2018-08-15-17:00"/>
        <s v="2018-08-15-18:00"/>
        <s v="2018-08-15-19:00"/>
        <s v="2018-08-15-20:00"/>
        <s v="2018-08-15-21:00"/>
        <s v="2018-08-15-22:00"/>
        <s v="2018-08-15-23:00"/>
        <s v="2018-08-16-00:00"/>
        <s v="2018-08-16-01:00"/>
        <s v="2018-08-16-02:00"/>
        <s v="2018-08-16-03:00"/>
        <s v="2018-08-16-04:00"/>
        <s v="2018-08-16-05:00"/>
        <s v="2018-08-16-06:00"/>
        <s v="2018-08-16-07:00"/>
        <s v="2018-08-16-08:00"/>
        <s v="2018-08-16-09:00"/>
        <s v="2018-08-16-10:00"/>
        <s v="2018-08-16-11:00"/>
        <s v="2018-08-16-12:00"/>
        <s v="2018-08-16-13:00"/>
        <s v="2018-08-16-14:00"/>
        <s v="2018-08-16-15:00"/>
        <s v="2018-08-16-16:00"/>
        <s v="2018-08-16-17:00"/>
        <s v="2018-08-16-18:00"/>
        <s v="2018-08-16-19:00"/>
        <s v="2018-08-16-20:00"/>
        <s v="2018-08-16-21:00"/>
        <s v="2018-08-08-23:00"/>
        <s v="2018-08-09-00:00"/>
        <s v="2018-08-09-01:00"/>
        <s v="2018-08-09-02:00"/>
        <s v="2018-08-09-03:00"/>
        <s v="2018-08-09-04:00"/>
        <s v="2018-08-09-05:00"/>
        <s v="2018-08-09-06:00"/>
        <s v="2018-08-09-07:00"/>
        <s v="2018-08-09-08:00"/>
        <s v="2018-08-09-09:00"/>
        <s v="2018-08-09-10:00"/>
        <s v="2018-08-09-11:00"/>
        <s v="2018-08-09-12:00"/>
        <s v="2018-08-09-13:00"/>
        <s v="2018-08-09-14:00"/>
        <s v="2018-08-09-15:00"/>
        <s v="2018-08-09-16:00"/>
        <s v="2018-08-09-17:00"/>
        <s v="2018-08-09-18:00"/>
        <s v="2018-08-09-19:00"/>
        <s v="2018-08-09-20:00"/>
        <s v="2018-08-09-21:00"/>
        <s v="2018-08-21-14:00"/>
        <s v="2018-08-21-15:00"/>
        <s v="2018-08-21-16:00"/>
        <s v="2018-08-21-17:00"/>
        <s v="2018-08-21-18:00"/>
        <s v="2018-08-21-19:00"/>
        <s v="2018-08-21-20:00"/>
        <s v="2018-08-21-21:00"/>
        <s v="2018-08-21-22:00"/>
        <s v="2018-08-21-23:00"/>
        <s v="2018-08-22-00:00"/>
        <s v="2018-08-22-01:00"/>
        <s v="2018-08-22-02:00"/>
        <s v="2018-08-22-03:00"/>
        <s v="2018-08-22-04:00"/>
        <s v="2018-08-22-05:00"/>
        <s v="2018-08-22-06:00"/>
        <s v="2018-08-22-07:00"/>
        <s v="2018-08-22-08:00"/>
        <s v="2018-08-22-09:00"/>
        <s v="2018-08-22-10:00"/>
        <s v="2018-08-22-11:00"/>
        <s v="2018-08-22-12:00"/>
        <s v="2018-08-22-13:00"/>
        <s v="2018-08-22-14:00"/>
        <s v="2018-08-10-22:00"/>
        <s v="2018-08-10-23:00"/>
        <s v="2018-08-13-00:00"/>
        <s v="2018-08-13-01:00"/>
        <s v="2018-08-13-02:00"/>
        <s v="2018-08-13-03:00"/>
        <s v="2018-08-13-04:00"/>
        <s v="2018-08-13-05:00"/>
        <s v="2018-08-13-06:00"/>
        <s v="2018-08-13-07:00"/>
        <s v="2018-08-13-08:00"/>
        <s v="2018-08-13-09:00"/>
        <s v="2018-08-13-10:00"/>
        <s v="2018-08-13-11:00"/>
        <s v="2018-08-13-12:00"/>
        <s v="2018-08-13-13:00"/>
        <s v="2018-08-13-14:00"/>
        <s v="2018-08-13-15:00"/>
        <s v="2018-08-13-16:00"/>
        <s v="2018-08-13-17:00"/>
        <s v="2018-08-13-18:00"/>
        <s v="2018-08-13-19:00"/>
        <s v="2018-08-13-20:00"/>
        <s v="2018-08-13-21:00"/>
        <s v="2018-08-13-22:00"/>
        <s v="2018-08-13-23:00"/>
        <s v="2018-08-14-00:00"/>
        <s v="2018-08-14-01:00"/>
        <s v="2018-08-14-02:00"/>
        <s v="2018-08-14-03:00"/>
        <s v="2018-08-14-04:00"/>
        <s v="2018-08-14-05:00"/>
        <s v="2018-08-14-06:00"/>
        <s v="2018-08-14-07:00"/>
        <s v="2018-08-14-08:00"/>
        <s v="2018-08-14-09:00"/>
        <s v="2018-08-16-22:00"/>
        <s v="2018-08-16-23:00"/>
        <s v="2018-08-17-00:00"/>
        <s v="2018-08-17-01:00"/>
        <s v="2018-08-17-02:00"/>
        <s v="2018-08-17-03:00"/>
        <s v="2018-08-17-04:00"/>
        <s v="2018-08-17-05:00"/>
        <s v="2018-08-17-06:00"/>
        <s v="2018-08-17-07:00"/>
        <s v="2018-08-17-08:00"/>
        <s v="2018-08-17-09:00"/>
        <s v="2018-08-17-10:00"/>
        <s v="2018-08-17-11:00"/>
        <s v="2018-08-17-12:00"/>
        <s v="2018-08-17-13:00"/>
        <s v="2018-08-17-14:00"/>
        <s v="9999-99-99-99:385"/>
        <s v="9999-99-99-99:386"/>
        <s v="2018-08-30-06:00"/>
        <s v="2018-08-30-07:00"/>
        <s v="2018-08-10-21:00"/>
        <s v="2018-08-24-12:00"/>
        <s v="2018-08-17-15:00"/>
        <s v="2018-08-17-16:00"/>
        <s v="2018-08-17-17:00"/>
        <s v="2018-08-17-18:00"/>
        <s v="2018-08-17-19:00"/>
        <s v="2018-08-17-20:00"/>
        <s v="2018-08-17-21:00"/>
        <s v="2018-08-17-22:00"/>
        <s v="2018-08-17-23:00"/>
        <s v="2018-08-20-00:00"/>
        <s v="2018-08-20-01:00"/>
        <s v="2018-08-20-02:00"/>
        <s v="2018-08-20-03:00"/>
        <s v="2018-08-20-04:00"/>
        <s v="2018-08-20-05:00"/>
        <s v="2018-08-20-06:00"/>
        <s v="2018-08-20-07:00"/>
        <s v="2018-08-20-08:00"/>
        <s v="2018-08-20-09:00"/>
        <s v="2018-08-20-10:00"/>
        <s v="2018-08-20-11:00"/>
        <s v="2018-08-22-15:00"/>
        <s v="2018-08-22-16:00"/>
        <s v="2018-08-22-17:00"/>
        <s v="2018-08-22-18:00"/>
        <s v="2018-08-22-19:00"/>
        <s v="2018-08-22-20:00"/>
        <s v="2018-08-22-21:00"/>
        <s v="2018-08-22-22:00"/>
        <s v="2018-08-22-23:00"/>
        <s v="2018-08-23-00:00"/>
        <s v="2018-08-23-01:00"/>
        <s v="2018-08-23-02:00"/>
        <s v="2018-08-23-03:00"/>
        <s v="2018-08-23-04:00"/>
        <s v="2018-08-23-05:00"/>
        <s v="2018-08-23-06:00"/>
        <s v="2018-08-23-07:00"/>
        <s v="2018-08-23-08:00"/>
        <s v="2018-08-23-09:00"/>
        <s v="2018-08-23-10:00"/>
        <s v="2018-08-23-11:00"/>
        <s v="2018-08-23-12:00"/>
        <s v="2018-08-23-13:00"/>
        <s v="2018-08-23-14:00"/>
        <s v="2018-08-23-15:00"/>
        <s v="2018-08-23-16:00"/>
        <s v="2018-08-23-17:00"/>
        <s v="2018-08-23-18:00"/>
        <s v="2018-08-23-19:00"/>
        <s v="2018-08-23-20:00"/>
        <s v="2018-08-23-21:00"/>
        <s v="2018-08-23-22:00"/>
        <s v="2018-08-23-23:00"/>
        <s v="2018-08-24-00:00"/>
        <s v="2018-08-30-08:00"/>
        <s v="2018-08-30-09:00"/>
        <s v="2018-08-30-10:00"/>
        <s v="2018-08-24-01:00"/>
        <s v="2018-08-24-02:00"/>
        <s v="2018-08-24-03:00"/>
        <s v="2018-08-24-04:00"/>
        <s v="2018-08-24-05:00"/>
        <s v="2018-08-24-06:00"/>
        <s v="2018-08-24-07:00"/>
        <s v="2018-08-24-08:00"/>
        <s v="2018-08-24-09:00"/>
        <s v="2018-08-24-10:00"/>
        <s v="2018-08-24-11:00"/>
        <s v="2018-08-08-16:00"/>
        <s v="2018-08-08-17:00"/>
        <s v="2018-08-08-18:00"/>
        <s v="2018-08-08-19:00"/>
        <s v="2018-08-08-20:00"/>
        <s v="2018-08-08-21:00"/>
        <s v="2018-08-08-22:00"/>
        <s v="2018-08-30-11:00"/>
        <s v="2018-08-30-12:00"/>
        <s v="2018-08-30-13:00"/>
        <s v="2018-08-30-14:00"/>
        <s v="2018-08-30-15:00"/>
        <s v="2018-08-30-16:00"/>
        <s v="2018-08-30-17:00"/>
        <s v="2018-08-30-18:00"/>
        <s v="2018-08-30-19:00"/>
        <s v="2018-08-30-20:00"/>
        <s v="2018-08-30-21:00"/>
        <s v="2018-08-30-22:00"/>
        <s v="9999-99-99-99:54" u="1"/>
        <s v="2016-03-31-19:00" u="1"/>
        <s v="2016-05-31-19:00" u="1"/>
        <s v="2016-08-31-19:00" u="1"/>
        <s v="2018-01-23-19:00" u="1"/>
        <s v="2018-02-23-19:00" u="1"/>
        <s v="2018-03-23-19:00" u="1"/>
        <s v="2018-04-23-19:00" u="1"/>
        <s v="2018-05-23-19:00" u="1"/>
        <s v="2018-07-23-19:00" u="1"/>
        <s v="2017-02-21-19:00" u="1"/>
        <s v="2017-03-21-19:00" u="1"/>
        <s v="2017-04-21-19:00" u="1"/>
        <s v="2017-06-21-19:00" u="1"/>
        <s v="2017-07-21-19:00" u="1"/>
        <s v="2017-08-21-19:00" u="1"/>
        <s v="2017-09-21-19:00" u="1"/>
        <s v="2017-11-21-19:00" u="1"/>
        <s v="2017-12-21-19:00" u="1"/>
        <s v="2018-01-11-19:00" u="1"/>
        <s v="2018-01-31-18:00" u="1"/>
        <s v="2018-04-11-19:00" u="1"/>
        <s v="2018-05-11-19:00" u="1"/>
        <s v="2018-05-31-18:00" u="1"/>
        <s v="2018-06-11-19:00" u="1"/>
        <s v="2018-07-11-19:00" u="1"/>
        <s v="9999-99-99-99:64" u="1"/>
        <s v="2016-03-30-19:00" u="1"/>
        <s v="2016-05-30-19:00" u="1"/>
        <s v="2016-06-30-19:00" u="1"/>
        <s v="2016-08-30-19:00" u="1"/>
        <s v="2016-09-30-19:00" u="1"/>
        <s v="2016-11-30-19:00" u="1"/>
        <s v="2016-12-30-19:00" u="1"/>
        <s v="2018-01-22-19:00" u="1"/>
        <s v="2018-02-22-19:00" u="1"/>
        <s v="2018-03-22-19:00" u="1"/>
        <s v="2018-05-22-19:00" u="1"/>
        <s v="2018-06-22-19:00" u="1"/>
        <s v="2017-01-20-19:00" u="1"/>
        <s v="2017-02-20-19:00" u="1"/>
        <s v="2017-03-20-19:00" u="1"/>
        <s v="2017-04-20-19:00" u="1"/>
        <s v="2017-06-20-19:00" u="1"/>
        <s v="2017-07-20-19:00" u="1"/>
        <s v="2017-09-20-19:00" u="1"/>
        <s v="2017-10-20-19:00" u="1"/>
        <s v="2017-11-20-19:00" u="1"/>
        <s v="2017-12-20-19:00" u="1"/>
        <s v="2018-01-10-19:00" u="1"/>
        <s v="2018-01-30-18:00" u="1"/>
        <s v="2018-03-30-18:00" u="1"/>
        <s v="2018-04-10-19:00" u="1"/>
        <s v="2018-04-30-18:00" u="1"/>
        <s v="2018-05-10-19:00" u="1"/>
        <s v="2018-05-30-18:00" u="1"/>
        <s v="2018-07-10-19:00" u="1"/>
        <s v="2017-01-31-19:00" u="1"/>
        <s v="2017-03-31-19:00" u="1"/>
        <s v="2017-05-31-19:00" u="1"/>
        <s v="2017-07-31-19:00" u="1"/>
        <s v="2017-08-31-19:00" u="1"/>
        <s v="2018-02-21-19:00" u="1"/>
        <s v="2018-03-21-19:00" u="1"/>
        <s v="2018-05-21-19:00" u="1"/>
        <s v="2018-06-21-19:00" u="1"/>
        <s v="9999-99-99-99:98" u="1"/>
        <s v="2017-01-30-19:00" u="1"/>
        <s v="2017-03-30-19:00" u="1"/>
        <s v="2017-05-30-19:00" u="1"/>
        <s v="2017-06-30-19:00" u="1"/>
        <s v="2017-08-30-19:00" u="1"/>
        <s v="2017-10-30-19:00" u="1"/>
        <s v="2017-11-30-19:00" u="1"/>
        <s v="2013-10-18-00:00" u="1"/>
        <s v="2013-11-18-00:00" u="1"/>
        <s v="2013-12-18-00:00" u="1"/>
        <s v="2018-02-20-19:00" u="1"/>
        <s v="2018-03-20-19:00" u="1"/>
        <s v="2018-04-20-19:00" u="1"/>
        <s v="2018-06-20-19:00" u="1"/>
        <s v="2018-07-20-19:00" u="1"/>
        <s v="2018-01-31-19:00" u="1"/>
        <s v="2018-05-31-19:00" u="1"/>
        <s v="2018-01-30-19:00" u="1"/>
        <s v="2018-03-30-19:00" u="1"/>
        <s v="2018-04-30-19:00" u="1"/>
        <s v="2018-05-30-19:00" u="1"/>
        <s v="2014-11-18-00:00" u="1"/>
        <s v="2014-12-18-00:00" u="1"/>
        <s v="2016-02-09-00:00" u="1"/>
        <s v="2016-03-09-00:00" u="1"/>
        <s v="2016-05-09-00:00" u="1"/>
        <s v="2016-06-09-00:00" u="1"/>
        <s v="2016-08-09-00:00" u="1"/>
        <s v="2016-09-09-00:00" u="1"/>
        <s v="9999-99-99-99:256" u="1"/>
        <s v="2016-01-08-00:00" u="1"/>
        <s v="2016-02-08-00:00" u="1"/>
        <s v="2016-03-08-00:00" u="1"/>
        <s v="2016-04-08-00:00" u="1"/>
        <s v="2016-06-08-00:00" u="1"/>
        <s v="2016-07-08-00:00" u="1"/>
        <s v="2016-08-08-00:00" u="1"/>
        <s v="2016-09-08-00:00" u="1"/>
        <s v="2016-11-08-00:00" u="1"/>
        <s v="2016-12-08-00:00" u="1"/>
        <s v="2017-01-09-00:00" u="1"/>
        <s v="2017-02-09-00:00" u="1"/>
        <s v="2017-03-09-00:00" u="1"/>
        <s v="2017-05-09-00:00" u="1"/>
        <s v="2017-06-09-00:00" u="1"/>
        <s v="2017-08-09-00:00" u="1"/>
        <s v="2016-01-07-00:00" u="1"/>
        <s v="2016-03-07-00:00" u="1"/>
        <s v="2016-04-07-00:00" u="1"/>
        <s v="2016-06-07-00:00" u="1"/>
        <s v="2016-07-07-00:00" u="1"/>
        <s v="2016-09-07-00:00" u="1"/>
        <s v="2016-10-07-00:00" u="1"/>
        <s v="2016-11-07-00:00" u="1"/>
        <s v="2016-12-07-00:00" u="1"/>
        <s v="2016-01-18-00:00" u="1"/>
        <s v="2016-02-18-00:00" u="1"/>
        <s v="2016-03-18-00:00" u="1"/>
        <s v="2016-04-18-00:00" u="1"/>
        <s v="2016-05-18-00:00" u="1"/>
        <s v="2016-07-18-00:00" u="1"/>
        <s v="2016-08-18-00:00" u="1"/>
        <s v="2016-10-18-00:00" u="1"/>
        <s v="2016-11-18-00:00" u="1"/>
        <s v="2017-02-08-00:00" u="1"/>
        <s v="2017-03-08-00:00" u="1"/>
        <s v="2017-05-08-00:00" u="1"/>
        <s v="2017-06-08-00:00" u="1"/>
        <s v="2017-08-08-00:00" u="1"/>
        <s v="2017-09-08-00:00" u="1"/>
        <s v="2017-11-08-00:00" u="1"/>
        <s v="2017-12-08-00:00" u="1"/>
        <s v="2017-12-19-00:00" u="1"/>
        <s v="2016-02-17-00:00" u="1"/>
        <s v="2016-03-17-00:00" u="1"/>
        <s v="2016-05-17-00:00" u="1"/>
        <s v="2016-06-17-00:00" u="1"/>
        <s v="2016-08-17-00:00" u="1"/>
        <s v="2016-10-17-00:00" u="1"/>
        <s v="2016-11-17-00:00" u="1"/>
        <s v="2018-01-09-00:00" u="1"/>
        <s v="2018-02-09-00:00" u="1"/>
        <s v="2018-03-09-00:00" u="1"/>
        <s v="2018-04-09-00:00" u="1"/>
        <s v="2018-05-09-00:00" u="1"/>
        <s v="2018-07-09-00:00" u="1"/>
        <s v="2017-02-07-00:00" u="1"/>
        <s v="2017-03-07-00:00" u="1"/>
        <s v="2017-04-07-00:00" u="1"/>
        <s v="2017-06-07-00:00" u="1"/>
        <s v="2017-07-07-00:00" u="1"/>
        <s v="2017-08-07-00:00" u="1"/>
        <s v="2017-09-07-00:00" u="1"/>
        <s v="2017-11-07-00:00" u="1"/>
        <s v="2017-12-07-00:00" u="1"/>
        <s v="2016-01-08-01:00" u="1"/>
        <s v="2016-01-28-00:00" u="1"/>
        <s v="2016-02-08-01:00" u="1"/>
        <s v="2016-03-08-01:00" u="1"/>
        <s v="2016-03-28-00:00" u="1"/>
        <s v="2016-04-08-01:00" u="1"/>
        <s v="2016-04-28-00:00" u="1"/>
        <s v="2016-06-08-01:00" u="1"/>
        <s v="2016-06-28-00:00" u="1"/>
        <s v="2016-07-08-01:00" u="1"/>
        <s v="2016-07-28-00:00" u="1"/>
        <s v="2016-08-08-01:00" u="1"/>
        <s v="2016-09-08-01:00" u="1"/>
        <s v="2016-09-28-00:00" u="1"/>
        <s v="2016-10-28-00:00" u="1"/>
        <s v="2016-11-08-01:00" u="1"/>
        <s v="2016-11-28-00:00" u="1"/>
        <s v="2016-12-08-01:00" u="1"/>
        <s v="2016-12-28-00:00" u="1"/>
        <s v="2017-01-18-00:00" u="1"/>
        <s v="2017-04-18-00:00" u="1"/>
        <s v="2017-05-18-00:00" u="1"/>
        <s v="2017-07-18-00:00" u="1"/>
        <s v="2017-08-18-00:00" u="1"/>
        <s v="2017-09-18-00:00" u="1"/>
        <s v="2017-10-18-00:00" u="1"/>
        <s v="2017-12-18-00:00" u="1"/>
        <s v="2016-11-16-00:00" u="1"/>
        <s v="2016-12-16-00:00" u="1"/>
        <s v="2018-01-08-00:00" u="1"/>
        <s v="2018-02-08-00:00" u="1"/>
        <s v="2018-03-08-00:00" u="1"/>
        <s v="2018-05-08-00:00" u="1"/>
        <s v="2018-06-08-00:00" u="1"/>
        <s v="2018-08-08-00:00" u="1"/>
        <s v="2017-12-06-00:00" u="1"/>
        <s v="2017-11-29-00:00" u="1"/>
        <s v="2017-12-29-00:00" u="1"/>
        <s v="2016-01-07-01:00" u="1"/>
        <s v="2016-01-27-00:00" u="1"/>
        <s v="2016-03-07-01:00" u="1"/>
        <s v="2016-04-07-01:00" u="1"/>
        <s v="2016-04-27-00:00" u="1"/>
        <s v="2016-05-27-00:00" u="1"/>
        <s v="2016-06-07-01:00" u="1"/>
        <s v="2016-06-27-00:00" u="1"/>
        <s v="2016-07-07-01:00" u="1"/>
        <s v="2016-07-27-00:00" u="1"/>
        <s v="2016-09-07-01:00" u="1"/>
        <s v="2016-09-27-00:00" u="1"/>
        <s v="2016-10-07-01:00" u="1"/>
        <s v="2016-10-27-00:00" u="1"/>
        <s v="2016-11-07-01:00" u="1"/>
        <s v="2016-12-07-01:00" u="1"/>
        <s v="2016-12-27-00:00" u="1"/>
        <s v="2018-01-19-00:00" u="1"/>
        <s v="2018-02-19-00:00" u="1"/>
        <s v="2018-03-19-00:00" u="1"/>
        <s v="2018-04-19-00:00" u="1"/>
        <s v="2018-06-19-00:00" u="1"/>
        <s v="2018-07-19-00:00" u="1"/>
        <s v="2017-01-17-00:00" u="1"/>
        <s v="2017-02-17-00:00" u="1"/>
        <s v="2017-03-17-00:00" u="1"/>
        <s v="2017-04-17-00:00" u="1"/>
        <s v="2017-05-17-00:00" u="1"/>
        <s v="2017-07-17-00:00" u="1"/>
        <s v="2017-08-17-00:00" u="1"/>
        <s v="2017-10-17-00:00" u="1"/>
        <s v="2017-11-17-00:00" u="1"/>
        <s v="2018-02-07-00:00" u="1"/>
        <s v="2018-03-07-00:00" u="1"/>
        <s v="2018-05-07-00:00" u="1"/>
        <s v="2018-06-07-00:00" u="1"/>
        <s v="9999-99-99-99:01" u="1"/>
        <s v="2017-12-05-00:00" u="1"/>
        <s v="2016-02-03-00:00" u="1"/>
        <s v="2016-03-03-00:00" u="1"/>
        <s v="2016-05-03-00:00" u="1"/>
        <s v="2016-06-03-00:00" u="1"/>
        <s v="2016-08-03-00:00" u="1"/>
        <s v="2016-10-03-00:00" u="1"/>
        <s v="2016-11-03-00:00" u="1"/>
        <s v="2016-01-18-01:00" u="1"/>
        <s v="2016-02-18-01:00" u="1"/>
        <s v="2016-03-18-01:00" u="1"/>
        <s v="2016-04-18-01:00" u="1"/>
        <s v="2016-05-18-01:00" u="1"/>
        <s v="2016-07-18-01:00" u="1"/>
        <s v="2016-08-18-01:00" u="1"/>
        <s v="2017-02-08-01:00" u="1"/>
        <s v="2017-02-28-00:00" u="1"/>
        <s v="2017-03-08-01:00" u="1"/>
        <s v="2017-03-28-00:00" u="1"/>
        <s v="2017-04-28-00:00" u="1"/>
        <s v="2017-05-08-01:00" u="1"/>
        <s v="2017-06-08-01:00" u="1"/>
        <s v="2017-06-28-00:00" u="1"/>
        <s v="2017-07-28-00:00" u="1"/>
        <s v="2017-08-08-01:00" u="1"/>
        <s v="2017-08-28-00:00" u="1"/>
        <s v="2017-09-08-01:00" u="1"/>
        <s v="2017-09-28-00:00" u="1"/>
        <s v="2017-11-08-01:00" u="1"/>
        <s v="2017-11-28-00:00" u="1"/>
        <s v="2017-12-08-01:00" u="1"/>
        <s v="2017-12-28-00:00" u="1"/>
        <s v="2016-01-06-01:00" u="1"/>
        <s v="2016-01-26-00:00" u="1"/>
        <s v="2016-02-26-00:00" u="1"/>
        <s v="2016-04-06-01:00" u="1"/>
        <s v="2016-04-26-00:00" u="1"/>
        <s v="2016-05-06-01:00" u="1"/>
        <s v="2016-05-26-00:00" u="1"/>
        <s v="2016-06-06-01:00" u="1"/>
        <s v="2016-07-06-01:00" u="1"/>
        <s v="2016-07-26-00:00" u="1"/>
        <s v="2016-08-26-00:00" u="1"/>
        <s v="2016-09-06-01:00" u="1"/>
        <s v="2016-09-26-00:00" u="1"/>
        <s v="2016-10-06-01:00" u="1"/>
        <s v="2016-10-26-00:00" u="1"/>
        <s v="2016-12-06-01:00" u="1"/>
        <s v="2018-01-18-00:00" u="1"/>
        <s v="2018-04-18-00:00" u="1"/>
        <s v="2018-05-18-00:00" u="1"/>
        <s v="2018-06-18-00:00" u="1"/>
        <s v="2018-07-18-00:00" u="1"/>
        <s v="2017-10-16-00:00" u="1"/>
        <s v="2017-11-16-00:00" u="1"/>
        <s v="2018-02-06-00:00" u="1"/>
        <s v="2018-03-06-00:00" u="1"/>
        <s v="2018-04-06-00:00" u="1"/>
        <s v="2018-06-06-00:00" u="1"/>
        <s v="2018-07-06-00:00" u="1"/>
        <s v="2017-12-04-00:00" u="1"/>
        <s v="2016-02-02-00:00" u="1"/>
        <s v="2016-03-02-00:00" u="1"/>
        <s v="2016-05-02-00:00" u="1"/>
        <s v="2016-06-02-00:00" u="1"/>
        <s v="2016-08-02-00:00" u="1"/>
        <s v="2016-09-02-00:00" u="1"/>
        <s v="2016-11-02-00:00" u="1"/>
        <s v="2016-12-02-00:00" u="1"/>
        <s v="2017-12-19-01:00" u="1"/>
        <s v="2016-02-17-01:00" u="1"/>
        <s v="2016-03-17-01:00" u="1"/>
        <s v="2016-05-17-01:00" u="1"/>
        <s v="2016-06-17-01:00" u="1"/>
        <s v="2016-08-17-01:00" u="1"/>
        <s v="2016-10-17-01:00" u="1"/>
        <s v="2016-11-17-01:00" u="1"/>
        <s v="2018-01-09-01:00" u="1"/>
        <s v="2018-01-29-00:00" u="1"/>
        <s v="2018-02-09-01:00" u="1"/>
        <s v="2018-03-09-01:00" u="1"/>
        <s v="2018-03-29-00:00" u="1"/>
        <s v="2018-04-09-01:00" u="1"/>
        <s v="2018-05-09-01:00" u="1"/>
        <s v="2018-05-29-00:00" u="1"/>
        <s v="2018-06-29-00:00" u="1"/>
        <s v="2018-07-09-01:00" u="1"/>
        <s v="2017-01-27-00:00" u="1"/>
        <s v="2017-02-07-01:00" u="1"/>
        <s v="2017-02-27-00:00" u="1"/>
        <s v="2017-03-07-01:00" u="1"/>
        <s v="2017-03-27-00:00" u="1"/>
        <s v="2017-04-07-01:00" u="1"/>
        <s v="2017-04-27-00:00" u="1"/>
        <s v="2017-06-07-01:00" u="1"/>
        <s v="2017-06-27-00:00" u="1"/>
        <s v="2017-07-07-01:00" u="1"/>
        <s v="2017-07-27-00:00" u="1"/>
        <s v="2017-08-07-01:00" u="1"/>
        <s v="2017-09-07-01:00" u="1"/>
        <s v="2017-09-27-00:00" u="1"/>
        <s v="2017-10-27-00:00" u="1"/>
        <s v="2017-11-07-01:00" u="1"/>
        <s v="2017-11-27-00:00" u="1"/>
        <s v="2017-12-07-01:00" u="1"/>
        <s v="2017-12-27-00:00" u="1"/>
        <s v="2016-02-09-10:00" u="1"/>
        <s v="2016-03-09-10:00" u="1"/>
        <s v="2016-05-09-10:00" u="1"/>
        <s v="2016-06-09-10:00" u="1"/>
        <s v="2016-08-09-10:00" u="1"/>
        <s v="2016-09-09-10:00" u="1"/>
        <s v="2018-01-17-00:00" u="1"/>
        <s v="2018-04-17-00:00" u="1"/>
        <s v="2018-05-17-00:00" u="1"/>
        <s v="2018-07-17-00:00" u="1"/>
        <s v="2017-12-15-00:00" u="1"/>
        <s v="2016-01-13-00:00" u="1"/>
        <s v="2016-04-13-00:00" u="1"/>
        <s v="2016-05-13-00:00" u="1"/>
        <s v="2016-06-13-00:00" u="1"/>
        <s v="2016-07-13-00:00" u="1"/>
        <s v="2016-09-13-00:00" u="1"/>
        <s v="2018-01-05-00:00" u="1"/>
        <s v="2018-02-05-00:00" u="1"/>
        <s v="2018-03-05-00:00" u="1"/>
        <s v="2018-04-05-00:00" u="1"/>
        <s v="2018-06-05-00:00" u="1"/>
        <s v="2018-07-05-00:00" u="1"/>
        <s v="2017-01-03-00:00" u="1"/>
        <s v="2017-02-03-00:00" u="1"/>
        <s v="2017-03-03-00:00" u="1"/>
        <s v="2017-04-03-00:00" u="1"/>
        <s v="2017-05-03-00:00" u="1"/>
        <s v="2017-07-03-00:00" u="1"/>
        <s v="2017-08-03-00:00" u="1"/>
        <s v="2017-10-03-00:00" u="1"/>
        <s v="2017-11-03-00:00" u="1"/>
        <s v="2016-11-01-00:00" u="1"/>
        <s v="2016-12-01-00:00" u="1"/>
        <s v="9999-99-99-99:257" u="1"/>
        <s v="9999-99-99-99:51" u="1"/>
        <s v="2017-01-18-01:00" u="1"/>
        <s v="2017-04-18-01:00" u="1"/>
        <s v="2017-05-18-01:00" u="1"/>
        <s v="2017-07-18-01:00" u="1"/>
        <s v="2017-08-18-01:00" u="1"/>
        <s v="2017-09-18-01:00" u="1"/>
        <s v="2017-12-18-01:00" u="1"/>
        <s v="2016-02-16-01:00" u="1"/>
        <s v="2016-03-16-01:00" u="1"/>
        <s v="2016-05-16-01:00" u="1"/>
        <s v="2016-06-16-01:00" u="1"/>
        <s v="2016-08-16-01:00" u="1"/>
        <s v="2016-09-16-01:00" u="1"/>
        <s v="2016-11-16-01:00" u="1"/>
        <s v="2016-12-16-01:00" u="1"/>
        <s v="2018-01-08-01:00" u="1"/>
        <s v="2018-02-08-01:00" u="1"/>
        <s v="2018-02-28-00:00" u="1"/>
        <s v="2018-03-08-01:00" u="1"/>
        <s v="2018-03-28-00:00" u="1"/>
        <s v="2018-05-08-01:00" u="1"/>
        <s v="2018-05-28-00:00" u="1"/>
        <s v="2018-06-08-01:00" u="1"/>
        <s v="2018-06-28-00:00" u="1"/>
        <s v="2018-08-08-01:00" u="1"/>
        <s v="2017-01-06-01:00" u="1"/>
        <s v="2017-01-26-00:00" u="1"/>
        <s v="2017-02-06-01:00" u="1"/>
        <s v="2017-03-06-01:00" u="1"/>
        <s v="2017-04-06-01:00" u="1"/>
        <s v="2017-04-26-00:00" u="1"/>
        <s v="2017-05-26-00:00" u="1"/>
        <s v="2017-06-06-01:00" u="1"/>
        <s v="2017-06-26-00:00" u="1"/>
        <s v="2017-07-06-01:00" u="1"/>
        <s v="2017-07-26-00:00" u="1"/>
        <s v="2017-09-06-01:00" u="1"/>
        <s v="2017-09-26-00:00" u="1"/>
        <s v="2017-10-06-01:00" u="1"/>
        <s v="2017-10-26-00:00" u="1"/>
        <s v="2017-11-06-01:00" u="1"/>
        <s v="2017-12-06-01:00" u="1"/>
        <s v="2016-01-08-10:00" u="1"/>
        <s v="2016-02-08-10:00" u="1"/>
        <s v="2016-03-08-10:00" u="1"/>
        <s v="2016-04-08-10:00" u="1"/>
        <s v="2016-06-08-10:00" u="1"/>
        <s v="2016-07-08-10:00" u="1"/>
        <s v="2016-08-08-10:00" u="1"/>
        <s v="2016-09-08-10:00" u="1"/>
        <s v="2016-11-08-10:00" u="1"/>
        <s v="2016-12-08-10:00" u="1"/>
        <s v="2018-01-16-00:00" u="1"/>
        <s v="2018-02-16-00:00" u="1"/>
        <s v="2018-03-16-00:00" u="1"/>
        <s v="2018-04-16-00:00" u="1"/>
        <s v="2018-05-16-00:00" u="1"/>
        <s v="2018-07-16-00:00" u="1"/>
        <s v="9999-99-99-99:61" u="1"/>
        <s v="2017-12-14-00:00" u="1"/>
        <s v="2016-01-12-00:00" u="1"/>
        <s v="2016-02-12-00:00" u="1"/>
        <s v="2016-04-12-00:00" u="1"/>
        <s v="2016-05-12-00:00" u="1"/>
        <s v="2016-07-12-00:00" u="1"/>
        <s v="2016-08-12-00:00" u="1"/>
        <s v="2016-09-12-00:00" u="1"/>
        <s v="2016-10-12-00:00" u="1"/>
        <s v="2016-12-12-00:00" u="1"/>
        <s v="2018-01-04-00:00" u="1"/>
        <s v="2018-04-04-00:00" u="1"/>
        <s v="2018-05-04-00:00" u="1"/>
        <s v="2018-06-04-00:00" u="1"/>
        <s v="2018-07-04-00:00" u="1"/>
        <s v="2017-02-02-00:00" u="1"/>
        <s v="2017-03-02-00:00" u="1"/>
        <s v="2017-05-02-00:00" u="1"/>
        <s v="2017-06-02-00:00" u="1"/>
        <s v="2017-08-02-00:00" u="1"/>
        <s v="2017-10-02-00:00" u="1"/>
        <s v="2017-11-02-00:00" u="1"/>
        <s v="2010-01-27-12:00" u="1"/>
        <s v="2010-04-27-12:00" u="1"/>
        <s v="2010-05-27-12:00" u="1"/>
        <s v="2010-07-27-12:00" u="1"/>
        <s v="2010-08-27-12:00" u="1"/>
        <s v="2010-09-27-12:00" u="1"/>
        <s v="2017-11-29-01:00" u="1"/>
        <s v="2017-12-29-01:00" u="1"/>
        <s v="2016-01-07-02:00" u="1"/>
        <s v="2016-01-27-01:00" u="1"/>
        <s v="2016-03-07-02:00" u="1"/>
        <s v="2016-04-07-02:00" u="1"/>
        <s v="2016-04-27-01:00" u="1"/>
        <s v="2016-05-27-01:00" u="1"/>
        <s v="2016-06-07-02:00" u="1"/>
        <s v="2016-06-27-01:00" u="1"/>
        <s v="2016-07-07-02:00" u="1"/>
        <s v="2016-07-27-01:00" u="1"/>
        <s v="2016-09-07-02:00" u="1"/>
        <s v="2016-09-27-01:00" u="1"/>
        <s v="2016-10-07-02:00" u="1"/>
        <s v="2016-10-27-01:00" u="1"/>
        <s v="2016-11-07-02:00" u="1"/>
        <s v="2016-12-07-02:00" u="1"/>
        <s v="2016-12-27-01:00" u="1"/>
        <s v="2018-01-19-01:00" u="1"/>
        <s v="2018-02-19-01:00" u="1"/>
        <s v="2018-03-19-01:00" u="1"/>
        <s v="2018-04-19-01:00" u="1"/>
        <s v="2018-06-19-01:00" u="1"/>
        <s v="2018-07-19-01:00" u="1"/>
        <s v="2017-01-17-01:00" u="1"/>
        <s v="2017-02-17-01:00" u="1"/>
        <s v="2017-03-17-01:00" u="1"/>
        <s v="2017-04-17-01:00" u="1"/>
        <s v="2017-05-17-01:00" u="1"/>
        <s v="2017-07-17-01:00" u="1"/>
        <s v="2017-08-17-01:00" u="1"/>
        <s v="2017-10-17-01:00" u="1"/>
        <s v="2017-11-17-01:00" u="1"/>
        <s v="2018-02-07-01:00" u="1"/>
        <s v="2018-02-27-00:00" u="1"/>
        <s v="2018-03-07-01:00" u="1"/>
        <s v="2018-03-27-00:00" u="1"/>
        <s v="2018-04-27-00:00" u="1"/>
        <s v="2018-05-07-01:00" u="1"/>
        <s v="2018-06-07-01:00" u="1"/>
        <s v="2018-06-27-00:00" u="1"/>
        <s v="2018-07-27-00:00" u="1"/>
        <s v="2017-01-09-10:00" u="1"/>
        <s v="2017-02-09-10:00" u="1"/>
        <s v="2017-03-09-10:00" u="1"/>
        <s v="2017-05-09-10:00" u="1"/>
        <s v="2017-06-09-10:00" u="1"/>
        <s v="2017-08-09-10:00" u="1"/>
        <s v="2017-12-05-01:00" u="1"/>
        <s v="9999-99-99-99:65" u="1"/>
        <s v="2016-01-07-10:00" u="1"/>
        <s v="2016-03-07-10:00" u="1"/>
        <s v="2016-04-07-10:00" u="1"/>
        <s v="2016-06-07-10:00" u="1"/>
        <s v="2016-07-07-10:00" u="1"/>
        <s v="2016-09-07-10:00" u="1"/>
        <s v="2016-10-07-10:00" u="1"/>
        <s v="2016-11-07-10:00" u="1"/>
        <s v="2016-12-07-10:00" u="1"/>
        <s v="2018-01-15-00:00" u="1"/>
        <s v="2018-02-15-00:00" u="1"/>
        <s v="2018-03-15-00:00" u="1"/>
        <s v="2018-05-15-00:00" u="1"/>
        <s v="2018-06-15-00:00" u="1"/>
        <s v="2015-10-21-00:00" u="1"/>
        <s v="2015-12-21-00:00" u="1"/>
        <s v="2017-01-13-00:00" u="1"/>
        <s v="2017-02-13-00:00" u="1"/>
        <s v="2017-03-13-00:00" u="1"/>
        <s v="2017-04-13-00:00" u="1"/>
        <s v="2017-06-13-00:00" u="1"/>
        <s v="2017-07-13-00:00" u="1"/>
        <s v="2017-09-13-00:00" u="1"/>
        <s v="2017-12-13-00:00" u="1"/>
        <s v="2016-01-11-00:00" u="1"/>
        <s v="2016-02-11-00:00" u="1"/>
        <s v="2016-03-11-00:00" u="1"/>
        <s v="2016-04-11-00:00" u="1"/>
        <s v="2016-05-11-00:00" u="1"/>
        <s v="2016-07-11-00:00" u="1"/>
        <s v="2016-08-11-00:00" u="1"/>
        <s v="2016-10-11-00:00" u="1"/>
        <s v="2016-11-11-00:00" u="1"/>
        <s v="2018-01-03-00:00" u="1"/>
        <s v="2018-04-03-00:00" u="1"/>
        <s v="2018-05-03-00:00" u="1"/>
        <s v="2018-07-03-00:00" u="1"/>
        <s v="2017-11-01-00:00" u="1"/>
        <s v="2017-12-01-00:00" u="1"/>
        <s v="2017-12-08-02:00" u="1"/>
        <s v="2017-12-28-01: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6-12-06-02:00" u="1"/>
        <s v="2018-01-18-01:00" u="1"/>
        <s v="2018-04-18-01:00" u="1"/>
        <s v="2018-05-18-01:00" u="1"/>
        <s v="2018-06-18-01:00" u="1"/>
        <s v="2018-07-18-01:00" u="1"/>
        <s v="2017-01-16-01:00" u="1"/>
        <s v="2017-02-16-01:00" u="1"/>
        <s v="2017-03-16-01:00" u="1"/>
        <s v="2017-05-16-01:00" u="1"/>
        <s v="2017-06-16-01:00" u="1"/>
        <s v="2017-08-16-01:00" u="1"/>
        <s v="2017-10-16-01:00" u="1"/>
        <s v="2017-11-16-01:00" u="1"/>
        <s v="2016-01-18-10:00" u="1"/>
        <s v="2016-02-18-10:00" u="1"/>
        <s v="2016-03-18-10:00" u="1"/>
        <s v="2016-04-18-10:00" u="1"/>
        <s v="2016-05-18-10:00" u="1"/>
        <s v="2016-07-18-10:00" u="1"/>
        <s v="2016-08-18-10:00" u="1"/>
        <s v="2016-10-18-10:00" u="1"/>
        <s v="2016-11-18-10:00" u="1"/>
        <s v="2018-01-26-00:00" u="1"/>
        <s v="2018-02-06-01:00" u="1"/>
        <s v="2018-02-26-00:00" u="1"/>
        <s v="2018-03-06-01:00" u="1"/>
        <s v="2018-03-26-00:00" u="1"/>
        <s v="2018-04-06-01:00" u="1"/>
        <s v="2018-04-26-00:00" u="1"/>
        <s v="2018-06-06-01:00" u="1"/>
        <s v="2018-06-26-00:00" u="1"/>
        <s v="2018-07-06-01:00" u="1"/>
        <s v="2018-07-26-00:00" u="1"/>
        <s v="2017-02-08-10:00" u="1"/>
        <s v="2017-03-08-10:00" u="1"/>
        <s v="2017-05-08-10:00" u="1"/>
        <s v="2017-06-08-10:00" u="1"/>
        <s v="2017-08-08-10:00" u="1"/>
        <s v="2017-09-08-10:00" u="1"/>
        <s v="2017-11-08-10:00" u="1"/>
        <s v="2017-12-04-01:00" u="1"/>
        <s v="2017-12-08-10:00" u="1"/>
        <s v="2016-01-22-00:00" u="1"/>
        <s v="2016-02-02-01:00" u="1"/>
        <s v="2016-02-22-00:00" u="1"/>
        <s v="2016-03-02-01:00" u="1"/>
        <s v="2016-03-22-00:00" u="1"/>
        <s v="2016-04-22-00:00" u="1"/>
        <s v="2016-05-02-01:00" u="1"/>
        <s v="2016-06-02-01:00" u="1"/>
        <s v="2016-06-22-00:00" u="1"/>
        <s v="2016-07-22-00:00" u="1"/>
        <s v="2016-08-02-01:00" u="1"/>
        <s v="2016-08-22-00:00" u="1"/>
        <s v="2016-09-02-01:00" u="1"/>
        <s v="2016-09-22-00:00" u="1"/>
        <s v="2016-11-02-01:00" u="1"/>
        <s v="2016-11-22-00:00" u="1"/>
        <s v="2016-12-02-01:00" u="1"/>
        <s v="2016-12-22-00:00" u="1"/>
        <s v="2018-02-14-00:00" u="1"/>
        <s v="2018-03-14-00:00" u="1"/>
        <s v="2018-05-14-00:00" u="1"/>
        <s v="2018-06-14-00:00" u="1"/>
        <s v="2017-01-12-00:00" u="1"/>
        <s v="2017-04-12-00:00" u="1"/>
        <s v="2017-05-12-00:00" u="1"/>
        <s v="2017-06-12-00:00" u="1"/>
        <s v="2017-07-12-00:00" u="1"/>
        <s v="2017-09-12-00:00" u="1"/>
        <s v="2017-10-12-00:00" u="1"/>
        <s v="2017-12-12-00:00" u="1"/>
        <s v="2018-02-02-00:00" u="1"/>
        <s v="2018-03-02-00:00" u="1"/>
        <s v="2018-04-02-00:00" u="1"/>
        <s v="2018-05-02-00:00" u="1"/>
        <s v="2018-07-02-00:00" u="1"/>
        <s v="9999-99-99-99:95" u="1"/>
        <s v="2011-01-27-12:00" u="1"/>
        <s v="2011-04-27-12:00" u="1"/>
        <s v="2011-05-27-12:00" u="1"/>
        <s v="2011-06-27-12:00" u="1"/>
        <s v="2011-07-27-12:00" u="1"/>
        <s v="2011-09-27-12:00" u="1"/>
        <s v="2017-12-19-02:00" u="1"/>
        <s v="2016-02-17-02:00" u="1"/>
        <s v="2016-03-17-02:00" u="1"/>
        <s v="2016-05-17-02:00" u="1"/>
        <s v="2016-06-17-02:00" u="1"/>
        <s v="2016-08-17-02:00" u="1"/>
        <s v="2018-01-09-02:00" u="1"/>
        <s v="2018-01-29-01:00" u="1"/>
        <s v="2018-02-09-02:00" u="1"/>
        <s v="2018-03-09-02:00" u="1"/>
        <s v="2018-03-29-01:00" u="1"/>
        <s v="2018-04-09-02:00" u="1"/>
        <s v="2018-05-09-02:00" u="1"/>
        <s v="2018-05-29-01:00" u="1"/>
        <s v="2018-06-29-01:00" u="1"/>
        <s v="2018-07-09-02:00" u="1"/>
        <s v="2017-01-27-01:00" u="1"/>
        <s v="2017-02-07-02:00" u="1"/>
        <s v="2017-02-27-01:00" u="1"/>
        <s v="2017-03-07-02:00" u="1"/>
        <s v="2017-03-27-01:00" u="1"/>
        <s v="2017-04-07-02:00" u="1"/>
        <s v="2017-04-27-01:00" u="1"/>
        <s v="2017-06-07-02:00" u="1"/>
        <s v="2017-06-27-01:00" u="1"/>
        <s v="2017-07-07-02:00" u="1"/>
        <s v="2017-07-27-01:00" u="1"/>
        <s v="2017-08-07-02:00" u="1"/>
        <s v="2017-09-07-02:00" u="1"/>
        <s v="2017-09-27-01:00" u="1"/>
        <s v="2017-10-27-01:00" u="1"/>
        <s v="2017-11-07-02:00" u="1"/>
        <s v="2017-11-27-01:00" u="1"/>
        <s v="2017-12-07-02:00" u="1"/>
        <s v="2017-12-27-01:00" u="1"/>
        <s v="2016-10-05-02:00" u="1"/>
        <s v="2016-10-25-01:00" u="1"/>
        <s v="2016-11-25-01:00" u="1"/>
        <s v="2016-12-05-02:00" u="1"/>
        <s v="2018-01-17-01:00" u="1"/>
        <s v="2018-04-17-01:00" u="1"/>
        <s v="2018-05-17-01:00" u="1"/>
        <s v="2018-07-17-01:00" u="1"/>
        <s v="2017-12-15-01:00" u="1"/>
        <s v="2017-12-19-10:00" u="1"/>
        <s v="2016-02-17-10:00" u="1"/>
        <s v="2016-03-17-10:00" u="1"/>
        <s v="2016-05-17-10:00" u="1"/>
        <s v="2016-06-17-10:00" u="1"/>
        <s v="2016-08-17-10:00" u="1"/>
        <s v="2016-10-17-10:00" u="1"/>
        <s v="2016-11-17-10:00" u="1"/>
        <s v="2018-01-05-01:00" u="1"/>
        <s v="2018-01-09-10:00" u="1"/>
        <s v="2018-01-25-00:00" u="1"/>
        <s v="2018-02-05-01:00" u="1"/>
        <s v="2018-02-09-10:00" u="1"/>
        <s v="2018-03-05-01:00" u="1"/>
        <s v="2018-03-09-10:00" u="1"/>
        <s v="2018-04-05-01:00" u="1"/>
        <s v="2018-04-09-10:00" u="1"/>
        <s v="2018-04-25-00:00" u="1"/>
        <s v="2018-05-09-10:00" u="1"/>
        <s v="2018-05-25-00:00" u="1"/>
        <s v="2018-06-05-01:00" u="1"/>
        <s v="2018-06-25-00:00" u="1"/>
        <s v="2018-07-05-01:00" u="1"/>
        <s v="2018-07-09-10:00" u="1"/>
        <s v="2018-07-25-00:00" u="1"/>
        <s v="2017-02-07-10:00" u="1"/>
        <s v="2017-03-07-10:00" u="1"/>
        <s v="2017-04-07-10:00" u="1"/>
        <s v="2017-06-07-10:00" u="1"/>
        <s v="2017-07-07-10:00" u="1"/>
        <s v="2017-08-07-10:00" u="1"/>
        <s v="2017-09-07-10:00" u="1"/>
        <s v="2017-11-07-10:00" u="1"/>
        <s v="2017-12-07-10:00" u="1"/>
        <s v="2016-01-21-00:00" u="1"/>
        <s v="2016-02-01-01:00" u="1"/>
        <s v="2016-03-01-01:00" u="1"/>
        <s v="2016-03-21-00:00" u="1"/>
        <s v="2016-04-01-01:00" u="1"/>
        <s v="2016-04-21-00:00" u="1"/>
        <s v="2016-06-01-01:00" u="1"/>
        <s v="2016-06-21-00:00" u="1"/>
        <s v="2016-07-01-01:00" u="1"/>
        <s v="2016-07-21-00:00" u="1"/>
        <s v="2016-08-01-01:00" u="1"/>
        <s v="2016-09-01-01:00" u="1"/>
        <s v="2016-09-21-00:00" u="1"/>
        <s v="2016-10-21-00:00" u="1"/>
        <s v="2016-11-01-01:00" u="1"/>
        <s v="2016-11-21-00:00" u="1"/>
        <s v="2016-12-01-01:00" u="1"/>
        <s v="2016-12-21-00:00" u="1"/>
        <s v="2018-02-13-00:00" u="1"/>
        <s v="2018-03-13-00:00" u="1"/>
        <s v="2018-04-13-00:00" u="1"/>
        <s v="2018-06-13-00:00" u="1"/>
        <s v="2018-07-13-00:00" u="1"/>
        <s v="2017-01-11-00:00" u="1"/>
        <s v="2017-04-11-00:00" u="1"/>
        <s v="2017-05-11-00:00" u="1"/>
        <s v="2017-07-11-00:00" u="1"/>
        <s v="2017-08-11-00:00" u="1"/>
        <s v="2017-09-11-00:00" u="1"/>
        <s v="2017-10-11-00:00" u="1"/>
        <s v="2017-12-11-00:00" u="1"/>
        <s v="2018-02-01-00:00" u="1"/>
        <s v="2018-03-01-00:00" u="1"/>
        <s v="2018-05-01-00:00" u="1"/>
        <s v="2018-06-01-00:00" u="1"/>
        <s v="2012-06-04-04:00" u="1"/>
        <s v="2012-07-04-04:00" u="1"/>
        <s v="2012-09-04-04:00" u="1"/>
        <s v="2017-12-18-02:00" u="1"/>
        <s v="2016-02-16-02:00" u="1"/>
        <s v="2016-03-16-02:00" u="1"/>
        <s v="2016-05-16-02:00" u="1"/>
        <s v="2016-06-16-02:00" u="1"/>
        <s v="2016-08-16-02:00" u="1"/>
        <s v="2016-09-16-02:00" u="1"/>
        <s v="2016-11-16-02:00" u="1"/>
        <s v="2016-12-16-02:00" u="1"/>
        <s v="2018-01-08-02:00" u="1"/>
        <s v="2018-02-08-02:00" u="1"/>
        <s v="2018-02-28-01:00" u="1"/>
        <s v="2018-03-08-02:00" u="1"/>
        <s v="2018-03-28-01:00" u="1"/>
        <s v="2018-05-08-02:00" u="1"/>
        <s v="2018-05-28-01:00" u="1"/>
        <s v="2018-06-08-02:00" u="1"/>
        <s v="2018-06-28-01:00" u="1"/>
        <s v="2018-08-08-02:00" u="1"/>
        <s v="2017-01-06-02:00" u="1"/>
        <s v="2017-01-26-01:00" u="1"/>
        <s v="2017-02-06-02:00" u="1"/>
        <s v="2017-03-06-02:00" u="1"/>
        <s v="2017-04-06-02:00" u="1"/>
        <s v="2017-04-26-01:00" u="1"/>
        <s v="2017-05-26-01:00" u="1"/>
        <s v="2017-06-06-02:00" u="1"/>
        <s v="2017-06-26-01:00" u="1"/>
        <s v="2017-07-06-02:00" u="1"/>
        <s v="2017-07-26-01:00" u="1"/>
        <s v="2017-09-06-02:00" u="1"/>
        <s v="2017-09-26-01:00" u="1"/>
        <s v="2017-10-06-02:00" u="1"/>
        <s v="2017-10-26-01:00" u="1"/>
        <s v="2017-11-06-02:00" u="1"/>
        <s v="2017-12-06-02:00" u="1"/>
        <s v="2016-01-08-11:00" u="1"/>
        <s v="2016-01-28-10:00" u="1"/>
        <s v="2016-02-08-11:00" u="1"/>
        <s v="2016-03-08-11:00" u="1"/>
        <s v="2016-03-28-10:00" u="1"/>
        <s v="2016-04-08-11:00" u="1"/>
        <s v="2016-04-28-10:00" u="1"/>
        <s v="2016-06-08-11:00" u="1"/>
        <s v="2016-06-28-10:00" u="1"/>
        <s v="2016-07-08-11:00" u="1"/>
        <s v="2016-07-28-10:00" u="1"/>
        <s v="2016-08-08-11:00" u="1"/>
        <s v="2016-09-08-11:00" u="1"/>
        <s v="2016-09-28-10:00" u="1"/>
        <s v="2018-01-16-01:00" u="1"/>
        <s v="2018-02-16-01:00" u="1"/>
        <s v="2018-03-16-01:00" u="1"/>
        <s v="2018-04-16-01:00" u="1"/>
        <s v="2018-05-16-01:00" u="1"/>
        <s v="2018-07-16-01:00" u="1"/>
        <s v="2017-01-18-10:00" u="1"/>
        <s v="2017-04-18-10:00" u="1"/>
        <s v="2017-05-18-10:00" u="1"/>
        <s v="2017-07-18-10:00" u="1"/>
        <s v="2017-08-18-10:00" u="1"/>
        <s v="2017-09-18-10:00" u="1"/>
        <s v="2017-10-18-10:00" u="1"/>
        <s v="2017-12-14-01:00" u="1"/>
        <s v="2017-12-18-10:00" u="1"/>
        <s v="2016-01-12-01:00" u="1"/>
        <s v="2016-02-12-01:00" u="1"/>
        <s v="2016-04-12-01:00" u="1"/>
        <s v="2016-05-12-01:00" u="1"/>
        <s v="2016-07-12-01:00" u="1"/>
        <s v="2016-08-12-01:00" u="1"/>
        <s v="2016-09-12-01:00" u="1"/>
        <s v="2016-10-12-01:00" u="1"/>
        <s v="2016-11-16-10:00" u="1"/>
        <s v="2016-12-12-01:00" u="1"/>
        <s v="2016-12-16-10:00" u="1"/>
        <s v="2018-01-04-01:00" u="1"/>
        <s v="2018-01-08-10:00" u="1"/>
        <s v="2018-01-24-00:00" u="1"/>
        <s v="2018-02-08-10:00" u="1"/>
        <s v="2018-03-08-10:00" u="1"/>
        <s v="2018-04-04-01:00" u="1"/>
        <s v="2018-04-24-00:00" u="1"/>
        <s v="2018-05-04-01:00" u="1"/>
        <s v="2018-05-08-10:00" u="1"/>
        <s v="2018-05-24-00:00" u="1"/>
        <s v="2018-06-04-01:00" u="1"/>
        <s v="2018-06-08-10:00" u="1"/>
        <s v="2018-07-04-01:00" u="1"/>
        <s v="2018-07-24-00:00" u="1"/>
        <s v="2018-08-08-10:00" u="1"/>
        <s v="2017-02-02-01:00" u="1"/>
        <s v="2017-02-22-00:00" u="1"/>
        <s v="2017-03-02-01:00" u="1"/>
        <s v="2017-03-22-00:00" u="1"/>
        <s v="2017-05-02-01:00" u="1"/>
        <s v="2017-05-22-00:00" u="1"/>
        <s v="2017-06-02-01:00" u="1"/>
        <s v="2017-06-22-00:00" u="1"/>
        <s v="2017-08-02-01:00" u="1"/>
        <s v="2017-08-22-00:00" u="1"/>
        <s v="2017-09-22-00:00" u="1"/>
        <s v="2017-10-02-01:00" u="1"/>
        <s v="2017-11-02-01:00" u="1"/>
        <s v="2017-11-22-00:00" u="1"/>
        <s v="2017-12-06-10:00" u="1"/>
        <s v="2017-12-22-00:00" u="1"/>
        <s v="2016-10-20-00:00" u="1"/>
        <s v="2016-12-20-00:00" u="1"/>
        <s v="2018-01-12-00:00" u="1"/>
        <s v="2018-02-12-00:00" u="1"/>
        <s v="2018-03-12-00:00" u="1"/>
        <s v="2018-04-12-00:00" u="1"/>
        <s v="2018-06-12-00:00" u="1"/>
        <s v="2018-07-12-00:00" u="1"/>
        <s v="2017-11-29-02:00" u="1"/>
        <s v="2017-12-29-02:00" u="1"/>
        <s v="2016-01-07-03:00" u="1"/>
        <s v="2016-01-27-02:00" u="1"/>
        <s v="2016-03-07-03:00" u="1"/>
        <s v="2016-04-07-03:00" u="1"/>
        <s v="2016-04-27-02:00" u="1"/>
        <s v="2016-05-27-02:00" u="1"/>
        <s v="2016-06-07-03:00" u="1"/>
        <s v="2016-06-27-02:00" u="1"/>
        <s v="2016-07-07-03:00" u="1"/>
        <s v="2016-07-27-02:00" u="1"/>
        <s v="2016-09-07-03:00" u="1"/>
        <s v="2016-09-27-02:00" u="1"/>
        <s v="2018-01-19-02:00" u="1"/>
        <s v="2018-02-19-02:00" u="1"/>
        <s v="2018-03-19-02:00" u="1"/>
        <s v="2018-04-19-02:00" u="1"/>
        <s v="2018-06-19-02:00" u="1"/>
        <s v="2018-07-19-02:00" u="1"/>
        <s v="2017-01-17-02:00" u="1"/>
        <s v="2017-02-17-02:00" u="1"/>
        <s v="2017-03-17-02:00" u="1"/>
        <s v="2017-04-17-02:00" u="1"/>
        <s v="2017-05-17-02:00" u="1"/>
        <s v="2017-07-17-02:00" u="1"/>
        <s v="2017-08-17-02:00" u="1"/>
        <s v="2016-01-15-02:00" u="1"/>
        <s v="2016-02-15-02:00" u="1"/>
        <s v="2016-03-15-02:00" u="1"/>
        <s v="2016-04-15-02:00" u="1"/>
        <s v="2016-06-15-02:00" u="1"/>
        <s v="2016-07-15-02:00" u="1"/>
        <s v="2016-08-15-02:00" u="1"/>
        <s v="2016-09-15-02:00" u="1"/>
        <s v="2016-11-15-02:00" u="1"/>
        <s v="2016-12-15-02:00" u="1"/>
        <s v="2018-02-07-02:00" u="1"/>
        <s v="2018-02-27-01:00" u="1"/>
        <s v="2018-03-07-02:00" u="1"/>
        <s v="2018-03-27-01:00" u="1"/>
        <s v="2018-04-27-01:00" u="1"/>
        <s v="2018-05-07-02:00" u="1"/>
        <s v="2018-06-07-02:00" u="1"/>
        <s v="2018-06-27-01:00" u="1"/>
        <s v="2018-07-27-01:00" u="1"/>
        <s v="2017-10-05-02:00" u="1"/>
        <s v="2017-10-25-01:00" u="1"/>
        <s v="2017-11-29-10:00" u="1"/>
        <s v="2017-12-05-02:00" u="1"/>
        <s v="2017-12-29-10:00" u="1"/>
        <s v="2016-01-07-11:00" u="1"/>
        <s v="2016-01-27-10:00" u="1"/>
        <s v="2016-03-07-11:00" u="1"/>
        <s v="2016-04-07-11:00" u="1"/>
        <s v="2016-04-27-10:00" u="1"/>
        <s v="2016-05-27-10:00" u="1"/>
        <s v="2016-06-07-11:00" u="1"/>
        <s v="2016-06-27-10:00" u="1"/>
        <s v="2016-07-07-11:00" u="1"/>
        <s v="2016-07-27-10:00" u="1"/>
        <s v="2016-09-07-11:00" u="1"/>
        <s v="2016-09-27-10:00" u="1"/>
        <s v="2016-10-07-11:00" u="1"/>
        <s v="2016-10-27-10:00" u="1"/>
        <s v="2016-11-07-11:00" u="1"/>
        <s v="2016-12-07-11:00" u="1"/>
        <s v="2016-12-27-10:00" u="1"/>
        <s v="2018-01-15-01:00" u="1"/>
        <s v="2018-01-19-10:00" u="1"/>
        <s v="2018-02-15-01:00" u="1"/>
        <s v="2018-02-19-10:00" u="1"/>
        <s v="2018-03-15-01:00" u="1"/>
        <s v="2018-03-19-10:00" u="1"/>
        <s v="2018-04-19-10:00" u="1"/>
        <s v="2018-05-15-01:00" u="1"/>
        <s v="2018-06-15-01:00" u="1"/>
        <s v="2018-06-19-10:00" u="1"/>
        <s v="2018-07-19-10:00" u="1"/>
        <s v="2017-01-17-10:00" u="1"/>
        <s v="2017-02-17-10:00" u="1"/>
        <s v="2017-03-17-10:00" u="1"/>
        <s v="2017-04-17-10:00" u="1"/>
        <s v="2017-05-17-10:00" u="1"/>
        <s v="2017-07-17-10:00" u="1"/>
        <s v="2017-08-17-10:00" u="1"/>
        <s v="2017-10-17-10:00" u="1"/>
        <s v="2017-11-17-10:00" u="1"/>
        <s v="2017-12-13-01:00" u="1"/>
        <s v="2016-01-11-01:00" u="1"/>
        <s v="2016-02-11-01:00" u="1"/>
        <s v="2016-03-11-01:00" u="1"/>
        <s v="2016-03-31-00:00" u="1"/>
        <s v="2016-04-11-01:00" u="1"/>
        <s v="2016-05-11-01:00" u="1"/>
        <s v="2016-05-31-00:00" u="1"/>
        <s v="2016-07-11-01:00" u="1"/>
        <s v="2016-08-11-01:00" u="1"/>
        <s v="2016-08-31-00:00" u="1"/>
        <s v="2016-10-11-01:00" u="1"/>
        <s v="2016-10-31-00:00" u="1"/>
        <s v="2016-11-11-01:00" u="1"/>
        <s v="2018-01-03-01:00" u="1"/>
        <s v="2018-01-23-00:00" u="1"/>
        <s v="2018-02-07-10:00" u="1"/>
        <s v="2018-02-23-00:00" u="1"/>
        <s v="2018-03-07-10:00" u="1"/>
        <s v="2018-03-23-00:00" u="1"/>
        <s v="2018-04-03-01:00" u="1"/>
        <s v="2018-04-23-00:00" u="1"/>
        <s v="2018-05-03-01:00" u="1"/>
        <s v="2018-05-07-10:00" u="1"/>
        <s v="2018-05-23-00:00" u="1"/>
        <s v="2018-06-07-10:00" u="1"/>
        <s v="2018-07-03-01:00" u="1"/>
        <s v="2018-07-23-00:00" u="1"/>
        <s v="2017-02-01-01:00" u="1"/>
        <s v="2017-02-21-00:00" u="1"/>
        <s v="2017-03-01-01:00" u="1"/>
        <s v="2017-03-21-00:00" u="1"/>
        <s v="2017-04-21-00:00" u="1"/>
        <s v="2017-05-01-01:00" u="1"/>
        <s v="2017-06-01-01:00" u="1"/>
        <s v="2017-06-21-00:00" u="1"/>
        <s v="2017-07-21-00:00" u="1"/>
        <s v="2017-08-01-01:00" u="1"/>
        <s v="2017-08-21-00:00" u="1"/>
        <s v="2017-09-01-01:00" u="1"/>
        <s v="2017-09-21-00:00" u="1"/>
        <s v="2017-11-01-01:00" u="1"/>
        <s v="2017-11-21-00:00" u="1"/>
        <s v="2017-12-01-01:00" u="1"/>
        <s v="2017-12-05-10:00" u="1"/>
        <s v="2017-12-21-00:00" u="1"/>
        <s v="2016-02-03-10:00" u="1"/>
        <s v="2016-03-03-10:00" u="1"/>
        <s v="2016-05-03-10:00" u="1"/>
        <s v="2016-06-03-10:00" u="1"/>
        <s v="2016-08-03-10:00" u="1"/>
        <s v="2016-10-03-10:00" u="1"/>
        <s v="2016-11-03-10:00" u="1"/>
        <s v="2018-01-11-00:00" u="1"/>
        <s v="2018-04-11-00:00" u="1"/>
        <s v="2018-05-11-00:00" u="1"/>
        <s v="2018-06-11-00:00" u="1"/>
        <s v="2018-07-11-00:00" u="1"/>
        <s v="2013-01-04-04:00" u="1"/>
        <s v="2013-02-04-04:00" u="1"/>
        <s v="2013-03-04-04:00" u="1"/>
        <s v="2013-04-04-04:00" u="1"/>
        <s v="2013-06-04-04:00" u="1"/>
        <s v="2013-07-04-04:00" u="1"/>
        <s v="2013-09-04-04:00" u="1"/>
        <s v="2017-12-08-03:00" u="1"/>
        <s v="2017-12-28-02:00" u="1"/>
        <s v="2016-01-06-03:00" u="1"/>
        <s v="2016-01-26-02:00" u="1"/>
        <s v="2016-02-26-02:00" u="1"/>
        <s v="2016-04-06-03:00" u="1"/>
        <s v="2016-04-26-02:00" u="1"/>
        <s v="2016-05-06-03:00" u="1"/>
        <s v="2016-05-26-02:00" u="1"/>
        <s v="2016-06-06-03:00" u="1"/>
        <s v="2016-07-06-03:00" u="1"/>
        <s v="2016-07-26-02:00" u="1"/>
        <s v="2016-08-26-02:00" u="1"/>
        <s v="2016-09-06-03:00" u="1"/>
        <s v="2016-09-26-02:00" u="1"/>
        <s v="2016-10-06-03:00" u="1"/>
        <s v="2016-10-26-02:00" u="1"/>
        <s v="2016-12-06-03:00" u="1"/>
        <s v="2018-01-18-02:00" u="1"/>
        <s v="2018-04-18-02:00" u="1"/>
        <s v="2018-05-18-02:00" u="1"/>
        <s v="2018-06-18-02:00" u="1"/>
        <s v="2018-07-18-02:00" u="1"/>
        <s v="2017-01-16-02:00" u="1"/>
        <s v="2017-02-16-02:00" u="1"/>
        <s v="2017-03-16-02:00" u="1"/>
        <s v="2017-05-16-02:00" u="1"/>
        <s v="2017-06-16-02:00" u="1"/>
        <s v="2017-08-16-02:00" u="1"/>
        <s v="2017-10-16-02:00" u="1"/>
        <s v="2017-11-16-02:00" u="1"/>
        <s v="2016-01-18-11:00" u="1"/>
        <s v="2016-02-18-11:00" u="1"/>
        <s v="2016-03-18-11:00" u="1"/>
        <s v="2016-04-18-11:00" u="1"/>
        <s v="2016-05-18-11:00" u="1"/>
        <s v="2016-07-18-11:00" u="1"/>
        <s v="2016-08-18-11:00" u="1"/>
        <s v="2018-01-26-01:00" u="1"/>
        <s v="2018-02-06-02:00" u="1"/>
        <s v="2018-02-26-01:00" u="1"/>
        <s v="2018-03-06-02:00" u="1"/>
        <s v="2018-03-26-01:00" u="1"/>
        <s v="2018-04-06-02:00" u="1"/>
        <s v="2018-04-26-01:00" u="1"/>
        <s v="2018-06-06-02:00" u="1"/>
        <s v="2018-06-26-01:00" u="1"/>
        <s v="2018-07-06-02:00" u="1"/>
        <s v="2018-07-26-01:00" u="1"/>
        <s v="2017-02-08-11:00" u="1"/>
        <s v="2017-02-28-10:00" u="1"/>
        <s v="2017-03-08-11:00" u="1"/>
        <s v="2017-03-28-10:00" u="1"/>
        <s v="2017-04-28-10:00" u="1"/>
        <s v="2017-05-08-11:00" u="1"/>
        <s v="2017-06-08-11:00" u="1"/>
        <s v="2017-06-28-10:00" u="1"/>
        <s v="2017-07-28-10:00" u="1"/>
        <s v="2017-08-08-11:00" u="1"/>
        <s v="2017-08-28-10:00" u="1"/>
        <s v="2017-09-08-11:00" u="1"/>
        <s v="2017-09-28-10:00" u="1"/>
        <s v="2017-12-04-02:00" u="1"/>
        <s v="2017-12-08-11:00" u="1"/>
        <s v="2017-12-28-10:00" u="1"/>
        <s v="2016-01-06-11:00" u="1"/>
        <s v="2016-01-22-01:00" u="1"/>
        <s v="2016-01-26-10:00" u="1"/>
        <s v="2016-02-02-02:00" u="1"/>
        <s v="2016-02-22-01:00" u="1"/>
        <s v="2016-02-26-10:00" u="1"/>
        <s v="2016-03-02-02:00" u="1"/>
        <s v="2016-03-22-01:00" u="1"/>
        <s v="2016-04-06-11:00" u="1"/>
        <s v="2016-04-22-01:00" u="1"/>
        <s v="2016-04-26-10:00" u="1"/>
        <s v="2016-05-02-02:00" u="1"/>
        <s v="2016-05-06-11:00" u="1"/>
        <s v="2016-05-26-10:00" u="1"/>
        <s v="2016-06-02-02:00" u="1"/>
        <s v="2016-06-06-11:00" u="1"/>
        <s v="2016-06-22-01:00" u="1"/>
        <s v="2016-07-06-11:00" u="1"/>
        <s v="2016-07-22-01:00" u="1"/>
        <s v="2016-07-26-10:00" u="1"/>
        <s v="2016-08-02-02:00" u="1"/>
        <s v="2016-08-22-01:00" u="1"/>
        <s v="2016-08-26-10:00" u="1"/>
        <s v="2016-09-02-02:00" u="1"/>
        <s v="2016-09-06-11:00" u="1"/>
        <s v="2016-09-22-01:00" u="1"/>
        <s v="2016-09-26-10:00" u="1"/>
        <s v="2016-10-06-11:00" u="1"/>
        <s v="2016-10-26-10:00" u="1"/>
        <s v="2016-12-06-11:00" u="1"/>
        <s v="2016-12-26-10:00" u="1"/>
        <s v="2018-01-18-10:00" u="1"/>
        <s v="2018-02-14-01:00" u="1"/>
        <s v="2018-03-14-01:00" u="1"/>
        <s v="2018-04-18-10:00" u="1"/>
        <s v="2018-05-14-01:00" u="1"/>
        <s v="2018-05-18-10:00" u="1"/>
        <s v="2018-06-14-01:00" u="1"/>
        <s v="2018-06-18-10:00" u="1"/>
        <s v="2018-07-18-10:00" u="1"/>
        <s v="2017-01-12-01:00" u="1"/>
        <s v="2017-04-12-01:00" u="1"/>
        <s v="2017-05-12-01:00" u="1"/>
        <s v="2017-06-12-01:00" u="1"/>
        <s v="2017-07-12-01:00" u="1"/>
        <s v="2017-09-12-01:00" u="1"/>
        <s v="2017-10-12-01:00" u="1"/>
        <s v="2017-10-16-10:00" u="1"/>
        <s v="2017-11-16-10:00" u="1"/>
        <s v="2017-12-12-01:00" u="1"/>
        <s v="2016-10-10-01:00" u="1"/>
        <s v="2016-11-10-01:00" u="1"/>
        <s v="2016-11-30-00:00" u="1"/>
        <s v="2016-12-30-00:00" u="1"/>
        <s v="2018-01-22-00:00" u="1"/>
        <s v="2018-02-02-01:00" u="1"/>
        <s v="2018-02-06-10:00" u="1"/>
        <s v="2018-02-22-00:00" u="1"/>
        <s v="2018-03-02-01:00" u="1"/>
        <s v="2018-03-06-10:00" u="1"/>
        <s v="2018-03-22-00:00" u="1"/>
        <s v="2018-04-02-01:00" u="1"/>
        <s v="2018-04-06-10:00" u="1"/>
        <s v="2018-05-02-01:00" u="1"/>
        <s v="2018-05-22-00:00" u="1"/>
        <s v="2018-06-06-10:00" u="1"/>
        <s v="2018-06-22-00:00" u="1"/>
        <s v="2018-07-02-01:00" u="1"/>
        <s v="2018-07-06-10:00" u="1"/>
        <s v="2017-10-20-00:00" u="1"/>
        <s v="2017-11-20-00:00" u="1"/>
        <s v="2017-12-04-10:00" u="1"/>
        <s v="2017-12-20-00:00" u="1"/>
        <s v="2016-02-02-10:00" u="1"/>
        <s v="2016-03-02-10:00" u="1"/>
        <s v="2016-05-02-10:00" u="1"/>
        <s v="2016-06-02-10:00" u="1"/>
        <s v="2016-08-02-10:00" u="1"/>
        <s v="2016-09-02-10:00" u="1"/>
        <s v="2016-11-02-10:00" u="1"/>
        <s v="2016-12-02-10:00" u="1"/>
        <s v="2018-01-10-00:00" u="1"/>
        <s v="2018-04-10-00:00" u="1"/>
        <s v="2018-05-10-00:00" u="1"/>
        <s v="2018-07-10-00:00" u="1"/>
        <s v="2016-11-09-04:00" u="1"/>
        <s v="2016-11-29-03:00" u="1"/>
        <s v="2016-12-09-04:00" u="1"/>
        <s v="2016-12-29-03:00" u="1"/>
        <s v="2017-12-19-03:00" u="1"/>
        <s v="2018-01-09-03:00" u="1"/>
        <s v="2018-01-29-02:00" u="1"/>
        <s v="2018-02-09-03:00" u="1"/>
        <s v="2018-03-09-03:00" u="1"/>
        <s v="2018-03-29-02:00" u="1"/>
        <s v="2018-04-09-03:00" u="1"/>
        <s v="2018-05-09-03:00" u="1"/>
        <s v="2018-05-29-02:00" u="1"/>
        <s v="2018-06-29-02:00" u="1"/>
        <s v="2018-07-09-03:00" u="1"/>
        <s v="2017-01-27-02:00" u="1"/>
        <s v="2017-02-07-03:00" u="1"/>
        <s v="2017-02-27-02:00" u="1"/>
        <s v="2017-03-07-03:00" u="1"/>
        <s v="2017-03-27-02:00" u="1"/>
        <s v="2017-04-07-03:00" u="1"/>
        <s v="2017-04-27-02:00" u="1"/>
        <s v="2017-06-07-03:00" u="1"/>
        <s v="2017-06-27-02:00" u="1"/>
        <s v="2017-07-07-03:00" u="1"/>
        <s v="2017-07-27-02:00" u="1"/>
        <s v="2017-08-07-03:00" u="1"/>
        <s v="2017-09-07-03:00" u="1"/>
        <s v="2017-09-27-02:00" u="1"/>
        <s v="2017-12-07-03:00" u="1"/>
        <s v="2017-12-27-02: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6-11-25-02:00" u="1"/>
        <s v="2016-12-05-03:00" u="1"/>
        <s v="2018-01-17-02:00" u="1"/>
        <s v="2018-04-17-02:00" u="1"/>
        <s v="2018-05-17-02:00" u="1"/>
        <s v="2018-07-17-02:00" u="1"/>
        <s v="2017-02-15-02:00" u="1"/>
        <s v="2017-03-15-02:00" u="1"/>
        <s v="2017-05-15-02:00" u="1"/>
        <s v="2017-06-15-02:00" u="1"/>
        <s v="2017-08-15-02:00" u="1"/>
        <s v="2017-09-15-02:00" u="1"/>
        <s v="2017-11-15-02:00" u="1"/>
        <s v="2017-12-15-02:00" u="1"/>
        <s v="2017-12-19-11:00" u="1"/>
        <s v="2016-02-17-11:00" u="1"/>
        <s v="2016-03-17-11:00" u="1"/>
        <s v="2016-05-17-11:00" u="1"/>
        <s v="2016-06-17-11:00" u="1"/>
        <s v="2016-08-17-11:00" u="1"/>
        <s v="2016-10-17-11:00" u="1"/>
        <s v="2016-11-17-11:00" u="1"/>
        <s v="2018-01-05-02:00" u="1"/>
        <s v="2018-01-09-11:00" u="1"/>
        <s v="2018-01-25-01:00" u="1"/>
        <s v="2018-01-29-10:00" u="1"/>
        <s v="2018-02-05-02:00" u="1"/>
        <s v="2018-02-09-11:00" u="1"/>
        <s v="2018-03-05-02:00" u="1"/>
        <s v="2018-03-09-11:00" u="1"/>
        <s v="2018-03-29-10:00" u="1"/>
        <s v="2018-04-05-02:00" u="1"/>
        <s v="2018-04-09-11:00" u="1"/>
        <s v="2018-04-25-01:00" u="1"/>
        <s v="2018-05-09-11:00" u="1"/>
        <s v="2018-05-25-01:00" u="1"/>
        <s v="2018-05-29-10:00" u="1"/>
        <s v="2018-06-05-02:00" u="1"/>
        <s v="2018-06-25-01:00" u="1"/>
        <s v="2018-06-29-10:00" u="1"/>
        <s v="2018-07-05-02:00" u="1"/>
        <s v="2018-07-09-11:00" u="1"/>
        <s v="2018-07-25-01:00" u="1"/>
        <s v="2017-01-27-10:00" u="1"/>
        <s v="2017-02-07-11:00" u="1"/>
        <s v="2017-02-27-10:00" u="1"/>
        <s v="2017-03-07-11:00" u="1"/>
        <s v="2017-03-27-10:00" u="1"/>
        <s v="2017-04-07-11:00" u="1"/>
        <s v="2017-04-27-10:00" u="1"/>
        <s v="2017-06-07-11:00" u="1"/>
        <s v="2017-06-27-10:00" u="1"/>
        <s v="2017-07-07-11:00" u="1"/>
        <s v="2017-07-27-10:00" u="1"/>
        <s v="2017-08-07-11:00" u="1"/>
        <s v="2017-09-07-11:00" u="1"/>
        <s v="2017-09-27-10:00" u="1"/>
        <s v="2017-10-27-10:00" u="1"/>
        <s v="2017-11-07-11:00" u="1"/>
        <s v="2017-11-27-10:00" u="1"/>
        <s v="2017-12-07-11:00" u="1"/>
        <s v="2017-12-27-10:00" u="1"/>
        <s v="2016-01-21-01:00" u="1"/>
        <s v="2016-02-01-02:00" u="1"/>
        <s v="2016-02-09-20:00" u="1"/>
        <s v="2016-03-01-02:00" u="1"/>
        <s v="2016-03-09-20:00" u="1"/>
        <s v="2016-03-21-01:00" u="1"/>
        <s v="2016-04-01-02:00" u="1"/>
        <s v="2016-04-21-01:00" u="1"/>
        <s v="2016-05-09-20:00" u="1"/>
        <s v="2016-06-01-02:00" u="1"/>
        <s v="2016-06-09-20:00" u="1"/>
        <s v="2016-06-21-01:00" u="1"/>
        <s v="2016-07-01-02:00" u="1"/>
        <s v="2016-07-21-01:00" u="1"/>
        <s v="2016-08-01-02:00" u="1"/>
        <s v="2016-08-09-20:00" u="1"/>
        <s v="2016-09-01-02:00" u="1"/>
        <s v="2016-09-09-20:00" u="1"/>
        <s v="2016-09-21-01:00" u="1"/>
        <s v="2016-10-21-01:00" u="1"/>
        <s v="2016-11-01-02:00" u="1"/>
        <s v="2016-11-21-01:00" u="1"/>
        <s v="2016-12-01-02:00" u="1"/>
        <s v="2016-12-21-01:00" u="1"/>
        <s v="2018-01-17-10:00" u="1"/>
        <s v="2018-02-13-01:00" u="1"/>
        <s v="2018-03-13-01:00" u="1"/>
        <s v="2018-04-13-01:00" u="1"/>
        <s v="2018-04-17-10:00" u="1"/>
        <s v="2018-05-17-10:00" u="1"/>
        <s v="2018-06-13-01:00" u="1"/>
        <s v="2018-07-13-01:00" u="1"/>
        <s v="2018-07-17-10:00" u="1"/>
        <s v="9999-99-99-99:258" u="1"/>
        <s v="2017-01-11-01:00" u="1"/>
        <s v="2017-01-31-00:00" u="1"/>
        <s v="2017-03-31-00:00" u="1"/>
        <s v="2017-04-11-01:00" u="1"/>
        <s v="2017-05-11-01:00" u="1"/>
        <s v="2017-05-31-00:00" u="1"/>
        <s v="2017-07-11-01:00" u="1"/>
        <s v="2017-07-31-00:00" u="1"/>
        <s v="2017-08-11-01:00" u="1"/>
        <s v="2017-08-31-00:00" u="1"/>
        <s v="2017-09-11-01:00" u="1"/>
        <s v="2017-10-11-01:00" u="1"/>
        <s v="2017-10-31-00:00" u="1"/>
        <s v="2017-12-11-01:00" u="1"/>
        <s v="2017-12-15-10:00" u="1"/>
        <s v="2016-01-13-10:00" u="1"/>
        <s v="2016-04-13-10:00" u="1"/>
        <s v="2016-05-13-10:00" u="1"/>
        <s v="2016-06-13-10:00" u="1"/>
        <s v="2016-07-13-10:00" u="1"/>
        <s v="2016-09-13-10:00" u="1"/>
        <s v="2018-01-05-10:00" u="1"/>
        <s v="2018-02-01-01:00" u="1"/>
        <s v="2018-02-05-10:00" u="1"/>
        <s v="2018-02-21-00:00" u="1"/>
        <s v="2018-03-01-01:00" u="1"/>
        <s v="2018-03-05-10:00" u="1"/>
        <s v="2018-03-21-00:00" u="1"/>
        <s v="2018-04-05-10:00" u="1"/>
        <s v="2018-05-01-01:00" u="1"/>
        <s v="2018-05-21-00:00" u="1"/>
        <s v="2018-06-01-01:00" u="1"/>
        <s v="2018-06-05-10:00" u="1"/>
        <s v="2018-06-21-00:00" u="1"/>
        <s v="2018-07-05-10:00" u="1"/>
        <s v="2017-01-03-10:00" u="1"/>
        <s v="2017-02-03-10:00" u="1"/>
        <s v="2017-03-03-10:00" u="1"/>
        <s v="2017-04-03-10:00" u="1"/>
        <s v="2017-05-03-10:00" u="1"/>
        <s v="2017-07-03-10:00" u="1"/>
        <s v="2017-08-03-10:00" u="1"/>
        <s v="2017-10-03-10:00" u="1"/>
        <s v="2017-11-03-10:00" u="1"/>
        <s v="2016-11-01-10:00" u="1"/>
        <s v="2016-12-01-10:00" u="1"/>
        <s v="2017-12-18-03:00" u="1"/>
        <s v="2014-02-04-04:00" u="1"/>
        <s v="2014-03-04-04:00" u="1"/>
        <s v="2014-04-04-04:00" u="1"/>
        <s v="2016-02-16-03:00" u="1"/>
        <s v="2016-03-16-03:00" u="1"/>
        <s v="2016-05-16-03:00" u="1"/>
        <s v="2016-06-16-03:00" u="1"/>
        <s v="2016-08-16-03:00" u="1"/>
        <s v="2016-09-16-03:00" u="1"/>
        <s v="2016-11-16-03:00" u="1"/>
        <s v="2016-12-16-03:00" u="1"/>
        <s v="2018-01-08-03:00" u="1"/>
        <s v="2018-02-08-03:00" u="1"/>
        <s v="2018-02-28-02:00" u="1"/>
        <s v="2018-03-08-03:00" u="1"/>
        <s v="2018-03-28-02:00" u="1"/>
        <s v="2018-05-08-03:00" u="1"/>
        <s v="2018-05-28-02:00" u="1"/>
        <s v="2018-06-08-03:00" u="1"/>
        <s v="2018-06-28-02:00" u="1"/>
        <s v="2018-08-08-03:00" u="1"/>
        <s v="2017-01-06-03:00" u="1"/>
        <s v="2017-01-26-02:00" u="1"/>
        <s v="2017-02-06-03:00" u="1"/>
        <s v="2017-03-06-03:00" u="1"/>
        <s v="2017-04-06-03:00" u="1"/>
        <s v="2017-04-26-02:00" u="1"/>
        <s v="2017-05-26-02:00" u="1"/>
        <s v="2017-06-06-03:00" u="1"/>
        <s v="2017-06-26-02:00" u="1"/>
        <s v="2017-07-06-03:00" u="1"/>
        <s v="2017-07-26-02:00" u="1"/>
        <s v="2017-09-06-03:00" u="1"/>
        <s v="2017-09-26-02:00" u="1"/>
        <s v="2017-10-06-03:00" u="1"/>
        <s v="2017-10-26-02:00" u="1"/>
        <s v="2017-11-06-03:00" u="1"/>
        <s v="2017-12-06-03:00" u="1"/>
        <s v="2016-10-04-03:00" u="1"/>
        <s v="2016-10-24-02:00" u="1"/>
        <s v="2016-11-04-03:00" u="1"/>
        <s v="2016-11-24-02:00" u="1"/>
        <s v="2018-01-16-02:00" u="1"/>
        <s v="2018-02-16-02:00" u="1"/>
        <s v="2018-03-16-02:00" u="1"/>
        <s v="2018-04-16-02:00" u="1"/>
        <s v="2018-05-16-02:00" u="1"/>
        <s v="2018-07-16-02:00" u="1"/>
        <s v="2017-01-18-11:00" u="1"/>
        <s v="2017-04-18-11:00" u="1"/>
        <s v="2017-05-18-11:00" u="1"/>
        <s v="2017-07-18-11:00" u="1"/>
        <s v="2017-08-18-11:00" u="1"/>
        <s v="2017-09-18-11:00" u="1"/>
        <s v="2017-12-14-02:00" u="1"/>
        <s v="2017-12-18-11:00" u="1"/>
        <s v="2016-02-16-11:00" u="1"/>
        <s v="2016-03-16-11:00" u="1"/>
        <s v="2016-05-16-11:00" u="1"/>
        <s v="2016-06-16-11:00" u="1"/>
        <s v="2016-08-16-11:00" u="1"/>
        <s v="2016-09-16-11:00" u="1"/>
        <s v="2016-11-16-11:00" u="1"/>
        <s v="2016-12-16-11:00" u="1"/>
        <s v="2018-01-04-02:00" u="1"/>
        <s v="2018-01-08-11:00" u="1"/>
        <s v="2018-01-24-01:00" u="1"/>
        <s v="2018-02-08-11:00" u="1"/>
        <s v="2018-02-28-10:00" u="1"/>
        <s v="2018-03-08-11:00" u="1"/>
        <s v="2018-03-28-10:00" u="1"/>
        <s v="2018-04-04-02:00" u="1"/>
        <s v="2018-04-24-01:00" u="1"/>
        <s v="2018-05-04-02:00" u="1"/>
        <s v="2018-05-08-11:00" u="1"/>
        <s v="2018-05-24-01:00" u="1"/>
        <s v="2018-05-28-10:00" u="1"/>
        <s v="2018-06-04-02:00" u="1"/>
        <s v="2018-06-08-11:00" u="1"/>
        <s v="2018-06-28-10:00" u="1"/>
        <s v="2018-07-04-02:00" u="1"/>
        <s v="2018-07-24-01:00" u="1"/>
        <s v="2018-08-08-11:00" u="1"/>
        <s v="2017-01-06-11:00" u="1"/>
        <s v="2017-01-26-10:00" u="1"/>
        <s v="2017-02-02-02:00" u="1"/>
        <s v="2017-02-06-11:00" u="1"/>
        <s v="2017-02-22-01:00" u="1"/>
        <s v="2017-03-02-02:00" u="1"/>
        <s v="2017-03-06-11:00" u="1"/>
        <s v="2017-03-22-01:00" u="1"/>
        <s v="2017-04-06-11:00" u="1"/>
        <s v="2017-04-26-10:00" u="1"/>
        <s v="2017-05-02-02:00" u="1"/>
        <s v="2017-05-22-01:00" u="1"/>
        <s v="2017-05-26-10:00" u="1"/>
        <s v="2017-06-02-02:00" u="1"/>
        <s v="2017-06-06-11:00" u="1"/>
        <s v="2017-06-22-01:00" u="1"/>
        <s v="2017-06-26-10:00" u="1"/>
        <s v="2017-07-06-11:00" u="1"/>
        <s v="2017-07-26-10:00" u="1"/>
        <s v="2017-08-02-02:00" u="1"/>
        <s v="2017-08-22-01:00" u="1"/>
        <s v="2017-09-06-11:00" u="1"/>
        <s v="2017-09-22-01:00" u="1"/>
        <s v="2017-09-26-10:00" u="1"/>
        <s v="2017-10-06-11:00" u="1"/>
        <s v="2017-10-26-10:00" u="1"/>
        <s v="2017-11-06-11:00" u="1"/>
        <s v="2017-12-06-11:00" u="1"/>
        <s v="2017-12-22-01:00" u="1"/>
        <s v="2017-12-26-10:00" u="1"/>
        <s v="2016-01-08-20:00" u="1"/>
        <s v="2016-01-20-01:00" u="1"/>
        <s v="2016-02-08-20:00" u="1"/>
        <s v="2016-03-08-20:00" u="1"/>
        <s v="2016-04-08-20:00" u="1"/>
        <s v="2016-04-20-01:00" u="1"/>
        <s v="2016-05-20-01:00" u="1"/>
        <s v="2016-06-08-20:00" u="1"/>
        <s v="2016-06-20-01:00" u="1"/>
        <s v="2016-07-08-20:00" u="1"/>
        <s v="2016-07-20-01:00" u="1"/>
        <s v="2016-08-08-20:00" u="1"/>
        <s v="2016-09-08-20:00" u="1"/>
        <s v="2016-09-20-01:00" u="1"/>
        <s v="2016-10-20-01:00" u="1"/>
        <s v="2016-11-08-20:00" u="1"/>
        <s v="2016-12-08-20:00" u="1"/>
        <s v="2016-12-20-01:00" u="1"/>
        <s v="2018-01-12-01:00" u="1"/>
        <s v="2018-01-16-10:00" u="1"/>
        <s v="2018-02-12-01:00" u="1"/>
        <s v="2018-02-16-10:00" u="1"/>
        <s v="2018-03-12-01:00" u="1"/>
        <s v="2018-03-16-10:00" u="1"/>
        <s v="2018-04-12-01:00" u="1"/>
        <s v="2018-04-16-10:00" u="1"/>
        <s v="2018-05-16-10:00" u="1"/>
        <s v="2018-06-12-01:00" u="1"/>
        <s v="2018-07-12-01:00" u="1"/>
        <s v="2018-07-16-10:00" u="1"/>
        <s v="2017-10-10-01:00" u="1"/>
        <s v="2017-10-30-00:00" u="1"/>
        <s v="2017-11-10-01:00" u="1"/>
        <s v="2017-11-30-00:00" u="1"/>
        <s v="2017-12-14-10:00" u="1"/>
        <s v="2016-01-12-10:00" u="1"/>
        <s v="2016-02-12-10:00" u="1"/>
        <s v="2016-04-12-10:00" u="1"/>
        <s v="2016-05-12-10:00" u="1"/>
        <s v="2016-07-12-10:00" u="1"/>
        <s v="2016-08-12-10:00" u="1"/>
        <s v="2016-09-12-10:00" u="1"/>
        <s v="2016-10-12-10:00" u="1"/>
        <s v="2016-12-12-10:00" u="1"/>
        <s v="2018-01-04-10:00" u="1"/>
        <s v="2018-02-20-00:00" u="1"/>
        <s v="2018-03-20-00:00" u="1"/>
        <s v="2018-04-04-10:00" u="1"/>
        <s v="2018-04-20-00:00" u="1"/>
        <s v="2018-05-04-10:00" u="1"/>
        <s v="2018-06-04-10:00" u="1"/>
        <s v="2018-06-20-00:00" u="1"/>
        <s v="2018-07-04-10:00" u="1"/>
        <s v="2018-07-20-00:00" u="1"/>
        <s v="2017-01-02-10:00" u="1"/>
        <s v="2017-02-02-10:00" u="1"/>
        <s v="2017-03-02-10:00" u="1"/>
        <s v="2017-05-02-10:00" u="1"/>
        <s v="2017-06-02-10:00" u="1"/>
        <s v="2017-08-02-10:00" u="1"/>
        <s v="2017-10-02-10:00" u="1"/>
        <s v="2017-11-02-10:00" u="1"/>
        <s v="2016-01-19-04:00" u="1"/>
        <s v="2016-02-19-04:00" u="1"/>
        <s v="2016-04-19-04:00" u="1"/>
        <s v="2016-05-19-04:00" u="1"/>
        <s v="2016-07-19-04:00" u="1"/>
        <s v="2016-08-19-04:00" u="1"/>
        <s v="2016-09-19-04:00" u="1"/>
        <s v="2016-10-19-04:00" u="1"/>
        <s v="2016-12-19-04:00" u="1"/>
        <s v="2017-10-09-04:00" u="1"/>
        <s v="2017-11-09-04:00" u="1"/>
        <s v="2017-11-29-03:00" u="1"/>
        <s v="2017-12-29-03:00" u="1"/>
        <s v="2018-01-19-03:00" u="1"/>
        <s v="2018-02-19-03:00" u="1"/>
        <s v="2018-03-19-03:00" u="1"/>
        <s v="2018-04-19-03:00" u="1"/>
        <s v="2018-06-19-03:00" u="1"/>
        <s v="2018-07-19-03:00" u="1"/>
        <s v="2016-01-15-03:00" u="1"/>
        <s v="2016-02-15-03:00" u="1"/>
        <s v="2016-03-15-03:00" u="1"/>
        <s v="2016-04-15-03:00" u="1"/>
        <s v="2016-06-15-03:00" u="1"/>
        <s v="2016-07-15-03:00" u="1"/>
        <s v="2016-08-15-03:00" u="1"/>
        <s v="2016-09-15-03:00" u="1"/>
        <s v="2016-11-15-03:00" u="1"/>
        <s v="2016-12-15-03:00" u="1"/>
        <s v="2018-02-07-03:00" u="1"/>
        <s v="2018-02-27-02:00" u="1"/>
        <s v="2018-03-07-03:00" u="1"/>
        <s v="2018-03-27-02:00" u="1"/>
        <s v="2018-04-27-02:00" u="1"/>
        <s v="2018-05-07-03:00" u="1"/>
        <s v="2018-06-07-03:00" u="1"/>
        <s v="2018-06-27-02:00" u="1"/>
        <s v="2018-07-27-02:00" u="1"/>
        <s v="2017-01-05-03:00" u="1"/>
        <s v="2017-01-25-02:00" u="1"/>
        <s v="2017-04-05-03:00" u="1"/>
        <s v="2017-04-25-02:00" u="1"/>
        <s v="2017-05-05-03:00" u="1"/>
        <s v="2017-05-25-02:00" u="1"/>
        <s v="2017-06-05-03:00" u="1"/>
        <s v="2017-07-05-03:00" u="1"/>
        <s v="2017-07-25-02:00" u="1"/>
        <s v="2017-08-25-02:00" u="1"/>
        <s v="2017-09-05-03:00" u="1"/>
        <s v="2017-09-25-02:00" u="1"/>
        <s v="2017-10-05-03:00" u="1"/>
        <s v="2017-10-25-02:00" u="1"/>
        <s v="2017-11-29-11:00" u="1"/>
        <s v="2017-12-05-03:00" u="1"/>
        <s v="2017-12-29-11:00" u="1"/>
        <s v="2016-01-07-12:00" u="1"/>
        <s v="2016-01-27-11:00" u="1"/>
        <s v="2016-03-07-12:00" u="1"/>
        <s v="2016-04-07-12:00" u="1"/>
        <s v="2016-04-27-11:00" u="1"/>
        <s v="2016-05-27-11:00" u="1"/>
        <s v="2016-06-07-12:00" u="1"/>
        <s v="2016-06-27-11:00" u="1"/>
        <s v="2016-07-07-12:00" u="1"/>
        <s v="2016-07-27-11:00" u="1"/>
        <s v="2016-09-07-12:00" u="1"/>
        <s v="2016-09-27-11:00" u="1"/>
        <s v="2016-10-07-12:00" u="1"/>
        <s v="2016-10-27-11:00" u="1"/>
        <s v="2016-11-07-12:00" u="1"/>
        <s v="2016-12-07-12:00" u="1"/>
        <s v="2016-12-27-11:00" u="1"/>
        <s v="2018-01-15-02:00" u="1"/>
        <s v="2018-01-19-11:00" u="1"/>
        <s v="2018-02-15-02:00" u="1"/>
        <s v="2018-02-19-11:00" u="1"/>
        <s v="2018-03-15-02:00" u="1"/>
        <s v="2018-03-19-11:00" u="1"/>
        <s v="2018-04-19-11:00" u="1"/>
        <s v="2018-05-15-02:00" u="1"/>
        <s v="2018-06-15-02:00" u="1"/>
        <s v="2018-06-19-11:00" u="1"/>
        <s v="2018-07-19-11:00" u="1"/>
        <s v="2017-01-17-11:00" u="1"/>
        <s v="2017-02-17-11:00" u="1"/>
        <s v="2017-03-17-11:00" u="1"/>
        <s v="2017-04-17-11:00" u="1"/>
        <s v="2017-05-17-11:00" u="1"/>
        <s v="2017-07-17-11:00" u="1"/>
        <s v="2017-08-17-11:00" u="1"/>
        <s v="2017-10-17-11:00" u="1"/>
        <s v="2017-11-17-11:00" u="1"/>
        <s v="2017-12-13-02:00" u="1"/>
        <s v="2016-01-11-02:00" u="1"/>
        <s v="2016-02-11-02:00" u="1"/>
        <s v="2016-03-11-02:00" u="1"/>
        <s v="2016-03-31-01:00" u="1"/>
        <s v="2016-04-11-02:00" u="1"/>
        <s v="2016-05-11-02:00" u="1"/>
        <s v="2016-05-31-01:00" u="1"/>
        <s v="2016-07-11-02:00" u="1"/>
        <s v="2016-08-11-02:00" u="1"/>
        <s v="2016-08-31-01:00" u="1"/>
        <s v="2016-10-11-02:00" u="1"/>
        <s v="2016-10-31-01:00" u="1"/>
        <s v="2016-11-11-02:00" u="1"/>
        <s v="2018-01-03-02:00" u="1"/>
        <s v="2018-01-23-01:00" u="1"/>
        <s v="2018-02-07-11:00" u="1"/>
        <s v="2018-02-23-01:00" u="1"/>
        <s v="2018-02-27-10:00" u="1"/>
        <s v="2018-03-07-11:00" u="1"/>
        <s v="2018-03-23-01:00" u="1"/>
        <s v="2018-03-27-10:00" u="1"/>
        <s v="2018-04-03-02:00" u="1"/>
        <s v="2018-04-23-01:00" u="1"/>
        <s v="2018-04-27-10:00" u="1"/>
        <s v="2018-05-03-02:00" u="1"/>
        <s v="2018-05-07-11:00" u="1"/>
        <s v="2018-05-23-01:00" u="1"/>
        <s v="2018-06-07-11:00" u="1"/>
        <s v="2018-06-27-10:00" u="1"/>
        <s v="2018-07-03-02:00" u="1"/>
        <s v="2018-07-23-01:00" u="1"/>
        <s v="2018-07-27-10:00" u="1"/>
        <s v="2017-01-09-20:00" u="1"/>
        <s v="2017-02-01-02:00" u="1"/>
        <s v="2017-02-09-20:00" u="1"/>
        <s v="2017-02-21-01:00" u="1"/>
        <s v="2017-03-01-02:00" u="1"/>
        <s v="2017-03-09-20:00" u="1"/>
        <s v="2017-03-21-01:00" u="1"/>
        <s v="2017-04-21-01:00" u="1"/>
        <s v="2017-05-01-02:00" u="1"/>
        <s v="2017-05-09-20:00" u="1"/>
        <s v="2017-06-01-02:00" u="1"/>
        <s v="2017-06-09-20:00" u="1"/>
        <s v="2017-06-21-01:00" u="1"/>
        <s v="2017-07-21-01:00" u="1"/>
        <s v="2017-08-01-02:00" u="1"/>
        <s v="2017-08-09-20:00" u="1"/>
        <s v="2017-08-21-01:00" u="1"/>
        <s v="2017-09-01-02:00" u="1"/>
        <s v="2017-09-21-01:00" u="1"/>
        <s v="2017-11-01-02:00" u="1"/>
        <s v="2017-11-21-01:00" u="1"/>
        <s v="2017-12-01-02:00" u="1"/>
        <s v="2017-12-05-11:00" u="1"/>
        <s v="2017-12-21-01:00" u="1"/>
        <s v="2016-01-07-20:00" u="1"/>
        <s v="2016-03-07-20:00" u="1"/>
        <s v="2016-04-07-20:00" u="1"/>
        <s v="2016-06-07-20:00" u="1"/>
        <s v="2016-07-07-20:00" u="1"/>
        <s v="2016-09-07-20:00" u="1"/>
        <s v="2016-10-07-20:00" u="1"/>
        <s v="2016-11-07-20:00" u="1"/>
        <s v="2016-12-07-20:00" u="1"/>
        <s v="2018-01-11-01:00" u="1"/>
        <s v="2018-01-15-10:00" u="1"/>
        <s v="2018-01-31-00:00" u="1"/>
        <s v="2018-02-15-10:00" u="1"/>
        <s v="2018-03-15-10:00" u="1"/>
        <s v="2018-04-11-01:00" u="1"/>
        <s v="2018-05-11-01:00" u="1"/>
        <s v="2018-05-15-10:00" u="1"/>
        <s v="2018-05-31-00:00" u="1"/>
        <s v="2018-06-11-01:00" u="1"/>
        <s v="2018-06-15-10:00" u="1"/>
        <s v="2018-07-11-01:00" u="1"/>
        <s v="2017-01-13-10:00" u="1"/>
        <s v="2017-02-13-10:00" u="1"/>
        <s v="2017-03-13-10:00" u="1"/>
        <s v="2017-04-13-10:00" u="1"/>
        <s v="2017-06-13-10:00" u="1"/>
        <s v="2017-07-13-10:00" u="1"/>
        <s v="2017-09-13-10:00" u="1"/>
        <s v="2017-12-13-10:00" u="1"/>
        <s v="2016-01-11-10:00" u="1"/>
        <s v="2016-02-11-10:00" u="1"/>
        <s v="2016-03-11-10:00" u="1"/>
        <s v="2016-04-11-10:00" u="1"/>
        <s v="2016-05-11-10:00" u="1"/>
        <s v="2016-07-11-10:00" u="1"/>
        <s v="2016-08-11-10:00" u="1"/>
        <s v="2016-10-11-10:00" u="1"/>
        <s v="2016-11-11-10:00" u="1"/>
        <s v="2018-01-03-10:00" u="1"/>
        <s v="2018-04-03-10:00" u="1"/>
        <s v="2018-05-03-10:00" u="1"/>
        <s v="2018-07-03-10:00" u="1"/>
        <s v="2017-11-01-10:00" u="1"/>
        <s v="2017-12-01-10:00" u="1"/>
        <s v="2017-12-08-04:00" u="1"/>
        <s v="2017-12-28-03:00" u="1"/>
        <s v="2016-01-06-04:00" u="1"/>
        <s v="2016-01-26-03:00" u="1"/>
        <s v="2016-02-26-03:00" u="1"/>
        <s v="2016-04-06-04:00" u="1"/>
        <s v="2016-04-26-03:00" u="1"/>
        <s v="2016-05-06-04:00" u="1"/>
        <s v="2016-05-26-03:00" u="1"/>
        <s v="2016-06-06-04:00" u="1"/>
        <s v="2016-07-06-04:00" u="1"/>
        <s v="2016-07-26-03:00" u="1"/>
        <s v="2016-08-26-03:00" u="1"/>
        <s v="2016-09-06-04:00" u="1"/>
        <s v="2016-09-26-03:00" u="1"/>
        <s v="2018-01-18-03:00" u="1"/>
        <s v="2018-04-18-03:00" u="1"/>
        <s v="2018-05-18-03:00" u="1"/>
        <s v="2018-06-18-03:00" u="1"/>
        <s v="2018-07-18-03:00" u="1"/>
        <s v="2017-01-16-03:00" u="1"/>
        <s v="2017-02-16-03:00" u="1"/>
        <s v="2017-03-16-03:00" u="1"/>
        <s v="2017-05-16-03:00" u="1"/>
        <s v="2017-06-16-03:00" u="1"/>
        <s v="2017-08-16-03:00" u="1"/>
        <s v="2017-10-16-03:00" u="1"/>
        <s v="2017-11-16-03:00" u="1"/>
        <s v="2016-10-14-03:00" u="1"/>
        <s v="2016-11-14-03:00" u="1"/>
        <s v="2016-12-14-03:00" u="1"/>
        <s v="2018-01-26-02:00" u="1"/>
        <s v="2018-02-06-03:00" u="1"/>
        <s v="2018-02-26-02:00" u="1"/>
        <s v="2018-03-06-03:00" u="1"/>
        <s v="2018-03-26-02:00" u="1"/>
        <s v="2018-04-06-03:00" u="1"/>
        <s v="2018-04-26-02:00" u="1"/>
        <s v="2018-06-06-03:00" u="1"/>
        <s v="2018-06-26-02:00" u="1"/>
        <s v="2018-07-06-03:00" u="1"/>
        <s v="2018-07-26-02:00" u="1"/>
        <s v="2017-10-04-03:00" u="1"/>
        <s v="2017-10-24-02:00" u="1"/>
        <s v="2017-11-24-02:00" u="1"/>
        <s v="2017-12-04-03:00" u="1"/>
        <s v="2017-12-08-12:00" u="1"/>
        <s v="2017-12-28-11: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6-12-06-12:00" u="1"/>
        <s v="2016-12-26-11:00" u="1"/>
        <s v="2018-01-18-11:00" u="1"/>
        <s v="2018-02-14-02:00" u="1"/>
        <s v="2018-03-14-02:00" u="1"/>
        <s v="2018-04-18-11:00" u="1"/>
        <s v="2018-05-14-02:00" u="1"/>
        <s v="2018-05-18-11:00" u="1"/>
        <s v="2018-06-14-02:00" u="1"/>
        <s v="2018-06-18-11:00" u="1"/>
        <s v="2018-07-18-11:00" u="1"/>
        <s v="2017-01-16-11:00" u="1"/>
        <s v="2017-02-16-11:00" u="1"/>
        <s v="2017-03-16-11:00" u="1"/>
        <s v="2017-05-16-11:00" u="1"/>
        <s v="2017-06-16-11:00" u="1"/>
        <s v="2017-08-16-11:00" u="1"/>
        <s v="2017-10-16-11:00" u="1"/>
        <s v="2017-11-16-11:00" u="1"/>
        <s v="2017-12-12-02:00" u="1"/>
        <s v="2016-01-18-20:00" u="1"/>
        <s v="2016-02-10-02:00" u="1"/>
        <s v="2016-02-18-20:00" u="1"/>
        <s v="2016-03-10-02:00" u="1"/>
        <s v="2016-03-18-20:00" u="1"/>
        <s v="2016-03-30-01:00" u="1"/>
        <s v="2016-04-18-20:00" u="1"/>
        <s v="2016-05-10-02:00" u="1"/>
        <s v="2016-05-18-20:00" u="1"/>
        <s v="2016-05-30-01:00" u="1"/>
        <s v="2016-06-10-02:00" u="1"/>
        <s v="2016-06-30-01:00" u="1"/>
        <s v="2016-07-18-20:00" u="1"/>
        <s v="2016-08-10-02:00" u="1"/>
        <s v="2016-08-18-20:00" u="1"/>
        <s v="2016-08-30-01:00" u="1"/>
        <s v="2016-09-30-01:00" u="1"/>
        <s v="2016-10-10-02:00" u="1"/>
        <s v="2016-10-18-20:00" u="1"/>
        <s v="2016-11-10-02:00" u="1"/>
        <s v="2016-11-18-20:00" u="1"/>
        <s v="2016-11-30-01:00" u="1"/>
        <s v="2016-12-30-01:00" u="1"/>
        <s v="2018-01-22-01:00" u="1"/>
        <s v="2018-01-26-10:00" u="1"/>
        <s v="2018-02-02-02:00" u="1"/>
        <s v="2018-02-06-11:00" u="1"/>
        <s v="2018-02-22-01:00" u="1"/>
        <s v="2018-02-26-10:00" u="1"/>
        <s v="2018-03-02-02:00" u="1"/>
        <s v="2018-03-06-11:00" u="1"/>
        <s v="2018-03-22-01:00" u="1"/>
        <s v="2018-03-26-10:00" u="1"/>
        <s v="2018-04-02-02:00" u="1"/>
        <s v="2018-04-06-11:00" u="1"/>
        <s v="2018-04-26-10:00" u="1"/>
        <s v="2018-05-02-02:00" u="1"/>
        <s v="2018-05-22-01:00" u="1"/>
        <s v="2018-06-06-11:00" u="1"/>
        <s v="2018-06-22-01:00" u="1"/>
        <s v="2018-06-26-10:00" u="1"/>
        <s v="2018-07-02-02:00" u="1"/>
        <s v="2018-07-06-11:00" u="1"/>
        <s v="2018-07-26-10:00" u="1"/>
        <s v="2017-01-20-01:00" u="1"/>
        <s v="2017-02-08-20:00" u="1"/>
        <s v="2017-02-20-01:00" u="1"/>
        <s v="2017-03-08-20:00" u="1"/>
        <s v="2017-03-20-01:00" u="1"/>
        <s v="2017-04-20-01:00" u="1"/>
        <s v="2017-05-08-20:00" u="1"/>
        <s v="2017-06-08-20:00" u="1"/>
        <s v="2017-06-20-01:00" u="1"/>
        <s v="2017-07-20-01:00" u="1"/>
        <s v="2017-08-08-20:00" u="1"/>
        <s v="2017-09-08-20:00" u="1"/>
        <s v="2017-09-20-01:00" u="1"/>
        <s v="2017-10-20-01:00" u="1"/>
        <s v="2017-11-08-20:00" u="1"/>
        <s v="2017-11-20-01:00" u="1"/>
        <s v="2017-12-04-11:00" u="1"/>
        <s v="2017-12-08-20:00" u="1"/>
        <s v="2017-12-20-01:00" u="1"/>
        <s v="2016-01-22-10:00" u="1"/>
        <s v="2016-02-02-11:00" u="1"/>
        <s v="2016-02-22-10:00" u="1"/>
        <s v="2016-03-02-11:00" u="1"/>
        <s v="2016-03-22-10:00" u="1"/>
        <s v="2016-04-22-10:00" u="1"/>
        <s v="2016-05-02-11:00" u="1"/>
        <s v="2016-06-02-11:00" u="1"/>
        <s v="2016-06-22-10:00" u="1"/>
        <s v="2016-07-22-10:00" u="1"/>
        <s v="2016-08-02-11:00" u="1"/>
        <s v="2016-08-22-10:00" u="1"/>
        <s v="2016-09-02-11:00" u="1"/>
        <s v="2016-09-22-10:00" u="1"/>
        <s v="2016-11-02-11:00" u="1"/>
        <s v="2016-11-22-10:00" u="1"/>
        <s v="2016-12-02-11:00" u="1"/>
        <s v="2016-12-22-10:00" u="1"/>
        <s v="2018-01-10-01:00" u="1"/>
        <s v="2018-01-30-00:00" u="1"/>
        <s v="2018-02-14-10:00" u="1"/>
        <s v="2018-03-14-10:00" u="1"/>
        <s v="2018-03-30-00:00" u="1"/>
        <s v="2018-04-10-01:00" u="1"/>
        <s v="2018-04-30-00:00" u="1"/>
        <s v="2018-05-10-01:00" u="1"/>
        <s v="2018-05-14-10:00" u="1"/>
        <s v="2018-05-30-00:00" u="1"/>
        <s v="2018-06-14-10:00" u="1"/>
        <s v="2018-07-10-01:00" u="1"/>
        <s v="2017-01-12-10:00" u="1"/>
        <s v="2017-04-12-10:00" u="1"/>
        <s v="2017-05-12-10:00" u="1"/>
        <s v="2017-06-12-10:00" u="1"/>
        <s v="2017-07-12-10:00" u="1"/>
        <s v="2017-09-12-10:00" u="1"/>
        <s v="2017-10-12-10:00" u="1"/>
        <s v="2017-12-12-10:00" u="1"/>
        <s v="2018-01-02-10:00" u="1"/>
        <s v="2018-02-02-10:00" u="1"/>
        <s v="2018-03-02-10:00" u="1"/>
        <s v="2018-04-02-10:00" u="1"/>
        <s v="2018-05-02-10:00" u="1"/>
        <s v="2018-07-02-10: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7-01-19-04:00" u="1"/>
        <s v="2017-04-19-04:00" u="1"/>
        <s v="2017-05-19-04:00" u="1"/>
        <s v="2017-06-19-04:00" u="1"/>
        <s v="2017-07-19-04:00" u="1"/>
        <s v="2017-09-19-04:00" u="1"/>
        <s v="2017-10-19-04:00" u="1"/>
        <s v="2017-12-19-04:00" u="1"/>
        <s v="2018-01-09-04:00" u="1"/>
        <s v="2018-01-29-03:00" u="1"/>
        <s v="2018-02-09-04:00" u="1"/>
        <s v="2018-03-09-04:00" u="1"/>
        <s v="2018-03-29-03:00" u="1"/>
        <s v="2018-04-09-04:00" u="1"/>
        <s v="2018-05-09-04:00" u="1"/>
        <s v="2018-05-29-03:00" u="1"/>
        <s v="2018-06-29-03:00" u="1"/>
        <s v="2018-07-09-04:00" u="1"/>
        <s v="2017-12-07-04:00" u="1"/>
        <s v="2017-12-27-03:00" u="1"/>
        <s v="2016-01-05-04:00" u="1"/>
        <s v="2016-01-25-03:00" u="1"/>
        <s v="2016-02-05-04:00" u="1"/>
        <s v="2016-02-25-03:00" u="1"/>
        <s v="2016-03-25-03:00" u="1"/>
        <s v="2016-04-05-04:00" u="1"/>
        <s v="2016-04-25-03:00" u="1"/>
        <s v="2016-05-05-04:00" u="1"/>
        <s v="2016-05-25-03:00" u="1"/>
        <s v="2016-07-05-04:00" u="1"/>
        <s v="2016-07-25-03:00" u="1"/>
        <s v="2016-08-05-04:00" u="1"/>
        <s v="2016-08-25-03:00" u="1"/>
        <s v="2016-09-05-04:00" u="1"/>
        <s v="2016-10-05-04:00" u="1"/>
        <s v="2016-10-25-03:00" u="1"/>
        <s v="2016-11-25-03:00" u="1"/>
        <s v="2016-12-05-04:00" u="1"/>
        <s v="2018-01-17-03:00" u="1"/>
        <s v="2018-04-17-03:00" u="1"/>
        <s v="2018-05-17-03:00" u="1"/>
        <s v="2018-07-17-03:00" u="1"/>
        <s v="2017-02-15-03:00" u="1"/>
        <s v="2017-03-15-03:00" u="1"/>
        <s v="2017-05-15-03:00" u="1"/>
        <s v="2017-06-15-03:00" u="1"/>
        <s v="2017-08-15-03:00" u="1"/>
        <s v="2017-09-15-03:00" u="1"/>
        <s v="2017-11-15-03:00" u="1"/>
        <s v="2017-12-15-03:00" u="1"/>
        <s v="2017-12-19-12:00" u="1"/>
        <s v="2016-02-17-12:00" u="1"/>
        <s v="2016-03-17-12:00" u="1"/>
        <s v="2016-05-17-12:00" u="1"/>
        <s v="2016-06-17-12:00" u="1"/>
        <s v="2016-08-17-12:00" u="1"/>
        <s v="2018-01-05-03:00" u="1"/>
        <s v="2018-01-09-12:00" u="1"/>
        <s v="2018-01-25-02:00" u="1"/>
        <s v="2018-01-29-11:00" u="1"/>
        <s v="2018-02-05-03:00" u="1"/>
        <s v="2018-02-09-12:00" u="1"/>
        <s v="2018-03-05-03:00" u="1"/>
        <s v="2018-03-09-12:00" u="1"/>
        <s v="2018-03-29-11:00" u="1"/>
        <s v="2018-04-05-03:00" u="1"/>
        <s v="2018-04-09-12:00" u="1"/>
        <s v="2018-04-25-02:00" u="1"/>
        <s v="2018-05-09-12:00" u="1"/>
        <s v="2018-05-25-02:00" u="1"/>
        <s v="2018-05-29-11:00" u="1"/>
        <s v="2018-06-05-03:00" u="1"/>
        <s v="2018-06-25-02:00" u="1"/>
        <s v="2018-06-29-11:00" u="1"/>
        <s v="2018-07-05-03:00" u="1"/>
        <s v="2018-07-09-12:00" u="1"/>
        <s v="2018-07-25-02:00" u="1"/>
        <s v="2017-01-27-11:00" u="1"/>
        <s v="2017-02-07-12:00" u="1"/>
        <s v="2017-02-27-11:00" u="1"/>
        <s v="2017-03-07-12:00" u="1"/>
        <s v="2017-03-27-11:00" u="1"/>
        <s v="2017-04-07-12:00" u="1"/>
        <s v="2017-04-27-11:00" u="1"/>
        <s v="2017-06-07-12:00" u="1"/>
        <s v="2017-06-27-11:00" u="1"/>
        <s v="2017-07-07-12:00" u="1"/>
        <s v="2017-07-27-11:00" u="1"/>
        <s v="2017-08-07-12:00" u="1"/>
        <s v="2017-09-07-12:00" u="1"/>
        <s v="2017-09-27-11:00" u="1"/>
        <s v="2017-10-27-11:00" u="1"/>
        <s v="2017-11-07-12:00" u="1"/>
        <s v="2017-11-27-11:00" u="1"/>
        <s v="2017-12-07-12:00" u="1"/>
        <s v="2017-12-27-11:00" u="1"/>
        <s v="2016-01-21-02:00" u="1"/>
        <s v="2016-02-01-03:00" u="1"/>
        <s v="2016-03-01-03:00" u="1"/>
        <s v="2016-03-21-02:00" u="1"/>
        <s v="2016-04-01-03:00" u="1"/>
        <s v="2016-04-21-02:00" u="1"/>
        <s v="2016-06-01-03:00" u="1"/>
        <s v="2016-06-21-02:00" u="1"/>
        <s v="2016-07-01-03:00" u="1"/>
        <s v="2016-07-21-02:00" u="1"/>
        <s v="2016-08-01-03:00" u="1"/>
        <s v="2016-09-01-03:00" u="1"/>
        <s v="2016-09-21-02:00" u="1"/>
        <s v="2016-10-05-12:00" u="1"/>
        <s v="2016-10-25-11:00" u="1"/>
        <s v="2016-11-25-11:00" u="1"/>
        <s v="2016-12-05-12:00" u="1"/>
        <s v="2018-01-17-11:00" u="1"/>
        <s v="2018-02-13-02:00" u="1"/>
        <s v="2018-03-13-02:00" u="1"/>
        <s v="2018-04-13-02:00" u="1"/>
        <s v="2018-04-17-11:00" u="1"/>
        <s v="2018-05-17-11:00" u="1"/>
        <s v="2018-06-13-02:00" u="1"/>
        <s v="2018-07-13-02:00" u="1"/>
        <s v="2018-07-17-11:00" u="1"/>
        <s v="2017-01-11-02:00" u="1"/>
        <s v="2017-01-31-01:00" u="1"/>
        <s v="2017-03-31-01:00" u="1"/>
        <s v="2017-04-11-02:00" u="1"/>
        <s v="2017-05-11-02:00" u="1"/>
        <s v="2017-05-31-01:00" u="1"/>
        <s v="2017-07-11-02:00" u="1"/>
        <s v="2017-07-31-01:00" u="1"/>
        <s v="2017-08-11-02:00" u="1"/>
        <s v="2017-08-31-01:00" u="1"/>
        <s v="2017-09-11-02:00" u="1"/>
        <s v="2017-10-11-02:00" u="1"/>
        <s v="2017-10-31-01:00" u="1"/>
        <s v="2017-12-11-02:00" u="1"/>
        <s v="2017-12-15-11:00" u="1"/>
        <s v="2017-12-19-20:00" u="1"/>
        <s v="2016-02-17-20:00" u="1"/>
        <s v="2016-03-17-20:00" u="1"/>
        <s v="2016-05-17-20:00" u="1"/>
        <s v="2016-06-17-20:00" u="1"/>
        <s v="2016-08-17-20:00" u="1"/>
        <s v="2016-10-17-20:00" u="1"/>
        <s v="2016-11-17-20:00" u="1"/>
        <s v="2018-01-05-11:00" u="1"/>
        <s v="2018-01-09-20:00" u="1"/>
        <s v="2018-01-25-10:00" u="1"/>
        <s v="2018-02-01-02:00" u="1"/>
        <s v="2018-02-05-11:00" u="1"/>
        <s v="2018-02-09-20:00" u="1"/>
        <s v="2018-02-21-01:00" u="1"/>
        <s v="2018-03-01-02:00" u="1"/>
        <s v="2018-03-05-11:00" u="1"/>
        <s v="2018-03-09-20:00" u="1"/>
        <s v="2018-03-21-01:00" u="1"/>
        <s v="2018-04-05-11:00" u="1"/>
        <s v="2018-04-09-20:00" u="1"/>
        <s v="2018-04-25-10:00" u="1"/>
        <s v="2018-05-01-02:00" u="1"/>
        <s v="2018-05-09-20:00" u="1"/>
        <s v="2018-05-21-01:00" u="1"/>
        <s v="2018-05-25-10:00" u="1"/>
        <s v="2018-06-01-02:00" u="1"/>
        <s v="2018-06-05-11:00" u="1"/>
        <s v="2018-06-21-01:00" u="1"/>
        <s v="2018-06-25-10:00" u="1"/>
        <s v="2018-07-05-11:00" u="1"/>
        <s v="2018-07-09-20:00" u="1"/>
        <s v="2018-07-25-10:00" u="1"/>
        <s v="2017-02-07-20:00" u="1"/>
        <s v="2017-03-07-20:00" u="1"/>
        <s v="2017-04-07-20:00" u="1"/>
        <s v="2017-06-07-20:00" u="1"/>
        <s v="2017-07-07-20:00" u="1"/>
        <s v="2017-08-07-20:00" u="1"/>
        <s v="2017-09-07-20:00" u="1"/>
        <s v="2017-11-07-20:00" u="1"/>
        <s v="2017-12-07-20: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8-02-13-10:00" u="1"/>
        <s v="2018-03-13-10:00" u="1"/>
        <s v="2018-04-13-10:00" u="1"/>
        <s v="2018-06-13-10:00" u="1"/>
        <s v="2018-07-13-10:00" u="1"/>
        <s v="2017-01-11-10:00" u="1"/>
        <s v="2017-04-11-10:00" u="1"/>
        <s v="2017-05-11-10:00" u="1"/>
        <s v="2017-07-11-10:00" u="1"/>
        <s v="2017-08-11-10:00" u="1"/>
        <s v="2017-09-11-10:00" u="1"/>
        <s v="2017-10-11-10:00" u="1"/>
        <s v="2017-12-11-10:00" u="1"/>
        <s v="2018-02-01-10:00" u="1"/>
        <s v="2018-03-01-10:00" u="1"/>
        <s v="2018-05-01-10:00" u="1"/>
        <s v="2018-06-01-10:00" u="1"/>
        <s v="2016-10-28-04:00" u="1"/>
        <s v="2016-11-08-05:00" u="1"/>
        <s v="2016-11-28-04:00" u="1"/>
        <s v="2016-12-08-05:00" u="1"/>
        <s v="2016-12-28-04:00" u="1"/>
        <s v="2017-12-18-04:00" u="1"/>
        <s v="2018-01-08-04:00" u="1"/>
        <s v="2018-02-08-04:00" u="1"/>
        <s v="2018-02-28-03:00" u="1"/>
        <s v="2018-03-08-04:00" u="1"/>
        <s v="2018-03-28-03:00" u="1"/>
        <s v="2018-05-08-04:00" u="1"/>
        <s v="2018-05-28-03:00" u="1"/>
        <s v="2018-06-08-04:00" u="1"/>
        <s v="2018-06-28-03:00" u="1"/>
        <s v="2018-08-08-04:00" u="1"/>
        <s v="2017-01-06-04:00" u="1"/>
        <s v="2017-01-26-03:00" u="1"/>
        <s v="2017-02-06-04:00" u="1"/>
        <s v="2017-03-06-04:00" u="1"/>
        <s v="2017-04-06-04:00" u="1"/>
        <s v="2017-04-26-03:00" u="1"/>
        <s v="2017-05-26-03:00" u="1"/>
        <s v="2017-06-06-04:00" u="1"/>
        <s v="2017-06-26-03:00" u="1"/>
        <s v="2017-07-06-04:00" u="1"/>
        <s v="2017-07-26-03:00" u="1"/>
        <s v="2017-09-06-04:00" u="1"/>
        <s v="2017-09-26-03:00" u="1"/>
        <s v="2017-12-06-04:00" u="1"/>
        <s v="2016-01-04-04:00" u="1"/>
        <s v="2016-02-04-04:00" u="1"/>
        <s v="2016-02-24-03:00" u="1"/>
        <s v="2016-03-04-04:00" u="1"/>
        <s v="2016-03-24-03:00" u="1"/>
        <s v="2016-04-04-04:00" u="1"/>
        <s v="2016-05-04-04:00" u="1"/>
        <s v="2016-05-24-03:00" u="1"/>
        <s v="2016-06-24-03:00" u="1"/>
        <s v="2016-07-04-04:00" u="1"/>
        <s v="2016-08-04-04:00" u="1"/>
        <s v="2016-08-24-03:00" u="1"/>
        <s v="2016-10-04-04:00" u="1"/>
        <s v="2016-10-24-03:00" u="1"/>
        <s v="2016-11-04-04:00" u="1"/>
        <s v="2016-11-24-03:00" u="1"/>
        <s v="2018-01-16-03:00" u="1"/>
        <s v="2018-02-16-03:00" u="1"/>
        <s v="2018-03-16-03:00" u="1"/>
        <s v="2018-04-16-03:00" u="1"/>
        <s v="2018-05-16-03:00" u="1"/>
        <s v="2018-07-16-03:00" u="1"/>
        <s v="2017-11-14-03:00" u="1"/>
        <s v="2017-12-14-03:00" u="1"/>
        <s v="2017-12-18-12:00" u="1"/>
        <s v="2016-02-16-12:00" u="1"/>
        <s v="2016-03-16-12:00" u="1"/>
        <s v="2016-05-16-12:00" u="1"/>
        <s v="2016-06-16-12:00" u="1"/>
        <s v="2016-08-16-12:00" u="1"/>
        <s v="2016-09-16-12:00" u="1"/>
        <s v="2016-11-16-12:00" u="1"/>
        <s v="2016-12-16-12:00" u="1"/>
        <s v="2018-01-04-03:00" u="1"/>
        <s v="2018-01-08-12:00" u="1"/>
        <s v="2018-01-24-02:00" u="1"/>
        <s v="2018-02-08-12:00" u="1"/>
        <s v="2018-02-28-11:00" u="1"/>
        <s v="2018-03-08-12:00" u="1"/>
        <s v="2018-03-28-11:00" u="1"/>
        <s v="2018-04-04-03:00" u="1"/>
        <s v="2018-04-24-02:00" u="1"/>
        <s v="2018-05-04-03:00" u="1"/>
        <s v="2018-05-08-12:00" u="1"/>
        <s v="2018-05-24-02:00" u="1"/>
        <s v="2018-05-28-11:00" u="1"/>
        <s v="2018-06-04-03:00" u="1"/>
        <s v="2018-06-08-12:00" u="1"/>
        <s v="2018-06-28-11:00" u="1"/>
        <s v="2018-07-04-03:00" u="1"/>
        <s v="2018-07-24-02:00" u="1"/>
        <s v="2018-08-08-12:00" u="1"/>
        <s v="2017-01-06-12:00" u="1"/>
        <s v="2017-01-26-11:00" u="1"/>
        <s v="2017-02-06-12:00" u="1"/>
        <s v="2017-03-06-12:00" u="1"/>
        <s v="2017-04-06-12:00" u="1"/>
        <s v="2017-04-26-11:00" u="1"/>
        <s v="2017-05-26-11:00" u="1"/>
        <s v="2017-06-06-12:00" u="1"/>
        <s v="2017-06-26-11:00" u="1"/>
        <s v="2017-07-06-12:00" u="1"/>
        <s v="2017-07-26-11:00" u="1"/>
        <s v="2017-09-06-12:00" u="1"/>
        <s v="2017-09-26-11:00" u="1"/>
        <s v="2017-10-06-12:00" u="1"/>
        <s v="2017-10-26-11:00" u="1"/>
        <s v="2017-11-06-12:00" u="1"/>
        <s v="2017-12-06-12:00" u="1"/>
        <s v="2017-12-22-02:00" u="1"/>
        <s v="2017-12-26-11:00" u="1"/>
        <s v="2016-01-08-21:00" u="1"/>
        <s v="2016-01-20-02:00" u="1"/>
        <s v="2016-01-28-20:00" u="1"/>
        <s v="2016-02-08-21:00" u="1"/>
        <s v="2016-03-08-21:00" u="1"/>
        <s v="2016-03-28-20:00" u="1"/>
        <s v="2016-04-08-21:00" u="1"/>
        <s v="2016-04-20-02:00" u="1"/>
        <s v="2016-04-28-20:00" u="1"/>
        <s v="2016-05-20-02:00" u="1"/>
        <s v="2016-06-08-21:00" u="1"/>
        <s v="2016-06-20-02:00" u="1"/>
        <s v="2016-06-28-20:00" u="1"/>
        <s v="2016-07-08-21:00" u="1"/>
        <s v="2016-07-20-02:00" u="1"/>
        <s v="2016-07-28-20:00" u="1"/>
        <s v="2016-08-08-21:00" u="1"/>
        <s v="2016-09-08-21:00" u="1"/>
        <s v="2016-09-20-02:00" u="1"/>
        <s v="2016-09-28-20:00" u="1"/>
        <s v="2016-10-20-02:00" u="1"/>
        <s v="2016-12-20-02:00" u="1"/>
        <s v="2018-01-12-02:00" u="1"/>
        <s v="2018-01-16-11:00" u="1"/>
        <s v="2018-02-12-02:00" u="1"/>
        <s v="2018-02-16-11:00" u="1"/>
        <s v="2018-03-12-02:00" u="1"/>
        <s v="2018-03-16-11:00" u="1"/>
        <s v="2018-04-12-02:00" u="1"/>
        <s v="2018-04-16-11:00" u="1"/>
        <s v="2018-05-16-11:00" u="1"/>
        <s v="2018-06-12-02:00" u="1"/>
        <s v="2018-07-12-02:00" u="1"/>
        <s v="2018-07-16-11:00" u="1"/>
        <s v="2017-01-10-02:00" u="1"/>
        <s v="2017-01-18-20:00" u="1"/>
        <s v="2017-01-30-01:00" u="1"/>
        <s v="2017-02-10-02:00" u="1"/>
        <s v="2017-03-10-02:00" u="1"/>
        <s v="2017-03-30-01:00" u="1"/>
        <s v="2017-04-10-02:00" u="1"/>
        <s v="2017-04-18-20:00" u="1"/>
        <s v="2017-05-10-02:00" u="1"/>
        <s v="2017-05-18-20:00" u="1"/>
        <s v="2017-05-30-01:00" u="1"/>
        <s v="2017-06-30-01:00" u="1"/>
        <s v="2017-07-10-02:00" u="1"/>
        <s v="2017-07-18-20:00" u="1"/>
        <s v="2017-08-10-02:00" u="1"/>
        <s v="2017-08-18-20:00" u="1"/>
        <s v="2017-08-30-01:00" u="1"/>
        <s v="2017-09-18-20:00" u="1"/>
        <s v="2017-10-10-02:00" u="1"/>
        <s v="2017-10-18-20:00" u="1"/>
        <s v="2017-10-30-01:00" u="1"/>
        <s v="2017-11-10-02:00" u="1"/>
        <s v="2017-11-30-01:00" u="1"/>
        <s v="2017-12-14-11:00" u="1"/>
        <s v="2017-12-18-20:00" u="1"/>
        <s v="2016-01-12-11:00" u="1"/>
        <s v="2016-02-12-11:00" u="1"/>
        <s v="2016-04-12-11:00" u="1"/>
        <s v="2016-05-12-11:00" u="1"/>
        <s v="2016-07-12-11:00" u="1"/>
        <s v="2016-08-12-11:00" u="1"/>
        <s v="2016-09-12-11:00" u="1"/>
        <s v="2016-10-12-11:00" u="1"/>
        <s v="2016-11-16-20:00" u="1"/>
        <s v="2016-12-12-11:00" u="1"/>
        <s v="2016-12-16-20:00" u="1"/>
        <s v="2018-01-04-11:00" u="1"/>
        <s v="2018-01-08-20:00" u="1"/>
        <s v="2018-01-24-10:00" u="1"/>
        <s v="2018-02-08-20:00" u="1"/>
        <s v="2018-02-20-01:00" u="1"/>
        <s v="2018-03-08-20:00" u="1"/>
        <s v="2018-03-20-01:00" u="1"/>
        <s v="2018-04-04-11:00" u="1"/>
        <s v="2018-04-20-01:00" u="1"/>
        <s v="2018-04-24-10:00" u="1"/>
        <s v="2018-05-04-11:00" u="1"/>
        <s v="2018-05-08-20:00" u="1"/>
        <s v="2018-05-24-10:00" u="1"/>
        <s v="2018-06-04-11:00" u="1"/>
        <s v="2018-06-08-20:00" u="1"/>
        <s v="2018-06-20-01:00" u="1"/>
        <s v="2018-07-04-11:00" u="1"/>
        <s v="2018-07-20-01:00" u="1"/>
        <s v="2018-07-24-10:00" u="1"/>
        <s v="2017-01-02-11:00" u="1"/>
        <s v="2017-02-02-11:00" u="1"/>
        <s v="2017-02-22-10:00" u="1"/>
        <s v="2017-03-02-11:00" u="1"/>
        <s v="2017-03-22-10:00" u="1"/>
        <s v="2017-05-02-11:00" u="1"/>
        <s v="2017-05-22-10:00" u="1"/>
        <s v="2017-06-02-11:00" u="1"/>
        <s v="2017-06-22-10:00" u="1"/>
        <s v="2017-08-02-11:00" u="1"/>
        <s v="2017-08-22-10:00" u="1"/>
        <s v="2017-09-22-10:00" u="1"/>
        <s v="2017-10-02-11:00" u="1"/>
        <s v="2017-11-02-11:00" u="1"/>
        <s v="2017-11-22-10:00" u="1"/>
        <s v="2017-12-06-20:00" u="1"/>
        <s v="2017-12-22-10:00" u="1"/>
        <s v="2016-10-20-10:00" u="1"/>
        <s v="2016-12-20-10:00" u="1"/>
        <s v="2018-01-12-10:00" u="1"/>
        <s v="2018-02-12-10:00" u="1"/>
        <s v="2018-03-12-10:00" u="1"/>
        <s v="2018-04-12-10:00" u="1"/>
        <s v="2018-06-12-10:00" u="1"/>
        <s v="2018-07-12-10:00" u="1"/>
        <s v="2016-01-19-05:00" u="1"/>
        <s v="2016-02-19-05: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7-08-09-05:00" u="1"/>
        <s v="2017-08-29-04:00" u="1"/>
        <s v="2017-09-29-04:00" u="1"/>
        <s v="2017-10-09-05:00" u="1"/>
        <s v="2017-11-09-05:00" u="1"/>
        <s v="2017-11-29-04:00" u="1"/>
        <s v="2017-12-29-04:00" u="1"/>
        <s v="2018-01-19-04:00" u="1"/>
        <s v="2018-02-19-04:00" u="1"/>
        <s v="2018-03-19-04:00" u="1"/>
        <s v="2018-04-19-04:00" u="1"/>
        <s v="2018-06-19-04:00" u="1"/>
        <s v="2018-07-19-04:00" u="1"/>
        <s v="2016-01-15-04:00" u="1"/>
        <s v="2016-02-15-04:00" u="1"/>
        <s v="2016-03-15-04:00" u="1"/>
        <s v="2016-04-15-04:00" u="1"/>
        <s v="2016-06-15-04:00" u="1"/>
        <s v="2016-07-15-04:00" u="1"/>
        <s v="2016-08-15-04:00" u="1"/>
        <s v="2016-09-15-04:00" u="1"/>
        <s v="2016-11-15-04:00" u="1"/>
        <s v="2016-12-15-04:00" u="1"/>
        <s v="2018-02-07-04:00" u="1"/>
        <s v="2018-02-27-03:00" u="1"/>
        <s v="2018-03-07-04:00" u="1"/>
        <s v="2018-03-27-03:00" u="1"/>
        <s v="2018-04-27-03:00" u="1"/>
        <s v="2018-05-07-04:00" u="1"/>
        <s v="2018-06-07-04:00" u="1"/>
        <s v="2018-06-27-03:00" u="1"/>
        <s v="2018-07-27-03:00" u="1"/>
        <s v="2017-01-05-04:00" u="1"/>
        <s v="2017-01-25-03:00" u="1"/>
        <s v="2017-04-05-04:00" u="1"/>
        <s v="2017-04-25-03:00" u="1"/>
        <s v="2017-05-05-04:00" u="1"/>
        <s v="2017-05-25-03:00" u="1"/>
        <s v="2017-06-05-04:00" u="1"/>
        <s v="2017-07-05-04:00" u="1"/>
        <s v="2017-07-25-03:00" u="1"/>
        <s v="2017-08-25-03:00" u="1"/>
        <s v="2017-09-05-04:00" u="1"/>
        <s v="2017-09-25-03:00" u="1"/>
        <s v="2017-10-05-04:00" u="1"/>
        <s v="2017-10-25-03:00" u="1"/>
        <s v="2017-11-29-12:00" u="1"/>
        <s v="2017-12-05-04:00" u="1"/>
        <s v="2017-12-29-12:00" u="1"/>
        <s v="2018-01-15-03:00" u="1"/>
        <s v="2018-01-19-12:00" u="1"/>
        <s v="2018-02-15-03:00" u="1"/>
        <s v="2018-02-19-12:00" u="1"/>
        <s v="2018-03-15-03:00" u="1"/>
        <s v="2018-03-19-12:00" u="1"/>
        <s v="2018-04-19-12:00" u="1"/>
        <s v="2018-05-15-03:00" u="1"/>
        <s v="2018-06-15-03:00" u="1"/>
        <s v="2018-06-19-12:00" u="1"/>
        <s v="2018-07-19-12:00" u="1"/>
        <s v="2017-01-17-12:00" u="1"/>
        <s v="2017-02-17-12:00" u="1"/>
        <s v="2017-03-17-12:00" u="1"/>
        <s v="2017-04-17-12:00" u="1"/>
        <s v="2017-05-17-12:00" u="1"/>
        <s v="2017-07-17-12:00" u="1"/>
        <s v="2017-08-17-12:00" u="1"/>
        <s v="2017-12-13-03:00" u="1"/>
        <s v="2016-01-11-03:00" u="1"/>
        <s v="2016-01-15-12:00" u="1"/>
        <s v="2016-02-11-03:00" u="1"/>
        <s v="2016-02-15-12:00" u="1"/>
        <s v="2016-03-11-03:00" u="1"/>
        <s v="2016-03-15-12:00" u="1"/>
        <s v="2016-03-31-02:00" u="1"/>
        <s v="2016-04-11-03:00" u="1"/>
        <s v="2016-04-15-12:00" u="1"/>
        <s v="2016-05-11-03:00" u="1"/>
        <s v="2016-05-31-02:00" u="1"/>
        <s v="2016-06-15-12:00" u="1"/>
        <s v="2016-07-11-03:00" u="1"/>
        <s v="2016-07-15-12:00" u="1"/>
        <s v="2016-08-11-03:00" u="1"/>
        <s v="2016-08-15-12:00" u="1"/>
        <s v="2016-08-31-02:00" u="1"/>
        <s v="2016-09-15-12:00" u="1"/>
        <s v="2016-11-15-12:00" u="1"/>
        <s v="2016-12-15-12:00" u="1"/>
        <s v="2018-01-03-03:00" u="1"/>
        <s v="2018-01-23-02:00" u="1"/>
        <s v="2018-02-07-12:00" u="1"/>
        <s v="2018-02-23-02:00" u="1"/>
        <s v="2018-02-27-11:00" u="1"/>
        <s v="2018-03-07-12:00" u="1"/>
        <s v="2018-03-23-02:00" u="1"/>
        <s v="2018-03-27-11:00" u="1"/>
        <s v="2018-04-03-03:00" u="1"/>
        <s v="2018-04-23-02:00" u="1"/>
        <s v="2018-04-27-11:00" u="1"/>
        <s v="2018-05-03-03:00" u="1"/>
        <s v="2018-05-07-12:00" u="1"/>
        <s v="2018-05-23-02:00" u="1"/>
        <s v="2018-06-07-12:00" u="1"/>
        <s v="2018-06-27-11:00" u="1"/>
        <s v="2018-07-03-03:00" u="1"/>
        <s v="2018-07-23-02:00" u="1"/>
        <s v="2018-07-27-11:00" u="1"/>
        <s v="2017-02-01-03:00" u="1"/>
        <s v="2017-02-21-02:00" u="1"/>
        <s v="2017-03-01-03:00" u="1"/>
        <s v="2017-03-21-02:00" u="1"/>
        <s v="2017-04-21-02:00" u="1"/>
        <s v="2017-05-01-03:00" u="1"/>
        <s v="2017-06-01-03:00" u="1"/>
        <s v="2017-06-21-02:00" u="1"/>
        <s v="2017-07-21-02:00" u="1"/>
        <s v="2017-08-01-03:00" u="1"/>
        <s v="2017-08-21-02:00" u="1"/>
        <s v="2017-09-01-03:00" u="1"/>
        <s v="2017-09-21-02:00" u="1"/>
        <s v="2017-10-05-12:00" u="1"/>
        <s v="2017-10-25-11:00" u="1"/>
        <s v="2017-11-29-20:00" u="1"/>
        <s v="2017-12-01-03:00" u="1"/>
        <s v="2017-12-05-12:00" u="1"/>
        <s v="2017-12-21-02:00" u="1"/>
        <s v="2017-12-29-20:00" u="1"/>
        <s v="2016-01-07-21:00" u="1"/>
        <s v="2016-01-27-20:00" u="1"/>
        <s v="2016-03-07-21:00" u="1"/>
        <s v="2016-04-07-21:00" u="1"/>
        <s v="2016-04-27-20:00" u="1"/>
        <s v="2016-05-27-20:00" u="1"/>
        <s v="2016-06-07-21:00" u="1"/>
        <s v="2016-06-27-20:00" u="1"/>
        <s v="2016-07-07-21:00" u="1"/>
        <s v="2016-07-27-20:00" u="1"/>
        <s v="2016-09-07-21:00" u="1"/>
        <s v="2016-09-27-20:00" u="1"/>
        <s v="2016-10-07-21:00" u="1"/>
        <s v="2016-10-27-20:00" u="1"/>
        <s v="2016-11-07-21:00" u="1"/>
        <s v="2016-12-07-21:00" u="1"/>
        <s v="2016-12-27-20:00" u="1"/>
        <s v="2018-01-11-02:00" u="1"/>
        <s v="2018-01-15-11:00" u="1"/>
        <s v="2018-01-19-20:00" u="1"/>
        <s v="2018-01-31-01:00" u="1"/>
        <s v="2018-02-15-11:00" u="1"/>
        <s v="2018-02-19-20:00" u="1"/>
        <s v="2018-03-15-11:00" u="1"/>
        <s v="2018-03-19-20:00" u="1"/>
        <s v="2018-04-11-02:00" u="1"/>
        <s v="2018-04-19-20:00" u="1"/>
        <s v="2018-05-11-02:00" u="1"/>
        <s v="2018-05-15-11:00" u="1"/>
        <s v="2018-05-31-01:00" u="1"/>
        <s v="2018-06-11-02:00" u="1"/>
        <s v="2018-06-15-11:00" u="1"/>
        <s v="2018-06-19-20:00" u="1"/>
        <s v="2018-07-11-02:00" u="1"/>
        <s v="2018-07-19-20:00" u="1"/>
        <s v="2017-01-17-20:00" u="1"/>
        <s v="2017-02-17-20:00" u="1"/>
        <s v="2017-03-17-20:00" u="1"/>
        <s v="2017-04-17-20:00" u="1"/>
        <s v="2017-05-17-20:00" u="1"/>
        <s v="2017-07-17-20:00" u="1"/>
        <s v="2017-08-17-20:00" u="1"/>
        <s v="2017-10-17-20:00" u="1"/>
        <s v="2017-11-17-20:00" u="1"/>
        <s v="2017-12-13-11:00" u="1"/>
        <s v="2016-01-11-11:00" u="1"/>
        <s v="2016-02-11-11:00" u="1"/>
        <s v="2016-03-11-11:00" u="1"/>
        <s v="2016-03-31-10:00" u="1"/>
        <s v="2016-04-11-11:00" u="1"/>
        <s v="2016-05-11-11:00" u="1"/>
        <s v="2016-05-31-10:00" u="1"/>
        <s v="2016-07-11-11:00" u="1"/>
        <s v="2016-08-11-11:00" u="1"/>
        <s v="2016-08-31-10:00" u="1"/>
        <s v="2016-10-11-11:00" u="1"/>
        <s v="2016-10-31-10:00" u="1"/>
        <s v="2016-11-11-11:00" u="1"/>
        <s v="2018-01-03-11:00" u="1"/>
        <s v="2018-01-23-10:00" u="1"/>
        <s v="2018-02-07-20:00" u="1"/>
        <s v="2018-02-23-10:00" u="1"/>
        <s v="2018-03-07-20:00" u="1"/>
        <s v="2018-03-23-10:00" u="1"/>
        <s v="2018-04-03-11:00" u="1"/>
        <s v="2018-04-23-10:00" u="1"/>
        <s v="2018-05-03-11:00" u="1"/>
        <s v="2018-05-07-20:00" u="1"/>
        <s v="2018-05-23-10:00" u="1"/>
        <s v="2018-06-07-20:00" u="1"/>
        <s v="2018-07-03-11:00" u="1"/>
        <s v="2018-07-23-10:00" u="1"/>
        <s v="9999-99-99-99:02" u="1"/>
        <s v="2017-02-01-11:00" u="1"/>
        <s v="2017-02-21-10:00" u="1"/>
        <s v="2017-03-01-11:00" u="1"/>
        <s v="2017-03-21-10:00" u="1"/>
        <s v="2017-04-21-10:00" u="1"/>
        <s v="2017-05-01-11:00" u="1"/>
        <s v="2017-06-01-11:00" u="1"/>
        <s v="2017-06-21-10:00" u="1"/>
        <s v="2017-07-21-10:00" u="1"/>
        <s v="2017-08-01-11:00" u="1"/>
        <s v="2017-08-21-10:00" u="1"/>
        <s v="2017-09-01-11:00" u="1"/>
        <s v="2017-09-21-10:00" u="1"/>
        <s v="2017-11-01-11:00" u="1"/>
        <s v="2017-11-21-10:00" u="1"/>
        <s v="2017-12-01-11:00" u="1"/>
        <s v="2017-12-05-20:00" u="1"/>
        <s v="2017-12-21-10:00" u="1"/>
        <s v="2016-02-03-20:00" u="1"/>
        <s v="2016-03-03-20:00" u="1"/>
        <s v="2016-05-03-20:00" u="1"/>
        <s v="2016-06-03-20:00" u="1"/>
        <s v="2016-08-03-20:00" u="1"/>
        <s v="2016-10-03-20:00" u="1"/>
        <s v="2016-11-03-20:00" u="1"/>
        <s v="2018-01-11-10:00" u="1"/>
        <s v="2018-04-11-10:00" u="1"/>
        <s v="2018-05-11-10:00" u="1"/>
        <s v="2018-06-11-10:00" u="1"/>
        <s v="2018-07-11-10:00" u="1"/>
        <s v="2016-10-18-05:00" u="1"/>
        <s v="2016-11-18-05:00" u="1"/>
        <s v="2017-11-08-05:00" u="1"/>
        <s v="2017-11-28-04:00" u="1"/>
        <s v="2017-12-08-05:00" u="1"/>
        <s v="2017-12-28-04:00" u="1"/>
        <s v="2018-01-18-04:00" u="1"/>
        <s v="2018-04-18-04:00" u="1"/>
        <s v="2018-05-18-04:00" u="1"/>
        <s v="2018-06-18-04:00" u="1"/>
        <s v="2018-07-18-04:00" u="1"/>
        <s v="2016-01-14-04:00" u="1"/>
        <s v="2016-03-14-04:00" u="1"/>
        <s v="2016-04-14-04:00" u="1"/>
        <s v="2016-06-14-04:00" u="1"/>
        <s v="2016-07-14-04:00" u="1"/>
        <s v="2016-09-14-04:00" u="1"/>
        <s v="2016-10-14-04:00" u="1"/>
        <s v="2016-11-14-04:00" u="1"/>
        <s v="2016-12-14-04:00" u="1"/>
        <s v="2018-01-26-03:00" u="1"/>
        <s v="2018-02-06-04:00" u="1"/>
        <s v="2018-02-26-03:00" u="1"/>
        <s v="2018-03-06-04:00" u="1"/>
        <s v="2018-03-26-03:00" u="1"/>
        <s v="2018-04-06-04:00" u="1"/>
        <s v="2018-04-26-03:00" u="1"/>
        <s v="2018-06-06-04:00" u="1"/>
        <s v="2018-06-26-03:00" u="1"/>
        <s v="2018-07-06-04:00" u="1"/>
        <s v="2018-07-26-03:00" u="1"/>
        <s v="2017-01-04-04:00" u="1"/>
        <s v="2017-01-24-03:00" u="1"/>
        <s v="2017-02-24-03:00" u="1"/>
        <s v="2017-03-24-03:00" u="1"/>
        <s v="2017-04-04-04:00" u="1"/>
        <s v="2017-04-24-03:00" u="1"/>
        <s v="2017-05-04-04:00" u="1"/>
        <s v="2017-05-24-03:00" u="1"/>
        <s v="2017-07-04-04:00" u="1"/>
        <s v="2017-07-24-03:00" u="1"/>
        <s v="2017-08-04-04:00" u="1"/>
        <s v="2017-08-24-03:00" u="1"/>
        <s v="2017-09-04-04:00" u="1"/>
        <s v="2017-10-04-04:00" u="1"/>
        <s v="2017-10-24-03:00" u="1"/>
        <s v="2017-11-24-03:00" u="1"/>
        <s v="2017-12-04-04:00" u="1"/>
        <s v="2017-12-08-13:00" u="1"/>
        <s v="2017-12-28-12:00" u="1"/>
        <s v="2016-01-06-13:00" u="1"/>
        <s v="2016-01-26-12:00" u="1"/>
        <s v="2016-02-26-12:00" u="1"/>
        <s v="2016-04-06-13:00" u="1"/>
        <s v="2016-04-26-12:00" u="1"/>
        <s v="2016-05-06-13:00" u="1"/>
        <s v="2016-05-26-12:00" u="1"/>
        <s v="2016-06-06-13:00" u="1"/>
        <s v="2016-07-06-13:00" u="1"/>
        <s v="2016-07-26-12:00" u="1"/>
        <s v="2016-08-26-12:00" u="1"/>
        <s v="2016-09-06-13:00" u="1"/>
        <s v="2016-09-26-12:00" u="1"/>
        <s v="2016-10-06-13:00" u="1"/>
        <s v="2016-10-26-12:00" u="1"/>
        <s v="2016-12-06-13:00" u="1"/>
        <s v="2016-12-26-12:00" u="1"/>
        <s v="2018-01-18-12:00" u="1"/>
        <s v="2018-02-14-03:00" u="1"/>
        <s v="2018-03-14-03:00" u="1"/>
        <s v="2018-04-18-12:00" u="1"/>
        <s v="2018-05-14-03:00" u="1"/>
        <s v="2018-05-18-12:00" u="1"/>
        <s v="2018-06-14-03:00" u="1"/>
        <s v="2018-06-18-12:00" u="1"/>
        <s v="2018-07-18-12:00" u="1"/>
        <s v="2017-01-16-12:00" u="1"/>
        <s v="2017-02-16-12:00" u="1"/>
        <s v="2017-03-16-12:00" u="1"/>
        <s v="2017-05-16-12:00" u="1"/>
        <s v="2017-06-16-12:00" u="1"/>
        <s v="2017-08-16-12:00" u="1"/>
        <s v="2017-10-16-12:00" u="1"/>
        <s v="2017-11-16-12:00" u="1"/>
        <s v="2017-12-12-03:00" u="1"/>
        <s v="2012-03-30-12:00" u="1"/>
        <s v="2012-04-30-12:00" u="1"/>
        <s v="2012-05-30-12:00" u="1"/>
        <s v="2012-07-30-12:00" u="1"/>
        <s v="2012-08-30-12:00" u="1"/>
        <s v="2016-01-18-21:00" u="1"/>
        <s v="2016-02-10-03:00" u="1"/>
        <s v="2016-02-18-21:00" u="1"/>
        <s v="2016-03-10-03:00" u="1"/>
        <s v="2016-03-18-21:00" u="1"/>
        <s v="2016-03-30-02:00" u="1"/>
        <s v="2016-04-18-21:00" u="1"/>
        <s v="2016-05-10-03:00" u="1"/>
        <s v="2016-05-18-21:00" u="1"/>
        <s v="2016-05-30-02:00" u="1"/>
        <s v="2016-06-10-03:00" u="1"/>
        <s v="2016-06-30-02:00" u="1"/>
        <s v="2016-07-18-21:00" u="1"/>
        <s v="2016-08-10-03:00" u="1"/>
        <s v="2016-08-18-21:00" u="1"/>
        <s v="2016-08-30-02:00" u="1"/>
        <s v="2016-09-30-02:00" u="1"/>
        <s v="2016-10-10-03:00" u="1"/>
        <s v="2016-11-10-03:00" u="1"/>
        <s v="2016-11-30-02:00" u="1"/>
        <s v="2016-12-30-02:00" u="1"/>
        <s v="2018-01-22-02:00" u="1"/>
        <s v="2018-01-26-11:00" u="1"/>
        <s v="2018-02-02-03:00" u="1"/>
        <s v="2018-02-06-12:00" u="1"/>
        <s v="2018-02-22-02:00" u="1"/>
        <s v="2018-02-26-11:00" u="1"/>
        <s v="2018-03-02-03:00" u="1"/>
        <s v="2018-03-06-12:00" u="1"/>
        <s v="2018-03-22-02:00" u="1"/>
        <s v="2018-03-26-11:00" u="1"/>
        <s v="2018-04-02-03:00" u="1"/>
        <s v="2018-04-06-12:00" u="1"/>
        <s v="2018-04-26-11:00" u="1"/>
        <s v="2018-05-02-03:00" u="1"/>
        <s v="2018-05-22-02:00" u="1"/>
        <s v="2018-06-06-12:00" u="1"/>
        <s v="2018-06-22-02:00" u="1"/>
        <s v="2018-06-26-11:00" u="1"/>
        <s v="2018-07-02-03:00" u="1"/>
        <s v="2018-07-06-12:00" u="1"/>
        <s v="2018-07-26-11:00" u="1"/>
        <s v="2017-01-20-02:00" u="1"/>
        <s v="2017-02-08-21:00" u="1"/>
        <s v="2017-02-20-02:00" u="1"/>
        <s v="2017-02-28-20:00" u="1"/>
        <s v="2017-03-08-21:00" u="1"/>
        <s v="2017-03-20-02:00" u="1"/>
        <s v="2017-03-28-20:00" u="1"/>
        <s v="2017-04-20-02:00" u="1"/>
        <s v="2017-04-28-20:00" u="1"/>
        <s v="2017-05-08-21:00" u="1"/>
        <s v="2017-06-08-21:00" u="1"/>
        <s v="2017-06-20-02:00" u="1"/>
        <s v="2017-06-28-20:00" u="1"/>
        <s v="2017-07-20-02:00" u="1"/>
        <s v="2017-07-28-20:00" u="1"/>
        <s v="2017-08-08-21:00" u="1"/>
        <s v="2017-08-28-20:00" u="1"/>
        <s v="2017-09-08-21:00" u="1"/>
        <s v="2017-09-20-02:00" u="1"/>
        <s v="2017-09-28-20:00" u="1"/>
        <s v="2017-10-20-02:00" u="1"/>
        <s v="2017-11-20-02:00" u="1"/>
        <s v="2017-11-28-20:00" u="1"/>
        <s v="2017-12-04-12:00" u="1"/>
        <s v="2017-12-08-21:00" u="1"/>
        <s v="2017-12-20-02:00" u="1"/>
        <s v="2017-12-28-20:00" u="1"/>
        <s v="2016-01-06-21:00" u="1"/>
        <s v="2016-01-22-11:00" u="1"/>
        <s v="2016-01-26-20:00" u="1"/>
        <s v="2016-02-02-12:00" u="1"/>
        <s v="2016-02-22-11:00" u="1"/>
        <s v="2016-02-26-20:00" u="1"/>
        <s v="2016-03-02-12:00" u="1"/>
        <s v="2016-03-22-11:00" u="1"/>
        <s v="2016-04-06-21:00" u="1"/>
        <s v="2016-04-22-11:00" u="1"/>
        <s v="2016-04-26-20:00" u="1"/>
        <s v="2016-05-02-12:00" u="1"/>
        <s v="2016-05-06-21:00" u="1"/>
        <s v="2016-05-26-20:00" u="1"/>
        <s v="2016-06-02-12:00" u="1"/>
        <s v="2016-06-06-21:00" u="1"/>
        <s v="2016-06-22-11:00" u="1"/>
        <s v="2016-07-06-21:00" u="1"/>
        <s v="2016-07-22-11:00" u="1"/>
        <s v="2016-07-26-20:00" u="1"/>
        <s v="2016-08-02-12:00" u="1"/>
        <s v="2016-08-22-11:00" u="1"/>
        <s v="2016-08-26-20:00" u="1"/>
        <s v="2016-09-02-12:00" u="1"/>
        <s v="2016-09-06-21:00" u="1"/>
        <s v="2016-09-22-11:00" u="1"/>
        <s v="2016-09-26-20:00" u="1"/>
        <s v="2016-10-06-21:00" u="1"/>
        <s v="2016-10-26-20:00" u="1"/>
        <s v="2016-12-06-21:00" u="1"/>
        <s v="2016-12-26-20:00" u="1"/>
        <s v="2018-01-10-02:00" u="1"/>
        <s v="2018-01-18-20:00" u="1"/>
        <s v="2018-01-30-01:00" u="1"/>
        <s v="2018-02-14-11:00" u="1"/>
        <s v="2018-03-14-11:00" u="1"/>
        <s v="2018-03-30-01:00" u="1"/>
        <s v="2018-04-10-02:00" u="1"/>
        <s v="2018-04-18-20:00" u="1"/>
        <s v="2018-04-30-01:00" u="1"/>
        <s v="2018-05-10-02:00" u="1"/>
        <s v="2018-05-14-11:00" u="1"/>
        <s v="2018-05-18-20:00" u="1"/>
        <s v="2018-05-30-01:00" u="1"/>
        <s v="2018-06-14-11:00" u="1"/>
        <s v="2018-06-18-20:00" u="1"/>
        <s v="2018-07-10-02:00" u="1"/>
        <s v="2018-07-18-20:00" u="1"/>
        <s v="2017-01-12-11:00" u="1"/>
        <s v="2017-04-12-11:00" u="1"/>
        <s v="2017-05-12-11:00" u="1"/>
        <s v="2017-06-12-11:00" u="1"/>
        <s v="2017-07-12-11:00" u="1"/>
        <s v="2017-09-12-11:00" u="1"/>
        <s v="2017-10-12-11:00" u="1"/>
        <s v="2017-10-16-20:00" u="1"/>
        <s v="2017-11-16-20:00" u="1"/>
        <s v="2017-12-12-11:00" u="1"/>
        <s v="2014-07-22-20:00" u="1"/>
        <s v="2014-09-22-20:00" u="1"/>
        <s v="2016-10-10-11:00" u="1"/>
        <s v="2016-11-10-11:00" u="1"/>
        <s v="2016-11-30-10:00" u="1"/>
        <s v="2016-12-30-10:00" u="1"/>
        <s v="2018-01-02-11:00" u="1"/>
        <s v="2018-01-22-10:00" u="1"/>
        <s v="2018-02-02-11:00" u="1"/>
        <s v="2018-02-06-20:00" u="1"/>
        <s v="2018-02-22-10:00" u="1"/>
        <s v="2018-03-02-11:00" u="1"/>
        <s v="2018-03-06-20:00" u="1"/>
        <s v="2018-03-22-10:00" u="1"/>
        <s v="2018-04-02-11:00" u="1"/>
        <s v="2018-04-06-20:00" u="1"/>
        <s v="2018-05-02-11:00" u="1"/>
        <s v="2018-05-22-10:00" u="1"/>
        <s v="2018-06-06-20:00" u="1"/>
        <s v="2018-06-22-10:00" u="1"/>
        <s v="2018-07-02-11:00" u="1"/>
        <s v="2018-07-06-20:00" u="1"/>
        <s v="2017-10-20-10:00" u="1"/>
        <s v="2017-11-20-10:00" u="1"/>
        <s v="2017-12-04-20:00" u="1"/>
        <s v="2017-12-20-10:00" u="1"/>
        <s v="2016-02-02-20:00" u="1"/>
        <s v="2016-03-02-20:00" u="1"/>
        <s v="2016-05-02-20:00" u="1"/>
        <s v="2016-06-02-20:00" u="1"/>
        <s v="2016-08-02-20:00" u="1"/>
        <s v="2016-09-02-20:00" u="1"/>
        <s v="2016-11-02-20:00" u="1"/>
        <s v="2016-12-02-20:00" u="1"/>
        <s v="2018-01-10-10:00" u="1"/>
        <s v="2018-04-10-10:00" u="1"/>
        <s v="2018-05-10-10:00" u="1"/>
        <s v="2018-07-10-10: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7-01-19-05:00" u="1"/>
        <s v="2017-04-19-05:00" u="1"/>
        <s v="2017-05-19-05:00" u="1"/>
        <s v="2017-06-19-05:00" u="1"/>
        <s v="2017-07-19-05:00" u="1"/>
        <s v="2017-09-19-05:00" u="1"/>
        <s v="2017-10-19-05:00" u="1"/>
        <s v="2017-12-19-05:00" u="1"/>
        <s v="2018-01-09-05:00" u="1"/>
        <s v="2018-01-29-04:00" u="1"/>
        <s v="2018-02-09-05:00" u="1"/>
        <s v="2018-03-09-05:00" u="1"/>
        <s v="2018-03-29-04:00" u="1"/>
        <s v="2018-04-09-05:00" u="1"/>
        <s v="2018-05-09-05:00" u="1"/>
        <s v="2018-05-29-04:00" u="1"/>
        <s v="2018-06-29-04:00" u="1"/>
        <s v="2018-07-09-05:00" u="1"/>
        <s v="2017-12-07-05:00" u="1"/>
        <s v="2017-12-27-04:00" u="1"/>
        <s v="2016-01-05-05:00" u="1"/>
        <s v="2016-01-25-04:00" u="1"/>
        <s v="2016-02-05-05:00" u="1"/>
        <s v="2016-02-25-04:00" u="1"/>
        <s v="2016-03-25-04:00" u="1"/>
        <s v="2016-04-05-05:00" u="1"/>
        <s v="2016-04-25-04:00" u="1"/>
        <s v="2016-05-05-05:00" u="1"/>
        <s v="2016-05-25-04:00" u="1"/>
        <s v="2016-07-05-05:00" u="1"/>
        <s v="2016-07-25-04:00" u="1"/>
        <s v="2016-08-05-05:00" u="1"/>
        <s v="2016-08-25-04:00" u="1"/>
        <s v="2016-09-05-05:00" u="1"/>
        <s v="2016-10-05-05:00" u="1"/>
        <s v="2016-10-25-04:00" u="1"/>
        <s v="2016-11-09-14:00" u="1"/>
        <s v="2016-11-25-04:00" u="1"/>
        <s v="2016-11-29-13:00" u="1"/>
        <s v="2016-12-05-05:00" u="1"/>
        <s v="2016-12-09-14:00" u="1"/>
        <s v="2016-12-29-13:00" u="1"/>
        <s v="2018-01-17-04:00" u="1"/>
        <s v="2018-04-17-04:00" u="1"/>
        <s v="2018-05-17-04:00" u="1"/>
        <s v="2018-07-17-04:00" u="1"/>
        <s v="2017-02-15-04:00" u="1"/>
        <s v="2017-03-15-04:00" u="1"/>
        <s v="2017-05-15-04:00" u="1"/>
        <s v="2017-06-15-04:00" u="1"/>
        <s v="2017-08-15-04:00" u="1"/>
        <s v="2017-09-15-04:00" u="1"/>
        <s v="2017-11-15-04:00" u="1"/>
        <s v="2017-12-15-04:00" u="1"/>
        <s v="2017-12-19-13:00" u="1"/>
        <s v="2016-10-13-04:00" u="1"/>
        <s v="2016-12-13-04:00" u="1"/>
        <s v="2018-01-05-04:00" u="1"/>
        <s v="2018-01-09-13:00" u="1"/>
        <s v="2018-01-25-03:00" u="1"/>
        <s v="2018-01-29-12:00" u="1"/>
        <s v="2018-02-05-04:00" u="1"/>
        <s v="2018-02-09-13:00" u="1"/>
        <s v="2018-03-05-04:00" u="1"/>
        <s v="2018-03-09-13:00" u="1"/>
        <s v="2018-03-29-12:00" u="1"/>
        <s v="2018-04-05-04:00" u="1"/>
        <s v="2018-04-09-13:00" u="1"/>
        <s v="2018-04-25-03:00" u="1"/>
        <s v="2018-05-09-13:00" u="1"/>
        <s v="2018-05-25-03:00" u="1"/>
        <s v="2018-05-29-12:00" u="1"/>
        <s v="2018-06-05-04:00" u="1"/>
        <s v="2018-06-25-03:00" u="1"/>
        <s v="2018-06-29-12:00" u="1"/>
        <s v="2018-07-05-04:00" u="1"/>
        <s v="2018-07-09-13:00" u="1"/>
        <s v="2018-07-25-03:00" u="1"/>
        <s v="2017-12-07-13:00" u="1"/>
        <s v="2017-12-27-12: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6-11-25-12:00" u="1"/>
        <s v="2016-12-05-13:00" u="1"/>
        <s v="2018-01-17-12:00" u="1"/>
        <s v="2018-02-13-03:00" u="1"/>
        <s v="2018-03-13-03:00" u="1"/>
        <s v="2018-04-13-03:00" u="1"/>
        <s v="2018-04-17-12:00" u="1"/>
        <s v="2018-05-17-12:00" u="1"/>
        <s v="2018-06-13-03:00" u="1"/>
        <s v="2018-07-13-03:00" u="1"/>
        <s v="2018-07-17-12:00" u="1"/>
        <s v="2017-01-11-03:00" u="1"/>
        <s v="2017-01-31-02:00" u="1"/>
        <s v="2017-02-15-12:00" u="1"/>
        <s v="2017-03-15-12:00" u="1"/>
        <s v="2017-03-31-02:00" u="1"/>
        <s v="2017-04-11-03:00" u="1"/>
        <s v="2017-05-11-03:00" u="1"/>
        <s v="2017-05-15-12:00" u="1"/>
        <s v="2017-05-31-02:00" u="1"/>
        <s v="2017-06-15-12:00" u="1"/>
        <s v="2017-07-11-03:00" u="1"/>
        <s v="2017-07-31-02:00" u="1"/>
        <s v="2017-08-11-03:00" u="1"/>
        <s v="2017-08-15-12:00" u="1"/>
        <s v="2017-08-31-02:00" u="1"/>
        <s v="2017-09-11-03:00" u="1"/>
        <s v="2017-09-15-12:00" u="1"/>
        <s v="2017-11-15-12:00" u="1"/>
        <s v="2017-12-11-03:00" u="1"/>
        <s v="2017-12-15-12:00" u="1"/>
        <s v="2017-12-19-21:00" u="1"/>
        <s v="2016-02-17-21:00" u="1"/>
        <s v="2016-03-17-21:00" u="1"/>
        <s v="2016-05-17-21:00" u="1"/>
        <s v="2016-06-17-21:00" u="1"/>
        <s v="2016-08-17-21:00" u="1"/>
        <s v="2016-10-17-21:00" u="1"/>
        <s v="2016-11-17-21:00" u="1"/>
        <s v="2018-01-05-12:00" u="1"/>
        <s v="2018-01-09-21:00" u="1"/>
        <s v="2018-01-25-11:00" u="1"/>
        <s v="2018-01-29-20:00" u="1"/>
        <s v="2018-02-01-03:00" u="1"/>
        <s v="2018-02-05-12:00" u="1"/>
        <s v="2018-02-09-21:00" u="1"/>
        <s v="2018-02-21-02:00" u="1"/>
        <s v="2018-03-01-03:00" u="1"/>
        <s v="2018-03-05-12:00" u="1"/>
        <s v="2018-03-09-21:00" u="1"/>
        <s v="2018-03-21-02:00" u="1"/>
        <s v="2018-03-29-20:00" u="1"/>
        <s v="2018-04-05-12:00" u="1"/>
        <s v="2018-04-09-21:00" u="1"/>
        <s v="2018-04-25-11:00" u="1"/>
        <s v="2018-05-01-03:00" u="1"/>
        <s v="2018-05-09-21:00" u="1"/>
        <s v="2018-05-21-02:00" u="1"/>
        <s v="2018-05-25-11:00" u="1"/>
        <s v="2018-05-29-20:00" u="1"/>
        <s v="2018-06-01-03:00" u="1"/>
        <s v="2018-06-05-12:00" u="1"/>
        <s v="2018-06-21-02:00" u="1"/>
        <s v="2018-06-25-11:00" u="1"/>
        <s v="2018-06-29-20:00" u="1"/>
        <s v="2018-07-05-12:00" u="1"/>
        <s v="2018-07-09-21:00" u="1"/>
        <s v="2018-07-25-11:00" u="1"/>
        <s v="2017-01-27-20:00" u="1"/>
        <s v="2017-02-07-21:00" u="1"/>
        <s v="2017-02-27-20:00" u="1"/>
        <s v="2017-03-07-21:00" u="1"/>
        <s v="2017-03-27-20:00" u="1"/>
        <s v="2017-04-07-21:00" u="1"/>
        <s v="2017-04-27-20:00" u="1"/>
        <s v="2017-06-07-21:00" u="1"/>
        <s v="2017-06-27-20:00" u="1"/>
        <s v="2017-07-07-21:00" u="1"/>
        <s v="2017-07-27-20:00" u="1"/>
        <s v="2017-08-07-21:00" u="1"/>
        <s v="2017-09-07-21:00" u="1"/>
        <s v="2017-09-27-20:00" u="1"/>
        <s v="2017-10-27-20:00" u="1"/>
        <s v="2017-11-07-21:00" u="1"/>
        <s v="2017-11-27-20:00" u="1"/>
        <s v="2017-12-07-21:00" u="1"/>
        <s v="2017-12-27-20:00" u="1"/>
        <s v="2016-01-21-11:00" u="1"/>
        <s v="2016-02-01-12:00" u="1"/>
        <s v="2016-03-01-12:00" u="1"/>
        <s v="2016-03-21-11:00" u="1"/>
        <s v="2016-04-01-12:00" u="1"/>
        <s v="2016-04-21-11:00" u="1"/>
        <s v="2016-06-01-12:00" u="1"/>
        <s v="2016-06-21-11:00" u="1"/>
        <s v="2016-07-01-12:00" u="1"/>
        <s v="2016-07-21-11:00" u="1"/>
        <s v="2016-08-01-12:00" u="1"/>
        <s v="2016-09-01-12:00" u="1"/>
        <s v="2016-09-21-11:00" u="1"/>
        <s v="2016-10-21-11:00" u="1"/>
        <s v="2016-11-01-12:00" u="1"/>
        <s v="2016-11-21-11:00" u="1"/>
        <s v="2016-12-01-12:00" u="1"/>
        <s v="2016-12-21-11:00" u="1"/>
        <s v="2018-01-17-20:00" u="1"/>
        <s v="2018-02-13-11:00" u="1"/>
        <s v="2018-03-13-11:00" u="1"/>
        <s v="2018-04-13-11:00" u="1"/>
        <s v="2018-04-17-20:00" u="1"/>
        <s v="2018-05-17-20:00" u="1"/>
        <s v="2018-06-13-11:00" u="1"/>
        <s v="2018-07-13-11:00" u="1"/>
        <s v="2018-07-17-20:00" u="1"/>
        <s v="2017-01-11-11:00" u="1"/>
        <s v="2017-01-31-10:00" u="1"/>
        <s v="2017-03-31-10:00" u="1"/>
        <s v="2017-04-11-11:00" u="1"/>
        <s v="2017-05-11-11:00" u="1"/>
        <s v="2017-05-31-10:00" u="1"/>
        <s v="2017-07-11-11:00" u="1"/>
        <s v="2017-07-31-10:00" u="1"/>
        <s v="2017-08-11-11:00" u="1"/>
        <s v="2017-08-31-10:00" u="1"/>
        <s v="2017-09-11-11:00" u="1"/>
        <s v="2017-10-11-11:00" u="1"/>
        <s v="2017-10-31-10:00" u="1"/>
        <s v="2017-12-11-11:00" u="1"/>
        <s v="2017-12-15-20:00" u="1"/>
        <s v="2016-01-13-20:00" u="1"/>
        <s v="2016-04-13-20:00" u="1"/>
        <s v="2016-05-13-20:00" u="1"/>
        <s v="2016-06-13-20:00" u="1"/>
        <s v="2016-07-13-20:00" u="1"/>
        <s v="2016-09-13-20:00" u="1"/>
        <s v="2018-01-05-20:00" u="1"/>
        <s v="2018-02-01-11:00" u="1"/>
        <s v="2018-02-05-20:00" u="1"/>
        <s v="2018-02-21-10:00" u="1"/>
        <s v="2018-03-01-11:00" u="1"/>
        <s v="2018-03-05-20:00" u="1"/>
        <s v="2018-03-21-10:00" u="1"/>
        <s v="2018-04-05-20:00" u="1"/>
        <s v="2018-05-01-11:00" u="1"/>
        <s v="2018-05-21-10:00" u="1"/>
        <s v="2018-06-01-11:00" u="1"/>
        <s v="2018-06-05-20:00" u="1"/>
        <s v="2018-06-21-10:00" u="1"/>
        <s v="2018-07-05-20:00" u="1"/>
        <s v="2017-01-03-20:00" u="1"/>
        <s v="2017-02-03-20:00" u="1"/>
        <s v="2017-03-03-20:00" u="1"/>
        <s v="2017-04-03-20:00" u="1"/>
        <s v="2017-05-03-20:00" u="1"/>
        <s v="2017-07-03-20:00" u="1"/>
        <s v="2017-08-03-20:00" u="1"/>
        <s v="2017-10-03-20:00" u="1"/>
        <s v="2017-11-03-20:00" u="1"/>
        <s v="2016-11-01-20:00" u="1"/>
        <s v="2016-12-01-20: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7-10-18-05:00" u="1"/>
        <s v="2017-12-18-05:00" u="1"/>
        <s v="2018-01-08-05:00" u="1"/>
        <s v="2018-02-08-05:00" u="1"/>
        <s v="2018-02-28-04:00" u="1"/>
        <s v="2018-03-08-05:00" u="1"/>
        <s v="2018-03-28-04:00" u="1"/>
        <s v="2018-05-08-05:00" u="1"/>
        <s v="2018-05-28-04:00" u="1"/>
        <s v="2018-06-08-05:00" u="1"/>
        <s v="2018-06-28-04:00" u="1"/>
        <s v="2018-08-08-05:00" u="1"/>
        <s v="2017-12-06-05:00" u="1"/>
        <s v="2016-01-04-05:00" u="1"/>
        <s v="2016-02-04-05:00" u="1"/>
        <s v="2016-02-24-04:00" u="1"/>
        <s v="2016-03-04-05:00" u="1"/>
        <s v="2016-03-24-04:00" u="1"/>
        <s v="2016-04-04-05:00" u="1"/>
        <s v="2016-05-04-05:00" u="1"/>
        <s v="2016-05-24-04:00" u="1"/>
        <s v="2016-06-24-04:00" u="1"/>
        <s v="2016-07-04-05:00" u="1"/>
        <s v="2016-08-04-05:00" u="1"/>
        <s v="2016-08-24-04:00" u="1"/>
        <s v="2016-10-04-05:00" u="1"/>
        <s v="2016-10-24-04:00" u="1"/>
        <s v="2016-11-04-05:00" u="1"/>
        <s v="2016-11-24-04:00" u="1"/>
        <s v="2018-01-16-04:00" u="1"/>
        <s v="2018-02-16-04:00" u="1"/>
        <s v="2018-03-16-04:00" u="1"/>
        <s v="2018-04-16-04:00" u="1"/>
        <s v="2018-05-16-04:00" u="1"/>
        <s v="2018-07-16-04:00" u="1"/>
        <s v="9999-99-99-99:52" u="1"/>
        <s v="2017-02-14-04:00" u="1"/>
        <s v="2017-03-14-04:00" u="1"/>
        <s v="2017-04-14-04:00" u="1"/>
        <s v="2017-06-14-04:00" u="1"/>
        <s v="2017-07-14-04:00" u="1"/>
        <s v="2017-08-14-04:00" u="1"/>
        <s v="2017-09-14-04:00" u="1"/>
        <s v="2017-11-14-04:00" u="1"/>
        <s v="2017-12-14-04:00" u="1"/>
        <s v="2017-12-18-13:00" u="1"/>
        <s v="2016-02-16-13:00" u="1"/>
        <s v="2016-03-16-13:00" u="1"/>
        <s v="2016-05-16-13:00" u="1"/>
        <s v="2016-06-16-13:00" u="1"/>
        <s v="2016-08-16-13:00" u="1"/>
        <s v="2016-09-16-13:00" u="1"/>
        <s v="2016-11-16-13:00" u="1"/>
        <s v="2016-12-16-13:00" u="1"/>
        <s v="2018-01-04-04:00" u="1"/>
        <s v="2018-01-08-13:00" u="1"/>
        <s v="2018-01-24-03:00" u="1"/>
        <s v="2018-02-08-13:00" u="1"/>
        <s v="2018-02-28-12:00" u="1"/>
        <s v="2018-03-08-13:00" u="1"/>
        <s v="2018-03-28-12:00" u="1"/>
        <s v="2018-04-04-04:00" u="1"/>
        <s v="2018-04-24-03:00" u="1"/>
        <s v="2018-05-04-04:00" u="1"/>
        <s v="2018-05-08-13:00" u="1"/>
        <s v="2018-05-24-03:00" u="1"/>
        <s v="2018-05-28-12:00" u="1"/>
        <s v="2018-06-04-04:00" u="1"/>
        <s v="2018-06-08-13:00" u="1"/>
        <s v="2018-06-28-12:00" u="1"/>
        <s v="2018-07-04-04:00" u="1"/>
        <s v="2018-07-24-03:00" u="1"/>
        <s v="2018-08-08-13:00" u="1"/>
        <s v="2017-01-06-13:00" u="1"/>
        <s v="2017-01-26-12:00" u="1"/>
        <s v="2017-02-06-13:00" u="1"/>
        <s v="2017-03-06-13:00" u="1"/>
        <s v="2017-04-06-13:00" u="1"/>
        <s v="2017-04-26-12:00" u="1"/>
        <s v="2017-05-26-12:00" u="1"/>
        <s v="2017-06-06-13:00" u="1"/>
        <s v="2017-06-26-12:00" u="1"/>
        <s v="2017-07-06-13:00" u="1"/>
        <s v="2017-07-26-12:00" u="1"/>
        <s v="2017-09-06-13:00" u="1"/>
        <s v="2017-09-26-12:00" u="1"/>
        <s v="2017-10-06-13:00" u="1"/>
        <s v="2017-10-26-12:00" u="1"/>
        <s v="2017-11-06-13:00" u="1"/>
        <s v="2017-12-06-13:00" u="1"/>
        <s v="2017-12-22-03:00" u="1"/>
        <s v="2017-12-26-12:00" u="1"/>
        <s v="2016-01-20-03:00" u="1"/>
        <s v="2016-04-20-03:00" u="1"/>
        <s v="2016-05-20-03:00" u="1"/>
        <s v="2016-06-20-03:00" u="1"/>
        <s v="2016-07-20-03:00" u="1"/>
        <s v="2016-09-20-03:00" u="1"/>
        <s v="2016-10-04-13:00" u="1"/>
        <s v="2016-10-20-03:00" u="1"/>
        <s v="2016-10-24-12:00" u="1"/>
        <s v="2016-11-04-13:00" u="1"/>
        <s v="2016-11-24-12:00" u="1"/>
        <s v="2016-12-20-03:00" u="1"/>
        <s v="2018-01-12-03:00" u="1"/>
        <s v="2018-01-16-12:00" u="1"/>
        <s v="2018-02-12-03:00" u="1"/>
        <s v="2018-02-16-12:00" u="1"/>
        <s v="2018-03-12-03:00" u="1"/>
        <s v="2018-03-16-12:00" u="1"/>
        <s v="2018-04-12-03:00" u="1"/>
        <s v="2018-04-16-12:00" u="1"/>
        <s v="2018-05-16-12:00" u="1"/>
        <s v="2018-06-12-03:00" u="1"/>
        <s v="2018-07-12-03:00" u="1"/>
        <s v="2018-07-16-12:00" u="1"/>
        <s v="2013-01-30-12:00" u="1"/>
        <s v="2013-04-30-12:00" u="1"/>
        <s v="2013-05-30-12:00" u="1"/>
        <s v="2013-07-30-12:00" u="1"/>
        <s v="2013-08-30-12:00" u="1"/>
        <s v="2013-09-30-12:00" u="1"/>
        <s v="2017-01-10-03:00" u="1"/>
        <s v="2017-01-18-21:00" u="1"/>
        <s v="2017-01-30-02:00" u="1"/>
        <s v="2017-02-10-03:00" u="1"/>
        <s v="2017-03-10-03:00" u="1"/>
        <s v="2017-03-30-02:00" u="1"/>
        <s v="2017-04-10-03:00" u="1"/>
        <s v="2017-04-18-21:00" u="1"/>
        <s v="2017-05-10-03:00" u="1"/>
        <s v="2017-05-18-21:00" u="1"/>
        <s v="2017-05-30-02:00" u="1"/>
        <s v="2017-06-30-02:00" u="1"/>
        <s v="2017-07-10-03:00" u="1"/>
        <s v="2017-07-18-21:00" u="1"/>
        <s v="2017-08-10-03:00" u="1"/>
        <s v="2017-08-18-21:00" u="1"/>
        <s v="2017-08-30-02:00" u="1"/>
        <s v="2017-09-18-21:00" u="1"/>
        <s v="2017-10-10-03:00" u="1"/>
        <s v="2017-10-30-02:00" u="1"/>
        <s v="2017-11-10-03:00" u="1"/>
        <s v="2017-11-30-02:00" u="1"/>
        <s v="2017-12-14-12:00" u="1"/>
        <s v="2017-12-18-21:00" u="1"/>
        <s v="2016-02-16-21:00" u="1"/>
        <s v="2016-03-16-21:00" u="1"/>
        <s v="2016-05-16-21:00" u="1"/>
        <s v="2016-06-16-21:00" u="1"/>
        <s v="2016-08-16-21:00" u="1"/>
        <s v="2016-09-16-21:00" u="1"/>
        <s v="2016-11-16-21:00" u="1"/>
        <s v="2016-12-16-21:00" u="1"/>
        <s v="2018-01-04-12:00" u="1"/>
        <s v="2018-01-08-21:00" u="1"/>
        <s v="2018-01-24-11:00" u="1"/>
        <s v="2018-02-08-21:00" u="1"/>
        <s v="2018-02-20-02:00" u="1"/>
        <s v="2018-02-28-20:00" u="1"/>
        <s v="2018-03-08-21:00" u="1"/>
        <s v="2018-03-20-02:00" u="1"/>
        <s v="2018-03-28-20:00" u="1"/>
        <s v="2018-04-04-12:00" u="1"/>
        <s v="2018-04-20-02:00" u="1"/>
        <s v="2018-04-24-11:00" u="1"/>
        <s v="2018-05-04-12:00" u="1"/>
        <s v="2018-05-08-21:00" u="1"/>
        <s v="2018-05-24-11:00" u="1"/>
        <s v="2018-05-28-20:00" u="1"/>
        <s v="2018-06-04-12:00" u="1"/>
        <s v="2018-06-08-21:00" u="1"/>
        <s v="2018-06-20-02:00" u="1"/>
        <s v="2018-06-28-20:00" u="1"/>
        <s v="2018-07-04-12:00" u="1"/>
        <s v="2018-07-20-02:00" u="1"/>
        <s v="2018-07-24-11:00" u="1"/>
        <s v="2017-01-02-12:00" u="1"/>
        <s v="2017-01-06-21:00" u="1"/>
        <s v="2017-01-26-20:00" u="1"/>
        <s v="2017-02-02-12:00" u="1"/>
        <s v="2017-02-06-21:00" u="1"/>
        <s v="2017-02-22-11:00" u="1"/>
        <s v="2017-03-02-12:00" u="1"/>
        <s v="2017-03-06-21:00" u="1"/>
        <s v="2017-03-22-11:00" u="1"/>
        <s v="2017-04-06-21:00" u="1"/>
        <s v="2017-04-26-20:00" u="1"/>
        <s v="2017-05-02-12:00" u="1"/>
        <s v="2017-05-22-11:00" u="1"/>
        <s v="2017-05-26-20:00" u="1"/>
        <s v="2017-06-02-12:00" u="1"/>
        <s v="2017-06-06-21:00" u="1"/>
        <s v="2017-06-22-11:00" u="1"/>
        <s v="2017-06-26-20:00" u="1"/>
        <s v="2017-07-06-21:00" u="1"/>
        <s v="2017-07-26-20:00" u="1"/>
        <s v="2017-08-02-12:00" u="1"/>
        <s v="2017-08-22-11:00" u="1"/>
        <s v="2017-09-06-21:00" u="1"/>
        <s v="2017-09-22-11:00" u="1"/>
        <s v="2017-09-26-20:00" u="1"/>
        <s v="2017-10-06-21:00" u="1"/>
        <s v="2017-10-26-20:00" u="1"/>
        <s v="2017-11-06-21:00" u="1"/>
        <s v="2017-12-06-21:00" u="1"/>
        <s v="2017-12-22-11:00" u="1"/>
        <s v="2017-12-26-20:00" u="1"/>
        <s v="2016-01-20-11:00" u="1"/>
        <s v="2016-04-20-11:00" u="1"/>
        <s v="2016-05-20-11:00" u="1"/>
        <s v="2016-06-20-11:00" u="1"/>
        <s v="2016-07-20-11:00" u="1"/>
        <s v="2016-09-20-11:00" u="1"/>
        <s v="2016-10-20-11:00" u="1"/>
        <s v="2016-12-20-11:00" u="1"/>
        <s v="2018-01-12-11:00" u="1"/>
        <s v="2018-01-16-20:00" u="1"/>
        <s v="2018-02-12-11:00" u="1"/>
        <s v="2018-02-16-20:00" u="1"/>
        <s v="2018-03-12-11:00" u="1"/>
        <s v="2018-03-16-20:00" u="1"/>
        <s v="2018-04-12-11:00" u="1"/>
        <s v="2018-04-16-20:00" u="1"/>
        <s v="2018-05-16-20:00" u="1"/>
        <s v="2018-06-12-11:00" u="1"/>
        <s v="2018-07-12-11:00" u="1"/>
        <s v="2018-07-16-20:00" u="1"/>
        <s v="2015-01-22-20:00" u="1"/>
        <s v="2015-02-22-20:00" u="1"/>
        <s v="2015-03-22-20:00" u="1"/>
        <s v="2015-04-22-20:00" u="1"/>
        <s v="2015-06-22-20:00" u="1"/>
        <s v="2015-07-22-20:00" u="1"/>
        <s v="2015-09-22-20:00" u="1"/>
        <s v="2017-10-10-11:00" u="1"/>
        <s v="2017-10-30-10:00" u="1"/>
        <s v="2017-11-10-11:00" u="1"/>
        <s v="2017-11-30-10:00" u="1"/>
        <s v="2017-12-14-20:00" u="1"/>
        <s v="2016-01-12-20:00" u="1"/>
        <s v="2016-02-12-20:00" u="1"/>
        <s v="2016-04-12-20:00" u="1"/>
        <s v="2016-05-12-20:00" u="1"/>
        <s v="2016-07-12-20:00" u="1"/>
        <s v="2016-08-12-20:00" u="1"/>
        <s v="2016-09-12-20:00" u="1"/>
        <s v="2016-10-12-20:00" u="1"/>
        <s v="2016-12-12-20:00" u="1"/>
        <s v="2018-01-04-20:00" u="1"/>
        <s v="2018-02-20-10:00" u="1"/>
        <s v="2018-03-20-10:00" u="1"/>
        <s v="2018-04-04-20:00" u="1"/>
        <s v="2018-04-20-10:00" u="1"/>
        <s v="2018-05-04-20:00" u="1"/>
        <s v="2018-06-04-20:00" u="1"/>
        <s v="2018-06-20-10:00" u="1"/>
        <s v="2018-07-04-20:00" u="1"/>
        <s v="2018-07-20-10:00" u="1"/>
        <s v="2016-01-19-06:00" u="1"/>
        <s v="2016-02-19-06:00" u="1"/>
        <s v="2016-04-19-06:00" u="1"/>
        <s v="2016-05-19-06:00" u="1"/>
        <s v="2016-07-19-06:00" u="1"/>
        <s v="2016-08-19-06:00" u="1"/>
        <s v="2016-09-19-06:00" u="1"/>
        <s v="2016-10-19-06:00" u="1"/>
        <s v="2016-12-19-06:00" u="1"/>
        <s v="2017-01-02-20:00" u="1"/>
        <s v="2017-02-02-20:00" u="1"/>
        <s v="2017-03-02-20:00" u="1"/>
        <s v="2017-05-02-20:00" u="1"/>
        <s v="2017-06-02-20:00" u="1"/>
        <s v="2017-08-02-20:00" u="1"/>
        <s v="2017-10-02-20:00" u="1"/>
        <s v="2017-11-02-20:00" u="1"/>
        <s v="2017-01-09-06:00" u="1"/>
        <s v="2017-02-09-06:00" u="1"/>
        <s v="2017-03-09-06:00" u="1"/>
        <s v="2017-03-29-05:00" u="1"/>
        <s v="2017-05-09-06:00" u="1"/>
        <s v="2017-05-29-05:00" u="1"/>
        <s v="2017-06-09-06:00" u="1"/>
        <s v="2017-06-29-05:00" u="1"/>
        <s v="2017-08-09-06:00" u="1"/>
        <s v="2017-08-29-05:00" u="1"/>
        <s v="2017-09-29-05:00" u="1"/>
        <s v="2017-10-09-06:00" u="1"/>
        <s v="2017-11-09-06:00" u="1"/>
        <s v="2017-11-29-05:00" u="1"/>
        <s v="2017-12-29-05:00" u="1"/>
        <s v="2018-01-19-05:00" u="1"/>
        <s v="2018-02-19-05:00" u="1"/>
        <s v="2018-03-19-05:00" u="1"/>
        <s v="2018-04-19-05:00" u="1"/>
        <s v="2018-06-19-05:00" u="1"/>
        <s v="2018-07-19-05:00" u="1"/>
        <s v="2016-01-15-05:00" u="1"/>
        <s v="2016-01-19-14:00" u="1"/>
        <s v="2016-02-15-05:00" u="1"/>
        <s v="2016-02-19-14:00" u="1"/>
        <s v="2016-03-15-05:00" u="1"/>
        <s v="2016-04-15-05:00" u="1"/>
        <s v="2016-04-19-14:00" u="1"/>
        <s v="2016-05-19-14:00" u="1"/>
        <s v="2016-06-15-05:00" u="1"/>
        <s v="2016-07-15-05:00" u="1"/>
        <s v="2016-07-19-14:00" u="1"/>
        <s v="2016-08-15-05:00" u="1"/>
        <s v="2016-08-19-14:00" u="1"/>
        <s v="2016-09-15-05:00" u="1"/>
        <s v="2016-09-19-14:00" u="1"/>
        <s v="2016-10-19-14:00" u="1"/>
        <s v="2016-12-19-14:00" u="1"/>
        <s v="2018-02-07-05:00" u="1"/>
        <s v="2018-02-27-04:00" u="1"/>
        <s v="2018-03-07-05:00" u="1"/>
        <s v="2018-03-27-04:00" u="1"/>
        <s v="2018-04-27-04:00" u="1"/>
        <s v="2018-05-07-05:00" u="1"/>
        <s v="2018-06-07-05:00" u="1"/>
        <s v="2018-06-27-04:00" u="1"/>
        <s v="2018-07-27-04:00" u="1"/>
        <s v="2017-01-05-05:00" u="1"/>
        <s v="2017-01-25-04:00" u="1"/>
        <s v="2017-04-05-05:00" u="1"/>
        <s v="2017-04-25-04:00" u="1"/>
        <s v="2017-05-05-05:00" u="1"/>
        <s v="2017-05-25-04:00" u="1"/>
        <s v="2017-06-05-05:00" u="1"/>
        <s v="2017-07-05-05:00" u="1"/>
        <s v="2017-07-25-04:00" u="1"/>
        <s v="2017-08-25-04:00" u="1"/>
        <s v="2017-09-05-05:00" u="1"/>
        <s v="2017-09-25-04:00" u="1"/>
        <s v="2017-10-09-14:00" u="1"/>
        <s v="2017-11-09-14:00" u="1"/>
        <s v="2017-11-29-13:00" u="1"/>
        <s v="2017-12-05-05:00" u="1"/>
        <s v="2017-12-29-13:00" u="1"/>
        <s v="2016-02-03-05:00" u="1"/>
        <s v="2016-02-23-04:00" u="1"/>
        <s v="2016-03-03-05:00" u="1"/>
        <s v="2016-03-23-04:00" u="1"/>
        <s v="2016-05-03-05:00" u="1"/>
        <s v="2016-05-23-04:00" u="1"/>
        <s v="2016-06-03-05:00" u="1"/>
        <s v="2016-06-23-04:00" u="1"/>
        <s v="2016-08-03-05:00" u="1"/>
        <s v="2016-08-23-04:00" u="1"/>
        <s v="2016-09-23-04:00" u="1"/>
        <s v="2016-10-03-05:00" u="1"/>
        <s v="2016-11-03-05:00" u="1"/>
        <s v="2016-11-23-04:00" u="1"/>
        <s v="2016-12-23-04:00" u="1"/>
        <s v="2018-01-15-04:00" u="1"/>
        <s v="2018-01-19-13:00" u="1"/>
        <s v="2018-02-15-04:00" u="1"/>
        <s v="2018-02-19-13:00" u="1"/>
        <s v="2018-03-15-04:00" u="1"/>
        <s v="2018-03-19-13:00" u="1"/>
        <s v="2018-04-19-13:00" u="1"/>
        <s v="2018-05-15-04:00" u="1"/>
        <s v="2018-06-15-04:00" u="1"/>
        <s v="2018-06-19-13:00" u="1"/>
        <s v="2018-07-19-13:00" u="1"/>
        <s v="2017-10-13-04:00" u="1"/>
        <s v="2017-11-13-04:00" u="1"/>
        <s v="2017-12-13-04:00" u="1"/>
        <s v="2016-01-15-13:00" u="1"/>
        <s v="2016-02-15-13:00" u="1"/>
        <s v="2016-03-15-13:00" u="1"/>
        <s v="2016-04-15-13:00" u="1"/>
        <s v="2016-06-15-13:00" u="1"/>
        <s v="2016-07-15-13:00" u="1"/>
        <s v="2016-08-15-13:00" u="1"/>
        <s v="2016-09-15-13:00" u="1"/>
        <s v="2016-11-15-13:00" u="1"/>
        <s v="2016-12-15-13:00" u="1"/>
        <s v="2018-01-03-04:00" u="1"/>
        <s v="2018-01-23-03:00" u="1"/>
        <s v="2018-02-07-13:00" u="1"/>
        <s v="2018-02-23-03:00" u="1"/>
        <s v="2018-02-27-12:00" u="1"/>
        <s v="2018-03-07-13:00" u="1"/>
        <s v="2018-03-23-03:00" u="1"/>
        <s v="2018-03-27-12:00" u="1"/>
        <s v="2018-04-03-04:00" u="1"/>
        <s v="2018-04-23-03:00" u="1"/>
        <s v="2018-04-27-12:00" u="1"/>
        <s v="2018-05-03-04:00" u="1"/>
        <s v="2018-05-07-13:00" u="1"/>
        <s v="2018-05-23-03:00" u="1"/>
        <s v="2018-06-07-13:00" u="1"/>
        <s v="2018-06-27-12:00" u="1"/>
        <s v="2018-07-03-04:00" u="1"/>
        <s v="2018-07-23-03:00" u="1"/>
        <s v="2018-07-27-12:00" u="1"/>
        <s v="2017-01-05-13:00" u="1"/>
        <s v="2017-01-25-12:00" u="1"/>
        <s v="2017-04-05-13:00" u="1"/>
        <s v="2017-04-25-12:00" u="1"/>
        <s v="2017-05-05-13:00" u="1"/>
        <s v="2017-05-25-12:00" u="1"/>
        <s v="2017-06-05-13:00" u="1"/>
        <s v="2017-07-05-13:00" u="1"/>
        <s v="2017-07-25-12:00" u="1"/>
        <s v="2017-08-25-12:00" u="1"/>
        <s v="2017-09-05-13:00" u="1"/>
        <s v="2017-09-25-12:00" u="1"/>
        <s v="2017-10-05-13:00" u="1"/>
        <s v="2017-10-25-12:00" u="1"/>
        <s v="2017-11-29-21:00" u="1"/>
        <s v="2017-12-01-04:00" u="1"/>
        <s v="2017-12-05-13:00" u="1"/>
        <s v="2017-12-21-03:00" u="1"/>
        <s v="2017-12-29-21:00" u="1"/>
        <s v="2016-01-07-22:00" u="1"/>
        <s v="2016-01-27-21:00" u="1"/>
        <s v="2016-03-07-22:00" u="1"/>
        <s v="2016-04-07-22:00" u="1"/>
        <s v="2016-04-27-21:00" u="1"/>
        <s v="2016-05-27-21:00" u="1"/>
        <s v="2016-06-07-22:00" u="1"/>
        <s v="2016-06-27-21:00" u="1"/>
        <s v="2016-07-07-22:00" u="1"/>
        <s v="2016-07-27-21:00" u="1"/>
        <s v="2016-09-07-22:00" u="1"/>
        <s v="2016-09-27-21:00" u="1"/>
        <s v="2016-10-07-22:00" u="1"/>
        <s v="2016-10-27-21:00" u="1"/>
        <s v="2016-11-07-22:00" u="1"/>
        <s v="2016-12-07-22:00" u="1"/>
        <s v="2016-12-27-21:00" u="1"/>
        <s v="2018-01-11-03:00" u="1"/>
        <s v="2018-01-15-12:00" u="1"/>
        <s v="2018-01-19-21:00" u="1"/>
        <s v="2018-01-31-02:00" u="1"/>
        <s v="2018-02-15-12:00" u="1"/>
        <s v="2018-02-19-21:00" u="1"/>
        <s v="2018-03-15-12:00" u="1"/>
        <s v="2018-03-19-21:00" u="1"/>
        <s v="2018-04-11-03:00" u="1"/>
        <s v="2018-04-19-21:00" u="1"/>
        <s v="2018-05-11-03:00" u="1"/>
        <s v="2018-05-15-12:00" u="1"/>
        <s v="2018-05-31-02:00" u="1"/>
        <s v="2018-06-11-03:00" u="1"/>
        <s v="2018-06-15-12:00" u="1"/>
        <s v="2018-06-19-21:00" u="1"/>
        <s v="2018-07-11-03:00" u="1"/>
        <s v="2018-07-19-21:00" u="1"/>
        <s v="2017-01-17-21:00" u="1"/>
        <s v="2017-02-17-21:00" u="1"/>
        <s v="2017-03-17-21:00" u="1"/>
        <s v="2017-04-17-21:00" u="1"/>
        <s v="2017-05-17-21:00" u="1"/>
        <s v="2017-07-17-21:00" u="1"/>
        <s v="2017-08-17-21:00" u="1"/>
        <s v="2017-10-17-21:00" u="1"/>
        <s v="2017-11-17-21:00" u="1"/>
        <s v="2017-12-13-12:00" u="1"/>
        <s v="2016-01-11-12:00" u="1"/>
        <s v="2016-02-11-12:00" u="1"/>
        <s v="2016-03-11-12:00" u="1"/>
        <s v="2016-03-31-11:00" u="1"/>
        <s v="2016-04-11-12:00" u="1"/>
        <s v="2016-05-11-12:00" u="1"/>
        <s v="2016-05-31-11:00" u="1"/>
        <s v="2016-07-11-12:00" u="1"/>
        <s v="2016-08-11-12:00" u="1"/>
        <s v="2016-08-31-11:00" u="1"/>
        <s v="2016-10-11-12:00" u="1"/>
        <s v="2016-10-31-11:00" u="1"/>
        <s v="2016-11-11-12:00" u="1"/>
        <s v="2018-01-03-12:00" u="1"/>
        <s v="2018-01-23-11:00" u="1"/>
        <s v="2018-02-07-21:00" u="1"/>
        <s v="2018-02-23-11:00" u="1"/>
        <s v="2018-02-27-20:00" u="1"/>
        <s v="2018-03-07-21:00" u="1"/>
        <s v="2018-03-23-11:00" u="1"/>
        <s v="2018-03-27-20:00" u="1"/>
        <s v="2018-04-03-12:00" u="1"/>
        <s v="2018-04-23-11:00" u="1"/>
        <s v="2018-04-27-20:00" u="1"/>
        <s v="2018-05-03-12:00" u="1"/>
        <s v="2018-05-07-21:00" u="1"/>
        <s v="2018-05-23-11:00" u="1"/>
        <s v="2018-06-07-21:00" u="1"/>
        <s v="2018-06-27-20:00" u="1"/>
        <s v="2018-07-03-12:00" u="1"/>
        <s v="2018-07-23-11:00" u="1"/>
        <s v="2018-07-27-20:00" u="1"/>
        <s v="2012-06-18-08:00" u="1"/>
        <s v="2012-07-18-08:00" u="1"/>
        <s v="2012-09-18-08:00" u="1"/>
        <s v="2017-02-01-12:00" u="1"/>
        <s v="2017-02-21-11:00" u="1"/>
        <s v="2017-03-01-12:00" u="1"/>
        <s v="2017-03-21-11:00" u="1"/>
        <s v="2017-04-21-11:00" u="1"/>
        <s v="2017-05-01-12:00" u="1"/>
        <s v="2017-06-01-12:00" u="1"/>
        <s v="2017-06-21-11:00" u="1"/>
        <s v="2017-07-21-11:00" u="1"/>
        <s v="2017-08-01-12:00" u="1"/>
        <s v="2017-08-21-11:00" u="1"/>
        <s v="2017-09-01-12:00" u="1"/>
        <s v="2017-09-21-11:00" u="1"/>
        <s v="2017-11-01-12:00" u="1"/>
        <s v="2017-11-21-11:00" u="1"/>
        <s v="2017-12-01-12:00" u="1"/>
        <s v="2017-12-05-21:00" u="1"/>
        <s v="2017-12-21-11:00" u="1"/>
        <s v="9999-99-99-99:66" u="1"/>
        <s v="2018-01-11-11:00" u="1"/>
        <s v="2018-01-15-20:00" u="1"/>
        <s v="2018-01-31-10:00" u="1"/>
        <s v="2018-02-15-20:00" u="1"/>
        <s v="2018-03-15-20:00" u="1"/>
        <s v="2018-04-11-11:00" u="1"/>
        <s v="2018-05-11-11:00" u="1"/>
        <s v="2018-05-15-20:00" u="1"/>
        <s v="2018-05-31-10:00" u="1"/>
        <s v="2018-06-11-11:00" u="1"/>
        <s v="2018-06-15-20:00" u="1"/>
        <s v="2018-07-11-11:00" u="1"/>
        <s v="2017-01-13-20:00" u="1"/>
        <s v="2017-02-13-20:00" u="1"/>
        <s v="2017-03-13-20:00" u="1"/>
        <s v="2017-04-13-20:00" u="1"/>
        <s v="2017-06-13-20:00" u="1"/>
        <s v="2017-07-13-20:00" u="1"/>
        <s v="2017-09-13-20:00" u="1"/>
        <s v="2017-12-13-20:00" u="1"/>
        <s v="2016-01-11-20:00" u="1"/>
        <s v="2016-02-11-20:00" u="1"/>
        <s v="2016-03-11-20:00" u="1"/>
        <s v="2016-04-11-20:00" u="1"/>
        <s v="2016-05-11-20:00" u="1"/>
        <s v="2016-07-11-20:00" u="1"/>
        <s v="2016-08-11-20:00" u="1"/>
        <s v="2016-10-11-20:00" u="1"/>
        <s v="2016-11-11-20:00" u="1"/>
        <s v="2018-01-03-20:00" u="1"/>
        <s v="2018-04-03-20:00" u="1"/>
        <s v="2018-05-03-20:00" u="1"/>
        <s v="2018-07-03-20:00" u="1"/>
        <s v="2016-01-18-06:00" u="1"/>
        <s v="2016-02-18-06:00" u="1"/>
        <s v="2016-03-18-06:00" u="1"/>
        <s v="2016-04-18-06:00" u="1"/>
        <s v="2016-05-18-06:00" u="1"/>
        <s v="2016-07-18-06:00" u="1"/>
        <s v="2016-08-18-06:00" u="1"/>
        <s v="2016-10-18-06:00" u="1"/>
        <s v="2016-11-18-06:00" u="1"/>
        <s v="2017-11-01-20:00" u="1"/>
        <s v="2017-12-01-20:00" u="1"/>
        <s v="2017-02-08-06:00" u="1"/>
        <s v="2017-02-28-05:00" u="1"/>
        <s v="2017-03-08-06:00" u="1"/>
        <s v="2017-03-28-05:00" u="1"/>
        <s v="2017-04-28-05:00" u="1"/>
        <s v="2017-05-08-06:00" u="1"/>
        <s v="2017-06-08-06:00" u="1"/>
        <s v="2017-06-28-05:00" u="1"/>
        <s v="2017-07-28-05:00" u="1"/>
        <s v="2017-08-08-06:00" u="1"/>
        <s v="2017-08-28-05:00" u="1"/>
        <s v="2017-09-08-06:00" u="1"/>
        <s v="2017-09-28-05:00" u="1"/>
        <s v="2017-11-08-06:00" u="1"/>
        <s v="2017-11-28-05:00" u="1"/>
        <s v="2017-12-08-06:00" u="1"/>
        <s v="2017-12-28-05:00" u="1"/>
        <s v="2018-01-18-05:00" u="1"/>
        <s v="2018-04-18-05:00" u="1"/>
        <s v="2018-05-18-05:00" u="1"/>
        <s v="2018-06-18-05:00" u="1"/>
        <s v="2018-07-18-05:00" u="1"/>
        <s v="2016-01-14-05:00" u="1"/>
        <s v="2016-03-14-05:00" u="1"/>
        <s v="2016-04-14-05:00" u="1"/>
        <s v="2016-06-14-05:00" u="1"/>
        <s v="2016-07-14-05:00" u="1"/>
        <s v="2016-09-14-05:00" u="1"/>
        <s v="2016-10-14-05:00" u="1"/>
        <s v="2016-11-14-05:00" u="1"/>
        <s v="2016-12-14-05:00" u="1"/>
        <s v="2018-01-26-04:00" u="1"/>
        <s v="2018-02-06-05:00" u="1"/>
        <s v="2018-02-26-04:00" u="1"/>
        <s v="2018-03-06-05:00" u="1"/>
        <s v="2018-03-26-04:00" u="1"/>
        <s v="2018-04-06-05:00" u="1"/>
        <s v="2018-04-26-04:00" u="1"/>
        <s v="2018-06-06-05:00" u="1"/>
        <s v="2018-06-26-04:00" u="1"/>
        <s v="2018-07-06-05:00" u="1"/>
        <s v="2018-07-26-04:00" u="1"/>
        <s v="2017-01-04-05:00" u="1"/>
        <s v="2017-01-24-04:00" u="1"/>
        <s v="2017-02-24-04:00" u="1"/>
        <s v="2017-03-24-04:00" u="1"/>
        <s v="2017-04-04-05:00" u="1"/>
        <s v="2017-04-24-04:00" u="1"/>
        <s v="2017-05-04-05:00" u="1"/>
        <s v="2017-05-24-04:00" u="1"/>
        <s v="2017-07-04-05:00" u="1"/>
        <s v="2017-07-24-04:00" u="1"/>
        <s v="2017-08-04-05:00" u="1"/>
        <s v="2017-08-24-04:00" u="1"/>
        <s v="2017-09-04-05:00" u="1"/>
        <s v="2017-10-04-05:00" u="1"/>
        <s v="2017-10-24-04:00" u="1"/>
        <s v="2017-11-24-04:00" u="1"/>
        <s v="2017-12-04-05:00" u="1"/>
        <s v="2017-12-08-14:00" u="1"/>
        <s v="2017-12-28-13:00" u="1"/>
        <s v="2016-01-06-14:00" u="1"/>
        <s v="2016-01-26-13:00" u="1"/>
        <s v="2016-02-26-13:00" u="1"/>
        <s v="2016-04-06-14:00" u="1"/>
        <s v="2016-04-26-13:00" u="1"/>
        <s v="2016-05-06-14:00" u="1"/>
        <s v="2016-05-26-13:00" u="1"/>
        <s v="2016-06-06-14:00" u="1"/>
        <s v="2016-07-06-14:00" u="1"/>
        <s v="2016-07-26-13:00" u="1"/>
        <s v="2016-08-26-13:00" u="1"/>
        <s v="2016-09-06-14:00" u="1"/>
        <s v="2016-09-26-13:00" u="1"/>
        <s v="2018-01-18-13:00" u="1"/>
        <s v="2018-02-14-04:00" u="1"/>
        <s v="2018-03-14-04:00" u="1"/>
        <s v="2018-04-18-13:00" u="1"/>
        <s v="2018-05-14-04:00" u="1"/>
        <s v="2018-05-18-13:00" u="1"/>
        <s v="2018-06-14-04:00" u="1"/>
        <s v="2018-06-18-13:00" u="1"/>
        <s v="2018-07-18-13:00" u="1"/>
        <s v="2017-01-16-13:00" u="1"/>
        <s v="2017-02-16-13:00" u="1"/>
        <s v="2017-03-16-13:00" u="1"/>
        <s v="2017-05-16-13:00" u="1"/>
        <s v="2017-06-16-13:00" u="1"/>
        <s v="2017-08-16-13:00" u="1"/>
        <s v="2017-10-16-13:00" u="1"/>
        <s v="2017-11-16-13:00" u="1"/>
        <s v="2017-12-12-04:00" u="1"/>
        <s v="2016-02-10-04:00" u="1"/>
        <s v="2016-03-10-04:00" u="1"/>
        <s v="2016-03-30-03:00" u="1"/>
        <s v="2016-05-10-04:00" u="1"/>
        <s v="2016-05-30-03:00" u="1"/>
        <s v="2016-06-10-04:00" u="1"/>
        <s v="2016-06-30-03:00" u="1"/>
        <s v="2016-08-10-04:00" u="1"/>
        <s v="2016-08-30-03:00" u="1"/>
        <s v="2016-09-30-03:00" u="1"/>
        <s v="2016-10-14-13:00" u="1"/>
        <s v="2016-11-14-13:00" u="1"/>
        <s v="2016-12-14-13:00" u="1"/>
        <s v="2018-01-22-03:00" u="1"/>
        <s v="2018-01-26-12:00" u="1"/>
        <s v="2018-02-02-04:00" u="1"/>
        <s v="2018-02-06-13:00" u="1"/>
        <s v="2018-02-22-03:00" u="1"/>
        <s v="2018-02-26-12:00" u="1"/>
        <s v="2018-03-02-04:00" u="1"/>
        <s v="2018-03-06-13:00" u="1"/>
        <s v="2018-03-22-03:00" u="1"/>
        <s v="2018-03-26-12:00" u="1"/>
        <s v="2018-04-02-04:00" u="1"/>
        <s v="2018-04-06-13:00" u="1"/>
        <s v="2018-04-26-12:00" u="1"/>
        <s v="2018-05-02-04:00" u="1"/>
        <s v="2018-05-22-03:00" u="1"/>
        <s v="2018-06-06-13:00" u="1"/>
        <s v="2018-06-22-03:00" u="1"/>
        <s v="2018-06-26-12:00" u="1"/>
        <s v="2018-07-02-04:00" u="1"/>
        <s v="2018-07-06-13:00" u="1"/>
        <s v="2018-07-26-12:00" u="1"/>
        <s v="2017-01-20-03:00" u="1"/>
        <s v="2017-02-20-03:00" u="1"/>
        <s v="2017-03-20-03:00" u="1"/>
        <s v="2017-04-20-03:00" u="1"/>
        <s v="2017-06-20-03:00" u="1"/>
        <s v="2017-07-20-03:00" u="1"/>
        <s v="2017-09-20-03:00" u="1"/>
        <s v="2017-10-04-13:00" u="1"/>
        <s v="2017-10-20-03:00" u="1"/>
        <s v="2017-10-24-12:00" u="1"/>
        <s v="2017-11-20-03:00" u="1"/>
        <s v="2017-11-24-12:00" u="1"/>
        <s v="2017-11-28-21:00" u="1"/>
        <s v="2017-12-04-13:00" u="1"/>
        <s v="2017-12-08-22:00" u="1"/>
        <s v="2017-12-20-03:00" u="1"/>
        <s v="2017-12-28-21:00" u="1"/>
        <s v="2014-01-30-12:00" u="1"/>
        <s v="2016-01-06-22:00" u="1"/>
        <s v="2016-01-26-21:00" u="1"/>
        <s v="2016-02-26-21:00" u="1"/>
        <s v="2016-04-06-22:00" u="1"/>
        <s v="2016-04-26-21:00" u="1"/>
        <s v="2016-05-06-22:00" u="1"/>
        <s v="2016-05-26-21:00" u="1"/>
        <s v="2016-06-06-22:00" u="1"/>
        <s v="2016-07-06-22:00" u="1"/>
        <s v="2016-07-26-21:00" u="1"/>
        <s v="2016-08-26-21:00" u="1"/>
        <s v="2016-09-06-22:00" u="1"/>
        <s v="2016-09-26-21:00" u="1"/>
        <s v="2016-10-06-22:00" u="1"/>
        <s v="2016-10-26-21:00" u="1"/>
        <s v="2016-12-06-22:00" u="1"/>
        <s v="2016-12-26-21:00" u="1"/>
        <s v="2018-01-10-03:00" u="1"/>
        <s v="2018-01-18-21:00" u="1"/>
        <s v="2018-01-30-02:00" u="1"/>
        <s v="2018-02-14-12:00" u="1"/>
        <s v="2018-03-14-12:00" u="1"/>
        <s v="2018-03-30-02:00" u="1"/>
        <s v="2018-04-10-03:00" u="1"/>
        <s v="2018-04-18-21:00" u="1"/>
        <s v="2018-04-30-02:00" u="1"/>
        <s v="2018-05-10-03:00" u="1"/>
        <s v="2018-05-14-12:00" u="1"/>
        <s v="2018-05-18-21:00" u="1"/>
        <s v="2018-05-30-02:00" u="1"/>
        <s v="2018-06-14-12:00" u="1"/>
        <s v="2018-06-18-21:00" u="1"/>
        <s v="2018-07-10-03:00" u="1"/>
        <s v="2018-07-18-21:00" u="1"/>
        <s v="2017-01-16-21:00" u="1"/>
        <s v="2017-02-16-21:00" u="1"/>
        <s v="2017-03-16-21:00" u="1"/>
        <s v="2017-05-16-21:00" u="1"/>
        <s v="2017-06-16-21:00" u="1"/>
        <s v="2017-08-16-21:00" u="1"/>
        <s v="2017-10-16-21:00" u="1"/>
        <s v="2017-11-16-21:00" u="1"/>
        <s v="2017-12-12-12:00" u="1"/>
        <s v="2016-02-10-12:00" u="1"/>
        <s v="2016-03-10-12:00" u="1"/>
        <s v="2016-03-30-11:00" u="1"/>
        <s v="2016-05-10-12:00" u="1"/>
        <s v="2016-05-30-11:00" u="1"/>
        <s v="2016-06-10-12:00" u="1"/>
        <s v="2016-06-30-11:00" u="1"/>
        <s v="2016-08-10-12:00" u="1"/>
        <s v="2016-08-30-11:00" u="1"/>
        <s v="2016-09-30-11:00" u="1"/>
        <s v="2016-10-10-12:00" u="1"/>
        <s v="2016-11-10-12:00" u="1"/>
        <s v="2016-11-30-11:00" u="1"/>
        <s v="2016-12-30-11:00" u="1"/>
        <s v="2018-01-02-12:00" u="1"/>
        <s v="2018-01-22-11:00" u="1"/>
        <s v="2018-01-26-20:00" u="1"/>
        <s v="2018-02-02-12:00" u="1"/>
        <s v="2018-02-06-21:00" u="1"/>
        <s v="2018-02-22-11:00" u="1"/>
        <s v="2018-02-26-20:00" u="1"/>
        <s v="2018-03-02-12:00" u="1"/>
        <s v="2018-03-06-21:00" u="1"/>
        <s v="2018-03-22-11:00" u="1"/>
        <s v="2018-03-26-20:00" u="1"/>
        <s v="2018-04-02-12:00" u="1"/>
        <s v="2018-04-06-21:00" u="1"/>
        <s v="2018-04-26-20:00" u="1"/>
        <s v="2018-05-02-12:00" u="1"/>
        <s v="2018-05-22-11:00" u="1"/>
        <s v="2018-06-06-21:00" u="1"/>
        <s v="2018-06-22-11:00" u="1"/>
        <s v="2018-06-26-20:00" u="1"/>
        <s v="2018-07-02-12:00" u="1"/>
        <s v="2018-07-06-21:00" u="1"/>
        <s v="2018-07-26-20:00" u="1"/>
        <s v="2017-01-20-11:00" u="1"/>
        <s v="2017-02-20-11:00" u="1"/>
        <s v="2017-03-20-11:00" u="1"/>
        <s v="2017-04-20-11:00" u="1"/>
        <s v="2017-06-20-11:00" u="1"/>
        <s v="2017-07-20-11:00" u="1"/>
        <s v="2017-09-20-11:00" u="1"/>
        <s v="2017-10-20-11:00" u="1"/>
        <s v="2017-11-20-11:00" u="1"/>
        <s v="2017-12-04-21:00" u="1"/>
        <s v="2017-12-20-11:00" u="1"/>
        <s v="2016-01-22-20:00" u="1"/>
        <s v="2016-02-02-21:00" u="1"/>
        <s v="2016-02-22-20:00" u="1"/>
        <s v="2016-03-02-21:00" u="1"/>
        <s v="2016-03-22-20:00" u="1"/>
        <s v="2016-04-22-20:00" u="1"/>
        <s v="2016-05-02-21:00" u="1"/>
        <s v="2016-05-22-20:00" u="1"/>
        <s v="2016-06-02-21:00" u="1"/>
        <s v="2016-06-22-20:00" u="1"/>
        <s v="2016-07-22-20:00" u="1"/>
        <s v="2016-08-02-21:00" u="1"/>
        <s v="2016-08-22-20:00" u="1"/>
        <s v="2016-09-02-21:00" u="1"/>
        <s v="2016-09-22-20:00" u="1"/>
        <s v="2016-11-02-21:00" u="1"/>
        <s v="2016-11-22-20:00" u="1"/>
        <s v="2016-12-02-21:00" u="1"/>
        <s v="2016-12-22-20:00" u="1"/>
        <s v="2018-01-10-11:00" u="1"/>
        <s v="2018-01-30-10:00" u="1"/>
        <s v="2018-02-14-20:00" u="1"/>
        <s v="2018-03-14-20:00" u="1"/>
        <s v="2018-03-30-10:00" u="1"/>
        <s v="2018-04-10-11:00" u="1"/>
        <s v="2018-04-30-10:00" u="1"/>
        <s v="2018-05-10-11:00" u="1"/>
        <s v="2018-05-14-20:00" u="1"/>
        <s v="2018-05-30-10:00" u="1"/>
        <s v="2018-06-14-20:00" u="1"/>
        <s v="2018-07-10-11:00" u="1"/>
        <s v="2016-01-29-06:00" u="1"/>
        <s v="2016-02-09-07:00" u="1"/>
        <s v="2016-02-29-06:00" u="1"/>
        <s v="2016-03-09-07:00" u="1"/>
        <s v="2016-03-29-06:00" u="1"/>
        <s v="2016-04-29-06:00" u="1"/>
        <s v="2016-05-09-07:00" u="1"/>
        <s v="2016-06-09-07:00" u="1"/>
        <s v="2016-06-29-06:00" u="1"/>
        <s v="2016-07-29-06:00" u="1"/>
        <s v="2016-08-09-07:00" u="1"/>
        <s v="2016-08-29-06:00" u="1"/>
        <s v="2016-09-09-07:00" u="1"/>
        <s v="2016-09-29-06:00" u="1"/>
        <s v="2016-11-09-07:00" u="1"/>
        <s v="2016-11-29-06:00" u="1"/>
        <s v="2016-12-09-07:00" u="1"/>
        <s v="2016-12-29-06:00" u="1"/>
        <s v="2017-01-12-20:00" u="1"/>
        <s v="2017-04-12-20:00" u="1"/>
        <s v="2017-05-12-20:00" u="1"/>
        <s v="2017-06-12-20:00" u="1"/>
        <s v="2017-07-12-20:00" u="1"/>
        <s v="2017-09-12-20:00" u="1"/>
        <s v="2017-10-12-20:00" u="1"/>
        <s v="2017-12-12-20:00" u="1"/>
        <s v="2017-01-19-06:00" u="1"/>
        <s v="2017-04-19-06:00" u="1"/>
        <s v="2017-05-19-06:00" u="1"/>
        <s v="2017-06-19-06:00" u="1"/>
        <s v="2017-07-19-06:00" u="1"/>
        <s v="2017-09-19-06:00" u="1"/>
        <s v="2017-10-19-06:00" u="1"/>
        <s v="2017-12-19-06:00" u="1"/>
        <s v="2018-01-02-20:00" u="1"/>
        <s v="2018-02-02-20:00" u="1"/>
        <s v="2018-03-02-20:00" u="1"/>
        <s v="2018-04-02-20:00" u="1"/>
        <s v="2018-05-02-20:00" u="1"/>
        <s v="2018-07-02-20:00" u="1"/>
        <s v="2016-10-17-06:00" u="1"/>
        <s v="2016-11-17-06:00" u="1"/>
        <s v="2018-01-09-06:00" u="1"/>
        <s v="2018-01-29-05:00" u="1"/>
        <s v="2018-02-09-06:00" u="1"/>
        <s v="2018-03-09-06:00" u="1"/>
        <s v="2018-03-29-05:00" u="1"/>
        <s v="2018-04-09-06:00" u="1"/>
        <s v="2018-05-09-06:00" u="1"/>
        <s v="2018-05-29-05:00" u="1"/>
        <s v="2018-06-29-05:00" u="1"/>
        <s v="2018-07-09-06:00" u="1"/>
        <s v="2017-12-07-06:00" u="1"/>
        <s v="2017-12-27-05:00" u="1"/>
        <s v="2016-01-29-14:00" u="1"/>
        <s v="2016-02-09-15:00" u="1"/>
        <s v="2016-02-29-14:00" u="1"/>
        <s v="2016-03-09-15:00" u="1"/>
        <s v="2016-03-29-14:00" u="1"/>
        <s v="2016-04-29-14:00" u="1"/>
        <s v="2016-05-09-15:00" u="1"/>
        <s v="2016-06-09-15:00" u="1"/>
        <s v="2016-06-29-14:00" u="1"/>
        <s v="2016-07-29-14:00" u="1"/>
        <s v="2016-08-09-15:00" u="1"/>
        <s v="2016-08-29-14:00" u="1"/>
        <s v="2016-09-09-15:00" u="1"/>
        <s v="2016-09-29-14:00" u="1"/>
        <s v="2016-11-09-15:00" u="1"/>
        <s v="2016-11-29-14:00" u="1"/>
        <s v="2016-12-09-15:00" u="1"/>
        <s v="2016-12-29-14:00" u="1"/>
        <s v="2018-01-17-05:00" u="1"/>
        <s v="2018-04-17-05:00" u="1"/>
        <s v="2018-05-17-05:00" u="1"/>
        <s v="2018-07-17-05:00" u="1"/>
        <s v="2017-01-19-14:00" u="1"/>
        <s v="2017-02-15-05:00" u="1"/>
        <s v="2017-03-15-05:00" u="1"/>
        <s v="2017-04-19-14:00" u="1"/>
        <s v="2017-05-15-05:00" u="1"/>
        <s v="2017-05-19-14:00" u="1"/>
        <s v="2017-06-15-05:00" u="1"/>
        <s v="2017-06-19-14:00" u="1"/>
        <s v="2017-07-19-14:00" u="1"/>
        <s v="2017-08-15-05:00" u="1"/>
        <s v="2017-09-15-05:00" u="1"/>
        <s v="2017-09-19-14:00" u="1"/>
        <s v="2017-10-19-14:00" u="1"/>
        <s v="2017-12-15-05:00" u="1"/>
        <s v="2017-12-19-14:00" u="1"/>
        <s v="2016-01-13-05:00" u="1"/>
        <s v="2016-04-13-05:00" u="1"/>
        <s v="2016-05-13-05:00" u="1"/>
        <s v="2016-06-13-05:00" u="1"/>
        <s v="2016-07-13-05:00" u="1"/>
        <s v="2016-09-13-05:00" u="1"/>
        <s v="2016-10-13-05:00" u="1"/>
        <s v="2016-12-13-05:00" u="1"/>
        <s v="2018-01-05-05:00" u="1"/>
        <s v="2018-01-09-14:00" u="1"/>
        <s v="2018-01-25-04:00" u="1"/>
        <s v="2018-01-29-13:00" u="1"/>
        <s v="2018-02-05-05:00" u="1"/>
        <s v="2018-02-09-14:00" u="1"/>
        <s v="2018-03-05-05:00" u="1"/>
        <s v="2018-03-09-14:00" u="1"/>
        <s v="2018-03-29-13:00" u="1"/>
        <s v="2018-04-05-05:00" u="1"/>
        <s v="2018-04-09-14:00" u="1"/>
        <s v="2018-04-25-04:00" u="1"/>
        <s v="2018-05-09-14:00" u="1"/>
        <s v="2018-05-25-04:00" u="1"/>
        <s v="2018-05-29-13:00" u="1"/>
        <s v="2018-06-05-05:00" u="1"/>
        <s v="2018-06-25-04:00" u="1"/>
        <s v="2018-06-29-13:00" u="1"/>
        <s v="2018-07-05-05:00" u="1"/>
        <s v="2018-07-09-14:00" u="1"/>
        <s v="2018-07-25-04:00" u="1"/>
        <s v="9999-99-99-99:96" u="1"/>
        <s v="2017-01-03-05:00" u="1"/>
        <s v="2017-01-23-04:00" u="1"/>
        <s v="2017-02-03-05:00" u="1"/>
        <s v="2017-02-23-04:00" u="1"/>
        <s v="2017-03-03-05:00" u="1"/>
        <s v="2017-03-23-04:00" u="1"/>
        <s v="2017-04-03-05:00" u="1"/>
        <s v="2017-05-03-05:00" u="1"/>
        <s v="2017-05-23-04:00" u="1"/>
        <s v="2017-06-23-04:00" u="1"/>
        <s v="2017-07-03-05:00" u="1"/>
        <s v="2017-08-03-05:00" u="1"/>
        <s v="2017-08-23-04:00" u="1"/>
        <s v="2017-10-03-05:00" u="1"/>
        <s v="2017-10-23-04:00" u="1"/>
        <s v="2017-11-03-05:00" u="1"/>
        <s v="2017-11-23-04:00" u="1"/>
        <s v="2017-12-07-14:00" u="1"/>
        <s v="2017-12-27-13:00" u="1"/>
        <s v="2016-01-05-14:00" u="1"/>
        <s v="2016-01-25-13:00" u="1"/>
        <s v="2016-02-05-14:00" u="1"/>
        <s v="2016-02-25-13:00" u="1"/>
        <s v="2016-03-25-13:00" u="1"/>
        <s v="2016-04-05-14:00" u="1"/>
        <s v="2016-04-25-13:00" u="1"/>
        <s v="2016-05-05-14:00" u="1"/>
        <s v="2016-05-25-13:00" u="1"/>
        <s v="2016-07-05-14:00" u="1"/>
        <s v="2016-07-25-13:00" u="1"/>
        <s v="2016-08-05-14:00" u="1"/>
        <s v="2016-08-25-13:00" u="1"/>
        <s v="2016-09-05-14:00" u="1"/>
        <s v="2016-10-05-14:00" u="1"/>
        <s v="2016-10-25-13:00" u="1"/>
        <s v="2016-11-25-13:00" u="1"/>
        <s v="2016-12-05-14:00" u="1"/>
        <s v="2018-01-17-13:00" u="1"/>
        <s v="2018-02-13-04:00" u="1"/>
        <s v="2018-03-13-04:00" u="1"/>
        <s v="2018-04-13-04:00" u="1"/>
        <s v="2018-04-17-13:00" u="1"/>
        <s v="2018-05-17-13:00" u="1"/>
        <s v="2018-06-13-04:00" u="1"/>
        <s v="2018-07-13-04:00" u="1"/>
        <s v="2018-07-17-13:00" u="1"/>
        <s v="2017-02-15-13:00" u="1"/>
        <s v="2017-03-15-13:00" u="1"/>
        <s v="2017-05-15-13:00" u="1"/>
        <s v="2017-06-15-13:00" u="1"/>
        <s v="2017-08-15-13:00" u="1"/>
        <s v="2017-09-15-13:00" u="1"/>
        <s v="2017-11-15-13:00" u="1"/>
        <s v="2017-12-11-04:00" u="1"/>
        <s v="2017-12-15-13:00" u="1"/>
        <s v="2017-12-19-22:00" u="1"/>
        <s v="2016-02-17-22:00" u="1"/>
        <s v="2016-03-17-22:00" u="1"/>
        <s v="2016-05-17-22:00" u="1"/>
        <s v="2016-06-17-22:00" u="1"/>
        <s v="2016-08-17-22:00" u="1"/>
        <s v="2018-01-05-13:00" u="1"/>
        <s v="2018-01-09-22:00" u="1"/>
        <s v="2018-01-25-12:00" u="1"/>
        <s v="2018-01-29-21:00" u="1"/>
        <s v="2018-02-01-04:00" u="1"/>
        <s v="2018-02-05-13:00" u="1"/>
        <s v="2018-02-09-22:00" u="1"/>
        <s v="2018-02-21-03:00" u="1"/>
        <s v="2018-03-01-04:00" u="1"/>
        <s v="2018-03-05-13:00" u="1"/>
        <s v="2018-03-09-22:00" u="1"/>
        <s v="2018-03-21-03:00" u="1"/>
        <s v="2018-03-29-21:00" u="1"/>
        <s v="2018-04-05-13:00" u="1"/>
        <s v="2018-04-09-22:00" u="1"/>
        <s v="2018-04-25-12:00" u="1"/>
        <s v="2018-05-01-04:00" u="1"/>
        <s v="2018-05-09-22:00" u="1"/>
        <s v="2018-05-21-03:00" u="1"/>
        <s v="2018-05-25-12:00" u="1"/>
        <s v="2018-05-29-21:00" u="1"/>
        <s v="2018-06-01-04:00" u="1"/>
        <s v="2018-06-05-13:00" u="1"/>
        <s v="2018-06-21-03:00" u="1"/>
        <s v="2018-06-25-12:00" u="1"/>
        <s v="2018-06-29-21:00" u="1"/>
        <s v="2018-07-05-13:00" u="1"/>
        <s v="2018-07-09-22:00" u="1"/>
        <s v="2018-07-25-12:00" u="1"/>
        <s v="2017-01-27-21:00" u="1"/>
        <s v="2017-02-07-22:00" u="1"/>
        <s v="2017-02-27-21:00" u="1"/>
        <s v="2017-03-07-22:00" u="1"/>
        <s v="2017-03-27-21:00" u="1"/>
        <s v="2017-04-07-22:00" u="1"/>
        <s v="2017-04-27-21:00" u="1"/>
        <s v="2017-06-07-22:00" u="1"/>
        <s v="2017-06-27-21:00" u="1"/>
        <s v="2017-07-07-22:00" u="1"/>
        <s v="2017-07-27-21:00" u="1"/>
        <s v="2017-08-07-22:00" u="1"/>
        <s v="2017-09-07-22:00" u="1"/>
        <s v="2017-09-27-21:00" u="1"/>
        <s v="2017-10-27-21:00" u="1"/>
        <s v="2017-11-07-22:00" u="1"/>
        <s v="2017-11-27-21:00" u="1"/>
        <s v="2017-12-07-22:00" u="1"/>
        <s v="2017-12-27-21:00" u="1"/>
        <s v="2016-01-21-12:00" u="1"/>
        <s v="2016-02-01-13:00" u="1"/>
        <s v="2016-03-01-13:00" u="1"/>
        <s v="2016-03-21-12:00" u="1"/>
        <s v="2016-04-01-13:00" u="1"/>
        <s v="2016-04-21-12:00" u="1"/>
        <s v="2016-06-01-13:00" u="1"/>
        <s v="2016-06-21-12:00" u="1"/>
        <s v="2016-07-01-13:00" u="1"/>
        <s v="2016-07-21-12:00" u="1"/>
        <s v="2016-08-01-13:00" u="1"/>
        <s v="2016-09-01-13:00" u="1"/>
        <s v="2016-09-21-12:00" u="1"/>
        <s v="2016-10-05-22:00" u="1"/>
        <s v="2016-10-25-21:00" u="1"/>
        <s v="2016-11-25-21:00" u="1"/>
        <s v="2016-12-05-22:00" u="1"/>
        <s v="2018-01-17-21:00" u="1"/>
        <s v="2018-02-13-12:00" u="1"/>
        <s v="2018-03-13-12:00" u="1"/>
        <s v="2018-04-13-12:00" u="1"/>
        <s v="2018-04-17-21:00" u="1"/>
        <s v="2018-05-17-21:00" u="1"/>
        <s v="2018-06-13-12:00" u="1"/>
        <s v="2018-07-13-12:00" u="1"/>
        <s v="2018-07-17-21:00" u="1"/>
        <s v="2017-01-11-12:00" u="1"/>
        <s v="2017-01-31-11:00" u="1"/>
        <s v="2017-03-31-11:00" u="1"/>
        <s v="2017-04-11-12:00" u="1"/>
        <s v="2017-05-11-12:00" u="1"/>
        <s v="2017-05-31-11:00" u="1"/>
        <s v="2017-07-11-12:00" u="1"/>
        <s v="2017-07-31-11:00" u="1"/>
        <s v="2017-08-11-12:00" u="1"/>
        <s v="2017-08-31-11:00" u="1"/>
        <s v="2017-09-11-12:00" u="1"/>
        <s v="2017-10-11-12:00" u="1"/>
        <s v="2017-10-31-11:00" u="1"/>
        <s v="2017-12-11-12:00" u="1"/>
        <s v="2017-12-15-21:00" u="1"/>
        <s v="2013-01-18-08:00" u="1"/>
        <s v="2013-02-18-08:00" u="1"/>
        <s v="2013-03-18-08:00" u="1"/>
        <s v="2013-04-18-08:00" u="1"/>
        <s v="2013-06-18-08:00" u="1"/>
        <s v="2013-07-18-08:00" u="1"/>
        <s v="2013-09-18-08:00" u="1"/>
        <s v="2018-01-05-21:00" u="1"/>
        <s v="2018-01-25-20:00" u="1"/>
        <s v="2018-02-01-12:00" u="1"/>
        <s v="2018-02-05-21:00" u="1"/>
        <s v="2018-02-21-11:00" u="1"/>
        <s v="2018-03-01-12:00" u="1"/>
        <s v="2018-03-05-21:00" u="1"/>
        <s v="2018-03-21-11:00" u="1"/>
        <s v="2018-04-05-21:00" u="1"/>
        <s v="2018-04-25-20:00" u="1"/>
        <s v="2018-05-01-12:00" u="1"/>
        <s v="2018-05-21-11:00" u="1"/>
        <s v="2018-05-25-20:00" u="1"/>
        <s v="2018-06-01-12:00" u="1"/>
        <s v="2018-06-05-21:00" u="1"/>
        <s v="2018-06-21-11:00" u="1"/>
        <s v="2018-06-25-20:00" u="1"/>
        <s v="2018-07-05-21:00" u="1"/>
        <s v="2018-07-25-20:00" u="1"/>
        <s v="2016-01-21-20:00" u="1"/>
        <s v="2016-02-01-21:00" u="1"/>
        <s v="2016-03-01-21:00" u="1"/>
        <s v="2016-03-21-20:00" u="1"/>
        <s v="2016-04-01-21:00" u="1"/>
        <s v="2016-04-21-20:00" u="1"/>
        <s v="2016-06-01-21:00" u="1"/>
        <s v="2016-06-21-20:00" u="1"/>
        <s v="2016-07-01-21:00" u="1"/>
        <s v="2016-07-21-20:00" u="1"/>
        <s v="2016-08-01-21:00" u="1"/>
        <s v="2016-09-01-21:00" u="1"/>
        <s v="2016-09-21-20:00" u="1"/>
        <s v="2016-10-21-20:00" u="1"/>
        <s v="2016-11-01-21:00" u="1"/>
        <s v="2016-11-21-20:00" u="1"/>
        <s v="2016-12-01-21:00" u="1"/>
        <s v="2016-12-21-20:00" u="1"/>
        <s v="2018-02-13-20:00" u="1"/>
        <s v="2018-03-13-20:00" u="1"/>
        <s v="2018-04-13-20:00" u="1"/>
        <s v="2018-06-13-20:00" u="1"/>
        <s v="2018-07-13-20:00" u="1"/>
        <s v="2016-01-08-07:00" u="1"/>
        <s v="2016-01-28-06:00" u="1"/>
        <s v="2016-02-08-07:00" u="1"/>
        <s v="2016-03-08-07:00" u="1"/>
        <s v="2016-03-28-06:00" u="1"/>
        <s v="2016-04-08-07:00" u="1"/>
        <s v="2016-04-28-06:00" u="1"/>
        <s v="2016-06-08-07:00" u="1"/>
        <s v="2016-06-28-06:00" u="1"/>
        <s v="2016-07-08-07:00" u="1"/>
        <s v="2016-07-28-06:00" u="1"/>
        <s v="2016-08-08-07:00" u="1"/>
        <s v="2016-09-08-07:00" u="1"/>
        <s v="2016-09-28-06:00" u="1"/>
        <s v="2016-10-28-06:00" u="1"/>
        <s v="2016-11-08-07:00" u="1"/>
        <s v="2016-11-28-06:00" u="1"/>
        <s v="2016-12-08-07:00" u="1"/>
        <s v="2016-12-28-06:00" u="1"/>
        <s v="2017-01-11-20:00" u="1"/>
        <s v="2017-04-11-20:00" u="1"/>
        <s v="2017-05-11-20:00" u="1"/>
        <s v="2017-07-11-20:00" u="1"/>
        <s v="2017-08-11-20:00" u="1"/>
        <s v="2017-09-11-20:00" u="1"/>
        <s v="2017-10-11-20:00" u="1"/>
        <s v="2017-12-11-20:00" u="1"/>
        <s v="2017-01-18-06:00" u="1"/>
        <s v="2017-04-18-06:00" u="1"/>
        <s v="2017-05-18-06:00" u="1"/>
        <s v="2017-07-18-06:00" u="1"/>
        <s v="2017-08-18-06:00" u="1"/>
        <s v="2017-09-18-06:00" u="1"/>
        <s v="2017-10-18-06:00" u="1"/>
        <s v="2017-12-18-06:00" u="1"/>
        <s v="2018-02-01-20:00" u="1"/>
        <s v="2018-03-01-20:00" u="1"/>
        <s v="2018-05-01-20:00" u="1"/>
        <s v="2018-06-01-20:00" u="1"/>
        <s v="2018-01-08-06:00" u="1"/>
        <s v="2018-02-08-06:00" u="1"/>
        <s v="2018-02-28-05:00" u="1"/>
        <s v="2018-03-08-06:00" u="1"/>
        <s v="2018-03-28-05:00" u="1"/>
        <s v="2018-05-08-06:00" u="1"/>
        <s v="2018-05-28-05:00" u="1"/>
        <s v="2018-06-08-06:00" u="1"/>
        <s v="2018-06-28-05:00" u="1"/>
        <s v="2018-08-08-06:00" u="1"/>
        <s v="2017-12-06-06:00" u="1"/>
        <s v="2010-10-12-16:00" u="1"/>
        <s v="2010-11-12-16:00" u="1"/>
        <s v="2010-12-12-16:00" u="1"/>
        <s v="2016-01-04-06:00" u="1"/>
        <s v="2016-02-04-06:00" u="1"/>
        <s v="2016-02-24-05:00" u="1"/>
        <s v="2016-03-04-06:00" u="1"/>
        <s v="2016-03-24-05:00" u="1"/>
        <s v="2016-04-04-06:00" u="1"/>
        <s v="2016-05-04-06:00" u="1"/>
        <s v="2016-05-24-05:00" u="1"/>
        <s v="2016-06-24-05:00" u="1"/>
        <s v="2016-07-04-06:00" u="1"/>
        <s v="2016-08-04-06:00" u="1"/>
        <s v="2016-08-24-05:00" u="1"/>
        <s v="2016-10-04-06:00" u="1"/>
        <s v="2016-10-24-05:00" u="1"/>
        <s v="2016-10-28-14:00" u="1"/>
        <s v="2016-11-04-06:00" u="1"/>
        <s v="2016-11-08-15:00" u="1"/>
        <s v="2016-11-24-05:00" u="1"/>
        <s v="2016-11-28-14:00" u="1"/>
        <s v="2016-12-08-15:00" u="1"/>
        <s v="2016-12-28-14:00" u="1"/>
        <s v="2018-01-16-05:00" u="1"/>
        <s v="2018-02-16-05:00" u="1"/>
        <s v="2018-03-16-05:00" u="1"/>
        <s v="2018-04-16-05:00" u="1"/>
        <s v="2018-05-16-05:00" u="1"/>
        <s v="2018-07-16-05:00" u="1"/>
        <s v="2017-02-14-05:00" u="1"/>
        <s v="2017-03-14-05:00" u="1"/>
        <s v="2017-04-14-05:00" u="1"/>
        <s v="2017-06-14-05:00" u="1"/>
        <s v="2017-07-14-05:00" u="1"/>
        <s v="2017-08-14-05:00" u="1"/>
        <s v="2017-09-14-05:00" u="1"/>
        <s v="2017-11-14-05:00" u="1"/>
        <s v="2017-12-14-05:00" u="1"/>
        <s v="2017-12-18-14:00" u="1"/>
        <s v="2018-01-04-05:00" u="1"/>
        <s v="2018-01-08-14:00" u="1"/>
        <s v="2018-01-24-04:00" u="1"/>
        <s v="2018-02-08-14:00" u="1"/>
        <s v="2018-02-28-13:00" u="1"/>
        <s v="2018-03-08-14:00" u="1"/>
        <s v="2018-03-28-13:00" u="1"/>
        <s v="2018-04-04-05:00" u="1"/>
        <s v="2018-04-24-04:00" u="1"/>
        <s v="2018-05-04-05:00" u="1"/>
        <s v="2018-05-08-14:00" u="1"/>
        <s v="2018-05-24-04:00" u="1"/>
        <s v="2018-05-28-13:00" u="1"/>
        <s v="2018-06-04-05:00" u="1"/>
        <s v="2018-06-08-14:00" u="1"/>
        <s v="2018-06-28-13:00" u="1"/>
        <s v="2018-07-04-05:00" u="1"/>
        <s v="2018-07-24-04:00" u="1"/>
        <s v="2018-08-08-14:00" u="1"/>
        <s v="2017-01-06-14:00" u="1"/>
        <s v="2017-01-26-13:00" u="1"/>
        <s v="2017-02-06-14:00" u="1"/>
        <s v="2017-03-06-14:00" u="1"/>
        <s v="2017-04-06-14:00" u="1"/>
        <s v="2017-04-26-13:00" u="1"/>
        <s v="2017-05-26-13:00" u="1"/>
        <s v="2017-06-06-14:00" u="1"/>
        <s v="2017-06-26-13:00" u="1"/>
        <s v="2017-07-06-14:00" u="1"/>
        <s v="2017-07-26-13:00" u="1"/>
        <s v="2017-09-06-14:00" u="1"/>
        <s v="2017-09-26-13:00" u="1"/>
        <s v="2017-12-06-14:00" u="1"/>
        <s v="2017-12-22-04:00" u="1"/>
        <s v="2017-12-26-13:00" u="1"/>
        <s v="2016-01-04-14:00" u="1"/>
        <s v="2016-02-04-14:00" u="1"/>
        <s v="2016-02-24-13:00" u="1"/>
        <s v="2016-03-04-14:00" u="1"/>
        <s v="2016-03-24-13:00" u="1"/>
        <s v="2016-04-04-14:00" u="1"/>
        <s v="2016-05-04-14:00" u="1"/>
        <s v="2016-05-24-13:00" u="1"/>
        <s v="2016-06-24-13:00" u="1"/>
        <s v="2016-07-04-14:00" u="1"/>
        <s v="2016-08-04-14:00" u="1"/>
        <s v="2016-08-24-13:00" u="1"/>
        <s v="2016-10-04-14:00" u="1"/>
        <s v="2016-10-24-13:00" u="1"/>
        <s v="2016-11-04-14:00" u="1"/>
        <s v="2016-11-24-13:00" u="1"/>
        <s v="2018-01-12-04:00" u="1"/>
        <s v="2018-01-16-13:00" u="1"/>
        <s v="2018-02-12-04:00" u="1"/>
        <s v="2018-02-16-13:00" u="1"/>
        <s v="2018-03-12-04:00" u="1"/>
        <s v="2018-03-16-13:00" u="1"/>
        <s v="2018-04-12-04:00" u="1"/>
        <s v="2018-04-16-13:00" u="1"/>
        <s v="2018-05-16-13:00" u="1"/>
        <s v="2018-06-12-04:00" u="1"/>
        <s v="2018-07-12-04:00" u="1"/>
        <s v="2018-07-16-13:00" u="1"/>
        <s v="2017-01-10-04:00" u="1"/>
        <s v="2017-01-30-03:00" u="1"/>
        <s v="2017-02-10-04:00" u="1"/>
        <s v="2017-03-10-04:00" u="1"/>
        <s v="2017-03-30-03:00" u="1"/>
        <s v="2017-04-10-04:00" u="1"/>
        <s v="2017-05-10-04:00" u="1"/>
        <s v="2017-05-30-03:00" u="1"/>
        <s v="2017-06-30-03:00" u="1"/>
        <s v="2017-07-10-04:00" u="1"/>
        <s v="2017-08-10-04:00" u="1"/>
        <s v="2017-08-30-03:00" u="1"/>
        <s v="2017-11-14-13:00" u="1"/>
        <s v="2017-11-30-03:00" u="1"/>
        <s v="2017-12-14-13:00" u="1"/>
        <s v="2017-12-18-22:00" u="1"/>
        <s v="2016-02-16-22:00" u="1"/>
        <s v="2016-03-16-22:00" u="1"/>
        <s v="2016-05-16-22:00" u="1"/>
        <s v="2016-06-16-22:00" u="1"/>
        <s v="2016-08-16-22:00" u="1"/>
        <s v="2016-09-16-22:00" u="1"/>
        <s v="2016-11-16-22:00" u="1"/>
        <s v="2016-12-16-22:00" u="1"/>
        <s v="2018-01-04-13:00" u="1"/>
        <s v="2018-01-08-22:00" u="1"/>
        <s v="2018-01-24-12:00" u="1"/>
        <s v="2018-02-08-22:00" u="1"/>
        <s v="2018-02-20-03:00" u="1"/>
        <s v="2018-02-28-21:00" u="1"/>
        <s v="2018-03-08-22:00" u="1"/>
        <s v="2018-03-20-03:00" u="1"/>
        <s v="2018-03-28-21:00" u="1"/>
        <s v="2018-04-04-13:00" u="1"/>
        <s v="2018-04-20-03:00" u="1"/>
        <s v="2018-04-24-12:00" u="1"/>
        <s v="2018-05-04-13:00" u="1"/>
        <s v="2018-05-08-22:00" u="1"/>
        <s v="2018-05-24-12:00" u="1"/>
        <s v="2018-05-28-21:00" u="1"/>
        <s v="2018-06-04-13:00" u="1"/>
        <s v="2018-06-08-22:00" u="1"/>
        <s v="2018-06-20-03:00" u="1"/>
        <s v="2018-06-28-21:00" u="1"/>
        <s v="2018-07-04-13:00" u="1"/>
        <s v="2018-07-20-03:00" u="1"/>
        <s v="2018-07-24-12:00" u="1"/>
        <s v="2017-01-06-22:00" u="1"/>
        <s v="2017-01-26-21:00" u="1"/>
        <s v="2017-02-06-22:00" u="1"/>
        <s v="2017-03-06-22:00" u="1"/>
        <s v="2017-04-06-22:00" u="1"/>
        <s v="2017-04-26-21:00" u="1"/>
        <s v="2017-05-26-21:00" u="1"/>
        <s v="2017-06-06-22:00" u="1"/>
        <s v="2017-06-26-21:00" u="1"/>
        <s v="2017-07-06-22:00" u="1"/>
        <s v="2017-07-26-21:00" u="1"/>
        <s v="2017-09-06-22:00" u="1"/>
        <s v="2017-09-26-21:00" u="1"/>
        <s v="2017-10-06-22:00" u="1"/>
        <s v="2017-10-26-21:00" u="1"/>
        <s v="2017-11-06-22:00" u="1"/>
        <s v="2017-12-06-22:00" u="1"/>
        <s v="2017-12-22-12:00" u="1"/>
        <s v="2017-12-26-21:00" u="1"/>
        <s v="2016-01-20-12:00" u="1"/>
        <s v="2016-04-20-12:00" u="1"/>
        <s v="2016-05-20-12:00" u="1"/>
        <s v="2016-06-20-12:00" u="1"/>
        <s v="2016-07-20-12:00" u="1"/>
        <s v="2016-09-20-12:00" u="1"/>
        <s v="2016-10-20-12:00" u="1"/>
        <s v="2016-12-20-12:00" u="1"/>
        <s v="2018-01-12-12:00" u="1"/>
        <s v="2018-01-16-21:00" u="1"/>
        <s v="2018-02-12-12:00" u="1"/>
        <s v="2018-02-16-21:00" u="1"/>
        <s v="2018-03-12-12:00" u="1"/>
        <s v="2018-03-16-21:00" u="1"/>
        <s v="2018-04-12-12:00" u="1"/>
        <s v="2018-04-16-21:00" u="1"/>
        <s v="2018-05-16-21:00" u="1"/>
        <s v="2018-06-12-12:00" u="1"/>
        <s v="2018-07-12-12:00" u="1"/>
        <s v="2018-07-16-21:00" u="1"/>
        <s v="2017-01-10-12:00" u="1"/>
        <s v="2017-01-30-11:00" u="1"/>
        <s v="2017-02-10-12:00" u="1"/>
        <s v="2017-03-10-12:00" u="1"/>
        <s v="2017-03-30-11:00" u="1"/>
        <s v="2017-04-10-12:00" u="1"/>
        <s v="2017-05-10-12:00" u="1"/>
        <s v="2017-05-30-11:00" u="1"/>
        <s v="2017-06-30-11:00" u="1"/>
        <s v="2017-07-10-12:00" u="1"/>
        <s v="2017-08-10-12:00" u="1"/>
        <s v="2017-08-30-11:00" u="1"/>
        <s v="2017-10-10-12:00" u="1"/>
        <s v="2017-10-30-11:00" u="1"/>
        <s v="2017-11-10-12:00" u="1"/>
        <s v="2017-11-30-11:00" u="1"/>
        <s v="2017-12-14-21:00" u="1"/>
        <s v="2016-01-12-21:00" u="1"/>
        <s v="2016-02-12-21:00" u="1"/>
        <s v="2016-04-12-21:00" u="1"/>
        <s v="2016-05-12-21:00" u="1"/>
        <s v="2016-07-12-21:00" u="1"/>
        <s v="2016-08-12-21:00" u="1"/>
        <s v="2016-09-12-21:00" u="1"/>
        <s v="2016-10-12-21:00" u="1"/>
        <s v="2016-12-12-21:00" u="1"/>
        <s v="2018-01-04-21:00" u="1"/>
        <s v="2018-01-24-20:00" u="1"/>
        <s v="2018-02-20-11:00" u="1"/>
        <s v="2018-03-20-11:00" u="1"/>
        <s v="2018-04-04-21:00" u="1"/>
        <s v="2018-04-20-11:00" u="1"/>
        <s v="2018-04-24-20:00" u="1"/>
        <s v="2018-05-04-21:00" u="1"/>
        <s v="2018-05-24-20:00" u="1"/>
        <s v="2018-06-04-21:00" u="1"/>
        <s v="2018-06-20-11:00" u="1"/>
        <s v="2018-07-04-21:00" u="1"/>
        <s v="2018-07-20-11:00" u="1"/>
        <s v="2018-07-24-20:00" u="1"/>
        <s v="2016-01-19-07:00" u="1"/>
        <s v="2016-02-19-07:00" u="1"/>
        <s v="2016-04-19-07:00" u="1"/>
        <s v="2016-05-19-07:00" u="1"/>
        <s v="2016-07-19-07:00" u="1"/>
        <s v="2016-08-19-07:00" u="1"/>
        <s v="2016-09-19-07:00" u="1"/>
        <s v="2017-01-02-21:00" u="1"/>
        <s v="2017-02-02-21:00" u="1"/>
        <s v="2017-02-22-20:00" u="1"/>
        <s v="2017-03-02-21:00" u="1"/>
        <s v="2017-03-22-20:00" u="1"/>
        <s v="2017-05-02-21:00" u="1"/>
        <s v="2017-05-22-20:00" u="1"/>
        <s v="2017-06-02-21:00" u="1"/>
        <s v="2017-06-22-20:00" u="1"/>
        <s v="2017-08-02-21:00" u="1"/>
        <s v="2017-08-22-20:00" u="1"/>
        <s v="2017-09-22-20:00" u="1"/>
        <s v="2017-10-02-21:00" u="1"/>
        <s v="2017-11-02-21:00" u="1"/>
        <s v="2017-11-22-20:00" u="1"/>
        <s v="2017-12-22-20:00" u="1"/>
        <s v="2017-01-09-07:00" u="1"/>
        <s v="2017-02-09-07:00" u="1"/>
        <s v="2017-03-09-07:00" u="1"/>
        <s v="2017-03-29-06:00" u="1"/>
        <s v="2017-05-09-07:00" u="1"/>
        <s v="2017-05-29-06:00" u="1"/>
        <s v="2017-06-09-07:00" u="1"/>
        <s v="2017-06-29-06:00" u="1"/>
        <s v="2017-08-09-07:00" u="1"/>
        <s v="2017-08-29-06:00" u="1"/>
        <s v="2017-09-29-06:00" u="1"/>
        <s v="2017-10-09-07:00" u="1"/>
        <s v="2017-11-09-07:00" u="1"/>
        <s v="2017-11-29-06:00" u="1"/>
        <s v="2017-12-29-06:00" u="1"/>
        <s v="2016-10-20-20:00" u="1"/>
        <s v="2016-12-20-20:00" u="1"/>
        <s v="2018-01-12-20:00" u="1"/>
        <s v="2018-02-12-20:00" u="1"/>
        <s v="2018-03-12-20:00" u="1"/>
        <s v="2018-04-12-20:00" u="1"/>
        <s v="2018-06-12-20:00" u="1"/>
        <s v="2018-07-12-20:00" u="1"/>
        <s v="2016-01-07-07:00" u="1"/>
        <s v="2016-01-27-06:00" u="1"/>
        <s v="2016-03-07-07:00" u="1"/>
        <s v="2016-04-07-07:00" u="1"/>
        <s v="2016-04-27-06:00" u="1"/>
        <s v="2016-05-27-06:00" u="1"/>
        <s v="2016-06-07-07:00" u="1"/>
        <s v="2016-06-27-06:00" u="1"/>
        <s v="2016-07-07-07:00" u="1"/>
        <s v="2016-07-27-06:00" u="1"/>
        <s v="2016-09-07-07:00" u="1"/>
        <s v="2016-09-27-06:00" u="1"/>
        <s v="2016-10-07-07:00" u="1"/>
        <s v="2016-10-27-06:00" u="1"/>
        <s v="2016-11-07-07:00" u="1"/>
        <s v="2016-12-07-07:00" u="1"/>
        <s v="2016-12-27-06:00" u="1"/>
        <s v="2018-01-19-06:00" u="1"/>
        <s v="2018-02-19-06:00" u="1"/>
        <s v="2018-03-19-06:00" u="1"/>
        <s v="2018-04-19-06:00" u="1"/>
        <s v="2018-06-19-06:00" u="1"/>
        <s v="2018-07-19-06:00" u="1"/>
        <s v="2017-10-17-06:00" u="1"/>
        <s v="2017-11-17-06:00" u="1"/>
        <s v="2016-01-19-15:00" u="1"/>
        <s v="2016-02-19-15:00" u="1"/>
        <s v="2016-04-19-15:00" u="1"/>
        <s v="2016-05-19-15:00" u="1"/>
        <s v="2016-07-19-15:00" u="1"/>
        <s v="2016-08-19-15:00" u="1"/>
        <s v="2016-09-19-15:00" u="1"/>
        <s v="2016-10-19-15:00" u="1"/>
        <s v="2016-12-19-15:00" u="1"/>
        <s v="2018-02-07-06:00" u="1"/>
        <s v="2018-02-27-05:00" u="1"/>
        <s v="2018-03-07-06:00" u="1"/>
        <s v="2018-03-27-05:00" u="1"/>
        <s v="2018-04-27-05:00" u="1"/>
        <s v="2018-05-07-06:00" u="1"/>
        <s v="2018-06-07-06:00" u="1"/>
        <s v="2018-06-27-05:00" u="1"/>
        <s v="2018-07-27-05:00" u="1"/>
        <s v="2017-01-09-15:00" u="1"/>
        <s v="2017-02-09-15:00" u="1"/>
        <s v="2017-03-09-15:00" u="1"/>
        <s v="2017-03-29-14:00" u="1"/>
        <s v="2017-05-09-15:00" u="1"/>
        <s v="2017-05-29-14:00" u="1"/>
        <s v="2017-06-09-15:00" u="1"/>
        <s v="2017-06-29-14:00" u="1"/>
        <s v="2017-08-09-15:00" u="1"/>
        <s v="2017-08-29-14:00" u="1"/>
        <s v="2017-09-29-14:00" u="1"/>
        <s v="2017-10-09-15:00" u="1"/>
        <s v="2017-11-09-15:00" u="1"/>
        <s v="2017-11-29-14:00" u="1"/>
        <s v="2017-12-05-06:00" u="1"/>
        <s v="2017-12-29-14:00" u="1"/>
        <s v="2016-02-03-06:00" u="1"/>
        <s v="2016-02-23-05:00" u="1"/>
        <s v="2016-03-03-06:00" u="1"/>
        <s v="2016-03-23-05:00" u="1"/>
        <s v="2016-05-03-06:00" u="1"/>
        <s v="2016-05-23-05:00" u="1"/>
        <s v="2016-06-03-06:00" u="1"/>
        <s v="2016-06-23-05:00" u="1"/>
        <s v="2016-08-03-06:00" u="1"/>
        <s v="2016-08-23-05:00" u="1"/>
        <s v="2016-09-23-05:00" u="1"/>
        <s v="2016-10-03-06:00" u="1"/>
        <s v="2016-11-03-06:00" u="1"/>
        <s v="2016-11-23-05:00" u="1"/>
        <s v="2016-12-23-05:00" u="1"/>
        <s v="2018-01-15-05:00" u="1"/>
        <s v="2018-01-19-14:00" u="1"/>
        <s v="2018-02-15-05:00" u="1"/>
        <s v="2018-02-19-14:00" u="1"/>
        <s v="2018-03-15-05:00" u="1"/>
        <s v="2018-03-19-14:00" u="1"/>
        <s v="2018-04-19-14:00" u="1"/>
        <s v="2018-05-15-05:00" u="1"/>
        <s v="2018-06-15-05:00" u="1"/>
        <s v="2018-06-19-14:00" u="1"/>
        <s v="2018-07-19-14:00" u="1"/>
        <s v="2017-01-13-05:00" u="1"/>
        <s v="2017-02-13-05:00" u="1"/>
        <s v="2017-03-13-05:00" u="1"/>
        <s v="2017-04-13-05:00" u="1"/>
        <s v="2017-06-13-05:00" u="1"/>
        <s v="2017-07-13-05:00" u="1"/>
        <s v="2017-09-13-05:00" u="1"/>
        <s v="2017-10-13-05:00" u="1"/>
        <s v="2017-11-13-05:00" u="1"/>
        <s v="2017-12-13-05:00" u="1"/>
        <s v="2016-01-15-14:00" u="1"/>
        <s v="2016-02-15-14:00" u="1"/>
        <s v="2016-03-15-14:00" u="1"/>
        <s v="2016-04-15-14:00" u="1"/>
        <s v="2016-06-15-14:00" u="1"/>
        <s v="2016-07-15-14:00" u="1"/>
        <s v="2016-08-15-14:00" u="1"/>
        <s v="2016-09-15-14:00" u="1"/>
        <s v="2016-11-15-14:00" u="1"/>
        <s v="2016-12-15-14:00" u="1"/>
        <s v="2018-01-03-05:00" u="1"/>
        <s v="2018-01-23-04:00" u="1"/>
        <s v="2018-02-07-14:00" u="1"/>
        <s v="2018-02-23-04:00" u="1"/>
        <s v="2018-02-27-13:00" u="1"/>
        <s v="2018-03-07-14:00" u="1"/>
        <s v="2018-03-23-04:00" u="1"/>
        <s v="2018-03-27-13:00" u="1"/>
        <s v="2018-04-03-05:00" u="1"/>
        <s v="2018-04-23-04:00" u="1"/>
        <s v="2018-04-27-13:00" u="1"/>
        <s v="2018-05-03-05:00" u="1"/>
        <s v="2018-05-07-14:00" u="1"/>
        <s v="2018-05-23-04:00" u="1"/>
        <s v="2018-06-07-14:00" u="1"/>
        <s v="2018-06-27-13:00" u="1"/>
        <s v="2018-07-03-05:00" u="1"/>
        <s v="2018-07-23-04:00" u="1"/>
        <s v="2018-07-27-13:00" u="1"/>
        <s v="2017-01-05-14:00" u="1"/>
        <s v="2017-01-25-13:00" u="1"/>
        <s v="2017-04-05-14:00" u="1"/>
        <s v="2017-04-25-13:00" u="1"/>
        <s v="2017-05-05-14:00" u="1"/>
        <s v="2017-05-25-13:00" u="1"/>
        <s v="2017-06-05-14:00" u="1"/>
        <s v="2017-07-05-14:00" u="1"/>
        <s v="2017-07-25-13:00" u="1"/>
        <s v="2017-08-25-13:00" u="1"/>
        <s v="2017-09-05-14:00" u="1"/>
        <s v="2017-09-25-13:00" u="1"/>
        <s v="2017-10-05-14:00" u="1"/>
        <s v="2017-10-25-13:00" u="1"/>
        <s v="2017-11-29-22:00" u="1"/>
        <s v="2017-12-01-05:00" u="1"/>
        <s v="2017-12-05-14:00" u="1"/>
        <s v="2017-12-21-04:00" u="1"/>
        <s v="2017-12-29-22:00" u="1"/>
        <s v="2018-01-11-04:00" u="1"/>
        <s v="2018-01-15-13:00" u="1"/>
        <s v="2018-01-19-22:00" u="1"/>
        <s v="2018-01-31-03:00" u="1"/>
        <s v="2018-02-15-13:00" u="1"/>
        <s v="2018-02-19-22:00" u="1"/>
        <s v="2018-03-15-13:00" u="1"/>
        <s v="2018-03-19-22:00" u="1"/>
        <s v="2018-04-11-04:00" u="1"/>
        <s v="2018-04-19-22:00" u="1"/>
        <s v="2018-05-11-04:00" u="1"/>
        <s v="2018-05-15-13:00" u="1"/>
        <s v="2018-05-31-03:00" u="1"/>
        <s v="2018-06-11-04:00" u="1"/>
        <s v="2018-06-15-13:00" u="1"/>
        <s v="2018-06-19-22:00" u="1"/>
        <s v="2018-07-11-04:00" u="1"/>
        <s v="2018-07-19-22:00" u="1"/>
        <s v="2017-01-17-22:00" u="1"/>
        <s v="2017-02-17-22:00" u="1"/>
        <s v="2017-03-17-22:00" u="1"/>
        <s v="2017-04-17-22:00" u="1"/>
        <s v="2017-05-17-22:00" u="1"/>
        <s v="2017-07-17-22:00" u="1"/>
        <s v="2017-08-17-22:00" u="1"/>
        <s v="2017-12-13-13:00" u="1"/>
        <s v="2016-01-11-13:00" u="1"/>
        <s v="2016-01-15-22:00" u="1"/>
        <s v="2016-02-11-13:00" u="1"/>
        <s v="2016-02-15-22:00" u="1"/>
        <s v="2016-03-11-13:00" u="1"/>
        <s v="2016-03-15-22:00" u="1"/>
        <s v="2016-03-31-12:00" u="1"/>
        <s v="2016-04-11-13:00" u="1"/>
        <s v="2016-04-15-22:00" u="1"/>
        <s v="2016-05-11-13:00" u="1"/>
        <s v="2016-05-31-12:00" u="1"/>
        <s v="2016-06-15-22:00" u="1"/>
        <s v="2016-07-11-13:00" u="1"/>
        <s v="2016-07-15-22:00" u="1"/>
        <s v="2016-08-11-13:00" u="1"/>
        <s v="2016-08-15-22:00" u="1"/>
        <s v="2016-08-31-12:00" u="1"/>
        <s v="2016-09-15-22:00" u="1"/>
        <s v="2016-11-15-22:00" u="1"/>
        <s v="2016-12-15-22:00" u="1"/>
        <s v="2018-01-03-13:00" u="1"/>
        <s v="2018-01-23-12:00" u="1"/>
        <s v="2018-02-07-22:00" u="1"/>
        <s v="2018-02-23-12:00" u="1"/>
        <s v="2018-02-27-21:00" u="1"/>
        <s v="2018-03-07-22:00" u="1"/>
        <s v="2018-03-23-12:00" u="1"/>
        <s v="2018-03-27-21:00" u="1"/>
        <s v="2018-04-03-13:00" u="1"/>
        <s v="2018-04-23-12:00" u="1"/>
        <s v="2018-04-27-21:00" u="1"/>
        <s v="2018-05-03-13:00" u="1"/>
        <s v="2018-05-07-22:00" u="1"/>
        <s v="2018-05-23-12:00" u="1"/>
        <s v="2018-06-07-22:00" u="1"/>
        <s v="2018-06-27-21:00" u="1"/>
        <s v="2018-07-03-13:00" u="1"/>
        <s v="2018-07-23-12:00" u="1"/>
        <s v="2018-07-27-21:00" u="1"/>
        <s v="2017-02-01-13:00" u="1"/>
        <s v="2017-02-21-12:00" u="1"/>
        <s v="2017-03-01-13:00" u="1"/>
        <s v="2017-03-21-12:00" u="1"/>
        <s v="2017-04-21-12:00" u="1"/>
        <s v="2017-05-01-13:00" u="1"/>
        <s v="2017-06-01-13:00" u="1"/>
        <s v="2017-06-21-12:00" u="1"/>
        <s v="2017-07-21-12:00" u="1"/>
        <s v="2017-08-01-13:00" u="1"/>
        <s v="2017-08-21-12:00" u="1"/>
        <s v="2017-09-01-13:00" u="1"/>
        <s v="2017-09-21-12:00" u="1"/>
        <s v="2017-10-05-22:00" u="1"/>
        <s v="2017-10-25-21:00" u="1"/>
        <s v="2017-12-01-13:00" u="1"/>
        <s v="2017-12-05-22:00" u="1"/>
        <s v="2017-12-21-12:00" u="1"/>
        <s v="2018-01-11-12:00" u="1"/>
        <s v="2018-01-15-21:00" u="1"/>
        <s v="2018-01-31-11:00" u="1"/>
        <s v="2018-02-15-21:00" u="1"/>
        <s v="2018-03-15-21:00" u="1"/>
        <s v="2018-04-11-12:00" u="1"/>
        <s v="2018-05-11-12:00" u="1"/>
        <s v="2018-05-15-21:00" u="1"/>
        <s v="2018-05-31-11:00" u="1"/>
        <s v="2018-06-11-12:00" u="1"/>
        <s v="2018-06-15-21:00" u="1"/>
        <s v="2018-07-11-12:00" u="1"/>
        <s v="2014-02-18-08:00" u="1"/>
        <s v="2014-03-18-08:00" u="1"/>
        <s v="2014-04-18-08:00" u="1"/>
        <s v="2017-12-13-21:00" u="1"/>
        <s v="2016-01-11-21:00" u="1"/>
        <s v="2016-02-11-21:00" u="1"/>
        <s v="2016-03-11-21:00" u="1"/>
        <s v="2016-03-31-20:00" u="1"/>
        <s v="2016-04-11-21:00" u="1"/>
        <s v="2016-05-11-21:00" u="1"/>
        <s v="2016-05-31-20:00" u="1"/>
        <s v="2016-07-11-21:00" u="1"/>
        <s v="2016-08-11-21:00" u="1"/>
        <s v="2016-08-31-20:00" u="1"/>
        <s v="2016-10-11-21:00" u="1"/>
        <s v="2016-10-31-20:00" u="1"/>
        <s v="2016-11-11-21:00" u="1"/>
        <s v="2018-01-03-21:00" u="1"/>
        <s v="2018-01-23-20:00" u="1"/>
        <s v="2018-02-23-20:00" u="1"/>
        <s v="2018-03-23-20:00" u="1"/>
        <s v="2018-04-03-21:00" u="1"/>
        <s v="2018-04-23-20:00" u="1"/>
        <s v="2018-05-03-21:00" u="1"/>
        <s v="2018-05-23-20:00" u="1"/>
        <s v="2018-07-03-21:00" u="1"/>
        <s v="2018-07-23-20:00" u="1"/>
        <s v="2016-01-18-07:00" u="1"/>
        <s v="2016-02-18-07:00" u="1"/>
        <s v="2016-03-18-07:00" u="1"/>
        <s v="2016-04-18-07:00" u="1"/>
        <s v="2016-05-18-07:00" u="1"/>
        <s v="2016-07-18-07:00" u="1"/>
        <s v="2016-08-18-07:00" u="1"/>
        <s v="2016-10-18-07:00" u="1"/>
        <s v="2016-11-18-07:00" u="1"/>
        <s v="2017-02-01-21:00" u="1"/>
        <s v="2017-02-21-20:00" u="1"/>
        <s v="2017-03-01-21:00" u="1"/>
        <s v="2017-03-21-20:00" u="1"/>
        <s v="2017-04-21-20:00" u="1"/>
        <s v="2017-05-01-21:00" u="1"/>
        <s v="2017-06-01-21:00" u="1"/>
        <s v="2017-06-21-20:00" u="1"/>
        <s v="2017-07-21-20:00" u="1"/>
        <s v="2017-08-01-21:00" u="1"/>
        <s v="2017-08-21-20:00" u="1"/>
        <s v="2017-09-01-21:00" u="1"/>
        <s v="2017-09-21-20:00" u="1"/>
        <s v="2017-11-01-21:00" u="1"/>
        <s v="2017-11-21-20:00" u="1"/>
        <s v="2017-12-01-21:00" u="1"/>
        <s v="2017-12-21-20:00" u="1"/>
        <s v="2017-02-08-07:00" u="1"/>
        <s v="2017-02-28-06:00" u="1"/>
        <s v="2017-03-08-07:00" u="1"/>
        <s v="2017-03-28-06:00" u="1"/>
        <s v="2017-04-28-06:00" u="1"/>
        <s v="2017-05-08-07:00" u="1"/>
        <s v="2017-06-08-07:00" u="1"/>
        <s v="2017-06-28-06:00" u="1"/>
        <s v="2017-07-28-06:00" u="1"/>
        <s v="2017-08-08-07:00" u="1"/>
        <s v="2017-08-28-06:00" u="1"/>
        <s v="2017-09-08-07:00" u="1"/>
        <s v="2017-09-28-06:00" u="1"/>
        <s v="2017-11-08-07:00" u="1"/>
        <s v="2017-11-28-06:00" u="1"/>
        <s v="2017-12-08-07:00" u="1"/>
        <s v="2017-12-28-06:00" u="1"/>
        <s v="2018-01-11-20:00" u="1"/>
        <s v="2018-04-11-20:00" u="1"/>
        <s v="2018-05-11-20:00" u="1"/>
        <s v="2018-06-11-20:00" u="1"/>
        <s v="2018-07-11-20:00" u="1"/>
        <s v="2018-01-18-06:00" u="1"/>
        <s v="2018-04-18-06:00" u="1"/>
        <s v="2018-05-18-06:00" u="1"/>
        <s v="2018-06-18-06:00" u="1"/>
        <s v="2018-07-18-06:00" u="1"/>
        <s v="2016-01-14-06:00" u="1"/>
        <s v="2016-03-14-06:00" u="1"/>
        <s v="2016-04-14-06:00" u="1"/>
        <s v="2016-06-14-06:00" u="1"/>
        <s v="2016-07-14-06:00" u="1"/>
        <s v="2016-09-14-06:00" u="1"/>
        <s v="2016-10-18-15:00" u="1"/>
        <s v="2016-11-18-15:00" u="1"/>
        <s v="2018-01-26-05:00" u="1"/>
        <s v="2018-02-06-06:00" u="1"/>
        <s v="2018-02-26-05:00" u="1"/>
        <s v="2018-03-06-06:00" u="1"/>
        <s v="2018-03-26-05:00" u="1"/>
        <s v="2018-04-06-06:00" u="1"/>
        <s v="2018-04-26-05:00" u="1"/>
        <s v="2018-06-06-06:00" u="1"/>
        <s v="2018-06-26-05:00" u="1"/>
        <s v="2018-07-06-06:00" u="1"/>
        <s v="2018-07-26-05:00" u="1"/>
        <s v="2011-10-12-16:00" u="1"/>
        <s v="2011-12-12-16:00" u="1"/>
        <s v="2017-01-04-06:00" u="1"/>
        <s v="2017-01-24-05:00" u="1"/>
        <s v="2017-02-24-05:00" u="1"/>
        <s v="2017-03-24-05:00" u="1"/>
        <s v="2017-04-04-06:00" u="1"/>
        <s v="2017-04-24-05:00" u="1"/>
        <s v="2017-05-04-06:00" u="1"/>
        <s v="2017-05-24-05:00" u="1"/>
        <s v="2017-07-04-06:00" u="1"/>
        <s v="2017-07-24-05:00" u="1"/>
        <s v="2017-08-04-06:00" u="1"/>
        <s v="2017-08-24-05:00" u="1"/>
        <s v="2017-09-04-06:00" u="1"/>
        <s v="2017-10-04-06:00" u="1"/>
        <s v="2017-10-24-05:00" u="1"/>
        <s v="2017-11-08-15:00" u="1"/>
        <s v="2017-11-24-05:00" u="1"/>
        <s v="2017-11-28-14:00" u="1"/>
        <s v="2017-12-04-06:00" u="1"/>
        <s v="2017-12-08-15:00" u="1"/>
        <s v="2017-12-28-14:00" u="1"/>
        <s v="2016-11-02-06:00" u="1"/>
        <s v="2016-11-22-05:00" u="1"/>
        <s v="2016-12-02-06:00" u="1"/>
        <s v="2016-12-22-05:00" u="1"/>
        <s v="2018-01-18-14:00" u="1"/>
        <s v="2018-02-14-05:00" u="1"/>
        <s v="2018-03-14-05:00" u="1"/>
        <s v="2018-04-18-14:00" u="1"/>
        <s v="2018-05-14-05:00" u="1"/>
        <s v="2018-05-18-14:00" u="1"/>
        <s v="2018-06-14-05:00" u="1"/>
        <s v="2018-06-18-14:00" u="1"/>
        <s v="2018-07-18-14:00" u="1"/>
        <s v="2017-12-12-05:00" u="1"/>
        <s v="9999-99-99-99:128" u="1"/>
        <s v="2016-01-14-14:00" u="1"/>
        <s v="2016-03-14-14:00" u="1"/>
        <s v="2016-04-14-14:00" u="1"/>
        <s v="2016-06-14-14:00" u="1"/>
        <s v="2016-07-14-14:00" u="1"/>
        <s v="2016-09-14-14:00" u="1"/>
        <s v="2016-10-14-14:00" u="1"/>
        <s v="2016-11-14-14:00" u="1"/>
        <s v="2016-12-14-14:00" u="1"/>
        <s v="2018-01-22-04:00" u="1"/>
        <s v="2018-01-26-13:00" u="1"/>
        <s v="2018-02-02-05:00" u="1"/>
        <s v="2018-02-06-14:00" u="1"/>
        <s v="2018-02-22-04:00" u="1"/>
        <s v="2018-02-26-13:00" u="1"/>
        <s v="2018-03-02-05:00" u="1"/>
        <s v="2018-03-06-14:00" u="1"/>
        <s v="2018-03-22-04:00" u="1"/>
        <s v="2018-03-26-13:00" u="1"/>
        <s v="2018-04-02-05:00" u="1"/>
        <s v="2018-04-06-14:00" u="1"/>
        <s v="2018-04-26-13:00" u="1"/>
        <s v="2018-05-02-05:00" u="1"/>
        <s v="2018-05-22-04:00" u="1"/>
        <s v="2018-06-06-14:00" u="1"/>
        <s v="2018-06-22-04:00" u="1"/>
        <s v="2018-06-26-13:00" u="1"/>
        <s v="2018-07-02-05:00" u="1"/>
        <s v="2018-07-06-14:00" u="1"/>
        <s v="2018-07-26-13:00" u="1"/>
        <s v="2017-01-04-14:00" u="1"/>
        <s v="2017-01-24-13:00" u="1"/>
        <s v="2017-02-24-13:00" u="1"/>
        <s v="2017-03-24-13:00" u="1"/>
        <s v="2017-04-04-14:00" u="1"/>
        <s v="2017-04-24-13:00" u="1"/>
        <s v="2017-05-04-14:00" u="1"/>
        <s v="2017-05-24-13:00" u="1"/>
        <s v="2017-07-04-14:00" u="1"/>
        <s v="2017-07-24-13:00" u="1"/>
        <s v="2017-08-04-14:00" u="1"/>
        <s v="2017-08-24-13:00" u="1"/>
        <s v="2017-09-04-14:00" u="1"/>
        <s v="2017-10-04-14:00" u="1"/>
        <s v="2017-10-24-13:00" u="1"/>
        <s v="2017-11-24-13:00" u="1"/>
        <s v="2017-11-28-22:00" u="1"/>
        <s v="2017-12-04-14:00" u="1"/>
        <s v="2017-12-08-23:00" u="1"/>
        <s v="2017-12-20-04:00" u="1"/>
        <s v="2017-12-28-22:00" u="1"/>
        <s v="2016-01-06-23:00" u="1"/>
        <s v="2016-01-26-22:00" u="1"/>
        <s v="2016-02-26-22:00" u="1"/>
        <s v="2016-04-06-23:00" u="1"/>
        <s v="2016-04-26-22:00" u="1"/>
        <s v="2016-05-06-23:00" u="1"/>
        <s v="2016-05-26-22:00" u="1"/>
        <s v="2016-06-06-23:00" u="1"/>
        <s v="2016-07-06-23:00" u="1"/>
        <s v="2016-07-26-22:00" u="1"/>
        <s v="2016-08-26-22:00" u="1"/>
        <s v="2016-09-06-23:00" u="1"/>
        <s v="2016-09-26-22:00" u="1"/>
        <s v="2016-10-06-23:00" u="1"/>
        <s v="2016-10-26-22:00" u="1"/>
        <s v="2016-12-06-23:00" u="1"/>
        <s v="2016-12-26-22:00" u="1"/>
        <s v="2018-01-10-04:00" u="1"/>
        <s v="2018-01-18-22:00" u="1"/>
        <s v="2018-01-30-03:00" u="1"/>
        <s v="2018-02-14-13:00" u="1"/>
        <s v="2018-03-14-13:00" u="1"/>
        <s v="2018-03-30-03:00" u="1"/>
        <s v="2018-04-10-04:00" u="1"/>
        <s v="2018-04-18-22:00" u="1"/>
        <s v="2018-04-30-03:00" u="1"/>
        <s v="2018-05-10-04:00" u="1"/>
        <s v="2018-05-14-13:00" u="1"/>
        <s v="2018-05-18-22:00" u="1"/>
        <s v="2018-05-30-03:00" u="1"/>
        <s v="2018-06-14-13:00" u="1"/>
        <s v="2018-06-18-22:00" u="1"/>
        <s v="2018-07-10-04:00" u="1"/>
        <s v="2018-07-18-22:00" u="1"/>
        <s v="2017-01-16-22:00" u="1"/>
        <s v="2017-02-16-22:00" u="1"/>
        <s v="2017-03-16-22:00" u="1"/>
        <s v="2017-05-16-22:00" u="1"/>
        <s v="2017-06-16-22:00" u="1"/>
        <s v="2017-08-16-22:00" u="1"/>
        <s v="2017-10-16-22:00" u="1"/>
        <s v="2017-11-16-22:00" u="1"/>
        <s v="2017-12-12-13:00" u="1"/>
        <s v="2016-02-10-13:00" u="1"/>
        <s v="2016-03-10-13:00" u="1"/>
        <s v="2016-03-30-12:00" u="1"/>
        <s v="2016-05-10-13:00" u="1"/>
        <s v="2016-05-30-12:00" u="1"/>
        <s v="2016-06-10-13:00" u="1"/>
        <s v="2016-06-30-12:00" u="1"/>
        <s v="2016-08-10-13:00" u="1"/>
        <s v="2016-08-30-12:00" u="1"/>
        <s v="2016-09-30-12:00" u="1"/>
        <s v="2016-10-10-13:00" u="1"/>
        <s v="2016-11-10-13:00" u="1"/>
        <s v="2016-11-30-12:00" u="1"/>
        <s v="2016-12-30-12:00" u="1"/>
        <s v="2018-01-02-13:00" u="1"/>
        <s v="2018-01-22-12:00" u="1"/>
        <s v="2018-01-26-21:00" u="1"/>
        <s v="2018-02-02-13:00" u="1"/>
        <s v="2018-02-06-22:00" u="1"/>
        <s v="2018-02-22-12:00" u="1"/>
        <s v="2018-02-26-21:00" u="1"/>
        <s v="2018-03-02-13:00" u="1"/>
        <s v="2018-03-06-22:00" u="1"/>
        <s v="2018-03-22-12:00" u="1"/>
        <s v="2018-03-26-21:00" u="1"/>
        <s v="2018-04-02-13:00" u="1"/>
        <s v="2018-04-06-22:00" u="1"/>
        <s v="2018-04-26-21:00" u="1"/>
        <s v="2018-05-02-13:00" u="1"/>
        <s v="2018-05-22-12:00" u="1"/>
        <s v="2018-06-06-22:00" u="1"/>
        <s v="2018-06-22-12:00" u="1"/>
        <s v="2018-06-26-21:00" u="1"/>
        <s v="2018-07-02-13:00" u="1"/>
        <s v="2018-07-06-22:00" u="1"/>
        <s v="2018-07-26-21:00" u="1"/>
        <s v="2017-01-20-12:00" u="1"/>
        <s v="2017-02-20-12:00" u="1"/>
        <s v="2017-03-20-12:00" u="1"/>
        <s v="2017-04-20-12:00" u="1"/>
        <s v="2017-06-20-12:00" u="1"/>
        <s v="2017-07-20-12:00" u="1"/>
        <s v="2017-09-20-12:00" u="1"/>
        <s v="2017-10-20-12:00" u="1"/>
        <s v="2017-11-20-12:00" u="1"/>
        <s v="2017-12-04-22:00" u="1"/>
        <s v="2017-12-20-12:00" u="1"/>
        <s v="2016-01-22-21:00" u="1"/>
        <s v="2016-02-02-22:00" u="1"/>
        <s v="2016-02-22-21:00" u="1"/>
        <s v="2016-03-02-22:00" u="1"/>
        <s v="2016-03-22-21:00" u="1"/>
        <s v="2016-04-22-21:00" u="1"/>
        <s v="2016-05-02-22:00" u="1"/>
        <s v="2016-06-02-22:00" u="1"/>
        <s v="2016-06-22-21:00" u="1"/>
        <s v="2016-07-22-21:00" u="1"/>
        <s v="2016-08-02-22:00" u="1"/>
        <s v="2016-08-22-21:00" u="1"/>
        <s v="2016-09-02-22:00" u="1"/>
        <s v="2016-09-22-21:00" u="1"/>
        <s v="2018-01-10-12:00" u="1"/>
        <s v="2018-01-30-11:00" u="1"/>
        <s v="2018-02-14-21:00" u="1"/>
        <s v="2018-03-14-21:00" u="1"/>
        <s v="2018-03-30-11:00" u="1"/>
        <s v="2018-04-10-12:00" u="1"/>
        <s v="2018-04-30-11:00" u="1"/>
        <s v="2018-05-10-12:00" u="1"/>
        <s v="2018-05-14-21:00" u="1"/>
        <s v="2018-05-30-11:00" u="1"/>
        <s v="2018-06-14-21:00" u="1"/>
        <s v="2018-07-10-12:00" u="1"/>
        <s v="2017-01-12-21:00" u="1"/>
        <s v="2017-04-12-21:00" u="1"/>
        <s v="2017-05-12-21:00" u="1"/>
        <s v="2017-06-12-21:00" u="1"/>
        <s v="2017-07-12-21:00" u="1"/>
        <s v="2017-09-12-21:00" u="1"/>
        <s v="2017-10-12-21:00" u="1"/>
        <s v="2017-12-12-21:00" u="1"/>
        <s v="2017-01-19-07:00" u="1"/>
        <s v="2017-04-19-07:00" u="1"/>
        <s v="2017-05-19-07:00" u="1"/>
        <s v="2017-06-19-07:00" u="1"/>
        <s v="2017-07-19-07:00" u="1"/>
        <s v="2017-09-19-07:00" u="1"/>
        <s v="2017-12-19-07:00" u="1"/>
        <s v="2016-10-10-21:00" u="1"/>
        <s v="2016-11-10-21:00" u="1"/>
        <s v="2016-11-30-20:00" u="1"/>
        <s v="2016-12-30-20:00" u="1"/>
        <s v="2018-01-02-21:00" u="1"/>
        <s v="2018-01-22-20:00" u="1"/>
        <s v="2018-02-02-21:00" u="1"/>
        <s v="2018-02-22-20:00" u="1"/>
        <s v="2018-03-02-21:00" u="1"/>
        <s v="2018-03-22-20:00" u="1"/>
        <s v="2018-04-02-21:00" u="1"/>
        <s v="2018-05-02-21:00" u="1"/>
        <s v="2018-05-22-20:00" u="1"/>
        <s v="2018-06-22-20:00" u="1"/>
        <s v="2018-07-02-21:00" u="1"/>
        <s v="2016-02-17-07:00" u="1"/>
        <s v="2016-03-17-07:00" u="1"/>
        <s v="2016-05-17-07:00" u="1"/>
        <s v="2016-06-17-07:00" u="1"/>
        <s v="2016-08-17-07:00" u="1"/>
        <s v="2016-10-17-07:00" u="1"/>
        <s v="2016-11-17-07:00" u="1"/>
        <s v="2018-01-09-07:00" u="1"/>
        <s v="2018-01-29-06:00" u="1"/>
        <s v="2018-02-09-07:00" u="1"/>
        <s v="2018-03-09-07:00" u="1"/>
        <s v="2018-03-29-06:00" u="1"/>
        <s v="2018-04-09-07:00" u="1"/>
        <s v="2018-05-09-07:00" u="1"/>
        <s v="2018-05-29-06:00" u="1"/>
        <s v="2018-06-29-06:00" u="1"/>
        <s v="2018-07-09-07:00" u="1"/>
        <s v="2017-10-20-20:00" u="1"/>
        <s v="2017-11-20-20:00" u="1"/>
        <s v="2017-12-20-20:00" u="1"/>
        <s v="2013-08-27-16:00" u="1"/>
        <s v="2013-09-27-16:00" u="1"/>
        <s v="2017-01-27-06:00" u="1"/>
        <s v="2017-02-07-07:00" u="1"/>
        <s v="2017-02-27-06:00" u="1"/>
        <s v="2017-03-07-07:00" u="1"/>
        <s v="2017-03-27-06:00" u="1"/>
        <s v="2017-04-07-07:00" u="1"/>
        <s v="2017-04-27-06:00" u="1"/>
        <s v="2017-07-07-07:00" u="1"/>
        <s v="2017-07-27-06:00" u="1"/>
        <s v="2017-08-07-07:00" u="1"/>
        <s v="2017-09-07-07:00" u="1"/>
        <s v="2017-09-27-06:00" u="1"/>
        <s v="2017-10-27-06:00" u="1"/>
        <s v="2017-11-07-07:00" u="1"/>
        <s v="2017-11-27-06:00" u="1"/>
        <s v="2017-12-07-07:00" u="1"/>
        <s v="2017-12-27-06:00" u="1"/>
        <s v="2018-01-10-20:00" u="1"/>
        <s v="2018-04-10-20:00" u="1"/>
        <s v="2018-05-10-20:00" u="1"/>
        <s v="2018-07-10-20:00" u="1"/>
        <s v="2016-01-29-15:00" u="1"/>
        <s v="2016-02-09-16:00" u="1"/>
        <s v="2016-02-29-15:00" u="1"/>
        <s v="2016-03-09-16:00" u="1"/>
        <s v="2016-03-29-15:00" u="1"/>
        <s v="2016-04-29-15:00" u="1"/>
        <s v="2016-05-09-16:00" u="1"/>
        <s v="2016-06-09-16:00" u="1"/>
        <s v="2016-06-29-15:00" u="1"/>
        <s v="2016-07-29-15:00" u="1"/>
        <s v="2016-08-09-16:00" u="1"/>
        <s v="2016-08-29-15:00" u="1"/>
        <s v="2016-09-09-16:00" u="1"/>
        <s v="2016-09-29-15:00" u="1"/>
        <s v="2016-11-09-16:00" u="1"/>
        <s v="2016-11-29-15:00" u="1"/>
        <s v="2016-12-09-16:00" u="1"/>
        <s v="2016-12-29-15:00" u="1"/>
        <s v="2018-01-17-06:00" u="1"/>
        <s v="2018-04-17-06:00" u="1"/>
        <s v="2018-05-17-06:00" u="1"/>
        <s v="2018-07-17-06:00" u="1"/>
        <s v="2017-01-19-15:00" u="1"/>
        <s v="2017-04-19-15:00" u="1"/>
        <s v="2017-05-19-15:00" u="1"/>
        <s v="2017-06-19-15:00" u="1"/>
        <s v="2017-07-19-15:00" u="1"/>
        <s v="2017-09-19-15:00" u="1"/>
        <s v="2017-10-19-15:00" u="1"/>
        <s v="2017-12-15-06:00" u="1"/>
        <s v="2017-12-19-15:00" u="1"/>
        <s v="2016-01-13-06:00" u="1"/>
        <s v="2016-04-13-06:00" u="1"/>
        <s v="2016-05-13-06:00" u="1"/>
        <s v="2016-06-13-06:00" u="1"/>
        <s v="2016-07-13-06:00" u="1"/>
        <s v="2016-09-13-06:00" u="1"/>
        <s v="2016-10-13-06:00" u="1"/>
        <s v="2016-12-13-06:00" u="1"/>
        <s v="2018-01-05-06:00" u="1"/>
        <s v="2018-01-09-15:00" u="1"/>
        <s v="2018-01-25-05:00" u="1"/>
        <s v="2018-01-29-14:00" u="1"/>
        <s v="2018-02-05-06:00" u="1"/>
        <s v="2018-02-09-15:00" u="1"/>
        <s v="2018-03-05-06:00" u="1"/>
        <s v="2018-03-09-15:00" u="1"/>
        <s v="2018-03-29-14:00" u="1"/>
        <s v="2018-04-05-06:00" u="1"/>
        <s v="2018-04-09-15:00" u="1"/>
        <s v="2018-04-25-05:00" u="1"/>
        <s v="2018-05-09-15:00" u="1"/>
        <s v="2018-05-25-05:00" u="1"/>
        <s v="2018-05-29-14:00" u="1"/>
        <s v="2018-06-05-06:00" u="1"/>
        <s v="2018-06-25-05:00" u="1"/>
        <s v="2018-06-29-14:00" u="1"/>
        <s v="2018-07-05-06:00" u="1"/>
        <s v="2018-07-09-15:00" u="1"/>
        <s v="2018-07-25-05:00" u="1"/>
        <s v="2017-01-03-06:00" u="1"/>
        <s v="2017-01-23-05:00" u="1"/>
        <s v="2017-02-03-06:00" u="1"/>
        <s v="2017-02-23-05:00" u="1"/>
        <s v="2017-03-03-06:00" u="1"/>
        <s v="2017-03-23-05:00" u="1"/>
        <s v="2017-04-03-06:00" u="1"/>
        <s v="2017-05-03-06:00" u="1"/>
        <s v="2017-05-23-05:00" u="1"/>
        <s v="2017-06-23-05:00" u="1"/>
        <s v="2017-07-03-06:00" u="1"/>
        <s v="2017-08-03-06:00" u="1"/>
        <s v="2017-08-23-05:00" u="1"/>
        <s v="2017-10-03-06:00" u="1"/>
        <s v="2017-10-23-05:00" u="1"/>
        <s v="2017-11-03-06:00" u="1"/>
        <s v="2017-11-23-05:00" u="1"/>
        <s v="2017-12-07-15:00" u="1"/>
        <s v="2017-12-27-14:00" u="1"/>
        <s v="2016-01-05-15:00" u="1"/>
        <s v="2016-01-25-14:00" u="1"/>
        <s v="2016-02-05-15:00" u="1"/>
        <s v="2016-02-25-14:00" u="1"/>
        <s v="2016-03-25-14:00" u="1"/>
        <s v="2016-04-05-15:00" u="1"/>
        <s v="2016-04-25-14:00" u="1"/>
        <s v="2016-05-05-15:00" u="1"/>
        <s v="2016-05-25-14:00" u="1"/>
        <s v="2016-07-05-15:00" u="1"/>
        <s v="2016-07-25-14:00" u="1"/>
        <s v="2016-08-05-15:00" u="1"/>
        <s v="2016-08-25-14:00" u="1"/>
        <s v="2016-09-05-15:00" u="1"/>
        <s v="2016-11-29-23:00" u="1"/>
        <s v="2016-12-29-23:00" u="1"/>
        <s v="2018-01-17-14:00" u="1"/>
        <s v="2018-02-13-05:00" u="1"/>
        <s v="2018-03-13-05:00" u="1"/>
        <s v="2018-04-13-05:00" u="1"/>
        <s v="2018-04-17-14:00" u="1"/>
        <s v="2018-05-17-14:00" u="1"/>
        <s v="2018-06-13-05:00" u="1"/>
        <s v="2018-07-13-05:00" u="1"/>
        <s v="2018-07-17-14:00" u="1"/>
        <s v="2017-02-15-14:00" u="1"/>
        <s v="2017-03-15-14:00" u="1"/>
        <s v="2017-05-15-14:00" u="1"/>
        <s v="2017-06-15-14:00" u="1"/>
        <s v="2017-08-15-14:00" u="1"/>
        <s v="2017-09-15-14:00" u="1"/>
        <s v="2017-11-15-14:00" u="1"/>
        <s v="2017-12-11-05:00" u="1"/>
        <s v="2017-12-15-14:00" u="1"/>
        <s v="2017-12-19-23:00" u="1"/>
        <s v="2016-10-13-14:00" u="1"/>
        <s v="2016-12-13-14:00" u="1"/>
        <s v="2018-01-05-14:00" u="1"/>
        <s v="2018-01-09-23:00" u="1"/>
        <s v="2018-01-25-13:00" u="1"/>
        <s v="2018-01-29-22:00" u="1"/>
        <s v="2018-02-01-05:00" u="1"/>
        <s v="2018-02-05-14:00" u="1"/>
        <s v="2018-02-09-23:00" u="1"/>
        <s v="2018-02-21-04:00" u="1"/>
        <s v="2018-03-01-05:00" u="1"/>
        <s v="2018-03-05-14:00" u="1"/>
        <s v="2018-03-09-23:00" u="1"/>
        <s v="2018-03-21-04:00" u="1"/>
        <s v="2018-03-29-22:00" u="1"/>
        <s v="2018-04-05-14:00" u="1"/>
        <s v="2018-04-09-23:00" u="1"/>
        <s v="2018-04-25-13:00" u="1"/>
        <s v="2018-05-01-05:00" u="1"/>
        <s v="2018-05-09-23:00" u="1"/>
        <s v="2018-05-21-04:00" u="1"/>
        <s v="2018-05-25-13:00" u="1"/>
        <s v="2018-05-29-22:00" u="1"/>
        <s v="2018-06-01-05:00" u="1"/>
        <s v="2018-06-05-14:00" u="1"/>
        <s v="2018-06-21-04:00" u="1"/>
        <s v="2018-06-25-13:00" u="1"/>
        <s v="2018-06-29-22:00" u="1"/>
        <s v="2018-07-05-14:00" u="1"/>
        <s v="2018-07-09-23:00" u="1"/>
        <s v="2018-07-25-13:00" u="1"/>
        <s v="2017-12-07-23:00" u="1"/>
        <s v="2017-12-27-22:00" u="1"/>
        <s v="2016-01-05-23:00" u="1"/>
        <s v="2016-01-25-22:00" u="1"/>
        <s v="2016-02-05-23:00" u="1"/>
        <s v="2016-02-25-22:00" u="1"/>
        <s v="2016-03-25-22:00" u="1"/>
        <s v="2016-04-05-23:00" u="1"/>
        <s v="2016-04-25-22:00" u="1"/>
        <s v="2016-05-05-23:00" u="1"/>
        <s v="2016-05-25-22:00" u="1"/>
        <s v="2016-07-05-23:00" u="1"/>
        <s v="2016-07-25-22:00" u="1"/>
        <s v="2016-08-05-23:00" u="1"/>
        <s v="2016-08-25-22:00" u="1"/>
        <s v="2016-09-05-23:00" u="1"/>
        <s v="2016-10-05-23:00" u="1"/>
        <s v="2016-10-25-22:00" u="1"/>
        <s v="2016-11-25-22:00" u="1"/>
        <s v="2016-12-05-23:00" u="1"/>
        <s v="2018-01-17-22:00" u="1"/>
        <s v="2018-02-13-13:00" u="1"/>
        <s v="2018-03-13-13:00" u="1"/>
        <s v="2018-04-13-13:00" u="1"/>
        <s v="2018-04-17-22:00" u="1"/>
        <s v="2018-05-17-22:00" u="1"/>
        <s v="2018-06-13-13:00" u="1"/>
        <s v="2018-07-13-13:00" u="1"/>
        <s v="2018-07-17-22:00" u="1"/>
        <s v="2017-01-11-13:00" u="1"/>
        <s v="2017-01-31-12:00" u="1"/>
        <s v="2017-02-15-22:00" u="1"/>
        <s v="2017-03-15-22:00" u="1"/>
        <s v="2017-03-31-12:00" u="1"/>
        <s v="2017-04-11-13:00" u="1"/>
        <s v="2017-05-11-13:00" u="1"/>
        <s v="2017-05-15-22:00" u="1"/>
        <s v="2017-05-31-12:00" u="1"/>
        <s v="2017-06-15-22:00" u="1"/>
        <s v="2017-07-11-13:00" u="1"/>
        <s v="2017-07-31-12:00" u="1"/>
        <s v="2017-08-11-13:00" u="1"/>
        <s v="2017-08-15-22:00" u="1"/>
        <s v="2017-08-31-12:00" u="1"/>
        <s v="2017-09-11-13:00" u="1"/>
        <s v="2017-09-15-22:00" u="1"/>
        <s v="2017-11-15-22:00" u="1"/>
        <s v="2017-12-11-13:00" u="1"/>
        <s v="2017-12-15-22:00" u="1"/>
        <s v="2018-01-05-22:00" u="1"/>
        <s v="2018-01-25-21:00" u="1"/>
        <s v="2018-02-01-13:00" u="1"/>
        <s v="2018-02-05-22:00" u="1"/>
        <s v="2018-02-21-12:00" u="1"/>
        <s v="2018-03-01-13:00" u="1"/>
        <s v="2018-03-05-22:00" u="1"/>
        <s v="2018-03-21-12:00" u="1"/>
        <s v="2018-04-05-22:00" u="1"/>
        <s v="2018-04-25-21:00" u="1"/>
        <s v="2018-05-01-13:00" u="1"/>
        <s v="2018-05-21-12:00" u="1"/>
        <s v="2018-05-25-21:00" u="1"/>
        <s v="2018-06-01-13:00" u="1"/>
        <s v="2018-06-05-22:00" u="1"/>
        <s v="2018-06-21-12:00" u="1"/>
        <s v="2018-06-25-21:00" u="1"/>
        <s v="2018-07-05-22:00" u="1"/>
        <s v="2018-07-25-21:00" u="1"/>
        <s v="2016-01-21-21:00" u="1"/>
        <s v="2016-02-01-22:00" u="1"/>
        <s v="2016-03-01-22:00" u="1"/>
        <s v="2016-03-21-21:00" u="1"/>
        <s v="2016-04-01-22:00" u="1"/>
        <s v="2016-04-21-21:00" u="1"/>
        <s v="2016-06-01-22:00" u="1"/>
        <s v="2016-06-21-21:00" u="1"/>
        <s v="2016-07-01-22:00" u="1"/>
        <s v="2016-07-21-21:00" u="1"/>
        <s v="2016-08-01-22:00" u="1"/>
        <s v="2016-09-01-22:00" u="1"/>
        <s v="2016-09-21-21:00" u="1"/>
        <s v="2016-10-21-21:00" u="1"/>
        <s v="2016-11-01-22:00" u="1"/>
        <s v="2016-11-21-21:00" u="1"/>
        <s v="2016-12-01-22:00" u="1"/>
        <s v="2016-12-21-21:00" u="1"/>
        <s v="2018-02-13-21:00" u="1"/>
        <s v="2018-03-13-21:00" u="1"/>
        <s v="2018-04-13-21:00" u="1"/>
        <s v="2018-06-13-21:00" u="1"/>
        <s v="2018-07-13-21:00" u="1"/>
        <s v="2016-01-08-08:00" u="1"/>
        <s v="2016-01-28-07:00" u="1"/>
        <s v="2016-02-08-08:00" u="1"/>
        <s v="2016-03-08-08:00" u="1"/>
        <s v="2016-03-28-07:00" u="1"/>
        <s v="2016-04-08-08:00" u="1"/>
        <s v="2016-04-28-07:00" u="1"/>
        <s v="2016-06-08-08:00" u="1"/>
        <s v="2016-06-28-07:00" u="1"/>
        <s v="2016-07-08-08:00" u="1"/>
        <s v="2016-07-28-07:00" u="1"/>
        <s v="2016-08-08-08:00" u="1"/>
        <s v="2016-09-08-08:00" u="1"/>
        <s v="2016-09-28-07:00" u="1"/>
        <s v="2016-10-28-07:00" u="1"/>
        <s v="2016-11-08-08:00" u="1"/>
        <s v="2016-11-28-07:00" u="1"/>
        <s v="2016-12-08-08:00" u="1"/>
        <s v="2016-12-28-07:00" u="1"/>
        <s v="2017-01-11-21:00" u="1"/>
        <s v="2017-01-31-20:00" u="1"/>
        <s v="2017-03-31-20:00" u="1"/>
        <s v="2017-04-11-21:00" u="1"/>
        <s v="2017-05-11-21:00" u="1"/>
        <s v="2017-05-31-20:00" u="1"/>
        <s v="2017-07-11-21:00" u="1"/>
        <s v="2017-07-31-20:00" u="1"/>
        <s v="2017-08-11-21:00" u="1"/>
        <s v="2017-08-31-20:00" u="1"/>
        <s v="2017-09-11-21:00" u="1"/>
        <s v="2017-10-11-21:00" u="1"/>
        <s v="2017-10-31-20:00" u="1"/>
        <s v="2017-12-11-21:00" u="1"/>
        <s v="2017-01-18-07:00" u="1"/>
        <s v="2017-04-18-07:00" u="1"/>
        <s v="2017-05-18-07:00" u="1"/>
        <s v="2017-07-18-07:00" u="1"/>
        <s v="2017-08-18-07:00" u="1"/>
        <s v="2017-09-18-07:00" u="1"/>
        <s v="2017-10-18-07:00" u="1"/>
        <s v="2017-12-18-07:00" u="1"/>
        <s v="2018-02-01-21:00" u="1"/>
        <s v="2018-02-21-20:00" u="1"/>
        <s v="2018-03-01-21:00" u="1"/>
        <s v="2018-03-21-20:00" u="1"/>
        <s v="2018-05-01-21:00" u="1"/>
        <s v="2018-05-21-20:00" u="1"/>
        <s v="2018-06-01-21:00" u="1"/>
        <s v="2018-06-21-20:00" u="1"/>
        <s v="2018-01-08-07:00" u="1"/>
        <s v="2018-02-08-07:00" u="1"/>
        <s v="2018-02-28-06:00" u="1"/>
        <s v="2018-03-08-07:00" u="1"/>
        <s v="2018-03-28-06:00" u="1"/>
        <s v="2018-05-08-07:00" u="1"/>
        <s v="2018-05-28-06:00" u="1"/>
        <s v="2018-06-08-07:00" u="1"/>
        <s v="2018-06-28-06:00" u="1"/>
        <s v="2018-08-08-07:00" u="1"/>
        <s v="2017-12-06-07:00" u="1"/>
        <s v="2016-01-04-07:00" u="1"/>
        <s v="2016-01-08-16:00" u="1"/>
        <s v="2016-01-28-15:00" u="1"/>
        <s v="2016-02-04-07:00" u="1"/>
        <s v="2016-02-08-16:00" u="1"/>
        <s v="2016-02-24-06:00" u="1"/>
        <s v="2016-03-08-16:00" u="1"/>
        <s v="2016-03-28-15:00" u="1"/>
        <s v="2016-04-08-16:00" u="1"/>
        <s v="2016-04-28-15:00" u="1"/>
        <s v="2016-06-08-16:00" u="1"/>
        <s v="2016-06-28-15:00" u="1"/>
        <s v="2016-07-08-16:00" u="1"/>
        <s v="2016-07-28-15:00" u="1"/>
        <s v="2016-08-08-16:00" u="1"/>
        <s v="2016-09-08-16:00" u="1"/>
        <s v="2016-09-28-15:00" u="1"/>
        <s v="2016-10-28-15:00" u="1"/>
        <s v="2016-11-08-16:00" u="1"/>
        <s v="2016-11-28-15:00" u="1"/>
        <s v="2016-12-08-16:00" u="1"/>
        <s v="2016-12-28-15:00" u="1"/>
        <s v="2018-01-16-06:00" u="1"/>
        <s v="2018-02-16-06:00" u="1"/>
        <s v="2018-03-16-06:00" u="1"/>
        <s v="2018-04-16-06:00" u="1"/>
        <s v="2018-05-16-06:00" u="1"/>
        <s v="2018-07-16-06:00" u="1"/>
        <s v="2017-02-14-06:00" u="1"/>
        <s v="2017-03-14-06:00" u="1"/>
        <s v="2017-04-14-06:00" u="1"/>
        <s v="2017-06-14-06:00" u="1"/>
        <s v="2017-07-14-06:00" u="1"/>
        <s v="2017-08-14-06:00" u="1"/>
        <s v="2017-09-14-06:00" u="1"/>
        <s v="2017-10-18-15:00" u="1"/>
        <s v="2017-12-14-06:00" u="1"/>
        <s v="2017-12-18-15:00" u="1"/>
        <s v="2016-01-12-06:00" u="1"/>
        <s v="2016-02-12-06:00" u="1"/>
        <s v="2016-04-12-06:00" u="1"/>
        <s v="2016-05-12-06:00" u="1"/>
        <s v="2016-07-12-06:00" u="1"/>
        <s v="2016-08-12-06:00" u="1"/>
        <s v="2016-09-12-06:00" u="1"/>
        <s v="2016-10-12-06:00" u="1"/>
        <s v="2016-12-12-06:00" u="1"/>
        <s v="2018-01-04-06:00" u="1"/>
        <s v="2018-01-08-15:00" u="1"/>
        <s v="2018-01-24-05:00" u="1"/>
        <s v="2018-02-08-15:00" u="1"/>
        <s v="2018-02-28-14:00" u="1"/>
        <s v="2018-03-08-15:00" u="1"/>
        <s v="2018-03-28-14:00" u="1"/>
        <s v="2018-04-04-06:00" u="1"/>
        <s v="2018-04-24-05:00" u="1"/>
        <s v="2018-05-04-06:00" u="1"/>
        <s v="2018-05-08-15:00" u="1"/>
        <s v="2018-05-24-05:00" u="1"/>
        <s v="2018-05-28-14:00" u="1"/>
        <s v="2018-06-04-06:00" u="1"/>
        <s v="2018-06-08-15:00" u="1"/>
        <s v="2018-06-28-14:00" u="1"/>
        <s v="2018-07-04-06:00" u="1"/>
        <s v="2018-07-24-05:00" u="1"/>
        <s v="2018-08-08-15:00" u="1"/>
        <s v="2017-10-02-06:00" u="1"/>
        <s v="2017-11-02-06:00" u="1"/>
        <s v="2017-11-22-05:00" u="1"/>
        <s v="2017-12-06-15:00" u="1"/>
        <s v="2017-12-22-05:00" u="1"/>
        <s v="2017-12-26-14:00" u="1"/>
        <s v="2016-01-04-15:00" u="1"/>
        <s v="2016-02-04-15:00" u="1"/>
        <s v="2016-02-24-14:00" u="1"/>
        <s v="2016-03-04-15:00" u="1"/>
        <s v="2016-03-24-14:00" u="1"/>
        <s v="2016-04-04-15:00" u="1"/>
        <s v="2016-05-04-15:00" u="1"/>
        <s v="2016-05-24-14:00" u="1"/>
        <s v="2016-06-24-14:00" u="1"/>
        <s v="2016-07-04-15:00" u="1"/>
        <s v="2016-08-04-15:00" u="1"/>
        <s v="2016-08-24-14:00" u="1"/>
        <s v="2016-10-04-15:00" u="1"/>
        <s v="2016-10-24-14:00" u="1"/>
        <s v="2016-11-04-15:00" u="1"/>
        <s v="2016-11-24-14:00" u="1"/>
        <s v="2018-01-12-05:00" u="1"/>
        <s v="2018-01-16-14:00" u="1"/>
        <s v="2018-02-12-05:00" u="1"/>
        <s v="2018-02-16-14:00" u="1"/>
        <s v="2018-03-12-05:00" u="1"/>
        <s v="2018-03-16-14:00" u="1"/>
        <s v="2018-04-12-05:00" u="1"/>
        <s v="2018-04-16-14:00" u="1"/>
        <s v="2018-05-16-14:00" u="1"/>
        <s v="2018-06-12-05:00" u="1"/>
        <s v="2018-07-12-05:00" u="1"/>
        <s v="2018-07-16-14:00" u="1"/>
        <s v="2017-02-14-14:00" u="1"/>
        <s v="2017-03-14-14:00" u="1"/>
        <s v="2017-04-14-14:00" u="1"/>
        <s v="2017-06-14-14:00" u="1"/>
        <s v="2017-07-14-14:00" u="1"/>
        <s v="2017-11-30-04:00" u="1"/>
        <s v="2017-12-14-14:00" u="1"/>
        <s v="2017-12-18-23:00" u="1"/>
        <s v="2018-01-04-14:00" u="1"/>
        <s v="2018-01-08-23:00" u="1"/>
        <s v="2018-01-24-13:00" u="1"/>
        <s v="2018-02-08-23:00" u="1"/>
        <s v="2018-02-20-04:00" u="1"/>
        <s v="2018-02-28-22:00" u="1"/>
        <s v="2018-03-08-23:00" u="1"/>
        <s v="2018-03-20-04:00" u="1"/>
        <s v="2018-03-28-22:00" u="1"/>
        <s v="2018-04-04-14:00" u="1"/>
        <s v="2018-04-20-04:00" u="1"/>
        <s v="2018-04-24-13:00" u="1"/>
        <s v="2018-05-04-14:00" u="1"/>
        <s v="2018-05-08-23:00" u="1"/>
        <s v="2018-05-24-13:00" u="1"/>
        <s v="2018-05-28-22:00" u="1"/>
        <s v="2018-06-04-14:00" u="1"/>
        <s v="2018-06-08-23:00" u="1"/>
        <s v="2018-06-20-04:00" u="1"/>
        <s v="2018-06-28-22:00" u="1"/>
        <s v="2018-07-04-14:00" u="1"/>
        <s v="2018-07-20-04:00" u="1"/>
        <s v="2018-07-24-13:00" u="1"/>
        <s v="2017-12-06-23:00" u="1"/>
        <s v="2017-12-22-13:00" u="1"/>
        <s v="2017-12-26-22:00" u="1"/>
        <s v="2018-01-12-13:00" u="1"/>
        <s v="2018-01-16-22:00" u="1"/>
        <s v="2018-02-12-13:00" u="1"/>
        <s v="2018-02-16-22:00" u="1"/>
        <s v="2018-03-12-13:00" u="1"/>
        <s v="2018-03-16-22:00" u="1"/>
        <s v="2018-04-12-13:00" u="1"/>
        <s v="2018-04-16-22:00" u="1"/>
        <s v="2018-05-16-22:00" u="1"/>
        <s v="2018-06-12-13:00" u="1"/>
        <s v="2018-07-12-13:00" u="1"/>
        <s v="2018-07-16-22:00" u="1"/>
        <s v="2017-11-30-12:00" u="1"/>
        <s v="2017-12-14-22:00" u="1"/>
        <s v="2018-01-04-22:00" u="1"/>
        <s v="2018-01-24-21:00" u="1"/>
        <s v="2018-02-20-12:00" u="1"/>
        <s v="2018-03-20-12:00" u="1"/>
        <s v="2018-04-04-22:00" u="1"/>
        <s v="2018-04-20-12:00" u="1"/>
        <s v="2018-04-24-21:00" u="1"/>
        <s v="2018-05-04-22:00" u="1"/>
        <s v="2018-05-24-21:00" u="1"/>
        <s v="2018-06-04-22:00" u="1"/>
        <s v="2018-06-20-12:00" u="1"/>
        <s v="2018-07-04-22:00" u="1"/>
        <s v="2018-07-20-12:00" u="1"/>
        <s v="2018-07-24-21:00" u="1"/>
        <s v="2017-12-22-21:00" u="1"/>
        <s v="2017-11-29-07:00" u="1"/>
        <s v="2017-12-29-07:00" u="1"/>
        <s v="2018-01-12-21:00" u="1"/>
        <s v="2018-02-12-21:00" u="1"/>
        <s v="2018-03-12-21:00" u="1"/>
        <s v="2018-04-12-21:00" u="1"/>
        <s v="2018-06-12-21:00" u="1"/>
        <s v="2018-07-12-21:00" u="1"/>
        <s v="2018-01-19-07:00" u="1"/>
        <s v="2018-02-19-07:00" u="1"/>
        <s v="2018-03-19-07:00" u="1"/>
        <s v="2018-04-19-07:00" u="1"/>
        <s v="2018-06-19-07:00" u="1"/>
        <s v="2018-07-19-07:00" u="1"/>
        <s v="2017-11-30-20:00" u="1"/>
        <s v="2018-02-20-20:00" u="1"/>
        <s v="2018-03-20-20:00" u="1"/>
        <s v="2018-04-20-20:00" u="1"/>
        <s v="2018-06-20-20:00" u="1"/>
        <s v="2018-07-20-20:00" u="1"/>
        <s v="2018-02-07-07:00" u="1"/>
        <s v="2018-02-27-06:00" u="1"/>
        <s v="2018-03-07-07:00" u="1"/>
        <s v="2018-03-27-06:00" u="1"/>
        <s v="2018-04-27-06:00" u="1"/>
        <s v="2018-05-07-07:00" u="1"/>
        <s v="2018-06-07-07:00" u="1"/>
        <s v="2018-06-27-06:00" u="1"/>
        <s v="2018-07-27-06:00" u="1"/>
        <s v="2017-11-29-15:00" u="1"/>
        <s v="2017-12-05-07:00" u="1"/>
        <s v="2017-12-29-15:00" u="1"/>
        <s v="2018-01-15-06:00" u="1"/>
        <s v="2018-01-19-15:00" u="1"/>
        <s v="2018-02-15-06:00" u="1"/>
        <s v="2018-02-19-15:00" u="1"/>
        <s v="2018-03-15-06:00" u="1"/>
        <s v="2018-03-19-15:00" u="1"/>
        <s v="2018-04-19-15:00" u="1"/>
        <s v="2018-05-15-06:00" u="1"/>
        <s v="2018-06-15-06:00" u="1"/>
        <s v="2018-06-19-15:00" u="1"/>
        <s v="2018-07-19-15:00" u="1"/>
        <s v="2017-12-13-06:00" u="1"/>
        <s v="2018-01-03-06:00" u="1"/>
        <s v="2018-01-23-05:00" u="1"/>
        <s v="2018-02-07-15:00" u="1"/>
        <s v="2018-02-23-05:00" u="1"/>
        <s v="2018-02-27-14:00" u="1"/>
        <s v="2018-03-07-15:00" u="1"/>
        <s v="2018-03-23-05:00" u="1"/>
        <s v="2018-03-27-14:00" u="1"/>
        <s v="2018-04-03-06:00" u="1"/>
        <s v="2018-04-23-05:00" u="1"/>
        <s v="2018-04-27-14:00" u="1"/>
        <s v="2018-05-03-06:00" u="1"/>
        <s v="2018-05-07-15:00" u="1"/>
        <s v="2018-05-23-05:00" u="1"/>
        <s v="2018-06-07-15:00" u="1"/>
        <s v="2018-06-27-14:00" u="1"/>
        <s v="2018-07-03-06:00" u="1"/>
        <s v="2018-07-23-05:00" u="1"/>
        <s v="2018-07-27-14:00" u="1"/>
        <s v="2017-11-29-23:00" u="1"/>
        <s v="2017-12-01-06:00" u="1"/>
        <s v="2017-12-05-15:00" u="1"/>
        <s v="2017-12-21-05:00" u="1"/>
        <s v="2017-12-29-23:00" u="1"/>
        <s v="2018-01-11-05:00" u="1"/>
        <s v="2018-01-15-14:00" u="1"/>
        <s v="2018-01-19-23:00" u="1"/>
        <s v="2018-01-31-04:00" u="1"/>
        <s v="2018-02-15-14:00" u="1"/>
        <s v="2018-02-19-23:00" u="1"/>
        <s v="2018-03-15-14:00" u="1"/>
        <s v="2018-03-19-23:00" u="1"/>
        <s v="2018-04-11-05:00" u="1"/>
        <s v="2018-04-19-23:00" u="1"/>
        <s v="2018-05-11-05:00" u="1"/>
        <s v="2018-05-15-14:00" u="1"/>
        <s v="2018-05-31-04:00" u="1"/>
        <s v="2018-06-11-05:00" u="1"/>
        <s v="2018-06-15-14:00" u="1"/>
        <s v="2018-06-19-23:00" u="1"/>
        <s v="2018-07-11-05:00" u="1"/>
        <s v="2018-07-19-23:00" u="1"/>
        <s v="2017-12-13-14:00" u="1"/>
        <s v="2018-01-03-14:00" u="1"/>
        <s v="2018-01-23-13:00" u="1"/>
        <s v="2018-02-07-23:00" u="1"/>
        <s v="2018-02-23-13:00" u="1"/>
        <s v="2018-02-27-22:00" u="1"/>
        <s v="2018-03-07-23:00" u="1"/>
        <s v="2018-03-23-13:00" u="1"/>
        <s v="2018-03-27-22:00" u="1"/>
        <s v="2018-04-03-14:00" u="1"/>
        <s v="2018-04-23-13:00" u="1"/>
        <s v="2018-04-27-22:00" u="1"/>
        <s v="2018-05-03-14:00" u="1"/>
        <s v="2018-05-07-23:00" u="1"/>
        <s v="2018-05-23-13:00" u="1"/>
        <s v="2018-06-07-23:00" u="1"/>
        <s v="2018-06-27-22:00" u="1"/>
        <s v="2018-07-03-14:00" u="1"/>
        <s v="2018-07-23-13:00" u="1"/>
        <s v="2017-12-01-14:00" u="1"/>
        <s v="2017-12-05-23:00" u="1"/>
        <s v="2017-12-21-13:00" u="1"/>
        <s v="2018-01-11-13:00" u="1"/>
        <s v="2018-01-15-22:00" u="1"/>
        <s v="2018-01-31-12:00" u="1"/>
        <s v="2018-02-15-22:00" u="1"/>
        <s v="2018-03-15-22:00" u="1"/>
        <s v="2018-04-11-13:00" u="1"/>
        <s v="2018-05-11-13:00" u="1"/>
        <s v="2018-05-15-22:00" u="1"/>
        <s v="2018-05-31-12:00" u="1"/>
        <s v="2018-06-11-13:00" u="1"/>
        <s v="2018-06-15-22:00" u="1"/>
        <s v="2018-07-11-13:00" u="1"/>
        <s v="2017-12-13-22:00" u="1"/>
        <s v="2018-01-03-22:00" u="1"/>
        <s v="2018-01-23-21:00" u="1"/>
        <s v="2018-02-23-21:00" u="1"/>
        <s v="2018-03-23-21:00" u="1"/>
        <s v="2018-04-03-22:00" u="1"/>
        <s v="2018-04-23-21:00" u="1"/>
        <s v="2018-05-03-22:00" u="1"/>
        <s v="2018-05-23-21:00" u="1"/>
        <s v="2018-07-03-22:00" u="1"/>
        <s v="2018-07-23-21:00" u="1"/>
        <s v="2017-12-01-22:00" u="1"/>
        <s v="2017-12-21-21:00" u="1"/>
        <s v="2017-12-08-08:00" u="1"/>
        <s v="2017-12-28-07:00" u="1"/>
        <s v="2018-01-11-21:00" u="1"/>
        <s v="2018-01-31-20:00" u="1"/>
        <s v="2018-04-11-21:00" u="1"/>
        <s v="2018-05-11-21:00" u="1"/>
        <s v="2018-05-31-20:00" u="1"/>
        <s v="2018-06-11-21:00" u="1"/>
        <s v="2018-07-11-21:00" u="1"/>
        <s v="2018-01-18-07:00" u="1"/>
        <s v="2018-04-18-07:00" u="1"/>
        <s v="2018-05-18-07:00" u="1"/>
        <s v="2018-06-18-07:00" u="1"/>
        <s v="2018-07-18-07:00" u="1"/>
        <s v="2018-01-26-06:00" u="1"/>
        <s v="2018-02-06-07:00" u="1"/>
        <s v="2018-02-26-06:00" u="1"/>
        <s v="2018-03-06-07:00" u="1"/>
        <s v="2018-03-26-06:00" u="1"/>
        <s v="2018-04-06-07:00" u="1"/>
        <s v="2018-04-26-06:00" u="1"/>
        <s v="2018-06-06-07:00" u="1"/>
        <s v="2018-06-26-06:00" u="1"/>
        <s v="2018-07-06-07:00" u="1"/>
        <s v="2018-07-26-06:00" u="1"/>
        <s v="2017-11-28-15:00" u="1"/>
        <s v="2017-12-04-07:00" u="1"/>
        <s v="2017-12-08-16:00" u="1"/>
        <s v="2017-12-28-15:00" u="1"/>
        <s v="2018-01-18-15:00" u="1"/>
        <s v="2018-02-14-06:00" u="1"/>
        <s v="2018-03-14-06:00" u="1"/>
        <s v="2018-04-18-15:00" u="1"/>
        <s v="2018-05-14-06:00" u="1"/>
        <s v="2018-05-18-15:00" u="1"/>
        <s v="2018-06-14-06:00" u="1"/>
        <s v="2018-06-18-15:00" u="1"/>
        <s v="2018-07-18-15:00" u="1"/>
        <s v="2017-12-12-06:00" u="1"/>
        <s v="2018-01-22-05:00" u="1"/>
        <s v="2018-01-26-14:00" u="1"/>
        <s v="2018-02-02-06:00" u="1"/>
        <s v="2018-02-06-15:00" u="1"/>
        <s v="2018-02-22-05:00" u="1"/>
        <s v="2018-02-26-14:00" u="1"/>
        <s v="2018-03-02-06:00" u="1"/>
        <s v="2018-03-06-15:00" u="1"/>
        <s v="2018-03-22-05:00" u="1"/>
        <s v="2018-03-26-14:00" u="1"/>
        <s v="2018-04-02-06:00" u="1"/>
        <s v="2018-04-06-15:00" u="1"/>
        <s v="2018-04-26-14:00" u="1"/>
        <s v="2018-05-02-06:00" u="1"/>
        <s v="2018-05-22-05:00" u="1"/>
        <s v="2018-06-06-15:00" u="1"/>
        <s v="2018-06-22-05:00" u="1"/>
        <s v="2018-06-26-14:00" u="1"/>
        <s v="2018-07-02-06:00" u="1"/>
        <s v="2018-07-06-15:00" u="1"/>
        <s v="2018-07-26-14:00" u="1"/>
        <s v="2017-11-28-23:00" u="1"/>
        <s v="2017-12-04-15:00" u="1"/>
        <s v="2017-12-20-05:00" u="1"/>
        <s v="2017-12-28-23:00" u="1"/>
        <s v="2018-01-10-05:00" u="1"/>
        <s v="2018-01-18-23:00" u="1"/>
        <s v="2018-01-30-04:00" u="1"/>
        <s v="2018-02-14-14:00" u="1"/>
        <s v="2018-03-14-14:00" u="1"/>
        <s v="2018-03-18-23:00" u="1"/>
        <s v="2018-03-30-04:00" u="1"/>
        <s v="2018-04-10-05:00" u="1"/>
        <s v="2018-04-18-23:00" u="1"/>
        <s v="2018-04-30-04:00" u="1"/>
        <s v="2018-05-10-05:00" u="1"/>
        <s v="2018-05-14-14:00" u="1"/>
        <s v="2018-05-18-23:00" u="1"/>
        <s v="2018-05-30-04:00" u="1"/>
        <s v="2018-06-14-14:00" u="1"/>
        <s v="2018-06-18-23:00" u="1"/>
        <s v="2018-07-10-05:00" u="1"/>
        <s v="2018-07-18-23:00" u="1"/>
        <s v="2017-12-12-14:00" u="1"/>
        <s v="2018-01-02-14:00" u="1"/>
        <s v="2018-01-22-13:00" u="1"/>
        <s v="2018-01-26-22:00" u="1"/>
        <s v="2018-02-02-14:00" u="1"/>
        <s v="2018-02-06-23:00" u="1"/>
        <s v="2018-02-22-13:00" u="1"/>
        <s v="2018-02-26-22:00" u="1"/>
        <s v="2018-03-02-14:00" u="1"/>
        <s v="2018-03-06-23:00" u="1"/>
        <s v="2018-03-22-13:00" u="1"/>
        <s v="2018-03-26-22:00" u="1"/>
        <s v="2018-04-02-14:00" u="1"/>
        <s v="2018-04-06-23:00" u="1"/>
        <s v="2018-04-26-22:00" u="1"/>
        <s v="2018-05-02-14:00" u="1"/>
        <s v="2018-05-22-13:00" u="1"/>
        <s v="2018-06-06-23:00" u="1"/>
        <s v="2018-06-22-13:00" u="1"/>
        <s v="2018-06-26-22:00" u="1"/>
        <s v="2018-07-02-14:00" u="1"/>
        <s v="2018-07-06-23:00" u="1"/>
        <s v="2018-07-26-22:00" u="1"/>
        <s v="2017-12-04-23:00" u="1"/>
        <s v="2017-12-20-13:00" u="1"/>
        <s v="2018-01-10-13:00" u="1"/>
        <s v="2018-01-30-12:00" u="1"/>
        <s v="2018-02-14-22:00" u="1"/>
        <s v="2018-03-14-22:00" u="1"/>
        <s v="2018-03-30-12:00" u="1"/>
        <s v="2018-04-10-13:00" u="1"/>
        <s v="2018-04-30-12:00" u="1"/>
        <s v="2018-05-10-13:00" u="1"/>
        <s v="2018-05-14-22:00" u="1"/>
        <s v="2018-05-30-12:00" u="1"/>
        <s v="2018-06-14-22:00" u="1"/>
        <s v="2018-07-10-13:00" u="1"/>
        <s v="2017-12-12-22:00" u="1"/>
        <s v="2017-12-19-08:00" u="1"/>
        <s v="2018-01-02-22:00" u="1"/>
        <s v="2018-01-22-21:00" u="1"/>
        <s v="2018-02-02-22:00" u="1"/>
        <s v="2018-02-22-21:00" u="1"/>
        <s v="2018-03-02-22:00" u="1"/>
        <s v="2018-03-22-21:00" u="1"/>
        <s v="2018-04-02-22:00" u="1"/>
        <s v="2018-05-02-22:00" u="1"/>
        <s v="2018-05-22-21:00" u="1"/>
        <s v="2018-06-22-21:00" u="1"/>
        <s v="2018-07-02-22:00" u="1"/>
        <s v="2018-01-09-08:00" u="1"/>
        <s v="2018-01-29-07:00" u="1"/>
        <s v="2018-02-09-08:00" u="1"/>
        <s v="2018-03-09-08:00" u="1"/>
        <s v="2018-03-29-07:00" u="1"/>
        <s v="2018-04-09-08:00" u="1"/>
        <s v="2018-05-09-08:00" u="1"/>
        <s v="2018-05-29-07:00" u="1"/>
        <s v="2018-06-29-07:00" u="1"/>
        <s v="2018-07-09-08:00" u="1"/>
        <s v="2017-12-20-21:00" u="1"/>
        <s v="2017-12-07-08:00" u="1"/>
        <s v="2017-12-27-07:00" u="1"/>
        <s v="2018-01-10-21:00" u="1"/>
        <s v="2018-01-30-20:00" u="1"/>
        <s v="2018-03-30-20:00" u="1"/>
        <s v="2018-04-10-21:00" u="1"/>
        <s v="2018-04-30-20:00" u="1"/>
        <s v="2018-05-10-21:00" u="1"/>
        <s v="2018-05-30-20:00" u="1"/>
        <s v="2018-07-10-21:00" u="1"/>
        <s v="2018-01-17-07:00" u="1"/>
        <s v="2018-04-17-07:00" u="1"/>
        <s v="2018-05-17-07:00" u="1"/>
        <s v="2018-07-17-07:00" u="1"/>
        <s v="2017-12-15-07:00" u="1"/>
        <s v="2017-12-19-16:00" u="1"/>
        <s v="2018-01-05-07:00" u="1"/>
        <s v="2018-01-09-16:00" u="1"/>
        <s v="2018-01-25-06:00" u="1"/>
        <s v="2018-01-29-15:00" u="1"/>
        <s v="2018-02-05-07:00" u="1"/>
        <s v="2018-02-09-16:00" u="1"/>
        <s v="2018-03-05-07:00" u="1"/>
        <s v="2018-03-09-16:00" u="1"/>
        <s v="2018-03-29-15:00" u="1"/>
        <s v="2018-04-05-07:00" u="1"/>
        <s v="2018-04-09-16:00" u="1"/>
        <s v="2018-04-25-06:00" u="1"/>
        <s v="2018-05-09-16:00" u="1"/>
        <s v="2018-05-25-06:00" u="1"/>
        <s v="2018-05-29-15:00" u="1"/>
        <s v="2018-06-05-07:00" u="1"/>
        <s v="2018-06-25-06:00" u="1"/>
        <s v="2018-06-29-15:00" u="1"/>
        <s v="2018-07-05-07:00" u="1"/>
        <s v="2018-07-09-16:00" u="1"/>
        <s v="2018-07-25-06:00" u="1"/>
        <s v="2017-12-07-16:00" u="1"/>
        <s v="2017-12-27-15:00" u="1"/>
        <s v="2018-01-17-15:00" u="1"/>
        <s v="2018-02-13-06:00" u="1"/>
        <s v="2018-03-13-06:00" u="1"/>
        <s v="2018-04-13-06:00" u="1"/>
        <s v="2018-04-17-15:00" u="1"/>
        <s v="2018-05-17-15:00" u="1"/>
        <s v="2018-06-13-06:00" u="1"/>
        <s v="2018-07-13-06:00" u="1"/>
        <s v="2018-07-17-15:00" u="1"/>
        <s v="2017-12-11-06:00" u="1"/>
        <s v="2017-12-15-15:00" u="1"/>
        <s v="2018-01-05-15:00" u="1"/>
        <s v="2018-01-25-14:00" u="1"/>
        <s v="2018-01-29-23:00" u="1"/>
        <s v="2018-02-01-06:00" u="1"/>
        <s v="2018-02-05-15:00" u="1"/>
        <s v="2018-02-21-05:00" u="1"/>
        <s v="2018-03-01-06:00" u="1"/>
        <s v="2018-03-05-15:00" u="1"/>
        <s v="2018-03-21-05:00" u="1"/>
        <s v="2018-03-29-23:00" u="1"/>
        <s v="2018-04-05-15:00" u="1"/>
        <s v="2018-04-25-14:00" u="1"/>
        <s v="2018-05-01-06:00" u="1"/>
        <s v="2018-05-21-05:00" u="1"/>
        <s v="2018-05-25-14:00" u="1"/>
        <s v="2018-05-29-23:00" u="1"/>
        <s v="2018-06-01-06:00" u="1"/>
        <s v="2018-06-05-15:00" u="1"/>
        <s v="2018-06-21-05:00" u="1"/>
        <s v="2018-06-25-14:00" u="1"/>
        <s v="2018-06-29-23:00" u="1"/>
        <s v="2018-07-05-15:00" u="1"/>
        <s v="2018-07-25-14:00" u="1"/>
        <s v="2017-12-27-23:00" u="1"/>
        <s v="2018-01-17-23:00" u="1"/>
        <s v="2018-02-13-14:00" u="1"/>
        <s v="2018-03-13-14:00" u="1"/>
        <s v="2018-04-13-14:00" u="1"/>
        <s v="2018-04-17-23:00" u="1"/>
        <s v="2018-05-17-23:00" u="1"/>
        <s v="2018-06-13-14:00" u="1"/>
        <s v="2018-07-13-14:00" u="1"/>
        <s v="2018-07-17-23:00" u="1"/>
        <s v="2017-12-11-14:00" u="1"/>
        <s v="2017-12-15-23:00" u="1"/>
        <s v="2018-01-05-23:00" u="1"/>
        <s v="2018-01-25-22:00" u="1"/>
        <s v="2018-02-01-14:00" u="1"/>
        <s v="2018-02-05-23:00" u="1"/>
        <s v="2018-02-21-13:00" u="1"/>
        <s v="2018-03-01-14:00" u="1"/>
        <s v="2018-03-05-23:00" u="1"/>
        <s v="2018-03-21-13:00" u="1"/>
        <s v="2018-04-05-23:00" u="1"/>
        <s v="2018-04-25-22:00" u="1"/>
        <s v="2018-05-01-14:00" u="1"/>
        <s v="2018-05-21-13:00" u="1"/>
        <s v="2018-05-25-22:00" u="1"/>
        <s v="2018-06-01-14:00" u="1"/>
        <s v="2018-06-05-23:00" u="1"/>
        <s v="2018-06-21-13:00" u="1"/>
        <s v="2018-06-25-22:00" u="1"/>
        <s v="2018-07-05-23:00" u="1"/>
        <s v="2018-07-25-22:00" u="1"/>
        <s v="2018-02-13-22:00" u="1"/>
        <s v="2018-03-13-22:00" u="1"/>
        <s v="2018-04-13-22:00" u="1"/>
        <s v="2018-06-13-22:00" u="1"/>
        <s v="2018-07-13-22:00" u="1"/>
        <s v="2017-12-11-22:00" u="1"/>
        <s v="2017-12-18-08:00" u="1"/>
        <s v="2018-02-01-22:00" u="1"/>
        <s v="2018-02-21-21:00" u="1"/>
        <s v="2018-03-01-22:00" u="1"/>
        <s v="2018-03-21-21:00" u="1"/>
        <s v="2018-05-01-22:00" u="1"/>
        <s v="2018-05-21-21:00" u="1"/>
        <s v="2018-06-01-22:00" u="1"/>
        <s v="2018-06-21-21:00" u="1"/>
        <s v="2018-01-08-08:00" u="1"/>
        <s v="2018-02-08-08:00" u="1"/>
        <s v="2018-02-28-07:00" u="1"/>
        <s v="2018-03-08-08:00" u="1"/>
        <s v="2018-03-28-07:00" u="1"/>
        <s v="2018-05-08-08:00" u="1"/>
        <s v="2018-05-28-07:00" u="1"/>
        <s v="2018-06-08-08:00" u="1"/>
        <s v="2018-06-28-07:00" u="1"/>
        <s v="2018-08-08-08:00" u="1"/>
        <s v="2017-12-06-08:00" u="1"/>
        <s v="2018-01-16-07:00" u="1"/>
        <s v="2018-02-16-07:00" u="1"/>
        <s v="2018-03-16-07:00" u="1"/>
        <s v="2018-04-16-07:00" u="1"/>
        <s v="2018-05-16-07:00" u="1"/>
        <s v="2018-07-16-07:00" u="1"/>
        <s v="2017-12-14-07:00" u="1"/>
        <s v="2017-12-18-16:00" u="1"/>
        <s v="2018-01-04-07:00" u="1"/>
        <s v="2018-01-08-16:00" u="1"/>
        <s v="2018-01-24-06:00" u="1"/>
        <s v="2018-02-08-16:00" u="1"/>
        <s v="2018-02-28-15:00" u="1"/>
        <s v="2018-03-08-16:00" u="1"/>
        <s v="2018-03-28-15:00" u="1"/>
        <s v="2018-04-04-07:00" u="1"/>
        <s v="2018-04-24-06:00" u="1"/>
        <s v="2018-05-04-07:00" u="1"/>
        <s v="2018-05-08-16:00" u="1"/>
        <s v="2018-05-24-06:00" u="1"/>
        <s v="2018-05-28-15:00" u="1"/>
        <s v="2018-06-04-07:00" u="1"/>
        <s v="2018-06-08-16:00" u="1"/>
        <s v="2018-06-28-15:00" u="1"/>
        <s v="2018-07-04-07:00" u="1"/>
        <s v="2018-07-24-06:00" u="1"/>
        <s v="2017-12-06-16:00" u="1"/>
        <s v="2017-12-22-06:00" u="1"/>
        <s v="2017-12-26-15:00" u="1"/>
        <s v="2018-01-12-06:00" u="1"/>
        <s v="2018-01-16-15:00" u="1"/>
        <s v="2018-02-12-06:00" u="1"/>
        <s v="2018-02-16-15:00" u="1"/>
        <s v="2018-03-12-06:00" u="1"/>
        <s v="2018-03-16-15:00" u="1"/>
        <s v="2018-04-12-06:00" u="1"/>
        <s v="2018-04-16-15:00" u="1"/>
        <s v="2018-05-16-15:00" u="1"/>
        <s v="2018-06-12-06:00" u="1"/>
        <s v="2018-07-12-06:00" u="1"/>
        <s v="2018-07-16-15:00" u="1"/>
        <s v="2017-11-30-05:00" u="1"/>
        <s v="2017-12-14-15:00" u="1"/>
        <s v="2018-01-04-15:00" u="1"/>
        <s v="2018-01-24-14:00" u="1"/>
        <s v="2018-02-20-05:00" u="1"/>
        <s v="2018-02-28-23:00" u="1"/>
        <s v="2018-03-20-05:00" u="1"/>
        <s v="2018-03-28-23:00" u="1"/>
        <s v="2018-04-04-15:00" u="1"/>
        <s v="2018-04-20-05:00" u="1"/>
        <s v="2018-04-24-14:00" u="1"/>
        <s v="2018-05-04-15:00" u="1"/>
        <s v="2018-05-24-14:00" u="1"/>
        <s v="2018-05-28-23:00" u="1"/>
        <s v="2018-06-04-15:00" u="1"/>
        <s v="2018-06-20-05:00" u="1"/>
        <s v="2018-06-28-23:00" u="1"/>
        <s v="2018-07-04-15:00" u="1"/>
        <s v="2018-07-20-05:00" u="1"/>
        <s v="2018-07-24-14:00" u="1"/>
        <s v="2017-12-22-14:00" u="1"/>
        <s v="2017-12-26-23:00" u="1"/>
        <s v="2018-01-12-14:00" u="1"/>
        <s v="2018-01-16-23:00" u="1"/>
        <s v="2018-02-12-14:00" u="1"/>
        <s v="2018-02-16-23:00" u="1"/>
        <s v="2018-03-12-14:00" u="1"/>
        <s v="2018-04-12-14:00" u="1"/>
        <s v="2018-04-16-23:00" u="1"/>
        <s v="2018-05-16-23:00" u="1"/>
        <s v="2018-06-12-14:00" u="1"/>
        <s v="2018-07-12-14:00" u="1"/>
        <s v="2018-07-16-23:00" u="1"/>
        <s v="2017-11-30-13:00" u="1"/>
        <s v="2017-12-14-23:00" u="1"/>
        <s v="2018-01-04-23:00" u="1"/>
        <s v="2018-01-24-22:00" u="1"/>
        <s v="2018-02-20-13:00" u="1"/>
        <s v="2018-03-20-13:00" u="1"/>
        <s v="2018-04-04-23:00" u="1"/>
        <s v="2018-04-20-13:00" u="1"/>
        <s v="2018-04-24-22:00" u="1"/>
        <s v="2018-05-04-23:00" u="1"/>
        <s v="2018-05-24-22:00" u="1"/>
        <s v="2018-06-04-23:00" u="1"/>
        <s v="2018-06-20-13:00" u="1"/>
        <s v="2018-07-04-23:00" u="1"/>
        <s v="2018-07-20-13:00" u="1"/>
        <s v="2018-07-24-22:00" u="1"/>
        <s v="2017-12-22-22:00" u="1"/>
        <s v="2017-11-29-08:00" u="1"/>
        <s v="2017-12-29-08:00" u="1"/>
        <s v="2018-01-12-22:00" u="1"/>
        <s v="2018-02-12-22:00" u="1"/>
        <s v="2018-03-12-22:00" u="1"/>
        <s v="2018-04-12-22:00" u="1"/>
        <s v="2018-06-12-22:00" u="1"/>
        <s v="2018-07-12-22:00" u="1"/>
        <s v="2018-01-19-08:00" u="1"/>
        <s v="2018-02-19-08:00" u="1"/>
        <s v="2018-03-19-08:00" u="1"/>
        <s v="2018-04-19-08:00" u="1"/>
        <s v="2018-06-19-08:00" u="1"/>
        <s v="2018-07-19-08:00" u="1"/>
        <s v="2017-11-30-21:00" u="1"/>
        <s v="2018-02-20-21:00" u="1"/>
        <s v="2018-03-20-21:00" u="1"/>
        <s v="2018-04-20-21:00" u="1"/>
        <s v="2018-06-20-21:00" u="1"/>
        <s v="2018-07-20-21:00" u="1"/>
        <s v="2018-02-07-08:00" u="1"/>
        <s v="2018-02-27-07:00" u="1"/>
        <s v="2018-03-07-08:00" u="1"/>
        <s v="2018-03-27-07:00" u="1"/>
        <s v="2018-04-27-07:00" u="1"/>
        <s v="2018-05-07-08:00" u="1"/>
        <s v="2018-06-07-08:00" u="1"/>
        <s v="2018-06-27-07:00" u="1"/>
        <s v="2018-07-27-07:00" u="1"/>
        <s v="2017-11-29-16:00" u="1"/>
        <s v="2017-12-05-08:00" u="1"/>
        <s v="2017-12-29-16:00" u="1"/>
        <s v="2018-01-15-07:00" u="1"/>
        <s v="2018-01-19-16:00" u="1"/>
        <s v="2018-02-15-07:00" u="1"/>
        <s v="2018-02-19-16:00" u="1"/>
        <s v="2018-03-15-07:00" u="1"/>
        <s v="2018-03-19-16:00" u="1"/>
        <s v="2018-04-19-16:00" u="1"/>
        <s v="2018-05-15-07:00" u="1"/>
        <s v="2018-06-15-07:00" u="1"/>
        <s v="2018-06-19-16:00" u="1"/>
        <s v="2018-07-19-16:00" u="1"/>
        <s v="2017-12-13-07:00" u="1"/>
        <s v="2018-01-03-07:00" u="1"/>
        <s v="2018-01-23-06:00" u="1"/>
        <s v="2018-02-07-16:00" u="1"/>
        <s v="2018-02-23-06:00" u="1"/>
        <s v="2018-02-27-15:00" u="1"/>
        <s v="2018-03-07-16:00" u="1"/>
        <s v="2018-03-23-06:00" u="1"/>
        <s v="2018-03-27-15:00" u="1"/>
        <s v="2018-04-03-07:00" u="1"/>
        <s v="2018-04-23-06:00" u="1"/>
        <s v="2018-04-27-15:00" u="1"/>
        <s v="2018-05-03-07:00" u="1"/>
        <s v="2018-05-07-16:00" u="1"/>
        <s v="2018-05-23-06:00" u="1"/>
        <s v="2018-06-07-16:00" u="1"/>
        <s v="2018-06-27-15:00" u="1"/>
        <s v="2018-07-03-07:00" u="1"/>
        <s v="2018-07-23-06:00" u="1"/>
        <s v="2018-07-27-15:00" u="1"/>
        <s v="2017-12-01-07:00" u="1"/>
        <s v="2017-12-05-16:00" u="1"/>
        <s v="2017-12-21-06:00" u="1"/>
        <s v="2018-01-11-06:00" u="1"/>
        <s v="2018-01-15-15:00" u="1"/>
        <s v="2018-01-31-05:00" u="1"/>
        <s v="2018-02-15-15:00" u="1"/>
        <s v="2018-03-15-15:00" u="1"/>
        <s v="2018-04-11-06:00" u="1"/>
        <s v="2018-05-11-06:00" u="1"/>
        <s v="2018-05-15-15:00" u="1"/>
        <s v="2018-05-31-05:00" u="1"/>
        <s v="2018-06-11-06:00" u="1"/>
        <s v="2018-06-15-15:00" u="1"/>
        <s v="2018-07-11-06:00" u="1"/>
        <s v="2017-12-13-15:00" u="1"/>
        <s v="2018-01-03-15:00" u="1"/>
        <s v="2018-01-23-14:00" u="1"/>
        <s v="2018-02-23-14:00" u="1"/>
        <s v="2018-02-27-23:00" u="1"/>
        <s v="2018-03-23-14:00" u="1"/>
        <s v="2018-03-27-23:00" u="1"/>
        <s v="2018-04-03-15:00" u="1"/>
        <s v="2018-04-23-14:00" u="1"/>
        <s v="2018-04-27-23:00" u="1"/>
        <s v="2018-05-03-15:00" u="1"/>
        <s v="2018-05-23-14:00" u="1"/>
        <s v="2018-06-27-23:00" u="1"/>
        <s v="2018-07-03-15:00" u="1"/>
        <s v="2018-07-23-14:00" u="1"/>
        <s v="2017-12-01-15:00" u="1"/>
        <s v="2017-12-21-14:00" u="1"/>
        <s v="2018-01-11-14:00" u="1"/>
        <s v="2018-01-15-23:00" u="1"/>
        <s v="2018-01-31-13:00" u="1"/>
        <s v="2018-02-15-23:00" u="1"/>
        <s v="2018-03-15-23:00" u="1"/>
        <s v="2018-04-11-14:00" u="1"/>
        <s v="2018-05-11-14:00" u="1"/>
        <s v="2018-05-15-23:00" u="1"/>
        <s v="2018-05-31-13:00" u="1"/>
        <s v="2018-06-11-14:00" u="1"/>
        <s v="2018-06-15-23:00" u="1"/>
        <s v="2018-07-11-14:00" u="1"/>
        <s v="2017-12-13-23:00" u="1"/>
        <s v="2018-01-03-23:00" u="1"/>
        <s v="2018-01-23-22:00" u="1"/>
        <s v="2018-02-23-22:00" u="1"/>
        <s v="2018-03-23-22:00" u="1"/>
        <s v="2018-04-03-23:00" u="1"/>
        <s v="2018-04-23-22:00" u="1"/>
        <s v="2018-05-03-23:00" u="1"/>
        <s v="2018-05-23-22:00" u="1"/>
        <s v="2018-07-03-23:00" u="1"/>
        <s v="2018-07-23-22:00" u="1"/>
        <s v="2017-12-01-23:00" u="1"/>
        <s v="2017-12-21-22:00" u="1"/>
        <s v="2017-12-08-09:00" u="1"/>
        <s v="2017-12-28-08:00" u="1"/>
        <s v="2018-01-11-22:00" u="1"/>
        <s v="2018-01-31-21:00" u="1"/>
        <s v="2018-04-11-22:00" u="1"/>
        <s v="2018-05-11-22:00" u="1"/>
        <s v="2018-05-31-21:00" u="1"/>
        <s v="2018-06-11-22:00" u="1"/>
        <s v="2018-07-11-22:00" u="1"/>
        <s v="2018-01-18-08:00" u="1"/>
        <s v="2018-04-18-08:00" u="1"/>
        <s v="2018-05-18-08:00" u="1"/>
        <s v="2018-06-18-08:00" u="1"/>
        <s v="2018-07-18-08:00" u="1"/>
        <s v="2018-01-26-07:00" u="1"/>
        <s v="2018-02-06-08:00" u="1"/>
        <s v="2018-02-26-07:00" u="1"/>
        <s v="2018-03-06-08:00" u="1"/>
        <s v="2018-03-26-07:00" u="1"/>
        <s v="2018-04-06-08:00" u="1"/>
        <s v="2018-04-26-07:00" u="1"/>
        <s v="2018-06-06-08:00" u="1"/>
        <s v="2018-06-26-07:00" u="1"/>
        <s v="2018-07-06-08:00" u="1"/>
        <s v="2018-07-26-07:00" u="1"/>
        <s v="2017-11-28-16:00" u="1"/>
        <s v="2017-12-04-08:00" u="1"/>
        <s v="2017-12-08-17:00" u="1"/>
        <s v="2017-12-28-16:00" u="1"/>
        <s v="2018-01-18-16:00" u="1"/>
        <s v="2018-02-14-07:00" u="1"/>
        <s v="2018-03-14-07:00" u="1"/>
        <s v="2018-04-18-16:00" u="1"/>
        <s v="2018-05-14-07:00" u="1"/>
        <s v="2018-05-18-16:00" u="1"/>
        <s v="2018-06-14-07:00" u="1"/>
        <s v="2018-06-18-16:00" u="1"/>
        <s v="2018-07-18-16:00" u="1"/>
        <s v="2017-12-12-07:00" u="1"/>
        <s v="2018-01-22-06:00" u="1"/>
        <s v="2018-01-26-15:00" u="1"/>
        <s v="2018-02-02-07:00" u="1"/>
        <s v="2018-02-06-16:00" u="1"/>
        <s v="2018-02-22-06:00" u="1"/>
        <s v="2018-02-26-15:00" u="1"/>
        <s v="2018-03-02-07:00" u="1"/>
        <s v="2018-03-06-16:00" u="1"/>
        <s v="2018-03-22-06:00" u="1"/>
        <s v="2018-03-26-15:00" u="1"/>
        <s v="2018-04-02-07:00" u="1"/>
        <s v="2018-04-06-16:00" u="1"/>
        <s v="2018-04-26-15:00" u="1"/>
        <s v="2018-05-02-07:00" u="1"/>
        <s v="2018-05-22-06:00" u="1"/>
        <s v="2018-06-06-16:00" u="1"/>
        <s v="2018-06-22-06:00" u="1"/>
        <s v="2018-06-26-15:00" u="1"/>
        <s v="2018-07-02-07:00" u="1"/>
        <s v="2018-07-06-16:00" u="1"/>
        <s v="2018-07-26-15:00" u="1"/>
        <s v="2017-12-04-16:00" u="1"/>
        <s v="2017-12-20-06:00" u="1"/>
        <s v="2018-01-10-06:00" u="1"/>
        <s v="2018-01-30-05:00" u="1"/>
        <s v="2018-02-14-15:00" u="1"/>
        <s v="2018-03-14-15:00" u="1"/>
        <s v="2018-03-30-05:00" u="1"/>
        <s v="2018-04-10-06:00" u="1"/>
        <s v="2018-04-30-05:00" u="1"/>
        <s v="2018-05-10-06:00" u="1"/>
        <s v="2018-05-14-15:00" u="1"/>
        <s v="2018-05-30-05:00" u="1"/>
        <s v="2018-06-14-15:00" u="1"/>
        <s v="2018-07-10-06:00" u="1"/>
        <s v="2017-12-12-15:00" u="1"/>
        <s v="2018-01-02-15:00" u="1"/>
        <s v="2018-01-22-14:00" u="1"/>
        <s v="2018-01-26-23:00" u="1"/>
        <s v="2018-02-02-15:00" u="1"/>
        <s v="2018-02-22-14:00" u="1"/>
        <s v="2018-02-26-23:00" u="1"/>
        <s v="2018-03-02-15:00" u="1"/>
        <s v="2018-03-22-14:00" u="1"/>
        <s v="2018-03-26-23:00" u="1"/>
        <s v="2018-04-02-15:00" u="1"/>
        <s v="2018-04-26-23:00" u="1"/>
        <s v="2018-05-02-15:00" u="1"/>
        <s v="2018-05-22-14:00" u="1"/>
        <s v="2018-06-22-14:00" u="1"/>
        <s v="2018-06-26-23:00" u="1"/>
        <s v="2018-07-02-15:00" u="1"/>
        <s v="2018-07-26-23:00" u="1"/>
        <s v="2017-12-20-14:00" u="1"/>
        <s v="2018-01-10-14:00" u="1"/>
        <s v="2018-01-30-13:00" u="1"/>
        <s v="2018-02-14-23:00" u="1"/>
        <s v="2018-03-14-23:00" u="1"/>
        <s v="2018-03-30-13:00" u="1"/>
        <s v="2018-04-10-14:00" u="1"/>
        <s v="2018-04-30-13:00" u="1"/>
        <s v="2018-05-10-14:00" u="1"/>
        <s v="2018-05-14-23:00" u="1"/>
        <s v="2018-05-30-13:00" u="1"/>
        <s v="2018-06-14-23:00" u="1"/>
        <s v="2018-07-10-14:00" u="1"/>
        <s v="2017-12-12-23:00" u="1"/>
        <s v="2017-12-19-09:00" u="1"/>
        <s v="2018-01-02-23:00" u="1"/>
        <s v="2018-01-22-22:00" u="1"/>
        <s v="2018-02-02-23:00" u="1"/>
        <s v="2018-02-22-22:00" u="1"/>
        <s v="2018-03-02-23:00" u="1"/>
        <s v="2018-03-22-22:00" u="1"/>
        <s v="2018-04-02-23:00" u="1"/>
        <s v="2018-05-02-23:00" u="1"/>
        <s v="2018-05-22-22:00" u="1"/>
        <s v="2018-06-22-22:00" u="1"/>
        <s v="2018-07-02-23:00" u="1"/>
        <s v="2018-01-09-09:00" u="1"/>
        <s v="2018-01-29-08:00" u="1"/>
        <s v="2018-02-09-09:00" u="1"/>
        <s v="2018-03-09-09:00" u="1"/>
        <s v="2018-03-29-08:00" u="1"/>
        <s v="2018-04-09-09:00" u="1"/>
        <s v="2018-05-09-09:00" u="1"/>
        <s v="2018-05-29-08:00" u="1"/>
        <s v="2018-06-29-08:00" u="1"/>
        <s v="2018-07-09-09:00" u="1"/>
        <s v="2017-12-20-22:00" u="1"/>
        <s v="2017-12-07-09:00" u="1"/>
        <s v="2017-12-27-08:00" u="1"/>
        <s v="2018-01-10-22:00" u="1"/>
        <s v="2018-01-30-21:00" u="1"/>
        <s v="2018-03-30-21:00" u="1"/>
        <s v="2018-04-10-22:00" u="1"/>
        <s v="2018-04-30-21:00" u="1"/>
        <s v="2018-05-10-22:00" u="1"/>
        <s v="2018-05-30-21:00" u="1"/>
        <s v="2018-07-10-22:00" u="1"/>
        <s v="2018-01-17-08:00" u="1"/>
        <s v="2018-04-17-08:00" u="1"/>
        <s v="2018-05-17-08:00" u="1"/>
        <s v="2018-07-17-08:00" u="1"/>
        <s v="2017-12-15-08:00" u="1"/>
        <s v="2017-12-19-17:00" u="1"/>
        <s v="2018-01-05-08:00" u="1"/>
        <s v="2018-01-09-17:00" u="1"/>
        <s v="2018-01-25-07:00" u="1"/>
        <s v="2018-01-29-16:00" u="1"/>
        <s v="2018-02-05-08:00" u="1"/>
        <s v="2018-02-09-17:00" u="1"/>
        <s v="2018-03-05-08:00" u="1"/>
        <s v="2018-03-09-17:00" u="1"/>
        <s v="2018-03-29-16:00" u="1"/>
        <s v="2018-04-05-08:00" u="1"/>
        <s v="2018-04-09-17:00" u="1"/>
        <s v="2018-04-25-07:00" u="1"/>
        <s v="2018-05-09-17:00" u="1"/>
        <s v="2018-05-25-07:00" u="1"/>
        <s v="2018-05-29-16:00" u="1"/>
        <s v="2018-06-05-08:00" u="1"/>
        <s v="2018-06-25-07:00" u="1"/>
        <s v="2018-06-29-16:00" u="1"/>
        <s v="2018-07-05-08:00" u="1"/>
        <s v="2018-07-09-17:00" u="1"/>
        <s v="2018-07-25-07:00" u="1"/>
        <s v="2017-12-07-17:00" u="1"/>
        <s v="2017-12-27-16:00" u="1"/>
        <s v="2018-01-17-16:00" u="1"/>
        <s v="2018-02-13-07:00" u="1"/>
        <s v="2018-03-13-07:00" u="1"/>
        <s v="2018-04-13-07:00" u="1"/>
        <s v="2018-04-17-16:00" u="1"/>
        <s v="2018-05-17-16:00" u="1"/>
        <s v="2018-06-13-07:00" u="1"/>
        <s v="2018-07-13-07:00" u="1"/>
        <s v="2018-07-17-16:00" u="1"/>
        <s v="2017-12-11-07:00" u="1"/>
        <s v="2017-12-15-16:00" u="1"/>
        <s v="2018-01-05-16:00" u="1"/>
        <s v="2018-01-25-15:00" u="1"/>
        <s v="2018-02-01-07:00" u="1"/>
        <s v="2018-02-05-16:00" u="1"/>
        <s v="2018-02-21-06:00" u="1"/>
        <s v="2018-03-01-07:00" u="1"/>
        <s v="2018-03-05-16:00" u="1"/>
        <s v="2018-03-21-06:00" u="1"/>
        <s v="2018-04-05-16:00" u="1"/>
        <s v="2018-04-25-15:00" u="1"/>
        <s v="2018-05-01-07:00" u="1"/>
        <s v="2018-05-21-06:00" u="1"/>
        <s v="2018-05-25-15:00" u="1"/>
        <s v="2018-06-01-07:00" u="1"/>
        <s v="2018-06-05-16:00" u="1"/>
        <s v="2018-06-21-06:00" u="1"/>
        <s v="2018-06-25-15:00" u="1"/>
        <s v="2018-07-05-16:00" u="1"/>
        <s v="2018-07-25-15:00" u="1"/>
        <s v="2018-02-13-15:00" u="1"/>
        <s v="2018-03-13-15:00" u="1"/>
        <s v="2018-04-13-15:00" u="1"/>
        <s v="2018-06-13-15:00" u="1"/>
        <s v="2018-07-13-15:00" u="1"/>
        <s v="2017-12-11-15:00" u="1"/>
        <s v="2018-01-25-23:00" u="1"/>
        <s v="2018-02-01-15:00" u="1"/>
        <s v="2018-02-21-14:00" u="1"/>
        <s v="2018-03-01-15:00" u="1"/>
        <s v="2018-03-21-14:00" u="1"/>
        <s v="2018-04-25-23:00" u="1"/>
        <s v="2018-05-01-15:00" u="1"/>
        <s v="2018-05-21-14:00" u="1"/>
        <s v="2018-05-25-23:00" u="1"/>
        <s v="2018-06-01-15:00" u="1"/>
        <s v="2018-06-21-14:00" u="1"/>
        <s v="2018-06-25-23:00" u="1"/>
        <s v="2018-07-25-23:00" u="1"/>
        <s v="2018-02-13-23:00" u="1"/>
        <s v="2018-03-13-23:00" u="1"/>
        <s v="2018-04-13-23:00" u="1"/>
        <s v="2018-06-13-23:00" u="1"/>
        <s v="2018-07-13-23:00" u="1"/>
        <s v="2017-12-11-23:00" u="1"/>
        <s v="2017-12-18-09:00" u="1"/>
        <s v="2018-02-01-23:00" u="1"/>
        <s v="2018-02-21-22:00" u="1"/>
        <s v="2018-03-01-23:00" u="1"/>
        <s v="2018-03-21-22:00" u="1"/>
        <s v="2018-05-01-23:00" u="1"/>
        <s v="2018-05-21-22:00" u="1"/>
        <s v="2018-06-01-23:00" u="1"/>
        <s v="2018-06-21-22:00" u="1"/>
        <s v="2018-01-08-09:00" u="1"/>
        <s v="2018-02-08-09:00" u="1"/>
        <s v="2018-02-28-08:00" u="1"/>
        <s v="2018-03-08-09:00" u="1"/>
        <s v="2018-03-28-08:00" u="1"/>
        <s v="2018-05-08-09:00" u="1"/>
        <s v="2018-05-28-08:00" u="1"/>
        <s v="2018-06-08-09:00" u="1"/>
        <s v="2018-06-28-08:00" u="1"/>
        <s v="2018-08-08-09:00" u="1"/>
        <s v="2017-12-06-09:00" u="1"/>
        <s v="2018-01-16-08:00" u="1"/>
        <s v="2018-02-16-08:00" u="1"/>
        <s v="2018-03-16-08:00" u="1"/>
        <s v="2018-04-16-08:00" u="1"/>
        <s v="2018-05-16-08:00" u="1"/>
        <s v="2018-07-16-08:00" u="1"/>
        <s v="2017-12-14-08:00" u="1"/>
        <s v="2017-12-18-17:00" u="1"/>
        <s v="2018-01-04-08:00" u="1"/>
        <s v="2018-01-08-17:00" u="1"/>
        <s v="2018-01-24-07:00" u="1"/>
        <s v="2018-02-08-17:00" u="1"/>
        <s v="2018-02-28-16:00" u="1"/>
        <s v="2018-03-08-17:00" u="1"/>
        <s v="2018-03-28-16:00" u="1"/>
        <s v="2018-04-04-08:00" u="1"/>
        <s v="2018-04-24-07:00" u="1"/>
        <s v="2018-05-04-08:00" u="1"/>
        <s v="2018-05-08-17:00" u="1"/>
        <s v="2018-05-24-07:00" u="1"/>
        <s v="2018-05-28-16:00" u="1"/>
        <s v="2018-06-04-08:00" u="1"/>
        <s v="2018-06-08-17:00" u="1"/>
        <s v="2018-06-28-16:00" u="1"/>
        <s v="2018-07-04-08:00" u="1"/>
        <s v="2018-07-24-07:00" u="1"/>
        <s v="2017-12-06-17:00" u="1"/>
        <s v="2017-12-22-07:00" u="1"/>
        <s v="2017-12-26-16:00" u="1"/>
        <s v="2018-01-12-07:00" u="1"/>
        <s v="2018-01-16-16:00" u="1"/>
        <s v="2018-02-12-07:00" u="1"/>
        <s v="2018-02-16-16:00" u="1"/>
        <s v="2018-03-12-07:00" u="1"/>
        <s v="2018-03-16-16:00" u="1"/>
        <s v="2018-04-12-07:00" u="1"/>
        <s v="2018-04-16-16:00" u="1"/>
        <s v="2018-05-16-16:00" u="1"/>
        <s v="2018-06-12-07:00" u="1"/>
        <s v="2018-07-12-07:00" u="1"/>
        <s v="2018-07-16-16:00" u="1"/>
        <s v="2017-11-30-06:00" u="1"/>
        <s v="2017-12-14-16:00" u="1"/>
        <s v="2018-01-04-16:00" u="1"/>
        <s v="2018-01-24-15:00" u="1"/>
        <s v="2018-02-20-06:00" u="1"/>
        <s v="2018-03-20-06:00" u="1"/>
        <s v="2018-04-04-16:00" u="1"/>
        <s v="2018-04-20-06:00" u="1"/>
        <s v="2018-04-24-15:00" u="1"/>
        <s v="2018-05-04-16:00" u="1"/>
        <s v="2018-05-24-15:00" u="1"/>
        <s v="2018-06-04-16:00" u="1"/>
        <s v="2018-06-20-06:00" u="1"/>
        <s v="2018-07-04-16:00" u="1"/>
        <s v="2018-07-20-06:00" u="1"/>
        <s v="2018-07-24-15:00" u="1"/>
        <s v="2017-12-22-15:00" u="1"/>
        <s v="2018-01-12-15:00" u="1"/>
        <s v="2018-02-12-15:00" u="1"/>
        <s v="2018-03-12-15:00" u="1"/>
        <s v="2018-04-12-15:00" u="1"/>
        <s v="2018-06-12-15:00" u="1"/>
        <s v="2018-07-12-15:00" u="1"/>
        <s v="9999-99-99-99:53" u="1"/>
        <s v="2017-11-30-14:00" u="1"/>
        <s v="2018-01-24-23:00" u="1"/>
        <s v="2018-02-20-14:00" u="1"/>
        <s v="2018-03-20-14:00" u="1"/>
        <s v="2018-04-20-14:00" u="1"/>
        <s v="2018-04-24-23:00" u="1"/>
        <s v="2018-05-24-23:00" u="1"/>
        <s v="2018-06-20-14:00" u="1"/>
        <s v="2018-07-20-14:00" u="1"/>
        <s v="2018-07-24-23:00" u="1"/>
        <s v="2017-12-22-23:00" u="1"/>
        <s v="2017-11-29-09:00" u="1"/>
        <s v="2017-12-29-09:00" u="1"/>
        <s v="2018-01-12-23:00" u="1"/>
        <s v="2018-02-12-23:00" u="1"/>
        <s v="2018-03-12-23:00" u="1"/>
        <s v="2018-04-12-23:00" u="1"/>
        <s v="2018-06-12-23:00" u="1"/>
        <s v="2018-07-12-23:00" u="1"/>
        <s v="2018-01-19-09:00" u="1"/>
        <s v="2018-02-19-09:00" u="1"/>
        <s v="2018-03-19-09:00" u="1"/>
        <s v="2018-04-19-09:00" u="1"/>
        <s v="2018-06-19-09:00" u="1"/>
        <s v="2018-07-19-09:00" u="1"/>
        <s v="2017-11-30-22:00" u="1"/>
        <s v="2018-02-20-22:00" u="1"/>
        <s v="2018-03-20-22:00" u="1"/>
        <s v="2018-04-20-22:00" u="1"/>
        <s v="2018-06-20-22:00" u="1"/>
        <s v="2018-07-20-22:00" u="1"/>
        <s v="2018-02-07-09:00" u="1"/>
        <s v="2018-02-27-08:00" u="1"/>
        <s v="2018-03-07-09:00" u="1"/>
        <s v="2018-03-27-08:00" u="1"/>
        <s v="2018-04-27-08:00" u="1"/>
        <s v="2018-05-07-09:00" u="1"/>
        <s v="2018-06-07-09:00" u="1"/>
        <s v="2018-06-27-08:00" u="1"/>
        <s v="2018-07-27-08:00" u="1"/>
        <s v="2017-11-29-17:00" u="1"/>
        <s v="2017-12-05-09:00" u="1"/>
        <s v="2017-12-29-17:00" u="1"/>
        <s v="2018-01-15-08:00" u="1"/>
        <s v="2018-01-19-17:00" u="1"/>
        <s v="2018-02-15-08:00" u="1"/>
        <s v="2018-02-19-17:00" u="1"/>
        <s v="2018-03-15-08:00" u="1"/>
        <s v="2018-03-19-17:00" u="1"/>
        <s v="2018-04-19-17:00" u="1"/>
        <s v="2018-05-15-08:00" u="1"/>
        <s v="2018-06-15-08:00" u="1"/>
        <s v="2018-06-19-17:00" u="1"/>
        <s v="2018-07-19-17:00" u="1"/>
        <s v="2017-12-13-08:00" u="1"/>
        <s v="2018-01-03-08:00" u="1"/>
        <s v="2018-01-23-07:00" u="1"/>
        <s v="2018-02-07-17:00" u="1"/>
        <s v="2018-02-23-07:00" u="1"/>
        <s v="2018-02-27-16:00" u="1"/>
        <s v="2018-03-07-17:00" u="1"/>
        <s v="2018-03-23-07:00" u="1"/>
        <s v="2018-03-27-16:00" u="1"/>
        <s v="2018-04-03-08:00" u="1"/>
        <s v="2018-04-23-07:00" u="1"/>
        <s v="2018-04-27-16:00" u="1"/>
        <s v="2018-05-03-08:00" u="1"/>
        <s v="2018-05-07-17:00" u="1"/>
        <s v="2018-05-23-07:00" u="1"/>
        <s v="2018-06-07-17:00" u="1"/>
        <s v="2018-06-27-16:00" u="1"/>
        <s v="2018-07-03-08:00" u="1"/>
        <s v="2018-07-23-07:00" u="1"/>
        <s v="2018-07-27-16:00" u="1"/>
        <s v="2017-12-01-08:00" u="1"/>
        <s v="2017-12-05-17:00" u="1"/>
        <s v="2017-12-21-07:00" u="1"/>
        <s v="2018-01-11-07:00" u="1"/>
        <s v="2018-01-15-16:00" u="1"/>
        <s v="2018-01-31-06:00" u="1"/>
        <s v="2018-02-15-16:00" u="1"/>
        <s v="2018-03-15-16:00" u="1"/>
        <s v="2018-04-11-07:00" u="1"/>
        <s v="2018-05-11-07:00" u="1"/>
        <s v="2018-05-15-16:00" u="1"/>
        <s v="2018-05-31-06:00" u="1"/>
        <s v="2018-06-11-07:00" u="1"/>
        <s v="2018-06-15-16:00" u="1"/>
        <s v="2018-07-11-07:00" u="1"/>
        <s v="2017-12-13-16:00" u="1"/>
        <s v="2018-01-03-16:00" u="1"/>
        <s v="2018-01-23-15:00" u="1"/>
        <s v="2018-02-23-15:00" u="1"/>
        <s v="2018-03-23-15:00" u="1"/>
        <s v="2018-04-03-16:00" u="1"/>
        <s v="2018-04-23-15:00" u="1"/>
        <s v="2018-05-03-16:00" u="1"/>
        <s v="2018-05-23-15:00" u="1"/>
        <s v="2018-07-03-16:00" u="1"/>
        <s v="2018-07-23-15:00" u="1"/>
        <s v="2017-12-01-16:00" u="1"/>
        <s v="2017-12-21-15:00" u="1"/>
        <s v="2018-01-11-15:00" u="1"/>
        <s v="2018-01-31-14:00" u="1"/>
        <s v="2018-04-11-15:00" u="1"/>
        <s v="2018-05-11-15:00" u="1"/>
        <s v="2018-05-31-14:00" u="1"/>
        <s v="2018-06-11-15:00" u="1"/>
        <s v="2018-07-11-15:00" u="1"/>
        <s v="2018-01-23-23:00" u="1"/>
        <s v="2018-02-23-23:00" u="1"/>
        <s v="2018-04-23-23:00" u="1"/>
        <s v="2018-05-23-23:00" u="1"/>
        <s v="2018-07-23-23:00" u="1"/>
        <s v="2017-12-21-23:00" u="1"/>
        <s v="2017-12-28-09:00" u="1"/>
        <s v="2018-01-11-23:00" u="1"/>
        <s v="2018-01-31-22:00" u="1"/>
        <s v="2018-03-11-23:00" u="1"/>
        <s v="2018-04-11-23:00" u="1"/>
        <s v="2018-05-11-23:00" u="1"/>
        <s v="2018-05-31-22:00" u="1"/>
        <s v="2018-06-11-23:00" u="1"/>
        <s v="2018-07-11-23:00" u="1"/>
        <s v="2018-01-18-09:00" u="1"/>
        <s v="2018-04-18-09:00" u="1"/>
        <s v="2018-05-18-09:00" u="1"/>
        <s v="2018-06-18-09:00" u="1"/>
        <s v="2018-07-18-09:00" u="1"/>
        <s v="2018-01-26-08:00" u="1"/>
        <s v="2018-02-06-09:00" u="1"/>
        <s v="2018-02-26-08:00" u="1"/>
        <s v="2018-03-06-09:00" u="1"/>
        <s v="2018-03-26-08:00" u="1"/>
        <s v="2018-04-06-09:00" u="1"/>
        <s v="2018-04-26-08:00" u="1"/>
        <s v="2018-06-06-09:00" u="1"/>
        <s v="2018-06-26-08:00" u="1"/>
        <s v="2018-07-06-09:00" u="1"/>
        <s v="2018-07-26-08:00" u="1"/>
        <s v="2017-11-28-17:00" u="1"/>
        <s v="2017-12-04-09:00" u="1"/>
        <s v="2017-12-08-18:00" u="1"/>
        <s v="2017-12-28-17:00" u="1"/>
        <s v="2018-01-18-17:00" u="1"/>
        <s v="2018-02-14-08:00" u="1"/>
        <s v="2018-03-14-08:00" u="1"/>
        <s v="2018-04-18-17:00" u="1"/>
        <s v="2018-05-14-08:00" u="1"/>
        <s v="2018-05-18-17:00" u="1"/>
        <s v="2018-06-14-08:00" u="1"/>
        <s v="2018-06-18-17:00" u="1"/>
        <s v="2018-07-18-17:00" u="1"/>
        <s v="2017-12-12-08:00" u="1"/>
        <s v="2018-01-22-07:00" u="1"/>
        <s v="2018-01-26-16:00" u="1"/>
        <s v="2018-02-02-08:00" u="1"/>
        <s v="2018-02-06-17:00" u="1"/>
        <s v="2018-02-22-07:00" u="1"/>
        <s v="2018-02-26-16:00" u="1"/>
        <s v="2018-03-02-08:00" u="1"/>
        <s v="2018-03-06-17:00" u="1"/>
        <s v="2018-03-22-07:00" u="1"/>
        <s v="2018-03-26-16:00" u="1"/>
        <s v="2018-04-02-08:00" u="1"/>
        <s v="2018-04-06-17:00" u="1"/>
        <s v="2018-04-26-16:00" u="1"/>
        <s v="2018-05-02-08:00" u="1"/>
        <s v="2018-05-22-07:00" u="1"/>
        <s v="2018-06-06-17:00" u="1"/>
        <s v="2018-06-22-07:00" u="1"/>
        <s v="2018-06-26-16:00" u="1"/>
        <s v="2018-07-02-08:00" u="1"/>
        <s v="2018-07-06-17:00" u="1"/>
        <s v="2018-07-26-16:00" u="1"/>
        <s v="2017-12-04-17:00" u="1"/>
        <s v="2017-12-20-07:00" u="1"/>
        <s v="2018-01-10-07:00" u="1"/>
        <s v="2018-01-30-06:00" u="1"/>
        <s v="2018-02-14-16:00" u="1"/>
        <s v="2018-03-14-16:00" u="1"/>
        <s v="2018-03-30-06:00" u="1"/>
        <s v="2018-04-10-07:00" u="1"/>
        <s v="2018-04-30-06:00" u="1"/>
        <s v="2018-05-10-07:00" u="1"/>
        <s v="2018-05-14-16:00" u="1"/>
        <s v="2018-05-30-06:00" u="1"/>
        <s v="2018-06-14-16:00" u="1"/>
        <s v="2018-07-10-07:00" u="1"/>
        <s v="2017-12-12-16:00" u="1"/>
        <s v="2018-01-02-16:00" u="1"/>
        <s v="2018-01-22-15:00" u="1"/>
        <s v="2018-02-02-16:00" u="1"/>
        <s v="2018-02-22-15:00" u="1"/>
        <s v="2018-03-02-16:00" u="1"/>
        <s v="2018-03-22-15:00" u="1"/>
        <s v="2018-04-02-16:00" u="1"/>
        <s v="2018-05-02-16:00" u="1"/>
        <s v="2018-05-22-15:00" u="1"/>
        <s v="2018-06-22-15:00" u="1"/>
        <s v="2018-07-02-16:00" u="1"/>
        <s v="2017-12-20-15:00" u="1"/>
        <s v="2018-01-10-15:00" u="1"/>
        <s v="2018-01-30-14:00" u="1"/>
        <s v="2018-03-30-14:00" u="1"/>
        <s v="2018-04-10-15:00" u="1"/>
        <s v="2018-04-30-14:00" u="1"/>
        <s v="2018-05-10-15:00" u="1"/>
        <s v="2018-05-30-14:00" u="1"/>
        <s v="2018-07-10-15:00" u="1"/>
        <s v="2018-01-22-23:00" u="1"/>
        <s v="2018-02-22-23:00" u="1"/>
        <s v="2018-03-22-23:00" u="1"/>
        <s v="2018-05-22-23:00" u="1"/>
        <s v="2018-06-22-23:00" u="1"/>
        <s v="2018-01-29-09:00" u="1"/>
        <s v="2018-03-29-09:00" u="1"/>
        <s v="2018-05-29-09:00" u="1"/>
        <s v="2018-06-29-09:00" u="1"/>
        <s v="2017-12-20-23:00" u="1"/>
        <s v="2017-12-27-09:00" u="1"/>
        <s v="2018-01-10-23:00" u="1"/>
        <s v="2018-01-30-22:00" u="1"/>
        <s v="2018-03-30-22:00" u="1"/>
        <s v="2018-04-10-23:00" u="1"/>
        <s v="2018-04-30-22:00" u="1"/>
        <s v="2018-05-10-23:00" u="1"/>
        <s v="2018-05-30-22:00" u="1"/>
        <s v="2018-07-10-23:00" u="1"/>
        <s v="2018-01-17-09:00" u="1"/>
        <s v="2018-04-17-09:00" u="1"/>
        <s v="2018-05-17-09:00" u="1"/>
        <s v="2018-07-17-09:00" u="1"/>
        <s v="2017-12-15-09:00" u="1"/>
        <s v="2017-12-19-18:00" u="1"/>
        <s v="2018-01-05-09:00" u="1"/>
        <s v="2018-01-09-18:00" u="1"/>
        <s v="2018-01-25-08:00" u="1"/>
        <s v="2018-01-29-17:00" u="1"/>
        <s v="2018-02-05-09:00" u="1"/>
        <s v="2018-02-09-18:00" u="1"/>
        <s v="2018-03-05-09:00" u="1"/>
        <s v="2018-03-09-18:00" u="1"/>
        <s v="2018-03-29-17:00" u="1"/>
        <s v="2018-04-05-09:00" u="1"/>
        <s v="2018-04-09-18:00" u="1"/>
        <s v="2018-04-25-08:00" u="1"/>
        <s v="2018-05-09-18:00" u="1"/>
        <s v="2018-05-25-08:00" u="1"/>
        <s v="2018-05-29-17:00" u="1"/>
        <s v="2018-06-05-09:00" u="1"/>
        <s v="2018-06-25-08:00" u="1"/>
        <s v="2018-06-29-17:00" u="1"/>
        <s v="2018-07-05-09:00" u="1"/>
        <s v="2018-07-09-18:00" u="1"/>
        <s v="2018-07-25-08:00" u="1"/>
        <s v="2017-12-07-18:00" u="1"/>
        <s v="2017-12-27-17:00" u="1"/>
        <s v="2018-01-17-17:00" u="1"/>
        <s v="2018-02-13-08:00" u="1"/>
        <s v="2018-03-13-08:00" u="1"/>
        <s v="2018-04-13-08:00" u="1"/>
        <s v="2018-04-17-17:00" u="1"/>
        <s v="2018-05-17-17:00" u="1"/>
        <s v="2018-06-13-08:00" u="1"/>
        <s v="2018-07-13-08:00" u="1"/>
        <s v="2018-07-17-17:00" u="1"/>
        <s v="2017-12-11-08:00" u="1"/>
        <s v="2017-12-15-17:00" u="1"/>
        <s v="2018-01-05-17:00" u="1"/>
        <s v="2018-01-25-16:00" u="1"/>
        <s v="2018-02-01-08:00" u="1"/>
        <s v="2018-02-05-17:00" u="1"/>
        <s v="2018-02-21-07:00" u="1"/>
        <s v="2018-03-01-08:00" u="1"/>
        <s v="2018-03-05-17:00" u="1"/>
        <s v="2018-03-21-07:00" u="1"/>
        <s v="2018-04-05-17:00" u="1"/>
        <s v="2018-04-25-16:00" u="1"/>
        <s v="2018-05-01-08:00" u="1"/>
        <s v="2018-05-21-07:00" u="1"/>
        <s v="2018-05-25-16:00" u="1"/>
        <s v="2018-06-01-08:00" u="1"/>
        <s v="2018-06-05-17:00" u="1"/>
        <s v="2018-06-21-07:00" u="1"/>
        <s v="2018-06-25-16:00" u="1"/>
        <s v="2018-07-05-17:00" u="1"/>
        <s v="2018-07-25-16:00" u="1"/>
        <s v="2018-02-13-16:00" u="1"/>
        <s v="2018-03-13-16:00" u="1"/>
        <s v="2018-04-13-16:00" u="1"/>
        <s v="2018-06-13-16:00" u="1"/>
        <s v="2018-07-13-16:00" u="1"/>
        <s v="2017-12-11-16:00" u="1"/>
        <s v="2018-02-01-16:00" u="1"/>
        <s v="2018-02-21-15:00" u="1"/>
        <s v="2018-03-01-16:00" u="1"/>
        <s v="2018-03-21-15:00" u="1"/>
        <s v="2018-05-01-16:00" u="1"/>
        <s v="2018-05-21-15:00" u="1"/>
        <s v="2018-06-01-16:00" u="1"/>
        <s v="2018-06-21-15:00" u="1"/>
        <s v="2018-02-21-23:00" u="1"/>
        <s v="2018-03-21-23:00" u="1"/>
        <s v="2018-05-21-23:00" u="1"/>
        <s v="2018-06-21-23:00" u="1"/>
        <s v="2018-02-28-09:00" u="1"/>
        <s v="2018-03-28-09:00" u="1"/>
        <s v="2018-05-28-09:00" u="1"/>
        <s v="2018-06-28-09:00" u="1"/>
        <s v="2017-12-26-09:00" u="1"/>
        <s v="2018-01-16-09:00" u="1"/>
        <s v="2018-02-16-09:00" u="1"/>
        <s v="2018-03-16-09:00" u="1"/>
        <s v="2018-04-16-09:00" u="1"/>
        <s v="2018-05-16-09:00" u="1"/>
        <s v="2018-07-16-09:00" u="1"/>
        <s v="2017-12-14-09:00" u="1"/>
        <s v="2017-12-18-18:00" u="1"/>
        <s v="2018-01-04-09:00" u="1"/>
        <s v="2018-01-08-18:00" u="1"/>
        <s v="2018-01-24-08:00" u="1"/>
        <s v="2018-02-08-18:00" u="1"/>
        <s v="2018-02-28-17:00" u="1"/>
        <s v="2018-03-08-18:00" u="1"/>
        <s v="2018-03-28-17:00" u="1"/>
        <s v="2018-04-04-09:00" u="1"/>
        <s v="2018-04-24-08:00" u="1"/>
        <s v="2018-05-04-09:00" u="1"/>
        <s v="2018-05-08-18:00" u="1"/>
        <s v="2018-05-24-08:00" u="1"/>
        <s v="2018-05-28-17:00" u="1"/>
        <s v="2018-06-04-09:00" u="1"/>
        <s v="2018-06-08-18:00" u="1"/>
        <s v="2018-06-28-17:00" u="1"/>
        <s v="2018-07-04-09:00" u="1"/>
        <s v="2018-07-24-08:00" u="1"/>
        <s v="2017-12-06-18:00" u="1"/>
        <s v="2017-12-22-08:00" u="1"/>
        <s v="2017-12-26-17:00" u="1"/>
        <s v="2018-01-12-08:00" u="1"/>
        <s v="2018-01-16-17:00" u="1"/>
        <s v="2018-02-12-08:00" u="1"/>
        <s v="2018-02-16-17:00" u="1"/>
        <s v="2018-03-12-08:00" u="1"/>
        <s v="2018-03-16-17:00" u="1"/>
        <s v="2018-04-12-08:00" u="1"/>
        <s v="2018-04-16-17:00" u="1"/>
        <s v="2018-05-16-17:00" u="1"/>
        <s v="2018-06-12-08:00" u="1"/>
        <s v="2018-07-12-08:00" u="1"/>
        <s v="2018-07-16-17:00" u="1"/>
        <s v="2017-11-30-07:00" u="1"/>
        <s v="2017-12-14-17:00" u="1"/>
        <s v="2018-01-04-17:00" u="1"/>
        <s v="2018-01-24-16:00" u="1"/>
        <s v="2018-02-20-07:00" u="1"/>
        <s v="2018-03-20-07:00" u="1"/>
        <s v="2018-04-04-17:00" u="1"/>
        <s v="2018-04-20-07:00" u="1"/>
        <s v="2018-04-24-16:00" u="1"/>
        <s v="2018-05-04-17:00" u="1"/>
        <s v="2018-05-24-16:00" u="1"/>
        <s v="2018-06-04-17:00" u="1"/>
        <s v="2018-06-20-07:00" u="1"/>
        <s v="2018-07-04-17:00" u="1"/>
        <s v="2018-07-20-07:00" u="1"/>
        <s v="2018-07-24-16:00" u="1"/>
        <s v="2017-12-22-16:00" u="1"/>
        <s v="2018-01-12-16:00" u="1"/>
        <s v="2018-02-12-16:00" u="1"/>
        <s v="2018-03-12-16:00" u="1"/>
        <s v="2018-04-12-16:00" u="1"/>
        <s v="2018-06-12-16:00" u="1"/>
        <s v="2018-07-12-16:00" u="1"/>
        <s v="2017-11-30-15:00" u="1"/>
        <s v="2018-02-20-15:00" u="1"/>
        <s v="2018-03-20-15:00" u="1"/>
        <s v="2018-04-20-15:00" u="1"/>
        <s v="2018-06-20-15:00" u="1"/>
        <s v="2018-07-20-15:00" u="1"/>
        <s v="2017-11-30-23:00" u="1"/>
        <s v="2018-02-20-23:00" u="1"/>
        <s v="2018-03-20-23:00" u="1"/>
        <s v="2018-04-20-23:00" u="1"/>
        <s v="2018-06-20-23:00" u="1"/>
        <s v="2018-07-20-23:00" u="1"/>
        <s v="2018-02-27-09:00" u="1"/>
        <s v="2018-03-27-09:00" u="1"/>
        <s v="2018-04-27-09:00" u="1"/>
        <s v="2018-06-27-09:00" u="1"/>
        <s v="2018-07-27-09:00" u="1"/>
        <s v="2017-11-29-18:00" u="1"/>
        <s v="2017-12-29-18:00" u="1"/>
        <s v="2018-01-15-09:00" u="1"/>
        <s v="2018-01-19-18:00" u="1"/>
        <s v="2018-02-15-09:00" u="1"/>
        <s v="2018-02-19-18:00" u="1"/>
        <s v="2018-03-15-09:00" u="1"/>
        <s v="2018-03-19-18:00" u="1"/>
        <s v="2018-04-19-18:00" u="1"/>
        <s v="2018-05-15-09:00" u="1"/>
        <s v="2018-06-15-09:00" u="1"/>
        <s v="2018-06-19-18:00" u="1"/>
        <s v="2018-07-19-18:00" u="1"/>
        <s v="2017-12-13-09:00" u="1"/>
        <s v="2018-01-03-09:00" u="1"/>
        <s v="2018-01-23-08:00" u="1"/>
        <s v="2018-02-07-18:00" u="1"/>
        <s v="2018-02-23-08:00" u="1"/>
        <s v="2018-02-27-17:00" u="1"/>
        <s v="2018-03-07-18:00" u="1"/>
        <s v="2018-03-23-08:00" u="1"/>
        <s v="2018-03-27-17:00" u="1"/>
        <s v="2018-04-03-09:00" u="1"/>
        <s v="2018-04-23-08:00" u="1"/>
        <s v="2018-04-27-17:00" u="1"/>
        <s v="2018-05-03-09:00" u="1"/>
        <s v="2018-05-07-18:00" u="1"/>
        <s v="2018-05-23-08:00" u="1"/>
        <s v="2018-06-07-18:00" u="1"/>
        <s v="2018-06-27-17:00" u="1"/>
        <s v="2018-07-03-09:00" u="1"/>
        <s v="2018-07-23-08:00" u="1"/>
        <s v="2018-07-27-17:00" u="1"/>
        <s v="2017-12-01-09:00" u="1"/>
        <s v="2017-12-05-18:00" u="1"/>
        <s v="2017-12-21-08:00" u="1"/>
        <s v="2018-01-11-08:00" u="1"/>
        <s v="2018-01-15-17:00" u="1"/>
        <s v="2018-01-31-07:00" u="1"/>
        <s v="2018-02-15-17:00" u="1"/>
        <s v="2018-03-15-17:00" u="1"/>
        <s v="2018-04-11-08:00" u="1"/>
        <s v="2018-05-11-08:00" u="1"/>
        <s v="2018-05-15-17:00" u="1"/>
        <s v="2018-05-31-07:00" u="1"/>
        <s v="2018-06-11-08:00" u="1"/>
        <s v="2018-06-15-17:00" u="1"/>
        <s v="2018-07-11-08:00" u="1"/>
        <s v="2017-12-13-17:00" u="1"/>
        <s v="2018-01-03-17:00" u="1"/>
        <s v="2018-01-23-16:00" u="1"/>
        <s v="2018-02-23-16:00" u="1"/>
        <s v="2018-03-23-16:00" u="1"/>
        <s v="2018-04-03-17:00" u="1"/>
        <s v="2018-04-23-16:00" u="1"/>
        <s v="2018-05-03-17:00" u="1"/>
        <s v="2018-05-23-16:00" u="1"/>
        <s v="2018-07-03-17:00" u="1"/>
        <s v="2018-07-23-16:00" u="1"/>
        <s v="2017-12-01-17:00" u="1"/>
        <s v="2017-12-21-16:00" u="1"/>
        <s v="2018-01-11-16:00" u="1"/>
        <s v="2018-01-31-15:00" u="1"/>
        <s v="2018-04-11-16:00" u="1"/>
        <s v="2018-05-11-16:00" u="1"/>
        <s v="2018-05-31-15:00" u="1"/>
        <s v="2018-06-11-16:00" u="1"/>
        <s v="2018-07-11-16:00" u="1"/>
        <s v="2018-01-31-23:00" u="1"/>
        <s v="2018-05-31-23:00" u="1"/>
        <s v="2018-01-26-09:00" u="1"/>
        <s v="2018-02-26-09:00" u="1"/>
        <s v="2018-03-26-09:00" u="1"/>
        <s v="2018-04-26-09:00" u="1"/>
        <s v="2018-06-26-09:00" u="1"/>
        <s v="2018-07-26-09:00" u="1"/>
        <s v="2017-11-28-18:00" u="1"/>
        <s v="2017-12-08-19:00" u="1"/>
        <s v="2017-12-28-18:00" u="1"/>
        <s v="2018-01-18-18:00" u="1"/>
        <s v="2018-02-14-09:00" u="1"/>
        <s v="2018-03-14-09:00" u="1"/>
        <s v="2018-04-18-18:00" u="1"/>
        <s v="2018-05-14-09:00" u="1"/>
        <s v="2018-05-18-18:00" u="1"/>
        <s v="2018-06-14-09:00" u="1"/>
        <s v="2018-06-18-18:00" u="1"/>
        <s v="2018-07-18-18:00" u="1"/>
        <s v="2017-12-12-09:00" u="1"/>
        <s v="2018-01-02-09:00" u="1"/>
        <s v="2018-01-22-08:00" u="1"/>
        <s v="2018-01-26-17:00" u="1"/>
        <s v="2018-02-02-09:00" u="1"/>
        <s v="2018-02-06-18:00" u="1"/>
        <s v="2018-02-22-08:00" u="1"/>
        <s v="2018-02-26-17:00" u="1"/>
        <s v="2018-03-02-09:00" u="1"/>
        <s v="2018-03-06-18:00" u="1"/>
        <s v="2018-03-22-08:00" u="1"/>
        <s v="2018-03-26-17:00" u="1"/>
        <s v="2018-04-02-09:00" u="1"/>
        <s v="2018-04-06-18:00" u="1"/>
        <s v="2018-04-26-17:00" u="1"/>
        <s v="2018-05-02-09:00" u="1"/>
        <s v="2018-05-22-08:00" u="1"/>
        <s v="2018-06-06-18:00" u="1"/>
        <s v="2018-06-22-08:00" u="1"/>
        <s v="2018-06-26-17:00" u="1"/>
        <s v="2018-07-02-09:00" u="1"/>
        <s v="2018-07-06-18:00" u="1"/>
        <s v="2018-07-26-17:00" u="1"/>
        <s v="2017-12-04-18:00" u="1"/>
        <s v="2017-12-20-08:00" u="1"/>
        <s v="2018-01-10-08:00" u="1"/>
        <s v="2018-01-30-07:00" u="1"/>
        <s v="2018-02-14-17:00" u="1"/>
        <s v="2018-03-14-17:00" u="1"/>
        <s v="2018-03-30-07:00" u="1"/>
        <s v="2018-04-10-08:00" u="1"/>
        <s v="2018-04-30-07:00" u="1"/>
        <s v="2018-05-10-08:00" u="1"/>
        <s v="2018-05-14-17:00" u="1"/>
        <s v="2018-05-30-07:00" u="1"/>
        <s v="2018-06-14-17:00" u="1"/>
        <s v="2018-07-10-08:00" u="1"/>
        <s v="2017-12-12-17:00" u="1"/>
        <s v="2018-01-02-17:00" u="1"/>
        <s v="2018-01-22-16:00" u="1"/>
        <s v="2018-02-02-17:00" u="1"/>
        <s v="2018-02-22-16:00" u="1"/>
        <s v="2018-03-02-17:00" u="1"/>
        <s v="2018-03-22-16:00" u="1"/>
        <s v="2018-04-02-17:00" u="1"/>
        <s v="2018-05-02-17:00" u="1"/>
        <s v="2018-05-22-16:00" u="1"/>
        <s v="2018-06-22-16:00" u="1"/>
        <s v="2018-07-02-17:00" u="1"/>
        <s v="2017-12-20-16:00" u="1"/>
        <s v="2018-01-10-16:00" u="1"/>
        <s v="2018-01-30-15:00" u="1"/>
        <s v="2018-03-30-15:00" u="1"/>
        <s v="2018-04-10-16:00" u="1"/>
        <s v="2018-04-30-15:00" u="1"/>
        <s v="2018-05-10-16:00" u="1"/>
        <s v="2018-05-30-15:00" u="1"/>
        <s v="2018-07-10-16:00" u="1"/>
        <s v="2018-01-30-23:00" u="1"/>
        <s v="2018-03-30-23:00" u="1"/>
        <s v="2018-04-30-23:00" u="1"/>
        <s v="2018-05-30-23:00" u="1"/>
        <s v="2017-12-19-19:00" u="1"/>
        <s v="2018-01-09-19:00" u="1"/>
        <s v="2018-01-25-09:00" u="1"/>
        <s v="2018-01-29-18:00" u="1"/>
        <s v="2018-02-09-19:00" u="1"/>
        <s v="2018-03-09-19:00" u="1"/>
        <s v="2018-03-29-18:00" u="1"/>
        <s v="2018-04-09-19:00" u="1"/>
        <s v="2018-04-25-09:00" u="1"/>
        <s v="2018-05-09-19:00" u="1"/>
        <s v="2018-05-25-09:00" u="1"/>
        <s v="2018-05-29-18:00" u="1"/>
        <s v="2018-06-25-09:00" u="1"/>
        <s v="2018-06-29-18:00" u="1"/>
        <s v="2018-07-09-19:00" u="1"/>
        <s v="2018-07-25-09:00" u="1"/>
        <s v="2017-12-07-19:00" u="1"/>
        <s v="2017-12-27-18:00" u="1"/>
        <s v="2018-01-17-18:00" u="1"/>
        <s v="2018-02-13-09:00" u="1"/>
        <s v="2018-03-13-09:00" u="1"/>
        <s v="2018-04-13-09:00" u="1"/>
        <s v="2018-04-17-18:00" u="1"/>
        <s v="2018-05-17-18:00" u="1"/>
        <s v="2018-06-13-09:00" u="1"/>
        <s v="2018-07-13-09:00" u="1"/>
        <s v="2018-07-17-18:00" u="1"/>
        <s v="2017-12-11-09:00" u="1"/>
        <s v="2017-12-15-18:00" u="1"/>
        <s v="2018-01-05-18:00" u="1"/>
        <s v="2018-01-25-17:00" u="1"/>
        <s v="2018-02-01-09:00" u="1"/>
        <s v="2018-02-05-18:00" u="1"/>
        <s v="2018-02-21-08:00" u="1"/>
        <s v="2018-03-01-09:00" u="1"/>
        <s v="2018-03-05-18:00" u="1"/>
        <s v="2018-03-21-08:00" u="1"/>
        <s v="2018-04-05-18:00" u="1"/>
        <s v="2018-04-25-17:00" u="1"/>
        <s v="2018-05-01-09:00" u="1"/>
        <s v="2018-05-21-08:00" u="1"/>
        <s v="2018-05-25-17:00" u="1"/>
        <s v="2018-06-01-09:00" u="1"/>
        <s v="2018-06-05-18:00" u="1"/>
        <s v="2018-06-21-08:00" u="1"/>
        <s v="2018-06-25-17:00" u="1"/>
        <s v="2018-07-05-18:00" u="1"/>
        <s v="2018-07-25-17:00" u="1"/>
        <s v="2018-02-13-17:00" u="1"/>
        <s v="2018-03-13-17:00" u="1"/>
        <s v="2018-04-13-17:00" u="1"/>
        <s v="2018-06-13-17:00" u="1"/>
        <s v="2018-07-13-17:00" u="1"/>
        <s v="2017-12-11-17:00" u="1"/>
        <s v="2018-02-01-17:00" u="1"/>
        <s v="2018-02-21-16:00" u="1"/>
        <s v="2018-03-01-17:00" u="1"/>
        <s v="2018-03-21-16:00" u="1"/>
        <s v="2018-05-01-17:00" u="1"/>
        <s v="2018-05-21-16:00" u="1"/>
        <s v="2018-06-01-17:00" u="1"/>
        <s v="2018-06-21-16:00" u="1"/>
        <s v="2017-12-18-19:00" u="1"/>
        <s v="2018-01-08-19:00" u="1"/>
        <s v="2018-01-24-09:00" u="1"/>
        <s v="2018-02-08-19:00" u="1"/>
        <s v="2018-02-28-18:00" u="1"/>
        <s v="2018-03-08-19:00" u="1"/>
        <s v="2018-03-28-18:00" u="1"/>
        <s v="2018-04-24-09:00" u="1"/>
        <s v="2018-05-08-19:00" u="1"/>
        <s v="2018-05-24-09:00" u="1"/>
        <s v="2018-05-28-18:00" u="1"/>
        <s v="2018-06-08-19:00" u="1"/>
        <s v="2018-06-28-18:00" u="1"/>
        <s v="2018-07-24-09:00" u="1"/>
        <s v="2017-12-06-19:00" u="1"/>
        <s v="2017-12-22-09:00" u="1"/>
        <s v="2017-12-26-18:00" u="1"/>
        <s v="2018-01-12-09:00" u="1"/>
        <s v="2018-01-16-18:00" u="1"/>
        <s v="2018-02-12-09:00" u="1"/>
        <s v="2018-02-16-18:00" u="1"/>
        <s v="2018-03-12-09:00" u="1"/>
        <s v="2018-03-16-18:00" u="1"/>
        <s v="2018-04-12-09:00" u="1"/>
        <s v="2018-04-16-18:00" u="1"/>
        <s v="2018-05-16-18:00" u="1"/>
        <s v="2018-06-12-09:00" u="1"/>
        <s v="2018-07-12-09:00" u="1"/>
        <s v="2018-07-16-18:00" u="1"/>
        <s v="2017-11-30-08:00" u="1"/>
        <s v="2017-12-14-18:00" u="1"/>
        <s v="2018-01-04-18:00" u="1"/>
        <s v="2018-01-24-17:00" u="1"/>
        <s v="2018-02-20-08:00" u="1"/>
        <s v="2018-03-20-08:00" u="1"/>
        <s v="2018-04-04-18:00" u="1"/>
        <s v="2018-04-20-08:00" u="1"/>
        <s v="2018-04-24-17:00" u="1"/>
        <s v="2018-05-04-18:00" u="1"/>
        <s v="2018-05-24-17:00" u="1"/>
        <s v="2018-06-04-18:00" u="1"/>
        <s v="2018-06-20-08:00" u="1"/>
        <s v="2018-07-04-18:00" u="1"/>
        <s v="2018-07-20-08:00" u="1"/>
        <s v="2018-07-24-17:00" u="1"/>
        <s v="2017-12-22-17:00" u="1"/>
        <s v="2018-01-12-17:00" u="1"/>
        <s v="2018-02-12-17:00" u="1"/>
        <s v="2018-03-12-17:00" u="1"/>
        <s v="2018-04-12-17:00" u="1"/>
        <s v="2018-06-12-17:00" u="1"/>
        <s v="2018-07-12-17:00" u="1"/>
        <s v="2017-11-30-16:00" u="1"/>
        <s v="2018-02-20-16:00" u="1"/>
        <s v="2018-03-20-16:00" u="1"/>
        <s v="2018-04-20-16:00" u="1"/>
        <s v="2018-06-20-16:00" u="1"/>
        <s v="2018-07-20-16:00" u="1"/>
        <s v="2017-11-29-19:00" u="1"/>
        <s v="2017-12-29-19:00" u="1"/>
        <s v="2018-01-19-19:00" u="1"/>
        <s v="2018-02-19-19:00" u="1"/>
        <s v="2018-03-19-19:00" u="1"/>
        <s v="2018-04-19-19:00" u="1"/>
        <s v="2018-06-19-19:00" u="1"/>
        <s v="2018-07-19-19:00" u="1"/>
        <s v="2018-01-23-09:00" u="1"/>
        <s v="2018-02-07-19:00" u="1"/>
        <s v="2018-02-23-09:00" u="1"/>
        <s v="2018-02-27-18:00" u="1"/>
        <s v="2018-03-07-19:00" u="1"/>
        <s v="2018-03-23-09:00" u="1"/>
        <s v="2018-03-27-18:00" u="1"/>
        <s v="2018-04-23-09:00" u="1"/>
        <s v="2018-04-27-18:00" u="1"/>
        <s v="2018-05-07-19:00" u="1"/>
        <s v="2018-05-23-09:00" u="1"/>
        <s v="2018-06-07-19:00" u="1"/>
        <s v="2018-06-27-18:00" u="1"/>
        <s v="2018-07-23-09:00" u="1"/>
        <s v="2017-12-05-19:00" u="1"/>
        <s v="2017-12-21-09:00" u="1"/>
        <s v="2018-01-11-09:00" u="1"/>
        <s v="2018-01-15-18:00" u="1"/>
        <s v="2018-01-31-08:00" u="1"/>
        <s v="2018-02-15-18:00" u="1"/>
        <s v="2018-03-15-18:00" u="1"/>
        <s v="2018-04-11-09:00" u="1"/>
        <s v="2018-05-11-09:00" u="1"/>
        <s v="2018-05-15-18:00" u="1"/>
        <s v="2018-05-31-08:00" u="1"/>
        <s v="2018-06-11-09:00" u="1"/>
        <s v="2018-06-15-18:00" u="1"/>
        <s v="2018-07-11-09:00" u="1"/>
        <s v="2017-12-13-18:00" u="1"/>
        <s v="2018-01-03-18:00" u="1"/>
        <s v="2018-01-23-17:00" u="1"/>
        <s v="2018-02-23-17:00" u="1"/>
        <s v="2018-03-23-17:00" u="1"/>
        <s v="2018-04-03-18:00" u="1"/>
        <s v="2018-04-23-17:00" u="1"/>
        <s v="2018-05-03-18:00" u="1"/>
        <s v="2018-05-23-17:00" u="1"/>
        <s v="2018-07-03-18:00" u="1"/>
        <s v="2018-07-23-17:00" u="1"/>
        <s v="2017-12-01-18:00" u="1"/>
        <s v="2017-12-21-17:00" u="1"/>
        <s v="2018-01-11-17:00" u="1"/>
        <s v="2018-01-31-16:00" u="1"/>
        <s v="2018-04-11-17:00" u="1"/>
        <s v="2018-05-11-17:00" u="1"/>
        <s v="2018-05-31-16:00" u="1"/>
        <s v="2018-06-11-17:00" u="1"/>
        <s v="2018-07-11-17:00" u="1"/>
        <s v="2017-11-28-19:00" u="1"/>
        <s v="2017-12-28-19:00" u="1"/>
        <s v="2018-01-18-19:00" u="1"/>
        <s v="2018-04-18-19:00" u="1"/>
        <s v="2018-05-18-19:00" u="1"/>
        <s v="2018-06-18-19:00" u="1"/>
        <s v="2018-07-18-19:00" u="1"/>
        <s v="2018-01-22-09:00" u="1"/>
        <s v="2018-01-26-18:00" u="1"/>
        <s v="2018-02-06-19:00" u="1"/>
        <s v="2018-02-22-09:00" u="1"/>
        <s v="2018-02-26-18:00" u="1"/>
        <s v="2018-03-06-19:00" u="1"/>
        <s v="2018-03-22-09:00" u="1"/>
        <s v="2018-03-26-18:00" u="1"/>
        <s v="2018-04-06-19:00" u="1"/>
        <s v="2018-04-26-18:00" u="1"/>
        <s v="2018-05-22-09:00" u="1"/>
        <s v="2018-06-06-19:00" u="1"/>
        <s v="2018-06-22-09:00" u="1"/>
        <s v="2018-06-26-18:00" u="1"/>
        <s v="2018-07-06-19:00" u="1"/>
        <s v="2018-07-26-18:00" u="1"/>
        <s v="2017-12-04-19:00" u="1"/>
        <s v="2017-12-20-09:00" u="1"/>
        <s v="2018-01-10-09:00" u="1"/>
        <s v="2018-01-30-08:00" u="1"/>
        <s v="2018-02-14-18:00" u="1"/>
        <s v="2018-03-14-18:00" u="1"/>
        <s v="2018-03-30-08:00" u="1"/>
        <s v="2018-04-10-09:00" u="1"/>
        <s v="2018-04-30-08:00" u="1"/>
        <s v="2018-05-10-09:00" u="1"/>
        <s v="2018-05-14-18:00" u="1"/>
        <s v="2018-05-30-08:00" u="1"/>
        <s v="2018-06-14-18:00" u="1"/>
        <s v="2018-07-10-09:00" u="1"/>
        <s v="2017-12-12-18:00" u="1"/>
        <s v="2018-01-02-18:00" u="1"/>
        <s v="2018-01-22-17:00" u="1"/>
        <s v="2018-02-02-18:00" u="1"/>
        <s v="2018-02-22-17:00" u="1"/>
        <s v="2018-03-02-18:00" u="1"/>
        <s v="2018-03-22-17:00" u="1"/>
        <s v="2018-04-02-18:00" u="1"/>
        <s v="2018-05-02-18:00" u="1"/>
        <s v="2018-05-22-17:00" u="1"/>
        <s v="2018-06-22-17:00" u="1"/>
        <s v="2018-07-02-18:00" u="1"/>
        <s v="2017-12-20-17:00" u="1"/>
        <s v="2018-01-10-17:00" u="1"/>
        <s v="2018-01-30-16:00" u="1"/>
        <s v="2018-03-30-16:00" u="1"/>
        <s v="2018-04-10-17:00" u="1"/>
        <s v="2018-04-30-16:00" u="1"/>
        <s v="2018-05-10-17:00" u="1"/>
        <s v="2018-05-30-16:00" u="1"/>
        <s v="2018-07-10-17:00" u="1"/>
        <s v="2018-01-29-19:00" u="1"/>
        <s v="2018-03-29-19:00" u="1"/>
        <s v="2018-05-29-19:00" u="1"/>
        <s v="2018-06-29-19:00" u="1"/>
        <s v="2017-12-27-19:00" u="1"/>
        <s v="2018-01-17-19:00" u="1"/>
        <s v="2018-04-17-19:00" u="1"/>
        <s v="2018-05-17-19:00" u="1"/>
        <s v="2018-07-17-19:00" u="1"/>
        <s v="2017-12-15-19:00" u="1"/>
        <s v="2018-01-05-19:00" u="1"/>
        <s v="2018-01-25-18:00" u="1"/>
        <s v="2018-02-05-19:00" u="1"/>
        <s v="2018-02-21-09:00" u="1"/>
        <s v="2018-03-05-19:00" u="1"/>
        <s v="2018-03-21-09:00" u="1"/>
        <s v="2018-04-05-19:00" u="1"/>
        <s v="2018-04-25-18:00" u="1"/>
        <s v="2018-05-21-09:00" u="1"/>
        <s v="2018-05-25-18:00" u="1"/>
        <s v="2018-06-05-19:00" u="1"/>
        <s v="2018-06-21-09:00" u="1"/>
        <s v="2018-06-25-18:00" u="1"/>
        <s v="2018-07-05-19:00" u="1"/>
        <s v="2018-07-25-18:00" u="1"/>
        <s v="2018-02-13-18:00" u="1"/>
        <s v="2018-03-13-18:00" u="1"/>
        <s v="2018-04-13-18:00" u="1"/>
        <s v="2018-06-13-18:00" u="1"/>
        <s v="2018-07-13-18:00" u="1"/>
        <s v="2017-12-11-18:00" u="1"/>
        <s v="2018-02-01-18:00" u="1"/>
        <s v="2018-02-21-17:00" u="1"/>
        <s v="2018-03-01-18:00" u="1"/>
        <s v="2018-03-21-17:00" u="1"/>
        <s v="2018-05-01-18:00" u="1"/>
        <s v="2018-05-21-17:00" u="1"/>
        <s v="2018-06-01-18:00" u="1"/>
        <s v="2018-06-21-17:00" u="1"/>
        <s v="2018-02-28-19:00" u="1"/>
        <s v="2018-03-28-19:00" u="1"/>
        <s v="2018-05-28-19:00" u="1"/>
        <s v="2018-06-28-19:00" u="1"/>
        <s v="2017-12-26-19:00" u="1"/>
        <s v="2018-01-16-19:00" u="1"/>
        <s v="2018-02-16-19:00" u="1"/>
        <s v="2018-03-16-19:00" u="1"/>
        <s v="2018-04-16-19:00" u="1"/>
        <s v="2018-05-16-19:00" u="1"/>
        <s v="2018-07-16-19:00" u="1"/>
        <s v="2017-11-30-09:00" u="1"/>
        <s v="2017-12-14-19:00" u="1"/>
        <s v="2018-01-04-19:00" u="1"/>
        <s v="2018-01-24-18:00" u="1"/>
        <s v="2018-02-20-09:00" u="1"/>
        <s v="2018-03-20-09:00" u="1"/>
        <s v="2018-04-04-19:00" u="1"/>
        <s v="2018-04-20-09:00" u="1"/>
        <s v="2018-04-24-18:00" u="1"/>
        <s v="2018-05-04-19:00" u="1"/>
        <s v="2018-05-24-18:00" u="1"/>
        <s v="2018-06-04-19:00" u="1"/>
        <s v="2018-06-20-09:00" u="1"/>
        <s v="2018-07-04-19:00" u="1"/>
        <s v="2018-07-20-09:00" u="1"/>
        <s v="2018-07-24-18:00" u="1"/>
        <s v="2017-12-22-18:00" u="1"/>
        <s v="2018-01-12-18:00" u="1"/>
        <s v="2018-02-12-18:00" u="1"/>
        <s v="2018-03-12-18:00" u="1"/>
        <s v="2018-04-12-18:00" u="1"/>
        <s v="2018-06-12-18:00" u="1"/>
        <s v="2018-07-12-18:00" u="1"/>
        <s v="2017-11-30-17:00" u="1"/>
        <s v="2018-02-20-17:00" u="1"/>
        <s v="2018-03-20-17:00" u="1"/>
        <s v="2018-04-20-17:00" u="1"/>
        <s v="2018-06-20-17:00" u="1"/>
        <s v="2018-07-20-17:00" u="1"/>
        <s v="2018-02-27-19:00" u="1"/>
        <s v="2018-03-27-19:00" u="1"/>
        <s v="2018-04-27-19:00" u="1"/>
        <s v="2018-06-27-19:00" u="1"/>
        <s v="2018-01-15-19:00" u="1"/>
        <s v="2018-01-31-09:00" u="1"/>
        <s v="2018-02-15-19:00" u="1"/>
        <s v="2018-03-15-19:00" u="1"/>
        <s v="2018-05-15-19:00" u="1"/>
        <s v="2018-05-31-09:00" u="1"/>
        <s v="2018-06-15-19:00" u="1"/>
        <s v="2017-12-13-19:00" u="1"/>
        <s v="2018-01-03-19:00" u="1"/>
        <s v="2018-01-23-18:00" u="1"/>
        <s v="2018-02-23-18:00" u="1"/>
        <s v="2018-03-23-18:00" u="1"/>
        <s v="2018-04-03-19:00" u="1"/>
        <s v="2018-04-23-18:00" u="1"/>
        <s v="2018-05-03-19:00" u="1"/>
        <s v="2018-05-23-18:00" u="1"/>
        <s v="2018-07-03-19:00" u="1"/>
        <s v="2018-07-23-18:00" u="1"/>
        <s v="2017-12-01-19:00" u="1"/>
        <s v="2017-12-21-18:00" u="1"/>
        <s v="2018-01-11-18:00" u="1"/>
        <s v="2018-01-31-17:00" u="1"/>
        <s v="2018-04-11-18:00" u="1"/>
        <s v="2018-05-11-18:00" u="1"/>
        <s v="2018-05-31-17:00" u="1"/>
        <s v="2018-06-11-18:00" u="1"/>
        <s v="2018-07-11-18:00" u="1"/>
        <s v="2018-01-26-19:00" u="1"/>
        <s v="2018-02-26-19:00" u="1"/>
        <s v="2018-03-26-19:00" u="1"/>
        <s v="2018-04-26-19:00" u="1"/>
        <s v="2018-06-26-19:00" u="1"/>
        <s v="2018-07-26-19:00" u="1"/>
        <s v="2018-01-30-09:00" u="1"/>
        <s v="2018-02-14-19:00" u="1"/>
        <s v="2018-03-14-19:00" u="1"/>
        <s v="2018-03-30-09:00" u="1"/>
        <s v="2018-04-30-09:00" u="1"/>
        <s v="2018-05-14-19:00" u="1"/>
        <s v="2018-05-30-09:00" u="1"/>
        <s v="2018-06-14-19:00" u="1"/>
        <s v="2017-12-12-19:00" u="1"/>
        <s v="2018-01-02-19:00" u="1"/>
        <s v="2018-01-22-18:00" u="1"/>
        <s v="2018-02-02-19:00" u="1"/>
        <s v="2018-02-22-18:00" u="1"/>
        <s v="2018-03-02-19:00" u="1"/>
        <s v="2018-03-22-18:00" u="1"/>
        <s v="2018-04-02-19:00" u="1"/>
        <s v="2018-05-02-19:00" u="1"/>
        <s v="2018-05-22-18:00" u="1"/>
        <s v="2018-06-22-18:00" u="1"/>
        <s v="2018-07-02-19:00" u="1"/>
        <s v="2017-12-20-18:00" u="1"/>
        <s v="2018-01-10-18:00" u="1"/>
        <s v="2018-01-30-17:00" u="1"/>
        <s v="2018-03-30-17:00" u="1"/>
        <s v="2018-04-10-18:00" u="1"/>
        <s v="2018-04-30-17:00" u="1"/>
        <s v="2018-05-10-18:00" u="1"/>
        <s v="2018-05-30-17:00" u="1"/>
        <s v="2018-07-10-18:00" u="1"/>
        <s v="2018-01-25-19:00" u="1"/>
        <s v="2018-04-25-19:00" u="1"/>
        <s v="2018-05-25-19:00" u="1"/>
        <s v="2018-06-25-19:00" u="1"/>
        <s v="2018-07-25-19:00" u="1"/>
        <s v="2018-02-13-19:00" u="1"/>
        <s v="2018-03-13-19:00" u="1"/>
        <s v="2018-04-13-19:00" u="1"/>
        <s v="2018-06-13-19:00" u="1"/>
        <s v="2018-07-13-19:00" u="1"/>
        <s v="2017-12-11-19:00" u="1"/>
        <s v="2018-02-01-19:00" u="1"/>
        <s v="2018-02-21-18:00" u="1"/>
        <s v="2018-03-01-19:00" u="1"/>
        <s v="2018-03-21-18:00" u="1"/>
        <s v="2018-05-01-19:00" u="1"/>
        <s v="2018-05-21-18:00" u="1"/>
        <s v="2018-06-01-19:00" u="1"/>
        <s v="2018-06-21-18:00" u="1"/>
        <s v="2018-01-24-19:00" u="1"/>
        <s v="2018-04-24-19:00" u="1"/>
        <s v="2018-05-24-19:00" u="1"/>
        <s v="2018-07-24-19:00" u="1"/>
        <s v="2017-12-22-19:00" u="1"/>
        <s v="2018-01-12-19:00" u="1"/>
        <s v="2018-02-12-19:00" u="1"/>
        <s v="2018-03-12-19:00" u="1"/>
        <s v="2018-04-12-19:00" u="1"/>
        <s v="2018-06-12-19:00" u="1"/>
        <s v="2018-07-12-19:00" u="1"/>
        <s v="2017-11-30-18:00" u="1"/>
        <s v="2018-02-20-18:00" u="1"/>
        <s v="2018-03-20-18:00" u="1"/>
        <s v="2018-04-20-18: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2"/>
        <n v="1"/>
        <n v="0" u="1"/>
        <n v="3"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minValue="-0.65002423524856601" maxValue="0.65212488174438499"/>
    </cacheField>
    <cacheField name="PREDICTEDTRS" numFmtId="0" sqlType="6">
      <sharedItems containsString="0" containsBlank="1" containsNumber="1" minValue="-0.56503611803054798" maxValue="0.48196646571159402"/>
    </cacheField>
    <cacheField name="ABS(ACTUALTRS-PREDICTEDTRS)" numFmtId="0" sqlType="6">
      <sharedItems containsString="0" containsBlank="1" containsNumber="1" minValue="1.9609928131000001E-5" maxValue="0.799036085605622"/>
    </cacheField>
    <cacheField name="ACTUALTR" numFmtId="0" sqlType="6">
      <sharedItems containsString="0" containsBlank="1" containsNumber="1" minValue="-7.7899694442748997E-3" maxValue="4.9799680709838902E-3"/>
    </cacheField>
    <cacheField name="PREDICTEDTR" numFmtId="0" sqlType="6">
      <sharedItems containsString="0" containsBlank="1" containsNumber="1" minValue="-7.0153027772903399E-3" maxValue="2.6512527838349299E-3"/>
    </cacheField>
    <cacheField name="ABS(ACTUALTR-PREDICTEDTR)" numFmtId="0" sqlType="6">
      <sharedItems containsString="0" containsBlank="1" containsNumber="1" minValue="1.787338987925E-7" maxValue="7.2832130827009652E-3"/>
    </cacheField>
    <cacheField name="ACTUALBASE" numFmtId="0" sqlType="6">
      <sharedItems containsString="0" containsBlank="1" containsNumber="1" minValue="1.1300200223922701" maxValue="1.1732800006866499"/>
    </cacheField>
    <cacheField name="PREDICTEDBASE" numFmtId="0" sqlType="6">
      <sharedItems containsString="0" containsBlank="1" containsNumber="1" minValue="1.1299215555191" maxValue="1.1729592084884599"/>
    </cacheField>
    <cacheField name="ABS(ACTUALBASE-PREDICTEDBASE)" numFmtId="0" sqlType="6">
      <sharedItems containsString="0" containsBlank="1" containsNumber="1" minValue="1.1920929000000001E-7" maxValue="7.2832107543900002E-3"/>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576">
  <r>
    <d v="2019-12-12T22:52:53"/>
    <n v="9422"/>
    <n v="7184"/>
    <n v="0"/>
    <x v="0"/>
    <n v="1.17091000080109"/>
    <m/>
    <m/>
    <n v="1.1702200174331701"/>
    <m/>
    <m/>
    <n v="0"/>
    <n v="-1"/>
    <s v="CLOSE"/>
  </r>
  <r>
    <d v="2019-12-12T22:52:57"/>
    <n v="9422"/>
    <n v="7184"/>
    <n v="0"/>
    <x v="0"/>
    <n v="1.17091000080109"/>
    <m/>
    <m/>
    <n v="1.1702200174331701"/>
    <m/>
    <m/>
    <n v="0"/>
    <n v="-1"/>
    <s v="CLOSE"/>
  </r>
  <r>
    <d v="2019-12-12T22:53:02"/>
    <n v="9422"/>
    <n v="7184"/>
    <n v="0"/>
    <x v="0"/>
    <n v="1.17091000080109"/>
    <m/>
    <m/>
    <n v="1.1702200174331701"/>
    <m/>
    <m/>
    <n v="0"/>
    <n v="-1"/>
    <s v="CLOSE"/>
  </r>
  <r>
    <d v="2019-12-12T22:53:06"/>
    <n v="9422"/>
    <n v="7184"/>
    <n v="0"/>
    <x v="0"/>
    <n v="1.17091000080109"/>
    <m/>
    <m/>
    <n v="1.1702200174331701"/>
    <m/>
    <m/>
    <n v="0"/>
    <n v="-1"/>
    <s v="CLOSE"/>
  </r>
  <r>
    <d v="2019-12-12T22:53:11"/>
    <n v="9422"/>
    <n v="7184"/>
    <n v="0"/>
    <x v="0"/>
    <n v="1.17091000080109"/>
    <m/>
    <m/>
    <n v="1.1702200174331701"/>
    <m/>
    <m/>
    <n v="0"/>
    <n v="-1"/>
    <s v="CLOSE"/>
  </r>
  <r>
    <d v="2019-12-12T22:53:16"/>
    <n v="9422"/>
    <n v="7184"/>
    <n v="0"/>
    <x v="0"/>
    <n v="1.17091000080109"/>
    <m/>
    <m/>
    <n v="1.1702200174331701"/>
    <m/>
    <m/>
    <n v="0"/>
    <n v="-1"/>
    <s v="CLOSE"/>
  </r>
  <r>
    <d v="2019-12-12T22:53:21"/>
    <n v="9422"/>
    <n v="7184"/>
    <n v="0"/>
    <x v="0"/>
    <n v="1.17091000080109"/>
    <m/>
    <m/>
    <n v="1.1702200174331701"/>
    <m/>
    <m/>
    <n v="0"/>
    <n v="-1"/>
    <s v="CLOSE"/>
  </r>
  <r>
    <d v="2019-12-12T22:53:26"/>
    <n v="9422"/>
    <n v="7184"/>
    <n v="0"/>
    <x v="0"/>
    <n v="1.17091000080109"/>
    <m/>
    <m/>
    <n v="1.1702200174331701"/>
    <m/>
    <m/>
    <n v="0"/>
    <n v="-1"/>
    <s v="CLOSE"/>
  </r>
  <r>
    <d v="2019-12-12T22:53:32"/>
    <n v="9422"/>
    <n v="7184"/>
    <n v="0"/>
    <x v="0"/>
    <n v="1.17091000080109"/>
    <m/>
    <m/>
    <n v="1.1702200174331701"/>
    <m/>
    <m/>
    <n v="0"/>
    <n v="-1"/>
    <s v="CLOSE"/>
  </r>
  <r>
    <d v="2019-12-12T22:53:37"/>
    <n v="9422"/>
    <n v="7184"/>
    <n v="0"/>
    <x v="0"/>
    <n v="1.17091000080109"/>
    <m/>
    <m/>
    <n v="1.1702200174331701"/>
    <m/>
    <m/>
    <n v="0"/>
    <n v="-1"/>
    <s v="CLOSE"/>
  </r>
  <r>
    <d v="2019-12-12T22:53:43"/>
    <n v="9422"/>
    <n v="7184"/>
    <n v="0"/>
    <x v="0"/>
    <n v="1.17091000080109"/>
    <m/>
    <m/>
    <n v="1.1702200174331701"/>
    <m/>
    <m/>
    <n v="0"/>
    <n v="-1"/>
    <s v="CLOSE"/>
  </r>
  <r>
    <d v="2019-12-12T22:53:49"/>
    <n v="9422"/>
    <n v="7184"/>
    <n v="0"/>
    <x v="0"/>
    <n v="1.17091000080109"/>
    <m/>
    <m/>
    <n v="1.1702200174331701"/>
    <m/>
    <m/>
    <n v="0"/>
    <n v="-1"/>
    <s v="CLOSE"/>
  </r>
  <r>
    <d v="2019-12-12T22:53:54"/>
    <n v="9422"/>
    <n v="7184"/>
    <n v="0"/>
    <x v="0"/>
    <n v="1.17091000080109"/>
    <m/>
    <m/>
    <n v="1.1702200174331701"/>
    <m/>
    <m/>
    <n v="0"/>
    <n v="-1"/>
    <s v="CLOSE"/>
  </r>
  <r>
    <d v="2019-12-12T22:54:00"/>
    <n v="9422"/>
    <n v="7184"/>
    <n v="0"/>
    <x v="0"/>
    <n v="1.17091000080109"/>
    <m/>
    <m/>
    <n v="1.1702200174331701"/>
    <m/>
    <m/>
    <n v="0"/>
    <n v="-1"/>
    <s v="CLOSE"/>
  </r>
  <r>
    <d v="2019-12-12T22:54:06"/>
    <n v="9422"/>
    <n v="7184"/>
    <n v="0"/>
    <x v="0"/>
    <n v="1.17091000080109"/>
    <m/>
    <m/>
    <n v="1.1702200174331701"/>
    <m/>
    <m/>
    <n v="0"/>
    <n v="-1"/>
    <s v="CLOSE"/>
  </r>
  <r>
    <d v="2019-12-12T22:54:12"/>
    <n v="9422"/>
    <n v="7184"/>
    <n v="0"/>
    <x v="0"/>
    <n v="1.17091000080109"/>
    <m/>
    <m/>
    <n v="1.1702200174331701"/>
    <m/>
    <m/>
    <n v="0"/>
    <n v="-1"/>
    <s v="CLOSE"/>
  </r>
  <r>
    <d v="2019-12-12T22:54:18"/>
    <n v="9422"/>
    <n v="7184"/>
    <n v="0"/>
    <x v="0"/>
    <n v="1.17091000080109"/>
    <m/>
    <m/>
    <n v="1.1702200174331701"/>
    <m/>
    <m/>
    <n v="0"/>
    <n v="-1"/>
    <s v="CLOSE"/>
  </r>
  <r>
    <d v="2019-12-12T22:54:25"/>
    <n v="9422"/>
    <n v="7184"/>
    <n v="0"/>
    <x v="0"/>
    <n v="1.17091000080109"/>
    <m/>
    <m/>
    <n v="1.1702200174331701"/>
    <m/>
    <m/>
    <n v="0"/>
    <n v="-1"/>
    <s v="CLOSE"/>
  </r>
  <r>
    <d v="2019-12-12T22:54:31"/>
    <n v="9422"/>
    <n v="7184"/>
    <n v="0"/>
    <x v="0"/>
    <n v="1.17091000080109"/>
    <m/>
    <m/>
    <n v="1.1702200174331701"/>
    <m/>
    <m/>
    <n v="0"/>
    <n v="-1"/>
    <s v="CLOSE"/>
  </r>
  <r>
    <d v="2019-12-12T22:54:38"/>
    <n v="9422"/>
    <n v="7184"/>
    <n v="0"/>
    <x v="0"/>
    <n v="1.17091000080109"/>
    <m/>
    <m/>
    <n v="1.1702200174331701"/>
    <m/>
    <m/>
    <n v="0"/>
    <n v="-1"/>
    <s v="CLOSE"/>
  </r>
  <r>
    <d v="2019-12-12T22:54:45"/>
    <n v="9422"/>
    <n v="7184"/>
    <n v="0"/>
    <x v="0"/>
    <n v="1.17091000080109"/>
    <m/>
    <m/>
    <n v="1.1702200174331701"/>
    <m/>
    <m/>
    <n v="0"/>
    <n v="-1"/>
    <s v="CLOSE"/>
  </r>
  <r>
    <d v="2019-12-12T22:54:52"/>
    <n v="9422"/>
    <n v="7184"/>
    <n v="0"/>
    <x v="0"/>
    <n v="1.17091000080109"/>
    <m/>
    <m/>
    <n v="1.1702200174331701"/>
    <m/>
    <m/>
    <n v="0"/>
    <n v="-1"/>
    <s v="CLOSE"/>
  </r>
  <r>
    <d v="2019-12-12T22:54:59"/>
    <n v="9422"/>
    <n v="7184"/>
    <n v="0"/>
    <x v="0"/>
    <n v="1.17091000080109"/>
    <m/>
    <m/>
    <n v="1.1702200174331701"/>
    <m/>
    <m/>
    <n v="0"/>
    <n v="-1"/>
    <s v="CLOSE"/>
  </r>
  <r>
    <d v="2019-12-12T22:55:05"/>
    <n v="9422"/>
    <n v="7184"/>
    <n v="0"/>
    <x v="0"/>
    <n v="1.17091000080109"/>
    <m/>
    <m/>
    <n v="1.1702200174331701"/>
    <m/>
    <m/>
    <n v="0"/>
    <n v="-1"/>
    <s v="CLOSE"/>
  </r>
  <r>
    <d v="2019-12-12T22:52:53"/>
    <n v="9422"/>
    <n v="7184"/>
    <n v="1"/>
    <x v="1"/>
    <n v="1.1708300113678001"/>
    <n v="1.1709315776825"/>
    <n v="1.015663147E-4"/>
    <n v="1.17041003704071"/>
    <n v="1.1705574989318801"/>
    <n v="1.4746189117000001E-4"/>
    <n v="0"/>
    <n v="0"/>
    <s v="CLOSE"/>
  </r>
  <r>
    <d v="2019-12-12T22:55:05"/>
    <n v="9422"/>
    <n v="7184"/>
    <n v="1"/>
    <x v="1"/>
    <n v="1.1708300113678001"/>
    <n v="1.1709315776825"/>
    <n v="1.015663147E-4"/>
    <n v="1.17041003704071"/>
    <n v="1.1705574989318801"/>
    <n v="1.4746189117000001E-4"/>
    <n v="0"/>
    <n v="0"/>
    <s v="CLOSE"/>
  </r>
  <r>
    <d v="2019-12-12T22:53:02"/>
    <n v="9422"/>
    <n v="7184"/>
    <n v="1"/>
    <x v="1"/>
    <n v="1.1708300113678001"/>
    <n v="1.1709315776825"/>
    <n v="1.015663147E-4"/>
    <n v="1.17041003704071"/>
    <n v="1.1705574989318801"/>
    <n v="1.4746189117000001E-4"/>
    <n v="0"/>
    <n v="0"/>
    <s v="CLOSE"/>
  </r>
  <r>
    <d v="2019-12-12T22:53:06"/>
    <n v="9422"/>
    <n v="7184"/>
    <n v="1"/>
    <x v="1"/>
    <n v="1.1708300113678001"/>
    <n v="1.1709315776825"/>
    <n v="1.015663147E-4"/>
    <n v="1.17041003704071"/>
    <n v="1.1705574989318801"/>
    <n v="1.4746189117000001E-4"/>
    <n v="0"/>
    <n v="0"/>
    <s v="CLOSE"/>
  </r>
  <r>
    <d v="2019-12-12T22:53:11"/>
    <n v="9422"/>
    <n v="7184"/>
    <n v="1"/>
    <x v="1"/>
    <n v="1.1708300113678001"/>
    <n v="1.1709315776825"/>
    <n v="1.015663147E-4"/>
    <n v="1.17041003704071"/>
    <n v="1.1705574989318801"/>
    <n v="1.4746189117000001E-4"/>
    <n v="0"/>
    <n v="0"/>
    <s v="CLOSE"/>
  </r>
  <r>
    <d v="2019-12-12T22:53:16"/>
    <n v="9422"/>
    <n v="7184"/>
    <n v="1"/>
    <x v="1"/>
    <n v="1.1708300113678001"/>
    <n v="1.1709315776825"/>
    <n v="1.015663147E-4"/>
    <n v="1.17041003704071"/>
    <n v="1.1705574989318801"/>
    <n v="1.4746189117000001E-4"/>
    <n v="0"/>
    <n v="0"/>
    <s v="CLOSE"/>
  </r>
  <r>
    <d v="2019-12-12T22:53:21"/>
    <n v="9422"/>
    <n v="7184"/>
    <n v="1"/>
    <x v="1"/>
    <n v="1.1708300113678001"/>
    <n v="1.1709315776825"/>
    <n v="1.015663147E-4"/>
    <n v="1.17041003704071"/>
    <n v="1.1705574989318801"/>
    <n v="1.4746189117000001E-4"/>
    <n v="0"/>
    <n v="0"/>
    <s v="CLOSE"/>
  </r>
  <r>
    <d v="2019-12-12T22:53:26"/>
    <n v="9422"/>
    <n v="7184"/>
    <n v="1"/>
    <x v="1"/>
    <n v="1.1708300113678001"/>
    <n v="1.1709315776825"/>
    <n v="1.015663147E-4"/>
    <n v="1.17041003704071"/>
    <n v="1.1705574989318801"/>
    <n v="1.4746189117000001E-4"/>
    <n v="0"/>
    <n v="0"/>
    <s v="CLOSE"/>
  </r>
  <r>
    <d v="2019-12-12T22:53:32"/>
    <n v="9422"/>
    <n v="7184"/>
    <n v="1"/>
    <x v="1"/>
    <n v="1.1708300113678001"/>
    <n v="1.1709315776825"/>
    <n v="1.015663147E-4"/>
    <n v="1.17041003704071"/>
    <n v="1.1705574989318801"/>
    <n v="1.4746189117000001E-4"/>
    <n v="0"/>
    <n v="0"/>
    <s v="CLOSE"/>
  </r>
  <r>
    <d v="2019-12-12T22:53:37"/>
    <n v="9422"/>
    <n v="7184"/>
    <n v="1"/>
    <x v="1"/>
    <n v="1.1708300113678001"/>
    <n v="1.1709315776825"/>
    <n v="1.015663147E-4"/>
    <n v="1.17041003704071"/>
    <n v="1.1705574989318801"/>
    <n v="1.4746189117000001E-4"/>
    <n v="0"/>
    <n v="0"/>
    <s v="CLOSE"/>
  </r>
  <r>
    <d v="2019-12-12T22:53:43"/>
    <n v="9422"/>
    <n v="7184"/>
    <n v="1"/>
    <x v="1"/>
    <n v="1.1708300113678001"/>
    <n v="1.1709315776825"/>
    <n v="1.015663147E-4"/>
    <n v="1.17041003704071"/>
    <n v="1.1705574989318801"/>
    <n v="1.4746189117000001E-4"/>
    <n v="0"/>
    <n v="0"/>
    <s v="CLOSE"/>
  </r>
  <r>
    <d v="2019-12-12T22:53:49"/>
    <n v="9422"/>
    <n v="7184"/>
    <n v="1"/>
    <x v="1"/>
    <n v="1.1708300113678001"/>
    <n v="1.1709315776825"/>
    <n v="1.015663147E-4"/>
    <n v="1.17041003704071"/>
    <n v="1.1705574989318801"/>
    <n v="1.4746189117000001E-4"/>
    <n v="0"/>
    <n v="0"/>
    <s v="CLOSE"/>
  </r>
  <r>
    <d v="2019-12-12T22:53:54"/>
    <n v="9422"/>
    <n v="7184"/>
    <n v="1"/>
    <x v="1"/>
    <n v="1.1708300113678001"/>
    <n v="1.1709315776825"/>
    <n v="1.015663147E-4"/>
    <n v="1.17041003704071"/>
    <n v="1.1705574989318801"/>
    <n v="1.4746189117000001E-4"/>
    <n v="0"/>
    <n v="0"/>
    <s v="CLOSE"/>
  </r>
  <r>
    <d v="2019-12-12T22:54:00"/>
    <n v="9422"/>
    <n v="7184"/>
    <n v="1"/>
    <x v="1"/>
    <n v="1.1708300113678001"/>
    <n v="1.1709315776825"/>
    <n v="1.015663147E-4"/>
    <n v="1.17041003704071"/>
    <n v="1.1705574989318801"/>
    <n v="1.4746189117000001E-4"/>
    <n v="0"/>
    <n v="0"/>
    <s v="CLOSE"/>
  </r>
  <r>
    <d v="2019-12-12T22:54:06"/>
    <n v="9422"/>
    <n v="7184"/>
    <n v="1"/>
    <x v="1"/>
    <n v="1.1708300113678001"/>
    <n v="1.1709315776825"/>
    <n v="1.015663147E-4"/>
    <n v="1.17041003704071"/>
    <n v="1.1705574989318801"/>
    <n v="1.4746189117000001E-4"/>
    <n v="0"/>
    <n v="0"/>
    <s v="CLOSE"/>
  </r>
  <r>
    <d v="2019-12-12T22:54:12"/>
    <n v="9422"/>
    <n v="7184"/>
    <n v="1"/>
    <x v="1"/>
    <n v="1.1708300113678001"/>
    <n v="1.1709315776825"/>
    <n v="1.015663147E-4"/>
    <n v="1.17041003704071"/>
    <n v="1.1705574989318801"/>
    <n v="1.4746189117000001E-4"/>
    <n v="0"/>
    <n v="0"/>
    <s v="CLOSE"/>
  </r>
  <r>
    <d v="2019-12-12T22:54:18"/>
    <n v="9422"/>
    <n v="7184"/>
    <n v="1"/>
    <x v="1"/>
    <n v="1.1708300113678001"/>
    <n v="1.1709315776825"/>
    <n v="1.015663147E-4"/>
    <n v="1.17041003704071"/>
    <n v="1.1705574989318801"/>
    <n v="1.4746189117000001E-4"/>
    <n v="0"/>
    <n v="0"/>
    <s v="CLOSE"/>
  </r>
  <r>
    <d v="2019-12-12T22:54:25"/>
    <n v="9422"/>
    <n v="7184"/>
    <n v="1"/>
    <x v="1"/>
    <n v="1.1708300113678001"/>
    <n v="1.1709315776825"/>
    <n v="1.015663147E-4"/>
    <n v="1.17041003704071"/>
    <n v="1.1705574989318801"/>
    <n v="1.4746189117000001E-4"/>
    <n v="0"/>
    <n v="0"/>
    <s v="CLOSE"/>
  </r>
  <r>
    <d v="2019-12-12T22:54:31"/>
    <n v="9422"/>
    <n v="7184"/>
    <n v="1"/>
    <x v="1"/>
    <n v="1.1708300113678001"/>
    <n v="1.1709315776825"/>
    <n v="1.015663147E-4"/>
    <n v="1.17041003704071"/>
    <n v="1.1705574989318801"/>
    <n v="1.4746189117000001E-4"/>
    <n v="0"/>
    <n v="0"/>
    <s v="CLOSE"/>
  </r>
  <r>
    <d v="2019-12-12T22:54:38"/>
    <n v="9422"/>
    <n v="7184"/>
    <n v="1"/>
    <x v="1"/>
    <n v="1.1708300113678001"/>
    <n v="1.1709315776825"/>
    <n v="1.015663147E-4"/>
    <n v="1.17041003704071"/>
    <n v="1.1705574989318801"/>
    <n v="1.4746189117000001E-4"/>
    <n v="0"/>
    <n v="0"/>
    <s v="CLOSE"/>
  </r>
  <r>
    <d v="2019-12-12T22:54:45"/>
    <n v="9422"/>
    <n v="7184"/>
    <n v="1"/>
    <x v="1"/>
    <n v="1.1708300113678001"/>
    <n v="1.1709315776825"/>
    <n v="1.015663147E-4"/>
    <n v="1.17041003704071"/>
    <n v="1.1705574989318801"/>
    <n v="1.4746189117000001E-4"/>
    <n v="0"/>
    <n v="0"/>
    <s v="CLOSE"/>
  </r>
  <r>
    <d v="2019-12-12T22:54:52"/>
    <n v="9422"/>
    <n v="7184"/>
    <n v="1"/>
    <x v="1"/>
    <n v="1.1708300113678001"/>
    <n v="1.1709315776825"/>
    <n v="1.015663147E-4"/>
    <n v="1.17041003704071"/>
    <n v="1.1705574989318801"/>
    <n v="1.4746189117000001E-4"/>
    <n v="0"/>
    <n v="0"/>
    <s v="CLOSE"/>
  </r>
  <r>
    <d v="2019-12-12T22:54:59"/>
    <n v="9422"/>
    <n v="7184"/>
    <n v="1"/>
    <x v="1"/>
    <n v="1.1708300113678001"/>
    <n v="1.1709315776825"/>
    <n v="1.015663147E-4"/>
    <n v="1.17041003704071"/>
    <n v="1.1705574989318801"/>
    <n v="1.4746189117000001E-4"/>
    <n v="0"/>
    <n v="0"/>
    <s v="CLOSE"/>
  </r>
  <r>
    <d v="2019-12-12T22:52:57"/>
    <n v="9422"/>
    <n v="7184"/>
    <n v="1"/>
    <x v="1"/>
    <n v="1.1708300113678001"/>
    <n v="1.1709315776825"/>
    <n v="1.015663147E-4"/>
    <n v="1.17041003704071"/>
    <n v="1.1705574989318801"/>
    <n v="1.4746189117000001E-4"/>
    <n v="0"/>
    <n v="0"/>
    <s v="CLOSE"/>
  </r>
  <r>
    <d v="2019-12-12T22:52:53"/>
    <n v="9422"/>
    <n v="7184"/>
    <n v="2"/>
    <x v="2"/>
    <n v="1.1709300279617301"/>
    <n v="1.1708285808563199"/>
    <n v="1.0144710541E-4"/>
    <n v="1.1705399751663199"/>
    <n v="1.17040371894836"/>
    <n v="1.3625621796E-4"/>
    <n v="18"/>
    <n v="-1"/>
    <s v="CLOSE"/>
  </r>
  <r>
    <d v="2019-12-12T22:55:05"/>
    <n v="9422"/>
    <n v="7184"/>
    <n v="2"/>
    <x v="2"/>
    <n v="1.1709300279617301"/>
    <n v="1.1708285808563199"/>
    <n v="1.0144710541E-4"/>
    <n v="1.1705399751663199"/>
    <n v="1.17040371894836"/>
    <n v="1.3625621796E-4"/>
    <n v="18"/>
    <n v="-1"/>
    <s v="CLOSE"/>
  </r>
  <r>
    <d v="2019-12-12T22:53:02"/>
    <n v="9422"/>
    <n v="7184"/>
    <n v="2"/>
    <x v="2"/>
    <n v="1.1709300279617301"/>
    <n v="1.1708285808563199"/>
    <n v="1.0144710541E-4"/>
    <n v="1.1705399751663199"/>
    <n v="1.17040371894836"/>
    <n v="1.3625621796E-4"/>
    <n v="18"/>
    <n v="-1"/>
    <s v="CLOSE"/>
  </r>
  <r>
    <d v="2019-12-12T22:53:06"/>
    <n v="9422"/>
    <n v="7184"/>
    <n v="2"/>
    <x v="2"/>
    <n v="1.1709300279617301"/>
    <n v="1.1708285808563199"/>
    <n v="1.0144710541E-4"/>
    <n v="1.1705399751663199"/>
    <n v="1.17040371894836"/>
    <n v="1.3625621796E-4"/>
    <n v="18"/>
    <n v="-1"/>
    <s v="CLOSE"/>
  </r>
  <r>
    <d v="2019-12-12T22:53:11"/>
    <n v="9422"/>
    <n v="7184"/>
    <n v="2"/>
    <x v="2"/>
    <n v="1.1709300279617301"/>
    <n v="1.1708285808563199"/>
    <n v="1.0144710541E-4"/>
    <n v="1.1705399751663199"/>
    <n v="1.17040371894836"/>
    <n v="1.3625621796E-4"/>
    <n v="18"/>
    <n v="-1"/>
    <s v="CLOSE"/>
  </r>
  <r>
    <d v="2019-12-12T22:53:16"/>
    <n v="9422"/>
    <n v="7184"/>
    <n v="2"/>
    <x v="2"/>
    <n v="1.1709300279617301"/>
    <n v="1.1708285808563199"/>
    <n v="1.0144710541E-4"/>
    <n v="1.1705399751663199"/>
    <n v="1.17040371894836"/>
    <n v="1.3625621796E-4"/>
    <n v="18"/>
    <n v="-1"/>
    <s v="CLOSE"/>
  </r>
  <r>
    <d v="2019-12-12T22:53:21"/>
    <n v="9422"/>
    <n v="7184"/>
    <n v="2"/>
    <x v="2"/>
    <n v="1.1709300279617301"/>
    <n v="1.1708285808563199"/>
    <n v="1.0144710541E-4"/>
    <n v="1.1705399751663199"/>
    <n v="1.17040371894836"/>
    <n v="1.3625621796E-4"/>
    <n v="18"/>
    <n v="-1"/>
    <s v="CLOSE"/>
  </r>
  <r>
    <d v="2019-12-12T22:53:26"/>
    <n v="9422"/>
    <n v="7184"/>
    <n v="2"/>
    <x v="2"/>
    <n v="1.1709300279617301"/>
    <n v="1.1708285808563199"/>
    <n v="1.0144710541E-4"/>
    <n v="1.1705399751663199"/>
    <n v="1.17040371894836"/>
    <n v="1.3625621796E-4"/>
    <n v="18"/>
    <n v="-1"/>
    <s v="CLOSE"/>
  </r>
  <r>
    <d v="2019-12-12T22:53:32"/>
    <n v="9422"/>
    <n v="7184"/>
    <n v="2"/>
    <x v="2"/>
    <n v="1.1709300279617301"/>
    <n v="1.1708285808563199"/>
    <n v="1.0144710541E-4"/>
    <n v="1.1705399751663199"/>
    <n v="1.17040371894836"/>
    <n v="1.3625621796E-4"/>
    <n v="18"/>
    <n v="-1"/>
    <s v="CLOSE"/>
  </r>
  <r>
    <d v="2019-12-12T22:53:37"/>
    <n v="9422"/>
    <n v="7184"/>
    <n v="2"/>
    <x v="2"/>
    <n v="1.1709300279617301"/>
    <n v="1.1708285808563199"/>
    <n v="1.0144710541E-4"/>
    <n v="1.1705399751663199"/>
    <n v="1.17040371894836"/>
    <n v="1.3625621796E-4"/>
    <n v="18"/>
    <n v="-1"/>
    <s v="CLOSE"/>
  </r>
  <r>
    <d v="2019-12-12T22:53:43"/>
    <n v="9422"/>
    <n v="7184"/>
    <n v="2"/>
    <x v="2"/>
    <n v="1.1709300279617301"/>
    <n v="1.1708285808563199"/>
    <n v="1.0144710541E-4"/>
    <n v="1.1705399751663199"/>
    <n v="1.17040371894836"/>
    <n v="1.3625621796E-4"/>
    <n v="18"/>
    <n v="-1"/>
    <s v="CLOSE"/>
  </r>
  <r>
    <d v="2019-12-12T22:53:49"/>
    <n v="9422"/>
    <n v="7184"/>
    <n v="2"/>
    <x v="2"/>
    <n v="1.1709300279617301"/>
    <n v="1.1708285808563199"/>
    <n v="1.0144710541E-4"/>
    <n v="1.1705399751663199"/>
    <n v="1.17040371894836"/>
    <n v="1.3625621796E-4"/>
    <n v="18"/>
    <n v="-1"/>
    <s v="CLOSE"/>
  </r>
  <r>
    <d v="2019-12-12T22:53:54"/>
    <n v="9422"/>
    <n v="7184"/>
    <n v="2"/>
    <x v="2"/>
    <n v="1.1709300279617301"/>
    <n v="1.1708285808563199"/>
    <n v="1.0144710541E-4"/>
    <n v="1.1705399751663199"/>
    <n v="1.17040371894836"/>
    <n v="1.3625621796E-4"/>
    <n v="18"/>
    <n v="-1"/>
    <s v="CLOSE"/>
  </r>
  <r>
    <d v="2019-12-12T22:54:00"/>
    <n v="9422"/>
    <n v="7184"/>
    <n v="2"/>
    <x v="2"/>
    <n v="1.1709300279617301"/>
    <n v="1.1708285808563199"/>
    <n v="1.0144710541E-4"/>
    <n v="1.1705399751663199"/>
    <n v="1.17040371894836"/>
    <n v="1.3625621796E-4"/>
    <n v="18"/>
    <n v="-1"/>
    <s v="CLOSE"/>
  </r>
  <r>
    <d v="2019-12-12T22:54:06"/>
    <n v="9422"/>
    <n v="7184"/>
    <n v="2"/>
    <x v="2"/>
    <n v="1.1709300279617301"/>
    <n v="1.1708285808563199"/>
    <n v="1.0144710541E-4"/>
    <n v="1.1705399751663199"/>
    <n v="1.17040371894836"/>
    <n v="1.3625621796E-4"/>
    <n v="18"/>
    <n v="-1"/>
    <s v="CLOSE"/>
  </r>
  <r>
    <d v="2019-12-12T22:54:12"/>
    <n v="9422"/>
    <n v="7184"/>
    <n v="2"/>
    <x v="2"/>
    <n v="1.1709300279617301"/>
    <n v="1.1708285808563199"/>
    <n v="1.0144710541E-4"/>
    <n v="1.1705399751663199"/>
    <n v="1.17040371894836"/>
    <n v="1.3625621796E-4"/>
    <n v="18"/>
    <n v="-1"/>
    <s v="CLOSE"/>
  </r>
  <r>
    <d v="2019-12-12T22:54:18"/>
    <n v="9422"/>
    <n v="7184"/>
    <n v="2"/>
    <x v="2"/>
    <n v="1.1709300279617301"/>
    <n v="1.1708285808563199"/>
    <n v="1.0144710541E-4"/>
    <n v="1.1705399751663199"/>
    <n v="1.17040371894836"/>
    <n v="1.3625621796E-4"/>
    <n v="18"/>
    <n v="-1"/>
    <s v="CLOSE"/>
  </r>
  <r>
    <d v="2019-12-12T22:54:25"/>
    <n v="9422"/>
    <n v="7184"/>
    <n v="2"/>
    <x v="2"/>
    <n v="1.1709300279617301"/>
    <n v="1.1708285808563199"/>
    <n v="1.0144710541E-4"/>
    <n v="1.1705399751663199"/>
    <n v="1.17040371894836"/>
    <n v="1.3625621796E-4"/>
    <n v="18"/>
    <n v="-1"/>
    <s v="CLOSE"/>
  </r>
  <r>
    <d v="2019-12-12T22:54:31"/>
    <n v="9422"/>
    <n v="7184"/>
    <n v="2"/>
    <x v="2"/>
    <n v="1.1709300279617301"/>
    <n v="1.1708285808563199"/>
    <n v="1.0144710541E-4"/>
    <n v="1.1705399751663199"/>
    <n v="1.17040371894836"/>
    <n v="1.3625621796E-4"/>
    <n v="18"/>
    <n v="-1"/>
    <s v="CLOSE"/>
  </r>
  <r>
    <d v="2019-12-12T22:54:38"/>
    <n v="9422"/>
    <n v="7184"/>
    <n v="2"/>
    <x v="2"/>
    <n v="1.1709300279617301"/>
    <n v="1.1708285808563199"/>
    <n v="1.0144710541E-4"/>
    <n v="1.1705399751663199"/>
    <n v="1.17040371894836"/>
    <n v="1.3625621796E-4"/>
    <n v="18"/>
    <n v="-1"/>
    <s v="CLOSE"/>
  </r>
  <r>
    <d v="2019-12-12T22:54:45"/>
    <n v="9422"/>
    <n v="7184"/>
    <n v="2"/>
    <x v="2"/>
    <n v="1.1709300279617301"/>
    <n v="1.1708285808563199"/>
    <n v="1.0144710541E-4"/>
    <n v="1.1705399751663199"/>
    <n v="1.17040371894836"/>
    <n v="1.3625621796E-4"/>
    <n v="18"/>
    <n v="-1"/>
    <s v="CLOSE"/>
  </r>
  <r>
    <d v="2019-12-12T22:54:52"/>
    <n v="9422"/>
    <n v="7184"/>
    <n v="2"/>
    <x v="2"/>
    <n v="1.1709300279617301"/>
    <n v="1.1708285808563199"/>
    <n v="1.0144710541E-4"/>
    <n v="1.1705399751663199"/>
    <n v="1.17040371894836"/>
    <n v="1.3625621796E-4"/>
    <n v="18"/>
    <n v="-1"/>
    <s v="CLOSE"/>
  </r>
  <r>
    <d v="2019-12-12T22:54:59"/>
    <n v="9422"/>
    <n v="7184"/>
    <n v="2"/>
    <x v="2"/>
    <n v="1.1709300279617301"/>
    <n v="1.1708285808563199"/>
    <n v="1.0144710541E-4"/>
    <n v="1.1705399751663199"/>
    <n v="1.17040371894836"/>
    <n v="1.3625621796E-4"/>
    <n v="18"/>
    <n v="-1"/>
    <s v="CLOSE"/>
  </r>
  <r>
    <d v="2019-12-12T22:52:57"/>
    <n v="9422"/>
    <n v="7184"/>
    <n v="2"/>
    <x v="2"/>
    <n v="1.1709300279617301"/>
    <n v="1.1708285808563199"/>
    <n v="1.0144710541E-4"/>
    <n v="1.1705399751663199"/>
    <n v="1.17040371894836"/>
    <n v="1.3625621796E-4"/>
    <n v="18"/>
    <n v="-1"/>
    <s v="CLOSE"/>
  </r>
  <r>
    <d v="2019-12-12T22:54:18"/>
    <n v="9422"/>
    <n v="7184"/>
    <n v="3"/>
    <x v="3"/>
    <n v="1.1709799766540501"/>
    <n v="1.17085444927216"/>
    <n v="1.2552738188999999E-4"/>
    <n v="1.1705399751663199"/>
    <n v="1.1702588796615601"/>
    <n v="2.8109550476E-4"/>
    <n v="0"/>
    <n v="0"/>
    <s v="CLOSE"/>
  </r>
  <r>
    <d v="2019-12-12T22:54:12"/>
    <n v="9422"/>
    <n v="7184"/>
    <n v="3"/>
    <x v="3"/>
    <n v="1.1709799766540501"/>
    <n v="1.17085444927216"/>
    <n v="1.2552738188999999E-4"/>
    <n v="1.1705399751663199"/>
    <n v="1.1702588796615601"/>
    <n v="2.8109550476E-4"/>
    <n v="0"/>
    <n v="0"/>
    <s v="CLOSE"/>
  </r>
  <r>
    <d v="2019-12-12T22:54:31"/>
    <n v="9422"/>
    <n v="7184"/>
    <n v="3"/>
    <x v="3"/>
    <n v="1.1709799766540501"/>
    <n v="1.17085444927216"/>
    <n v="1.2552738188999999E-4"/>
    <n v="1.1705399751663199"/>
    <n v="1.1702588796615601"/>
    <n v="2.8109550476E-4"/>
    <n v="0"/>
    <n v="0"/>
    <s v="CLOSE"/>
  </r>
  <r>
    <d v="2019-12-12T22:54:38"/>
    <n v="9422"/>
    <n v="7184"/>
    <n v="3"/>
    <x v="3"/>
    <n v="1.1709799766540501"/>
    <n v="1.17085444927216"/>
    <n v="1.2552738188999999E-4"/>
    <n v="1.1705399751663199"/>
    <n v="1.1702588796615601"/>
    <n v="2.8109550476E-4"/>
    <n v="0"/>
    <n v="0"/>
    <s v="CLOSE"/>
  </r>
  <r>
    <d v="2019-12-12T22:54:45"/>
    <n v="9422"/>
    <n v="7184"/>
    <n v="3"/>
    <x v="3"/>
    <n v="1.1709799766540501"/>
    <n v="1.17085444927216"/>
    <n v="1.2552738188999999E-4"/>
    <n v="1.1705399751663199"/>
    <n v="1.1702588796615601"/>
    <n v="2.8109550476E-4"/>
    <n v="0"/>
    <n v="0"/>
    <s v="CLOSE"/>
  </r>
  <r>
    <d v="2019-12-12T22:54:52"/>
    <n v="9422"/>
    <n v="7184"/>
    <n v="3"/>
    <x v="3"/>
    <n v="1.1709799766540501"/>
    <n v="1.17085444927216"/>
    <n v="1.2552738188999999E-4"/>
    <n v="1.1705399751663199"/>
    <n v="1.1702588796615601"/>
    <n v="2.8109550476E-4"/>
    <n v="0"/>
    <n v="0"/>
    <s v="CLOSE"/>
  </r>
  <r>
    <d v="2019-12-12T22:54:59"/>
    <n v="9422"/>
    <n v="7184"/>
    <n v="3"/>
    <x v="3"/>
    <n v="1.1709799766540501"/>
    <n v="1.17085444927216"/>
    <n v="1.2552738188999999E-4"/>
    <n v="1.1705399751663199"/>
    <n v="1.1702588796615601"/>
    <n v="2.8109550476E-4"/>
    <n v="0"/>
    <n v="0"/>
    <s v="CLOSE"/>
  </r>
  <r>
    <d v="2019-12-12T22:55:05"/>
    <n v="9422"/>
    <n v="7184"/>
    <n v="3"/>
    <x v="3"/>
    <n v="1.1709799766540501"/>
    <n v="1.17085444927216"/>
    <n v="1.2552738188999999E-4"/>
    <n v="1.1705399751663199"/>
    <n v="1.1702588796615601"/>
    <n v="2.8109550476E-4"/>
    <n v="0"/>
    <n v="0"/>
    <s v="CLOSE"/>
  </r>
  <r>
    <d v="2019-12-12T22:52:53"/>
    <n v="9422"/>
    <n v="7184"/>
    <n v="3"/>
    <x v="3"/>
    <n v="1.1709799766540501"/>
    <n v="1.17085444927216"/>
    <n v="1.2552738188999999E-4"/>
    <n v="1.1705399751663199"/>
    <n v="1.1702588796615601"/>
    <n v="2.8109550476E-4"/>
    <n v="0"/>
    <n v="0"/>
    <s v="CLOSE"/>
  </r>
  <r>
    <d v="2019-12-12T22:52:57"/>
    <n v="9422"/>
    <n v="7184"/>
    <n v="3"/>
    <x v="3"/>
    <n v="1.1709799766540501"/>
    <n v="1.17085444927216"/>
    <n v="1.2552738188999999E-4"/>
    <n v="1.1705399751663199"/>
    <n v="1.1702588796615601"/>
    <n v="2.8109550476E-4"/>
    <n v="0"/>
    <n v="0"/>
    <s v="CLOSE"/>
  </r>
  <r>
    <d v="2019-12-12T22:53:02"/>
    <n v="9422"/>
    <n v="7184"/>
    <n v="3"/>
    <x v="3"/>
    <n v="1.1709799766540501"/>
    <n v="1.17085444927216"/>
    <n v="1.2552738188999999E-4"/>
    <n v="1.1705399751663199"/>
    <n v="1.1702588796615601"/>
    <n v="2.8109550476E-4"/>
    <n v="0"/>
    <n v="0"/>
    <s v="CLOSE"/>
  </r>
  <r>
    <d v="2019-12-12T22:53:06"/>
    <n v="9422"/>
    <n v="7184"/>
    <n v="3"/>
    <x v="3"/>
    <n v="1.1709799766540501"/>
    <n v="1.17085444927216"/>
    <n v="1.2552738188999999E-4"/>
    <n v="1.1705399751663199"/>
    <n v="1.1702588796615601"/>
    <n v="2.8109550476E-4"/>
    <n v="0"/>
    <n v="0"/>
    <s v="CLOSE"/>
  </r>
  <r>
    <d v="2019-12-12T22:53:11"/>
    <n v="9422"/>
    <n v="7184"/>
    <n v="3"/>
    <x v="3"/>
    <n v="1.1709799766540501"/>
    <n v="1.17085444927216"/>
    <n v="1.2552738188999999E-4"/>
    <n v="1.1705399751663199"/>
    <n v="1.1702588796615601"/>
    <n v="2.8109550476E-4"/>
    <n v="0"/>
    <n v="0"/>
    <s v="CLOSE"/>
  </r>
  <r>
    <d v="2019-12-12T22:53:16"/>
    <n v="9422"/>
    <n v="7184"/>
    <n v="3"/>
    <x v="3"/>
    <n v="1.1709799766540501"/>
    <n v="1.17085444927216"/>
    <n v="1.2552738188999999E-4"/>
    <n v="1.1705399751663199"/>
    <n v="1.1702588796615601"/>
    <n v="2.8109550476E-4"/>
    <n v="0"/>
    <n v="0"/>
    <s v="CLOSE"/>
  </r>
  <r>
    <d v="2019-12-12T22:53:21"/>
    <n v="9422"/>
    <n v="7184"/>
    <n v="3"/>
    <x v="3"/>
    <n v="1.1709799766540501"/>
    <n v="1.17085444927216"/>
    <n v="1.2552738188999999E-4"/>
    <n v="1.1705399751663199"/>
    <n v="1.1702588796615601"/>
    <n v="2.8109550476E-4"/>
    <n v="0"/>
    <n v="0"/>
    <s v="CLOSE"/>
  </r>
  <r>
    <d v="2019-12-12T22:53:26"/>
    <n v="9422"/>
    <n v="7184"/>
    <n v="3"/>
    <x v="3"/>
    <n v="1.1709799766540501"/>
    <n v="1.17085444927216"/>
    <n v="1.2552738188999999E-4"/>
    <n v="1.1705399751663199"/>
    <n v="1.1702588796615601"/>
    <n v="2.8109550476E-4"/>
    <n v="0"/>
    <n v="0"/>
    <s v="CLOSE"/>
  </r>
  <r>
    <d v="2019-12-12T22:53:32"/>
    <n v="9422"/>
    <n v="7184"/>
    <n v="3"/>
    <x v="3"/>
    <n v="1.1709799766540501"/>
    <n v="1.17085444927216"/>
    <n v="1.2552738188999999E-4"/>
    <n v="1.1705399751663199"/>
    <n v="1.1702588796615601"/>
    <n v="2.8109550476E-4"/>
    <n v="0"/>
    <n v="0"/>
    <s v="CLOSE"/>
  </r>
  <r>
    <d v="2019-12-12T22:53:37"/>
    <n v="9422"/>
    <n v="7184"/>
    <n v="3"/>
    <x v="3"/>
    <n v="1.1709799766540501"/>
    <n v="1.17085444927216"/>
    <n v="1.2552738188999999E-4"/>
    <n v="1.1705399751663199"/>
    <n v="1.1702588796615601"/>
    <n v="2.8109550476E-4"/>
    <n v="0"/>
    <n v="0"/>
    <s v="CLOSE"/>
  </r>
  <r>
    <d v="2019-12-12T22:53:43"/>
    <n v="9422"/>
    <n v="7184"/>
    <n v="3"/>
    <x v="3"/>
    <n v="1.1709799766540501"/>
    <n v="1.17085444927216"/>
    <n v="1.2552738188999999E-4"/>
    <n v="1.1705399751663199"/>
    <n v="1.1702588796615601"/>
    <n v="2.8109550476E-4"/>
    <n v="0"/>
    <n v="0"/>
    <s v="CLOSE"/>
  </r>
  <r>
    <d v="2019-12-12T22:53:49"/>
    <n v="9422"/>
    <n v="7184"/>
    <n v="3"/>
    <x v="3"/>
    <n v="1.1709799766540501"/>
    <n v="1.17085444927216"/>
    <n v="1.2552738188999999E-4"/>
    <n v="1.1705399751663199"/>
    <n v="1.1702588796615601"/>
    <n v="2.8109550476E-4"/>
    <n v="0"/>
    <n v="0"/>
    <s v="CLOSE"/>
  </r>
  <r>
    <d v="2019-12-12T22:53:54"/>
    <n v="9422"/>
    <n v="7184"/>
    <n v="3"/>
    <x v="3"/>
    <n v="1.1709799766540501"/>
    <n v="1.17085444927216"/>
    <n v="1.2552738188999999E-4"/>
    <n v="1.1705399751663199"/>
    <n v="1.1702588796615601"/>
    <n v="2.8109550476E-4"/>
    <n v="0"/>
    <n v="0"/>
    <s v="CLOSE"/>
  </r>
  <r>
    <d v="2019-12-12T22:54:00"/>
    <n v="9422"/>
    <n v="7184"/>
    <n v="3"/>
    <x v="3"/>
    <n v="1.1709799766540501"/>
    <n v="1.17085444927216"/>
    <n v="1.2552738188999999E-4"/>
    <n v="1.1705399751663199"/>
    <n v="1.1702588796615601"/>
    <n v="2.8109550476E-4"/>
    <n v="0"/>
    <n v="0"/>
    <s v="CLOSE"/>
  </r>
  <r>
    <d v="2019-12-12T22:54:06"/>
    <n v="9422"/>
    <n v="7184"/>
    <n v="3"/>
    <x v="3"/>
    <n v="1.1709799766540501"/>
    <n v="1.17085444927216"/>
    <n v="1.2552738188999999E-4"/>
    <n v="1.1705399751663199"/>
    <n v="1.1702588796615601"/>
    <n v="2.8109550476E-4"/>
    <n v="0"/>
    <n v="0"/>
    <s v="CLOSE"/>
  </r>
  <r>
    <d v="2019-12-12T22:54:25"/>
    <n v="9422"/>
    <n v="7184"/>
    <n v="3"/>
    <x v="3"/>
    <n v="1.1709799766540501"/>
    <n v="1.17085444927216"/>
    <n v="1.2552738188999999E-4"/>
    <n v="1.1705399751663199"/>
    <n v="1.1702588796615601"/>
    <n v="2.8109550476E-4"/>
    <n v="0"/>
    <n v="0"/>
    <s v="CLOSE"/>
  </r>
  <r>
    <d v="2019-12-12T22:52:53"/>
    <n v="9422"/>
    <n v="7184"/>
    <n v="4"/>
    <x v="4"/>
    <n v="1.17127001285553"/>
    <n v="1.1713514328002901"/>
    <n v="8.1419944759999997E-5"/>
    <n v="1.1701200008392301"/>
    <n v="1.1705063581466699"/>
    <n v="3.8635730743999999E-4"/>
    <n v="14"/>
    <n v="0"/>
    <s v="TP"/>
  </r>
  <r>
    <d v="2019-12-12T22:52:57"/>
    <n v="9422"/>
    <n v="7184"/>
    <n v="4"/>
    <x v="4"/>
    <n v="1.17127001285553"/>
    <n v="1.1713514328002901"/>
    <n v="8.1419944759999997E-5"/>
    <n v="1.1701200008392301"/>
    <n v="1.1705063581466699"/>
    <n v="3.8635730743999999E-4"/>
    <n v="14"/>
    <n v="0"/>
    <s v="TP"/>
  </r>
  <r>
    <d v="2019-12-12T22:53:02"/>
    <n v="9422"/>
    <n v="7184"/>
    <n v="4"/>
    <x v="4"/>
    <n v="1.17127001285553"/>
    <n v="1.1713514328002901"/>
    <n v="8.1419944759999997E-5"/>
    <n v="1.1701200008392301"/>
    <n v="1.1705063581466699"/>
    <n v="3.8635730743999999E-4"/>
    <n v="14"/>
    <n v="0"/>
    <s v="TP"/>
  </r>
  <r>
    <d v="2019-12-12T22:53:06"/>
    <n v="9422"/>
    <n v="7184"/>
    <n v="4"/>
    <x v="4"/>
    <n v="1.17127001285553"/>
    <n v="1.1713514328002901"/>
    <n v="8.1419944759999997E-5"/>
    <n v="1.1701200008392301"/>
    <n v="1.1705063581466699"/>
    <n v="3.8635730743999999E-4"/>
    <n v="14"/>
    <n v="0"/>
    <s v="TP"/>
  </r>
  <r>
    <d v="2019-12-12T22:53:11"/>
    <n v="9422"/>
    <n v="7184"/>
    <n v="4"/>
    <x v="4"/>
    <n v="1.17127001285553"/>
    <n v="1.1713514328002901"/>
    <n v="8.1419944759999997E-5"/>
    <n v="1.1701200008392301"/>
    <n v="1.1705063581466699"/>
    <n v="3.8635730743999999E-4"/>
    <n v="14"/>
    <n v="0"/>
    <s v="TP"/>
  </r>
  <r>
    <d v="2019-12-12T22:53:16"/>
    <n v="9422"/>
    <n v="7184"/>
    <n v="4"/>
    <x v="4"/>
    <n v="1.17127001285553"/>
    <n v="1.1713514328002901"/>
    <n v="8.1419944759999997E-5"/>
    <n v="1.1701200008392301"/>
    <n v="1.1705063581466699"/>
    <n v="3.8635730743999999E-4"/>
    <n v="14"/>
    <n v="0"/>
    <s v="TP"/>
  </r>
  <r>
    <d v="2019-12-12T22:53:21"/>
    <n v="9422"/>
    <n v="7184"/>
    <n v="4"/>
    <x v="4"/>
    <n v="1.17127001285553"/>
    <n v="1.1713514328002901"/>
    <n v="8.1419944759999997E-5"/>
    <n v="1.1701200008392301"/>
    <n v="1.1705063581466699"/>
    <n v="3.8635730743999999E-4"/>
    <n v="14"/>
    <n v="0"/>
    <s v="TP"/>
  </r>
  <r>
    <d v="2019-12-12T22:53:26"/>
    <n v="9422"/>
    <n v="7184"/>
    <n v="4"/>
    <x v="4"/>
    <n v="1.17127001285553"/>
    <n v="1.1713514328002901"/>
    <n v="8.1419944759999997E-5"/>
    <n v="1.1701200008392301"/>
    <n v="1.1705063581466699"/>
    <n v="3.8635730743999999E-4"/>
    <n v="14"/>
    <n v="0"/>
    <s v="TP"/>
  </r>
  <r>
    <d v="2019-12-12T22:53:32"/>
    <n v="9422"/>
    <n v="7184"/>
    <n v="4"/>
    <x v="4"/>
    <n v="1.17127001285553"/>
    <n v="1.1713514328002901"/>
    <n v="8.1419944759999997E-5"/>
    <n v="1.1701200008392301"/>
    <n v="1.1705063581466699"/>
    <n v="3.8635730743999999E-4"/>
    <n v="14"/>
    <n v="0"/>
    <s v="TP"/>
  </r>
  <r>
    <d v="2019-12-12T22:53:37"/>
    <n v="9422"/>
    <n v="7184"/>
    <n v="4"/>
    <x v="4"/>
    <n v="1.17127001285553"/>
    <n v="1.1713514328002901"/>
    <n v="8.1419944759999997E-5"/>
    <n v="1.1701200008392301"/>
    <n v="1.1705063581466699"/>
    <n v="3.8635730743999999E-4"/>
    <n v="14"/>
    <n v="0"/>
    <s v="TP"/>
  </r>
  <r>
    <d v="2019-12-12T22:53:43"/>
    <n v="9422"/>
    <n v="7184"/>
    <n v="4"/>
    <x v="4"/>
    <n v="1.17127001285553"/>
    <n v="1.1713514328002901"/>
    <n v="8.1419944759999997E-5"/>
    <n v="1.1701200008392301"/>
    <n v="1.1705063581466699"/>
    <n v="3.8635730743999999E-4"/>
    <n v="14"/>
    <n v="0"/>
    <s v="TP"/>
  </r>
  <r>
    <d v="2019-12-12T22:53:49"/>
    <n v="9422"/>
    <n v="7184"/>
    <n v="4"/>
    <x v="4"/>
    <n v="1.17127001285553"/>
    <n v="1.1713514328002901"/>
    <n v="8.1419944759999997E-5"/>
    <n v="1.1701200008392301"/>
    <n v="1.1705063581466699"/>
    <n v="3.8635730743999999E-4"/>
    <n v="14"/>
    <n v="0"/>
    <s v="TP"/>
  </r>
  <r>
    <d v="2019-12-12T22:53:54"/>
    <n v="9422"/>
    <n v="7184"/>
    <n v="4"/>
    <x v="4"/>
    <n v="1.17127001285553"/>
    <n v="1.1713514328002901"/>
    <n v="8.1419944759999997E-5"/>
    <n v="1.1701200008392301"/>
    <n v="1.1705063581466699"/>
    <n v="3.8635730743999999E-4"/>
    <n v="14"/>
    <n v="0"/>
    <s v="TP"/>
  </r>
  <r>
    <d v="2019-12-12T22:54:00"/>
    <n v="9422"/>
    <n v="7184"/>
    <n v="4"/>
    <x v="4"/>
    <n v="1.17127001285553"/>
    <n v="1.1713514328002901"/>
    <n v="8.1419944759999997E-5"/>
    <n v="1.1701200008392301"/>
    <n v="1.1705063581466699"/>
    <n v="3.8635730743999999E-4"/>
    <n v="14"/>
    <n v="0"/>
    <s v="TP"/>
  </r>
  <r>
    <d v="2019-12-12T22:54:06"/>
    <n v="9422"/>
    <n v="7184"/>
    <n v="4"/>
    <x v="4"/>
    <n v="1.17127001285553"/>
    <n v="1.1713514328002901"/>
    <n v="8.1419944759999997E-5"/>
    <n v="1.1701200008392301"/>
    <n v="1.1705063581466699"/>
    <n v="3.8635730743999999E-4"/>
    <n v="14"/>
    <n v="0"/>
    <s v="TP"/>
  </r>
  <r>
    <d v="2019-12-12T22:54:12"/>
    <n v="9422"/>
    <n v="7184"/>
    <n v="4"/>
    <x v="4"/>
    <n v="1.17127001285553"/>
    <n v="1.1713514328002901"/>
    <n v="8.1419944759999997E-5"/>
    <n v="1.1701200008392301"/>
    <n v="1.1705063581466699"/>
    <n v="3.8635730743999999E-4"/>
    <n v="14"/>
    <n v="0"/>
    <s v="TP"/>
  </r>
  <r>
    <d v="2019-12-12T22:54:18"/>
    <n v="9422"/>
    <n v="7184"/>
    <n v="4"/>
    <x v="4"/>
    <n v="1.17127001285553"/>
    <n v="1.1713514328002901"/>
    <n v="8.1419944759999997E-5"/>
    <n v="1.1701200008392301"/>
    <n v="1.1705063581466699"/>
    <n v="3.8635730743999999E-4"/>
    <n v="14"/>
    <n v="0"/>
    <s v="TP"/>
  </r>
  <r>
    <d v="2019-12-12T22:54:25"/>
    <n v="9422"/>
    <n v="7184"/>
    <n v="4"/>
    <x v="4"/>
    <n v="1.17127001285553"/>
    <n v="1.1713514328002901"/>
    <n v="8.1419944759999997E-5"/>
    <n v="1.1701200008392301"/>
    <n v="1.1705063581466699"/>
    <n v="3.8635730743999999E-4"/>
    <n v="14"/>
    <n v="0"/>
    <s v="TP"/>
  </r>
  <r>
    <d v="2019-12-12T22:54:31"/>
    <n v="9422"/>
    <n v="7184"/>
    <n v="4"/>
    <x v="4"/>
    <n v="1.17127001285553"/>
    <n v="1.1713514328002901"/>
    <n v="8.1419944759999997E-5"/>
    <n v="1.1701200008392301"/>
    <n v="1.1705063581466699"/>
    <n v="3.8635730743999999E-4"/>
    <n v="14"/>
    <n v="0"/>
    <s v="TP"/>
  </r>
  <r>
    <d v="2019-12-12T22:54:38"/>
    <n v="9422"/>
    <n v="7184"/>
    <n v="4"/>
    <x v="4"/>
    <n v="1.17127001285553"/>
    <n v="1.1713514328002901"/>
    <n v="8.1419944759999997E-5"/>
    <n v="1.1701200008392301"/>
    <n v="1.1705063581466699"/>
    <n v="3.8635730743999999E-4"/>
    <n v="14"/>
    <n v="0"/>
    <s v="TP"/>
  </r>
  <r>
    <d v="2019-12-12T22:54:45"/>
    <n v="9422"/>
    <n v="7184"/>
    <n v="4"/>
    <x v="4"/>
    <n v="1.17127001285553"/>
    <n v="1.1713514328002901"/>
    <n v="8.1419944759999997E-5"/>
    <n v="1.1701200008392301"/>
    <n v="1.1705063581466699"/>
    <n v="3.8635730743999999E-4"/>
    <n v="14"/>
    <n v="0"/>
    <s v="TP"/>
  </r>
  <r>
    <d v="2019-12-12T22:54:52"/>
    <n v="9422"/>
    <n v="7184"/>
    <n v="4"/>
    <x v="4"/>
    <n v="1.17127001285553"/>
    <n v="1.1713514328002901"/>
    <n v="8.1419944759999997E-5"/>
    <n v="1.1701200008392301"/>
    <n v="1.1705063581466699"/>
    <n v="3.8635730743999999E-4"/>
    <n v="14"/>
    <n v="0"/>
    <s v="TP"/>
  </r>
  <r>
    <d v="2019-12-12T22:54:59"/>
    <n v="9422"/>
    <n v="7184"/>
    <n v="4"/>
    <x v="4"/>
    <n v="1.17127001285553"/>
    <n v="1.1713514328002901"/>
    <n v="8.1419944759999997E-5"/>
    <n v="1.1701200008392301"/>
    <n v="1.1705063581466699"/>
    <n v="3.8635730743999999E-4"/>
    <n v="14"/>
    <n v="0"/>
    <s v="TP"/>
  </r>
  <r>
    <d v="2019-12-12T22:55:05"/>
    <n v="9422"/>
    <n v="7184"/>
    <n v="4"/>
    <x v="4"/>
    <n v="1.17127001285553"/>
    <n v="1.1713514328002901"/>
    <n v="8.1419944759999997E-5"/>
    <n v="1.1701200008392301"/>
    <n v="1.1705063581466699"/>
    <n v="3.8635730743999999E-4"/>
    <n v="14"/>
    <n v="0"/>
    <s v="TP"/>
  </r>
  <r>
    <d v="2019-12-12T22:52:53"/>
    <n v="9422"/>
    <n v="7184"/>
    <n v="5"/>
    <x v="5"/>
    <n v="1.1709899902343801"/>
    <n v="1.1706844568252599"/>
    <n v="3.0553340912000001E-4"/>
    <n v="1.1695799827575699"/>
    <n v="1.1701012849807699"/>
    <n v="5.213022232E-4"/>
    <n v="24"/>
    <n v="0"/>
    <s v="TP"/>
  </r>
  <r>
    <d v="2019-12-12T22:55:05"/>
    <n v="9422"/>
    <n v="7184"/>
    <n v="5"/>
    <x v="5"/>
    <n v="1.1709899902343801"/>
    <n v="1.1706844568252599"/>
    <n v="3.0553340912000001E-4"/>
    <n v="1.1695799827575699"/>
    <n v="1.1701012849807699"/>
    <n v="5.213022232E-4"/>
    <n v="24"/>
    <n v="0"/>
    <s v="TP"/>
  </r>
  <r>
    <d v="2019-12-12T22:53:02"/>
    <n v="9422"/>
    <n v="7184"/>
    <n v="5"/>
    <x v="5"/>
    <n v="1.1709899902343801"/>
    <n v="1.1706844568252599"/>
    <n v="3.0553340912000001E-4"/>
    <n v="1.1695799827575699"/>
    <n v="1.1701012849807699"/>
    <n v="5.213022232E-4"/>
    <n v="24"/>
    <n v="0"/>
    <s v="TP"/>
  </r>
  <r>
    <d v="2019-12-12T22:53:06"/>
    <n v="9422"/>
    <n v="7184"/>
    <n v="5"/>
    <x v="5"/>
    <n v="1.1709899902343801"/>
    <n v="1.1706844568252599"/>
    <n v="3.0553340912000001E-4"/>
    <n v="1.1695799827575699"/>
    <n v="1.1701012849807699"/>
    <n v="5.213022232E-4"/>
    <n v="24"/>
    <n v="0"/>
    <s v="TP"/>
  </r>
  <r>
    <d v="2019-12-12T22:53:11"/>
    <n v="9422"/>
    <n v="7184"/>
    <n v="5"/>
    <x v="5"/>
    <n v="1.1709899902343801"/>
    <n v="1.1706844568252599"/>
    <n v="3.0553340912000001E-4"/>
    <n v="1.1695799827575699"/>
    <n v="1.1701012849807699"/>
    <n v="5.213022232E-4"/>
    <n v="24"/>
    <n v="0"/>
    <s v="TP"/>
  </r>
  <r>
    <d v="2019-12-12T22:53:16"/>
    <n v="9422"/>
    <n v="7184"/>
    <n v="5"/>
    <x v="5"/>
    <n v="1.1709899902343801"/>
    <n v="1.1706844568252599"/>
    <n v="3.0553340912000001E-4"/>
    <n v="1.1695799827575699"/>
    <n v="1.1701012849807699"/>
    <n v="5.213022232E-4"/>
    <n v="24"/>
    <n v="0"/>
    <s v="TP"/>
  </r>
  <r>
    <d v="2019-12-12T22:53:21"/>
    <n v="9422"/>
    <n v="7184"/>
    <n v="5"/>
    <x v="5"/>
    <n v="1.1709899902343801"/>
    <n v="1.1706844568252599"/>
    <n v="3.0553340912000001E-4"/>
    <n v="1.1695799827575699"/>
    <n v="1.1701012849807699"/>
    <n v="5.213022232E-4"/>
    <n v="24"/>
    <n v="0"/>
    <s v="TP"/>
  </r>
  <r>
    <d v="2019-12-12T22:53:26"/>
    <n v="9422"/>
    <n v="7184"/>
    <n v="5"/>
    <x v="5"/>
    <n v="1.1709899902343801"/>
    <n v="1.1706844568252599"/>
    <n v="3.0553340912000001E-4"/>
    <n v="1.1695799827575699"/>
    <n v="1.1701012849807699"/>
    <n v="5.213022232E-4"/>
    <n v="24"/>
    <n v="0"/>
    <s v="TP"/>
  </r>
  <r>
    <d v="2019-12-12T22:53:32"/>
    <n v="9422"/>
    <n v="7184"/>
    <n v="5"/>
    <x v="5"/>
    <n v="1.1709899902343801"/>
    <n v="1.1706844568252599"/>
    <n v="3.0553340912000001E-4"/>
    <n v="1.1695799827575699"/>
    <n v="1.1701012849807699"/>
    <n v="5.213022232E-4"/>
    <n v="24"/>
    <n v="0"/>
    <s v="TP"/>
  </r>
  <r>
    <d v="2019-12-12T22:53:37"/>
    <n v="9422"/>
    <n v="7184"/>
    <n v="5"/>
    <x v="5"/>
    <n v="1.1709899902343801"/>
    <n v="1.1706844568252599"/>
    <n v="3.0553340912000001E-4"/>
    <n v="1.1695799827575699"/>
    <n v="1.1701012849807699"/>
    <n v="5.213022232E-4"/>
    <n v="24"/>
    <n v="0"/>
    <s v="TP"/>
  </r>
  <r>
    <d v="2019-12-12T22:53:43"/>
    <n v="9422"/>
    <n v="7184"/>
    <n v="5"/>
    <x v="5"/>
    <n v="1.1709899902343801"/>
    <n v="1.1706844568252599"/>
    <n v="3.0553340912000001E-4"/>
    <n v="1.1695799827575699"/>
    <n v="1.1701012849807699"/>
    <n v="5.213022232E-4"/>
    <n v="24"/>
    <n v="0"/>
    <s v="TP"/>
  </r>
  <r>
    <d v="2019-12-12T22:53:49"/>
    <n v="9422"/>
    <n v="7184"/>
    <n v="5"/>
    <x v="5"/>
    <n v="1.1709899902343801"/>
    <n v="1.1706844568252599"/>
    <n v="3.0553340912000001E-4"/>
    <n v="1.1695799827575699"/>
    <n v="1.1701012849807699"/>
    <n v="5.213022232E-4"/>
    <n v="24"/>
    <n v="0"/>
    <s v="TP"/>
  </r>
  <r>
    <d v="2019-12-12T22:53:54"/>
    <n v="9422"/>
    <n v="7184"/>
    <n v="5"/>
    <x v="5"/>
    <n v="1.1709899902343801"/>
    <n v="1.1706844568252599"/>
    <n v="3.0553340912000001E-4"/>
    <n v="1.1695799827575699"/>
    <n v="1.1701012849807699"/>
    <n v="5.213022232E-4"/>
    <n v="24"/>
    <n v="0"/>
    <s v="TP"/>
  </r>
  <r>
    <d v="2019-12-12T22:54:00"/>
    <n v="9422"/>
    <n v="7184"/>
    <n v="5"/>
    <x v="5"/>
    <n v="1.1709899902343801"/>
    <n v="1.1706844568252599"/>
    <n v="3.0553340912000001E-4"/>
    <n v="1.1695799827575699"/>
    <n v="1.1701012849807699"/>
    <n v="5.213022232E-4"/>
    <n v="24"/>
    <n v="0"/>
    <s v="TP"/>
  </r>
  <r>
    <d v="2019-12-12T22:54:06"/>
    <n v="9422"/>
    <n v="7184"/>
    <n v="5"/>
    <x v="5"/>
    <n v="1.1709899902343801"/>
    <n v="1.1706844568252599"/>
    <n v="3.0553340912000001E-4"/>
    <n v="1.1695799827575699"/>
    <n v="1.1701012849807699"/>
    <n v="5.213022232E-4"/>
    <n v="24"/>
    <n v="0"/>
    <s v="TP"/>
  </r>
  <r>
    <d v="2019-12-12T22:54:12"/>
    <n v="9422"/>
    <n v="7184"/>
    <n v="5"/>
    <x v="5"/>
    <n v="1.1709899902343801"/>
    <n v="1.1706844568252599"/>
    <n v="3.0553340912000001E-4"/>
    <n v="1.1695799827575699"/>
    <n v="1.1701012849807699"/>
    <n v="5.213022232E-4"/>
    <n v="24"/>
    <n v="0"/>
    <s v="TP"/>
  </r>
  <r>
    <d v="2019-12-12T22:54:18"/>
    <n v="9422"/>
    <n v="7184"/>
    <n v="5"/>
    <x v="5"/>
    <n v="1.1709899902343801"/>
    <n v="1.1706844568252599"/>
    <n v="3.0553340912000001E-4"/>
    <n v="1.1695799827575699"/>
    <n v="1.1701012849807699"/>
    <n v="5.213022232E-4"/>
    <n v="24"/>
    <n v="0"/>
    <s v="TP"/>
  </r>
  <r>
    <d v="2019-12-12T22:54:25"/>
    <n v="9422"/>
    <n v="7184"/>
    <n v="5"/>
    <x v="5"/>
    <n v="1.1709899902343801"/>
    <n v="1.1706844568252599"/>
    <n v="3.0553340912000001E-4"/>
    <n v="1.1695799827575699"/>
    <n v="1.1701012849807699"/>
    <n v="5.213022232E-4"/>
    <n v="24"/>
    <n v="0"/>
    <s v="TP"/>
  </r>
  <r>
    <d v="2019-12-12T22:54:31"/>
    <n v="9422"/>
    <n v="7184"/>
    <n v="5"/>
    <x v="5"/>
    <n v="1.1709899902343801"/>
    <n v="1.1706844568252599"/>
    <n v="3.0553340912000001E-4"/>
    <n v="1.1695799827575699"/>
    <n v="1.1701012849807699"/>
    <n v="5.213022232E-4"/>
    <n v="24"/>
    <n v="0"/>
    <s v="TP"/>
  </r>
  <r>
    <d v="2019-12-12T22:54:38"/>
    <n v="9422"/>
    <n v="7184"/>
    <n v="5"/>
    <x v="5"/>
    <n v="1.1709899902343801"/>
    <n v="1.1706844568252599"/>
    <n v="3.0553340912000001E-4"/>
    <n v="1.1695799827575699"/>
    <n v="1.1701012849807699"/>
    <n v="5.213022232E-4"/>
    <n v="24"/>
    <n v="0"/>
    <s v="TP"/>
  </r>
  <r>
    <d v="2019-12-12T22:54:45"/>
    <n v="9422"/>
    <n v="7184"/>
    <n v="5"/>
    <x v="5"/>
    <n v="1.1709899902343801"/>
    <n v="1.1706844568252599"/>
    <n v="3.0553340912000001E-4"/>
    <n v="1.1695799827575699"/>
    <n v="1.1701012849807699"/>
    <n v="5.213022232E-4"/>
    <n v="24"/>
    <n v="0"/>
    <s v="TP"/>
  </r>
  <r>
    <d v="2019-12-12T22:54:52"/>
    <n v="9422"/>
    <n v="7184"/>
    <n v="5"/>
    <x v="5"/>
    <n v="1.1709899902343801"/>
    <n v="1.1706844568252599"/>
    <n v="3.0553340912000001E-4"/>
    <n v="1.1695799827575699"/>
    <n v="1.1701012849807699"/>
    <n v="5.213022232E-4"/>
    <n v="24"/>
    <n v="0"/>
    <s v="TP"/>
  </r>
  <r>
    <d v="2019-12-12T22:54:59"/>
    <n v="9422"/>
    <n v="7184"/>
    <n v="5"/>
    <x v="5"/>
    <n v="1.1709899902343801"/>
    <n v="1.1706844568252599"/>
    <n v="3.0553340912000001E-4"/>
    <n v="1.1695799827575699"/>
    <n v="1.1701012849807699"/>
    <n v="5.213022232E-4"/>
    <n v="24"/>
    <n v="0"/>
    <s v="TP"/>
  </r>
  <r>
    <d v="2019-12-12T22:52:57"/>
    <n v="9422"/>
    <n v="7184"/>
    <n v="5"/>
    <x v="5"/>
    <n v="1.1709899902343801"/>
    <n v="1.1706844568252599"/>
    <n v="3.0553340912000001E-4"/>
    <n v="1.1695799827575699"/>
    <n v="1.1701012849807699"/>
    <n v="5.213022232E-4"/>
    <n v="24"/>
    <n v="0"/>
    <s v="TP"/>
  </r>
  <r>
    <d v="2019-12-12T22:53:32"/>
    <n v="9422"/>
    <n v="7184"/>
    <n v="6"/>
    <x v="6"/>
    <n v="1.1705900430679299"/>
    <n v="1.17097616195679"/>
    <n v="3.8611888886E-4"/>
    <n v="1.1699700355529801"/>
    <n v="1.17008805274963"/>
    <n v="1.1801719665E-4"/>
    <n v="20"/>
    <n v="0"/>
    <s v="TP"/>
  </r>
  <r>
    <d v="2019-12-12T22:53:26"/>
    <n v="9422"/>
    <n v="7184"/>
    <n v="6"/>
    <x v="6"/>
    <n v="1.1705900430679299"/>
    <n v="1.17097616195679"/>
    <n v="3.8611888886E-4"/>
    <n v="1.1699700355529801"/>
    <n v="1.17008805274963"/>
    <n v="1.1801719665E-4"/>
    <n v="20"/>
    <n v="0"/>
    <s v="TP"/>
  </r>
  <r>
    <d v="2019-12-12T22:53:43"/>
    <n v="9422"/>
    <n v="7184"/>
    <n v="6"/>
    <x v="6"/>
    <n v="1.1705900430679299"/>
    <n v="1.17097616195679"/>
    <n v="3.8611888886E-4"/>
    <n v="1.1699700355529801"/>
    <n v="1.17008805274963"/>
    <n v="1.1801719665E-4"/>
    <n v="20"/>
    <n v="0"/>
    <s v="TP"/>
  </r>
  <r>
    <d v="2019-12-12T22:53:49"/>
    <n v="9422"/>
    <n v="7184"/>
    <n v="6"/>
    <x v="6"/>
    <n v="1.1705900430679299"/>
    <n v="1.17097616195679"/>
    <n v="3.8611888886E-4"/>
    <n v="1.1699700355529801"/>
    <n v="1.17008805274963"/>
    <n v="1.1801719665E-4"/>
    <n v="20"/>
    <n v="0"/>
    <s v="TP"/>
  </r>
  <r>
    <d v="2019-12-12T22:53:54"/>
    <n v="9422"/>
    <n v="7184"/>
    <n v="6"/>
    <x v="6"/>
    <n v="1.1705900430679299"/>
    <n v="1.17097616195679"/>
    <n v="3.8611888886E-4"/>
    <n v="1.1699700355529801"/>
    <n v="1.17008805274963"/>
    <n v="1.1801719665E-4"/>
    <n v="20"/>
    <n v="0"/>
    <s v="TP"/>
  </r>
  <r>
    <d v="2019-12-12T22:54:00"/>
    <n v="9422"/>
    <n v="7184"/>
    <n v="6"/>
    <x v="6"/>
    <n v="1.1705900430679299"/>
    <n v="1.17097616195679"/>
    <n v="3.8611888886E-4"/>
    <n v="1.1699700355529801"/>
    <n v="1.17008805274963"/>
    <n v="1.1801719665E-4"/>
    <n v="20"/>
    <n v="0"/>
    <s v="TP"/>
  </r>
  <r>
    <d v="2019-12-12T22:54:06"/>
    <n v="9422"/>
    <n v="7184"/>
    <n v="6"/>
    <x v="6"/>
    <n v="1.1705900430679299"/>
    <n v="1.17097616195679"/>
    <n v="3.8611888886E-4"/>
    <n v="1.1699700355529801"/>
    <n v="1.17008805274963"/>
    <n v="1.1801719665E-4"/>
    <n v="20"/>
    <n v="0"/>
    <s v="TP"/>
  </r>
  <r>
    <d v="2019-12-12T22:54:12"/>
    <n v="9422"/>
    <n v="7184"/>
    <n v="6"/>
    <x v="6"/>
    <n v="1.1705900430679299"/>
    <n v="1.17097616195679"/>
    <n v="3.8611888886E-4"/>
    <n v="1.1699700355529801"/>
    <n v="1.17008805274963"/>
    <n v="1.1801719665E-4"/>
    <n v="20"/>
    <n v="0"/>
    <s v="TP"/>
  </r>
  <r>
    <d v="2019-12-12T22:54:18"/>
    <n v="9422"/>
    <n v="7184"/>
    <n v="6"/>
    <x v="6"/>
    <n v="1.1705900430679299"/>
    <n v="1.17097616195679"/>
    <n v="3.8611888886E-4"/>
    <n v="1.1699700355529801"/>
    <n v="1.17008805274963"/>
    <n v="1.1801719665E-4"/>
    <n v="20"/>
    <n v="0"/>
    <s v="TP"/>
  </r>
  <r>
    <d v="2019-12-12T22:54:25"/>
    <n v="9422"/>
    <n v="7184"/>
    <n v="6"/>
    <x v="6"/>
    <n v="1.1705900430679299"/>
    <n v="1.17097616195679"/>
    <n v="3.8611888886E-4"/>
    <n v="1.1699700355529801"/>
    <n v="1.17008805274963"/>
    <n v="1.1801719665E-4"/>
    <n v="20"/>
    <n v="0"/>
    <s v="TP"/>
  </r>
  <r>
    <d v="2019-12-12T22:54:31"/>
    <n v="9422"/>
    <n v="7184"/>
    <n v="6"/>
    <x v="6"/>
    <n v="1.1705900430679299"/>
    <n v="1.17097616195679"/>
    <n v="3.8611888886E-4"/>
    <n v="1.1699700355529801"/>
    <n v="1.17008805274963"/>
    <n v="1.1801719665E-4"/>
    <n v="20"/>
    <n v="0"/>
    <s v="TP"/>
  </r>
  <r>
    <d v="2019-12-12T22:54:38"/>
    <n v="9422"/>
    <n v="7184"/>
    <n v="6"/>
    <x v="6"/>
    <n v="1.1705900430679299"/>
    <n v="1.17097616195679"/>
    <n v="3.8611888886E-4"/>
    <n v="1.1699700355529801"/>
    <n v="1.17008805274963"/>
    <n v="1.1801719665E-4"/>
    <n v="20"/>
    <n v="0"/>
    <s v="TP"/>
  </r>
  <r>
    <d v="2019-12-12T22:54:45"/>
    <n v="9422"/>
    <n v="7184"/>
    <n v="6"/>
    <x v="6"/>
    <n v="1.1705900430679299"/>
    <n v="1.17097616195679"/>
    <n v="3.8611888886E-4"/>
    <n v="1.1699700355529801"/>
    <n v="1.17008805274963"/>
    <n v="1.1801719665E-4"/>
    <n v="20"/>
    <n v="0"/>
    <s v="TP"/>
  </r>
  <r>
    <d v="2019-12-12T22:54:52"/>
    <n v="9422"/>
    <n v="7184"/>
    <n v="6"/>
    <x v="6"/>
    <n v="1.1705900430679299"/>
    <n v="1.17097616195679"/>
    <n v="3.8611888886E-4"/>
    <n v="1.1699700355529801"/>
    <n v="1.17008805274963"/>
    <n v="1.1801719665E-4"/>
    <n v="20"/>
    <n v="0"/>
    <s v="TP"/>
  </r>
  <r>
    <d v="2019-12-12T22:54:59"/>
    <n v="9422"/>
    <n v="7184"/>
    <n v="6"/>
    <x v="6"/>
    <n v="1.1705900430679299"/>
    <n v="1.17097616195679"/>
    <n v="3.8611888886E-4"/>
    <n v="1.1699700355529801"/>
    <n v="1.17008805274963"/>
    <n v="1.1801719665E-4"/>
    <n v="20"/>
    <n v="0"/>
    <s v="TP"/>
  </r>
  <r>
    <d v="2019-12-12T22:55:05"/>
    <n v="9422"/>
    <n v="7184"/>
    <n v="6"/>
    <x v="6"/>
    <n v="1.1705900430679299"/>
    <n v="1.17097616195679"/>
    <n v="3.8611888886E-4"/>
    <n v="1.1699700355529801"/>
    <n v="1.17008805274963"/>
    <n v="1.1801719665E-4"/>
    <n v="20"/>
    <n v="0"/>
    <s v="TP"/>
  </r>
  <r>
    <d v="2019-12-12T22:52:53"/>
    <n v="9422"/>
    <n v="7184"/>
    <n v="6"/>
    <x v="6"/>
    <n v="1.1705900430679299"/>
    <n v="1.17097616195679"/>
    <n v="3.8611888886E-4"/>
    <n v="1.1699700355529801"/>
    <n v="1.17008805274963"/>
    <n v="1.1801719665E-4"/>
    <n v="20"/>
    <n v="0"/>
    <s v="TP"/>
  </r>
  <r>
    <d v="2019-12-12T22:52:57"/>
    <n v="9422"/>
    <n v="7184"/>
    <n v="6"/>
    <x v="6"/>
    <n v="1.1705900430679299"/>
    <n v="1.17097616195679"/>
    <n v="3.8611888886E-4"/>
    <n v="1.1699700355529801"/>
    <n v="1.17008805274963"/>
    <n v="1.1801719665E-4"/>
    <n v="20"/>
    <n v="0"/>
    <s v="TP"/>
  </r>
  <r>
    <d v="2019-12-12T22:53:02"/>
    <n v="9422"/>
    <n v="7184"/>
    <n v="6"/>
    <x v="6"/>
    <n v="1.1705900430679299"/>
    <n v="1.17097616195679"/>
    <n v="3.8611888886E-4"/>
    <n v="1.1699700355529801"/>
    <n v="1.17008805274963"/>
    <n v="1.1801719665E-4"/>
    <n v="20"/>
    <n v="0"/>
    <s v="TP"/>
  </r>
  <r>
    <d v="2019-12-12T22:53:06"/>
    <n v="9422"/>
    <n v="7184"/>
    <n v="6"/>
    <x v="6"/>
    <n v="1.1705900430679299"/>
    <n v="1.17097616195679"/>
    <n v="3.8611888886E-4"/>
    <n v="1.1699700355529801"/>
    <n v="1.17008805274963"/>
    <n v="1.1801719665E-4"/>
    <n v="20"/>
    <n v="0"/>
    <s v="TP"/>
  </r>
  <r>
    <d v="2019-12-12T22:53:11"/>
    <n v="9422"/>
    <n v="7184"/>
    <n v="6"/>
    <x v="6"/>
    <n v="1.1705900430679299"/>
    <n v="1.17097616195679"/>
    <n v="3.8611888886E-4"/>
    <n v="1.1699700355529801"/>
    <n v="1.17008805274963"/>
    <n v="1.1801719665E-4"/>
    <n v="20"/>
    <n v="0"/>
    <s v="TP"/>
  </r>
  <r>
    <d v="2019-12-12T22:53:16"/>
    <n v="9422"/>
    <n v="7184"/>
    <n v="6"/>
    <x v="6"/>
    <n v="1.1705900430679299"/>
    <n v="1.17097616195679"/>
    <n v="3.8611888886E-4"/>
    <n v="1.1699700355529801"/>
    <n v="1.17008805274963"/>
    <n v="1.1801719665E-4"/>
    <n v="20"/>
    <n v="0"/>
    <s v="TP"/>
  </r>
  <r>
    <d v="2019-12-12T22:53:21"/>
    <n v="9422"/>
    <n v="7184"/>
    <n v="6"/>
    <x v="6"/>
    <n v="1.1705900430679299"/>
    <n v="1.17097616195679"/>
    <n v="3.8611888886E-4"/>
    <n v="1.1699700355529801"/>
    <n v="1.17008805274963"/>
    <n v="1.1801719665E-4"/>
    <n v="20"/>
    <n v="0"/>
    <s v="TP"/>
  </r>
  <r>
    <d v="2019-12-12T22:53:37"/>
    <n v="9422"/>
    <n v="7184"/>
    <n v="6"/>
    <x v="6"/>
    <n v="1.1705900430679299"/>
    <n v="1.17097616195679"/>
    <n v="3.8611888886E-4"/>
    <n v="1.1699700355529801"/>
    <n v="1.17008805274963"/>
    <n v="1.1801719665E-4"/>
    <n v="20"/>
    <n v="0"/>
    <s v="TP"/>
  </r>
  <r>
    <d v="2019-12-12T22:52:53"/>
    <n v="9422"/>
    <n v="7184"/>
    <n v="7"/>
    <x v="7"/>
    <n v="1.17044997215271"/>
    <n v="1.17039799690247"/>
    <n v="5.1975250240000003E-5"/>
    <n v="1.1694699525833101"/>
    <n v="1.16959881782532"/>
    <n v="1.2886524200999999E-4"/>
    <n v="22"/>
    <n v="0"/>
    <s v="TP"/>
  </r>
  <r>
    <d v="2019-12-12T22:55:05"/>
    <n v="9422"/>
    <n v="7184"/>
    <n v="7"/>
    <x v="7"/>
    <n v="1.17044997215271"/>
    <n v="1.17039799690247"/>
    <n v="5.1975250240000003E-5"/>
    <n v="1.1694699525833101"/>
    <n v="1.16959881782532"/>
    <n v="1.2886524200999999E-4"/>
    <n v="22"/>
    <n v="0"/>
    <s v="TP"/>
  </r>
  <r>
    <d v="2019-12-12T22:53:02"/>
    <n v="9422"/>
    <n v="7184"/>
    <n v="7"/>
    <x v="7"/>
    <n v="1.17044997215271"/>
    <n v="1.17039799690247"/>
    <n v="5.1975250240000003E-5"/>
    <n v="1.1694699525833101"/>
    <n v="1.16959881782532"/>
    <n v="1.2886524200999999E-4"/>
    <n v="22"/>
    <n v="0"/>
    <s v="TP"/>
  </r>
  <r>
    <d v="2019-12-12T22:53:06"/>
    <n v="9422"/>
    <n v="7184"/>
    <n v="7"/>
    <x v="7"/>
    <n v="1.17044997215271"/>
    <n v="1.17039799690247"/>
    <n v="5.1975250240000003E-5"/>
    <n v="1.1694699525833101"/>
    <n v="1.16959881782532"/>
    <n v="1.2886524200999999E-4"/>
    <n v="22"/>
    <n v="0"/>
    <s v="TP"/>
  </r>
  <r>
    <d v="2019-12-12T22:53:11"/>
    <n v="9422"/>
    <n v="7184"/>
    <n v="7"/>
    <x v="7"/>
    <n v="1.17044997215271"/>
    <n v="1.17039799690247"/>
    <n v="5.1975250240000003E-5"/>
    <n v="1.1694699525833101"/>
    <n v="1.16959881782532"/>
    <n v="1.2886524200999999E-4"/>
    <n v="22"/>
    <n v="0"/>
    <s v="TP"/>
  </r>
  <r>
    <d v="2019-12-12T22:53:16"/>
    <n v="9422"/>
    <n v="7184"/>
    <n v="7"/>
    <x v="7"/>
    <n v="1.17044997215271"/>
    <n v="1.17039799690247"/>
    <n v="5.1975250240000003E-5"/>
    <n v="1.1694699525833101"/>
    <n v="1.16959881782532"/>
    <n v="1.2886524200999999E-4"/>
    <n v="22"/>
    <n v="0"/>
    <s v="TP"/>
  </r>
  <r>
    <d v="2019-12-12T22:53:21"/>
    <n v="9422"/>
    <n v="7184"/>
    <n v="7"/>
    <x v="7"/>
    <n v="1.17044997215271"/>
    <n v="1.17039799690247"/>
    <n v="5.1975250240000003E-5"/>
    <n v="1.1694699525833101"/>
    <n v="1.16959881782532"/>
    <n v="1.2886524200999999E-4"/>
    <n v="22"/>
    <n v="0"/>
    <s v="TP"/>
  </r>
  <r>
    <d v="2019-12-12T22:53:26"/>
    <n v="9422"/>
    <n v="7184"/>
    <n v="7"/>
    <x v="7"/>
    <n v="1.17044997215271"/>
    <n v="1.17039799690247"/>
    <n v="5.1975250240000003E-5"/>
    <n v="1.1694699525833101"/>
    <n v="1.16959881782532"/>
    <n v="1.2886524200999999E-4"/>
    <n v="22"/>
    <n v="0"/>
    <s v="TP"/>
  </r>
  <r>
    <d v="2019-12-12T22:53:32"/>
    <n v="9422"/>
    <n v="7184"/>
    <n v="7"/>
    <x v="7"/>
    <n v="1.17044997215271"/>
    <n v="1.17039799690247"/>
    <n v="5.1975250240000003E-5"/>
    <n v="1.1694699525833101"/>
    <n v="1.16959881782532"/>
    <n v="1.2886524200999999E-4"/>
    <n v="22"/>
    <n v="0"/>
    <s v="TP"/>
  </r>
  <r>
    <d v="2019-12-12T22:53:37"/>
    <n v="9422"/>
    <n v="7184"/>
    <n v="7"/>
    <x v="7"/>
    <n v="1.17044997215271"/>
    <n v="1.17039799690247"/>
    <n v="5.1975250240000003E-5"/>
    <n v="1.1694699525833101"/>
    <n v="1.16959881782532"/>
    <n v="1.2886524200999999E-4"/>
    <n v="22"/>
    <n v="0"/>
    <s v="TP"/>
  </r>
  <r>
    <d v="2019-12-12T22:53:43"/>
    <n v="9422"/>
    <n v="7184"/>
    <n v="7"/>
    <x v="7"/>
    <n v="1.17044997215271"/>
    <n v="1.17039799690247"/>
    <n v="5.1975250240000003E-5"/>
    <n v="1.1694699525833101"/>
    <n v="1.16959881782532"/>
    <n v="1.2886524200999999E-4"/>
    <n v="22"/>
    <n v="0"/>
    <s v="TP"/>
  </r>
  <r>
    <d v="2019-12-12T22:53:49"/>
    <n v="9422"/>
    <n v="7184"/>
    <n v="7"/>
    <x v="7"/>
    <n v="1.17044997215271"/>
    <n v="1.17039799690247"/>
    <n v="5.1975250240000003E-5"/>
    <n v="1.1694699525833101"/>
    <n v="1.16959881782532"/>
    <n v="1.2886524200999999E-4"/>
    <n v="22"/>
    <n v="0"/>
    <s v="TP"/>
  </r>
  <r>
    <d v="2019-12-12T22:53:54"/>
    <n v="9422"/>
    <n v="7184"/>
    <n v="7"/>
    <x v="7"/>
    <n v="1.17044997215271"/>
    <n v="1.17039799690247"/>
    <n v="5.1975250240000003E-5"/>
    <n v="1.1694699525833101"/>
    <n v="1.16959881782532"/>
    <n v="1.2886524200999999E-4"/>
    <n v="22"/>
    <n v="0"/>
    <s v="TP"/>
  </r>
  <r>
    <d v="2019-12-12T22:54:00"/>
    <n v="9422"/>
    <n v="7184"/>
    <n v="7"/>
    <x v="7"/>
    <n v="1.17044997215271"/>
    <n v="1.17039799690247"/>
    <n v="5.1975250240000003E-5"/>
    <n v="1.1694699525833101"/>
    <n v="1.16959881782532"/>
    <n v="1.2886524200999999E-4"/>
    <n v="22"/>
    <n v="0"/>
    <s v="TP"/>
  </r>
  <r>
    <d v="2019-12-12T22:54:06"/>
    <n v="9422"/>
    <n v="7184"/>
    <n v="7"/>
    <x v="7"/>
    <n v="1.17044997215271"/>
    <n v="1.17039799690247"/>
    <n v="5.1975250240000003E-5"/>
    <n v="1.1694699525833101"/>
    <n v="1.16959881782532"/>
    <n v="1.2886524200999999E-4"/>
    <n v="22"/>
    <n v="0"/>
    <s v="TP"/>
  </r>
  <r>
    <d v="2019-12-12T22:54:12"/>
    <n v="9422"/>
    <n v="7184"/>
    <n v="7"/>
    <x v="7"/>
    <n v="1.17044997215271"/>
    <n v="1.17039799690247"/>
    <n v="5.1975250240000003E-5"/>
    <n v="1.1694699525833101"/>
    <n v="1.16959881782532"/>
    <n v="1.2886524200999999E-4"/>
    <n v="22"/>
    <n v="0"/>
    <s v="TP"/>
  </r>
  <r>
    <d v="2019-12-12T22:54:18"/>
    <n v="9422"/>
    <n v="7184"/>
    <n v="7"/>
    <x v="7"/>
    <n v="1.17044997215271"/>
    <n v="1.17039799690247"/>
    <n v="5.1975250240000003E-5"/>
    <n v="1.1694699525833101"/>
    <n v="1.16959881782532"/>
    <n v="1.2886524200999999E-4"/>
    <n v="22"/>
    <n v="0"/>
    <s v="TP"/>
  </r>
  <r>
    <d v="2019-12-12T22:54:25"/>
    <n v="9422"/>
    <n v="7184"/>
    <n v="7"/>
    <x v="7"/>
    <n v="1.17044997215271"/>
    <n v="1.17039799690247"/>
    <n v="5.1975250240000003E-5"/>
    <n v="1.1694699525833101"/>
    <n v="1.16959881782532"/>
    <n v="1.2886524200999999E-4"/>
    <n v="22"/>
    <n v="0"/>
    <s v="TP"/>
  </r>
  <r>
    <d v="2019-12-12T22:54:31"/>
    <n v="9422"/>
    <n v="7184"/>
    <n v="7"/>
    <x v="7"/>
    <n v="1.17044997215271"/>
    <n v="1.17039799690247"/>
    <n v="5.1975250240000003E-5"/>
    <n v="1.1694699525833101"/>
    <n v="1.16959881782532"/>
    <n v="1.2886524200999999E-4"/>
    <n v="22"/>
    <n v="0"/>
    <s v="TP"/>
  </r>
  <r>
    <d v="2019-12-12T22:54:38"/>
    <n v="9422"/>
    <n v="7184"/>
    <n v="7"/>
    <x v="7"/>
    <n v="1.17044997215271"/>
    <n v="1.17039799690247"/>
    <n v="5.1975250240000003E-5"/>
    <n v="1.1694699525833101"/>
    <n v="1.16959881782532"/>
    <n v="1.2886524200999999E-4"/>
    <n v="22"/>
    <n v="0"/>
    <s v="TP"/>
  </r>
  <r>
    <d v="2019-12-12T22:54:45"/>
    <n v="9422"/>
    <n v="7184"/>
    <n v="7"/>
    <x v="7"/>
    <n v="1.17044997215271"/>
    <n v="1.17039799690247"/>
    <n v="5.1975250240000003E-5"/>
    <n v="1.1694699525833101"/>
    <n v="1.16959881782532"/>
    <n v="1.2886524200999999E-4"/>
    <n v="22"/>
    <n v="0"/>
    <s v="TP"/>
  </r>
  <r>
    <d v="2019-12-12T22:54:52"/>
    <n v="9422"/>
    <n v="7184"/>
    <n v="7"/>
    <x v="7"/>
    <n v="1.17044997215271"/>
    <n v="1.17039799690247"/>
    <n v="5.1975250240000003E-5"/>
    <n v="1.1694699525833101"/>
    <n v="1.16959881782532"/>
    <n v="1.2886524200999999E-4"/>
    <n v="22"/>
    <n v="0"/>
    <s v="TP"/>
  </r>
  <r>
    <d v="2019-12-12T22:54:59"/>
    <n v="9422"/>
    <n v="7184"/>
    <n v="7"/>
    <x v="7"/>
    <n v="1.17044997215271"/>
    <n v="1.17039799690247"/>
    <n v="5.1975250240000003E-5"/>
    <n v="1.1694699525833101"/>
    <n v="1.16959881782532"/>
    <n v="1.2886524200999999E-4"/>
    <n v="22"/>
    <n v="0"/>
    <s v="TP"/>
  </r>
  <r>
    <d v="2019-12-12T22:52:57"/>
    <n v="9422"/>
    <n v="7184"/>
    <n v="7"/>
    <x v="7"/>
    <n v="1.17044997215271"/>
    <n v="1.17039799690247"/>
    <n v="5.1975250240000003E-5"/>
    <n v="1.1694699525833101"/>
    <n v="1.16959881782532"/>
    <n v="1.2886524200999999E-4"/>
    <n v="22"/>
    <n v="0"/>
    <s v="TP"/>
  </r>
  <r>
    <d v="2019-12-12T22:52:53"/>
    <n v="9422"/>
    <n v="7184"/>
    <n v="8"/>
    <x v="8"/>
    <n v="1.1702400445938099"/>
    <n v="1.1703138351440401"/>
    <n v="7.379055023E-5"/>
    <n v="1.16964995861053"/>
    <n v="1.16947877407074"/>
    <n v="1.7118453979E-4"/>
    <n v="-8"/>
    <n v="0"/>
    <s v="CLOSE"/>
  </r>
  <r>
    <d v="2019-12-12T22:55:05"/>
    <n v="9422"/>
    <n v="7184"/>
    <n v="8"/>
    <x v="8"/>
    <n v="1.1702400445938099"/>
    <n v="1.1703138351440401"/>
    <n v="7.379055023E-5"/>
    <n v="1.16964995861053"/>
    <n v="1.16947877407074"/>
    <n v="1.7118453979E-4"/>
    <n v="-8"/>
    <n v="0"/>
    <s v="CLOSE"/>
  </r>
  <r>
    <d v="2019-12-12T22:53:02"/>
    <n v="9422"/>
    <n v="7184"/>
    <n v="8"/>
    <x v="8"/>
    <n v="1.1702400445938099"/>
    <n v="1.1703138351440401"/>
    <n v="7.379055023E-5"/>
    <n v="1.16964995861053"/>
    <n v="1.16947877407074"/>
    <n v="1.7118453979E-4"/>
    <n v="-8"/>
    <n v="0"/>
    <s v="CLOSE"/>
  </r>
  <r>
    <d v="2019-12-12T22:53:06"/>
    <n v="9422"/>
    <n v="7184"/>
    <n v="8"/>
    <x v="8"/>
    <n v="1.1702400445938099"/>
    <n v="1.1703138351440401"/>
    <n v="7.379055023E-5"/>
    <n v="1.16964995861053"/>
    <n v="1.16947877407074"/>
    <n v="1.7118453979E-4"/>
    <n v="-8"/>
    <n v="0"/>
    <s v="CLOSE"/>
  </r>
  <r>
    <d v="2019-12-12T22:53:11"/>
    <n v="9422"/>
    <n v="7184"/>
    <n v="8"/>
    <x v="8"/>
    <n v="1.1702400445938099"/>
    <n v="1.1703138351440401"/>
    <n v="7.379055023E-5"/>
    <n v="1.16964995861053"/>
    <n v="1.16947877407074"/>
    <n v="1.7118453979E-4"/>
    <n v="-8"/>
    <n v="0"/>
    <s v="CLOSE"/>
  </r>
  <r>
    <d v="2019-12-12T22:53:16"/>
    <n v="9422"/>
    <n v="7184"/>
    <n v="8"/>
    <x v="8"/>
    <n v="1.1702400445938099"/>
    <n v="1.1703138351440401"/>
    <n v="7.379055023E-5"/>
    <n v="1.16964995861053"/>
    <n v="1.16947877407074"/>
    <n v="1.7118453979E-4"/>
    <n v="-8"/>
    <n v="0"/>
    <s v="CLOSE"/>
  </r>
  <r>
    <d v="2019-12-12T22:53:21"/>
    <n v="9422"/>
    <n v="7184"/>
    <n v="8"/>
    <x v="8"/>
    <n v="1.1702400445938099"/>
    <n v="1.1703138351440401"/>
    <n v="7.379055023E-5"/>
    <n v="1.16964995861053"/>
    <n v="1.16947877407074"/>
    <n v="1.7118453979E-4"/>
    <n v="-8"/>
    <n v="0"/>
    <s v="CLOSE"/>
  </r>
  <r>
    <d v="2019-12-12T22:53:26"/>
    <n v="9422"/>
    <n v="7184"/>
    <n v="8"/>
    <x v="8"/>
    <n v="1.1702400445938099"/>
    <n v="1.1703138351440401"/>
    <n v="7.379055023E-5"/>
    <n v="1.16964995861053"/>
    <n v="1.16947877407074"/>
    <n v="1.7118453979E-4"/>
    <n v="-8"/>
    <n v="0"/>
    <s v="CLOSE"/>
  </r>
  <r>
    <d v="2019-12-12T22:53:32"/>
    <n v="9422"/>
    <n v="7184"/>
    <n v="8"/>
    <x v="8"/>
    <n v="1.1702400445938099"/>
    <n v="1.1703138351440401"/>
    <n v="7.379055023E-5"/>
    <n v="1.16964995861053"/>
    <n v="1.16947877407074"/>
    <n v="1.7118453979E-4"/>
    <n v="-8"/>
    <n v="0"/>
    <s v="CLOSE"/>
  </r>
  <r>
    <d v="2019-12-12T22:53:37"/>
    <n v="9422"/>
    <n v="7184"/>
    <n v="8"/>
    <x v="8"/>
    <n v="1.1702400445938099"/>
    <n v="1.1703138351440401"/>
    <n v="7.379055023E-5"/>
    <n v="1.16964995861053"/>
    <n v="1.16947877407074"/>
    <n v="1.7118453979E-4"/>
    <n v="-8"/>
    <n v="0"/>
    <s v="CLOSE"/>
  </r>
  <r>
    <d v="2019-12-12T22:53:43"/>
    <n v="9422"/>
    <n v="7184"/>
    <n v="8"/>
    <x v="8"/>
    <n v="1.1702400445938099"/>
    <n v="1.1703138351440401"/>
    <n v="7.379055023E-5"/>
    <n v="1.16964995861053"/>
    <n v="1.16947877407074"/>
    <n v="1.7118453979E-4"/>
    <n v="-8"/>
    <n v="0"/>
    <s v="CLOSE"/>
  </r>
  <r>
    <d v="2019-12-12T22:53:49"/>
    <n v="9422"/>
    <n v="7184"/>
    <n v="8"/>
    <x v="8"/>
    <n v="1.1702400445938099"/>
    <n v="1.1703138351440401"/>
    <n v="7.379055023E-5"/>
    <n v="1.16964995861053"/>
    <n v="1.16947877407074"/>
    <n v="1.7118453979E-4"/>
    <n v="-8"/>
    <n v="0"/>
    <s v="CLOSE"/>
  </r>
  <r>
    <d v="2019-12-12T22:53:54"/>
    <n v="9422"/>
    <n v="7184"/>
    <n v="8"/>
    <x v="8"/>
    <n v="1.1702400445938099"/>
    <n v="1.1703138351440401"/>
    <n v="7.379055023E-5"/>
    <n v="1.16964995861053"/>
    <n v="1.16947877407074"/>
    <n v="1.7118453979E-4"/>
    <n v="-8"/>
    <n v="0"/>
    <s v="CLOSE"/>
  </r>
  <r>
    <d v="2019-12-12T22:54:00"/>
    <n v="9422"/>
    <n v="7184"/>
    <n v="8"/>
    <x v="8"/>
    <n v="1.1702400445938099"/>
    <n v="1.1703138351440401"/>
    <n v="7.379055023E-5"/>
    <n v="1.16964995861053"/>
    <n v="1.16947877407074"/>
    <n v="1.7118453979E-4"/>
    <n v="-8"/>
    <n v="0"/>
    <s v="CLOSE"/>
  </r>
  <r>
    <d v="2019-12-12T22:54:06"/>
    <n v="9422"/>
    <n v="7184"/>
    <n v="8"/>
    <x v="8"/>
    <n v="1.1702400445938099"/>
    <n v="1.1703138351440401"/>
    <n v="7.379055023E-5"/>
    <n v="1.16964995861053"/>
    <n v="1.16947877407074"/>
    <n v="1.7118453979E-4"/>
    <n v="-8"/>
    <n v="0"/>
    <s v="CLOSE"/>
  </r>
  <r>
    <d v="2019-12-12T22:54:12"/>
    <n v="9422"/>
    <n v="7184"/>
    <n v="8"/>
    <x v="8"/>
    <n v="1.1702400445938099"/>
    <n v="1.1703138351440401"/>
    <n v="7.379055023E-5"/>
    <n v="1.16964995861053"/>
    <n v="1.16947877407074"/>
    <n v="1.7118453979E-4"/>
    <n v="-8"/>
    <n v="0"/>
    <s v="CLOSE"/>
  </r>
  <r>
    <d v="2019-12-12T22:54:18"/>
    <n v="9422"/>
    <n v="7184"/>
    <n v="8"/>
    <x v="8"/>
    <n v="1.1702400445938099"/>
    <n v="1.1703138351440401"/>
    <n v="7.379055023E-5"/>
    <n v="1.16964995861053"/>
    <n v="1.16947877407074"/>
    <n v="1.7118453979E-4"/>
    <n v="-8"/>
    <n v="0"/>
    <s v="CLOSE"/>
  </r>
  <r>
    <d v="2019-12-12T22:54:25"/>
    <n v="9422"/>
    <n v="7184"/>
    <n v="8"/>
    <x v="8"/>
    <n v="1.1702400445938099"/>
    <n v="1.1703138351440401"/>
    <n v="7.379055023E-5"/>
    <n v="1.16964995861053"/>
    <n v="1.16947877407074"/>
    <n v="1.7118453979E-4"/>
    <n v="-8"/>
    <n v="0"/>
    <s v="CLOSE"/>
  </r>
  <r>
    <d v="2019-12-12T22:54:31"/>
    <n v="9422"/>
    <n v="7184"/>
    <n v="8"/>
    <x v="8"/>
    <n v="1.1702400445938099"/>
    <n v="1.1703138351440401"/>
    <n v="7.379055023E-5"/>
    <n v="1.16964995861053"/>
    <n v="1.16947877407074"/>
    <n v="1.7118453979E-4"/>
    <n v="-8"/>
    <n v="0"/>
    <s v="CLOSE"/>
  </r>
  <r>
    <d v="2019-12-12T22:54:38"/>
    <n v="9422"/>
    <n v="7184"/>
    <n v="8"/>
    <x v="8"/>
    <n v="1.1702400445938099"/>
    <n v="1.1703138351440401"/>
    <n v="7.379055023E-5"/>
    <n v="1.16964995861053"/>
    <n v="1.16947877407074"/>
    <n v="1.7118453979E-4"/>
    <n v="-8"/>
    <n v="0"/>
    <s v="CLOSE"/>
  </r>
  <r>
    <d v="2019-12-12T22:54:45"/>
    <n v="9422"/>
    <n v="7184"/>
    <n v="8"/>
    <x v="8"/>
    <n v="1.1702400445938099"/>
    <n v="1.1703138351440401"/>
    <n v="7.379055023E-5"/>
    <n v="1.16964995861053"/>
    <n v="1.16947877407074"/>
    <n v="1.7118453979E-4"/>
    <n v="-8"/>
    <n v="0"/>
    <s v="CLOSE"/>
  </r>
  <r>
    <d v="2019-12-12T22:54:52"/>
    <n v="9422"/>
    <n v="7184"/>
    <n v="8"/>
    <x v="8"/>
    <n v="1.1702400445938099"/>
    <n v="1.1703138351440401"/>
    <n v="7.379055023E-5"/>
    <n v="1.16964995861053"/>
    <n v="1.16947877407074"/>
    <n v="1.7118453979E-4"/>
    <n v="-8"/>
    <n v="0"/>
    <s v="CLOSE"/>
  </r>
  <r>
    <d v="2019-12-12T22:54:59"/>
    <n v="9422"/>
    <n v="7184"/>
    <n v="8"/>
    <x v="8"/>
    <n v="1.1702400445938099"/>
    <n v="1.1703138351440401"/>
    <n v="7.379055023E-5"/>
    <n v="1.16964995861053"/>
    <n v="1.16947877407074"/>
    <n v="1.7118453979E-4"/>
    <n v="-8"/>
    <n v="0"/>
    <s v="CLOSE"/>
  </r>
  <r>
    <d v="2019-12-12T22:52:57"/>
    <n v="9422"/>
    <n v="7184"/>
    <n v="8"/>
    <x v="8"/>
    <n v="1.1702400445938099"/>
    <n v="1.1703138351440401"/>
    <n v="7.379055023E-5"/>
    <n v="1.16964995861053"/>
    <n v="1.16947877407074"/>
    <n v="1.7118453979E-4"/>
    <n v="-8"/>
    <n v="0"/>
    <s v="CLOSE"/>
  </r>
  <r>
    <d v="2019-12-12T22:52:53"/>
    <n v="9422"/>
    <n v="7184"/>
    <n v="9"/>
    <x v="9"/>
    <n v="1.1698900461196899"/>
    <n v="1.1703759431839"/>
    <n v="4.8589706421E-4"/>
    <n v="1.1684999465942401"/>
    <n v="1.1690977811813399"/>
    <n v="5.9783458710000001E-4"/>
    <n v="90"/>
    <n v="0"/>
    <s v="TP"/>
  </r>
  <r>
    <d v="2019-12-12T22:55:05"/>
    <n v="9422"/>
    <n v="7184"/>
    <n v="9"/>
    <x v="9"/>
    <n v="1.1698900461196899"/>
    <n v="1.1703759431839"/>
    <n v="4.8589706421E-4"/>
    <n v="1.1684999465942401"/>
    <n v="1.1690977811813399"/>
    <n v="5.9783458710000001E-4"/>
    <n v="90"/>
    <n v="0"/>
    <s v="TP"/>
  </r>
  <r>
    <d v="2019-12-12T22:53:02"/>
    <n v="9422"/>
    <n v="7184"/>
    <n v="9"/>
    <x v="9"/>
    <n v="1.1698900461196899"/>
    <n v="1.1703759431839"/>
    <n v="4.8589706421E-4"/>
    <n v="1.1684999465942401"/>
    <n v="1.1690977811813399"/>
    <n v="5.9783458710000001E-4"/>
    <n v="90"/>
    <n v="0"/>
    <s v="TP"/>
  </r>
  <r>
    <d v="2019-12-12T22:53:06"/>
    <n v="9422"/>
    <n v="7184"/>
    <n v="9"/>
    <x v="9"/>
    <n v="1.1698900461196899"/>
    <n v="1.1703759431839"/>
    <n v="4.8589706421E-4"/>
    <n v="1.1684999465942401"/>
    <n v="1.1690977811813399"/>
    <n v="5.9783458710000001E-4"/>
    <n v="90"/>
    <n v="0"/>
    <s v="TP"/>
  </r>
  <r>
    <d v="2019-12-12T22:53:11"/>
    <n v="9422"/>
    <n v="7184"/>
    <n v="9"/>
    <x v="9"/>
    <n v="1.1698900461196899"/>
    <n v="1.1703759431839"/>
    <n v="4.8589706421E-4"/>
    <n v="1.1684999465942401"/>
    <n v="1.1690977811813399"/>
    <n v="5.9783458710000001E-4"/>
    <n v="90"/>
    <n v="0"/>
    <s v="TP"/>
  </r>
  <r>
    <d v="2019-12-12T22:53:16"/>
    <n v="9422"/>
    <n v="7184"/>
    <n v="9"/>
    <x v="9"/>
    <n v="1.1698900461196899"/>
    <n v="1.1703759431839"/>
    <n v="4.8589706421E-4"/>
    <n v="1.1684999465942401"/>
    <n v="1.1690977811813399"/>
    <n v="5.9783458710000001E-4"/>
    <n v="90"/>
    <n v="0"/>
    <s v="TP"/>
  </r>
  <r>
    <d v="2019-12-12T22:53:21"/>
    <n v="9422"/>
    <n v="7184"/>
    <n v="9"/>
    <x v="9"/>
    <n v="1.1698900461196899"/>
    <n v="1.1703759431839"/>
    <n v="4.8589706421E-4"/>
    <n v="1.1684999465942401"/>
    <n v="1.1690977811813399"/>
    <n v="5.9783458710000001E-4"/>
    <n v="90"/>
    <n v="0"/>
    <s v="TP"/>
  </r>
  <r>
    <d v="2019-12-12T22:53:26"/>
    <n v="9422"/>
    <n v="7184"/>
    <n v="9"/>
    <x v="9"/>
    <n v="1.1698900461196899"/>
    <n v="1.1703759431839"/>
    <n v="4.8589706421E-4"/>
    <n v="1.1684999465942401"/>
    <n v="1.1690977811813399"/>
    <n v="5.9783458710000001E-4"/>
    <n v="90"/>
    <n v="0"/>
    <s v="TP"/>
  </r>
  <r>
    <d v="2019-12-12T22:53:32"/>
    <n v="9422"/>
    <n v="7184"/>
    <n v="9"/>
    <x v="9"/>
    <n v="1.1698900461196899"/>
    <n v="1.1703759431839"/>
    <n v="4.8589706421E-4"/>
    <n v="1.1684999465942401"/>
    <n v="1.1690977811813399"/>
    <n v="5.9783458710000001E-4"/>
    <n v="90"/>
    <n v="0"/>
    <s v="TP"/>
  </r>
  <r>
    <d v="2019-12-12T22:53:37"/>
    <n v="9422"/>
    <n v="7184"/>
    <n v="9"/>
    <x v="9"/>
    <n v="1.1698900461196899"/>
    <n v="1.1703759431839"/>
    <n v="4.8589706421E-4"/>
    <n v="1.1684999465942401"/>
    <n v="1.1690977811813399"/>
    <n v="5.9783458710000001E-4"/>
    <n v="90"/>
    <n v="0"/>
    <s v="TP"/>
  </r>
  <r>
    <d v="2019-12-12T22:53:43"/>
    <n v="9422"/>
    <n v="7184"/>
    <n v="9"/>
    <x v="9"/>
    <n v="1.1698900461196899"/>
    <n v="1.1703759431839"/>
    <n v="4.8589706421E-4"/>
    <n v="1.1684999465942401"/>
    <n v="1.1690977811813399"/>
    <n v="5.9783458710000001E-4"/>
    <n v="90"/>
    <n v="0"/>
    <s v="TP"/>
  </r>
  <r>
    <d v="2019-12-12T22:53:49"/>
    <n v="9422"/>
    <n v="7184"/>
    <n v="9"/>
    <x v="9"/>
    <n v="1.1698900461196899"/>
    <n v="1.1703759431839"/>
    <n v="4.8589706421E-4"/>
    <n v="1.1684999465942401"/>
    <n v="1.1690977811813399"/>
    <n v="5.9783458710000001E-4"/>
    <n v="90"/>
    <n v="0"/>
    <s v="TP"/>
  </r>
  <r>
    <d v="2019-12-12T22:53:54"/>
    <n v="9422"/>
    <n v="7184"/>
    <n v="9"/>
    <x v="9"/>
    <n v="1.1698900461196899"/>
    <n v="1.1703759431839"/>
    <n v="4.8589706421E-4"/>
    <n v="1.1684999465942401"/>
    <n v="1.1690977811813399"/>
    <n v="5.9783458710000001E-4"/>
    <n v="90"/>
    <n v="0"/>
    <s v="TP"/>
  </r>
  <r>
    <d v="2019-12-12T22:54:00"/>
    <n v="9422"/>
    <n v="7184"/>
    <n v="9"/>
    <x v="9"/>
    <n v="1.1698900461196899"/>
    <n v="1.1703759431839"/>
    <n v="4.8589706421E-4"/>
    <n v="1.1684999465942401"/>
    <n v="1.1690977811813399"/>
    <n v="5.9783458710000001E-4"/>
    <n v="90"/>
    <n v="0"/>
    <s v="TP"/>
  </r>
  <r>
    <d v="2019-12-12T22:54:06"/>
    <n v="9422"/>
    <n v="7184"/>
    <n v="9"/>
    <x v="9"/>
    <n v="1.1698900461196899"/>
    <n v="1.1703759431839"/>
    <n v="4.8589706421E-4"/>
    <n v="1.1684999465942401"/>
    <n v="1.1690977811813399"/>
    <n v="5.9783458710000001E-4"/>
    <n v="90"/>
    <n v="0"/>
    <s v="TP"/>
  </r>
  <r>
    <d v="2019-12-12T22:54:12"/>
    <n v="9422"/>
    <n v="7184"/>
    <n v="9"/>
    <x v="9"/>
    <n v="1.1698900461196899"/>
    <n v="1.1703759431839"/>
    <n v="4.8589706421E-4"/>
    <n v="1.1684999465942401"/>
    <n v="1.1690977811813399"/>
    <n v="5.9783458710000001E-4"/>
    <n v="90"/>
    <n v="0"/>
    <s v="TP"/>
  </r>
  <r>
    <d v="2019-12-12T22:54:18"/>
    <n v="9422"/>
    <n v="7184"/>
    <n v="9"/>
    <x v="9"/>
    <n v="1.1698900461196899"/>
    <n v="1.1703759431839"/>
    <n v="4.8589706421E-4"/>
    <n v="1.1684999465942401"/>
    <n v="1.1690977811813399"/>
    <n v="5.9783458710000001E-4"/>
    <n v="90"/>
    <n v="0"/>
    <s v="TP"/>
  </r>
  <r>
    <d v="2019-12-12T22:54:25"/>
    <n v="9422"/>
    <n v="7184"/>
    <n v="9"/>
    <x v="9"/>
    <n v="1.1698900461196899"/>
    <n v="1.1703759431839"/>
    <n v="4.8589706421E-4"/>
    <n v="1.1684999465942401"/>
    <n v="1.1690977811813399"/>
    <n v="5.9783458710000001E-4"/>
    <n v="90"/>
    <n v="0"/>
    <s v="TP"/>
  </r>
  <r>
    <d v="2019-12-12T22:54:31"/>
    <n v="9422"/>
    <n v="7184"/>
    <n v="9"/>
    <x v="9"/>
    <n v="1.1698900461196899"/>
    <n v="1.1703759431839"/>
    <n v="4.8589706421E-4"/>
    <n v="1.1684999465942401"/>
    <n v="1.1690977811813399"/>
    <n v="5.9783458710000001E-4"/>
    <n v="90"/>
    <n v="0"/>
    <s v="TP"/>
  </r>
  <r>
    <d v="2019-12-12T22:54:38"/>
    <n v="9422"/>
    <n v="7184"/>
    <n v="9"/>
    <x v="9"/>
    <n v="1.1698900461196899"/>
    <n v="1.1703759431839"/>
    <n v="4.8589706421E-4"/>
    <n v="1.1684999465942401"/>
    <n v="1.1690977811813399"/>
    <n v="5.9783458710000001E-4"/>
    <n v="90"/>
    <n v="0"/>
    <s v="TP"/>
  </r>
  <r>
    <d v="2019-12-12T22:54:45"/>
    <n v="9422"/>
    <n v="7184"/>
    <n v="9"/>
    <x v="9"/>
    <n v="1.1698900461196899"/>
    <n v="1.1703759431839"/>
    <n v="4.8589706421E-4"/>
    <n v="1.1684999465942401"/>
    <n v="1.1690977811813399"/>
    <n v="5.9783458710000001E-4"/>
    <n v="90"/>
    <n v="0"/>
    <s v="TP"/>
  </r>
  <r>
    <d v="2019-12-12T22:54:52"/>
    <n v="9422"/>
    <n v="7184"/>
    <n v="9"/>
    <x v="9"/>
    <n v="1.1698900461196899"/>
    <n v="1.1703759431839"/>
    <n v="4.8589706421E-4"/>
    <n v="1.1684999465942401"/>
    <n v="1.1690977811813399"/>
    <n v="5.9783458710000001E-4"/>
    <n v="90"/>
    <n v="0"/>
    <s v="TP"/>
  </r>
  <r>
    <d v="2019-12-12T22:54:59"/>
    <n v="9422"/>
    <n v="7184"/>
    <n v="9"/>
    <x v="9"/>
    <n v="1.1698900461196899"/>
    <n v="1.1703759431839"/>
    <n v="4.8589706421E-4"/>
    <n v="1.1684999465942401"/>
    <n v="1.1690977811813399"/>
    <n v="5.9783458710000001E-4"/>
    <n v="90"/>
    <n v="0"/>
    <s v="TP"/>
  </r>
  <r>
    <d v="2019-12-12T22:52:57"/>
    <n v="9422"/>
    <n v="7184"/>
    <n v="9"/>
    <x v="9"/>
    <n v="1.1698900461196899"/>
    <n v="1.1703759431839"/>
    <n v="4.8589706421E-4"/>
    <n v="1.1684999465942401"/>
    <n v="1.1690977811813399"/>
    <n v="5.9783458710000001E-4"/>
    <n v="90"/>
    <n v="0"/>
    <s v="TP"/>
  </r>
  <r>
    <d v="2019-12-12T22:52:53"/>
    <n v="9422"/>
    <n v="7184"/>
    <n v="10"/>
    <x v="10"/>
    <n v="1.17051005363464"/>
    <n v="1.1695308685302701"/>
    <n v="9.7918510437000009E-4"/>
    <n v="1.168830037117"/>
    <n v="1.16803658008575"/>
    <n v="7.9345703125E-4"/>
    <n v="-224"/>
    <n v="0"/>
    <s v="SL"/>
  </r>
  <r>
    <d v="2019-12-12T22:55:05"/>
    <n v="9422"/>
    <n v="7184"/>
    <n v="10"/>
    <x v="10"/>
    <n v="1.17051005363464"/>
    <n v="1.1695308685302701"/>
    <n v="9.7918510437000009E-4"/>
    <n v="1.168830037117"/>
    <n v="1.16803658008575"/>
    <n v="7.9345703125E-4"/>
    <n v="-224"/>
    <n v="0"/>
    <s v="SL"/>
  </r>
  <r>
    <d v="2019-12-12T22:53:02"/>
    <n v="9422"/>
    <n v="7184"/>
    <n v="10"/>
    <x v="10"/>
    <n v="1.17051005363464"/>
    <n v="1.1695308685302701"/>
    <n v="9.7918510437000009E-4"/>
    <n v="1.168830037117"/>
    <n v="1.16803658008575"/>
    <n v="7.9345703125E-4"/>
    <n v="-224"/>
    <n v="0"/>
    <s v="SL"/>
  </r>
  <r>
    <d v="2019-12-12T22:53:06"/>
    <n v="9422"/>
    <n v="7184"/>
    <n v="10"/>
    <x v="10"/>
    <n v="1.17051005363464"/>
    <n v="1.1695308685302701"/>
    <n v="9.7918510437000009E-4"/>
    <n v="1.168830037117"/>
    <n v="1.16803658008575"/>
    <n v="7.9345703125E-4"/>
    <n v="-224"/>
    <n v="0"/>
    <s v="SL"/>
  </r>
  <r>
    <d v="2019-12-12T22:53:11"/>
    <n v="9422"/>
    <n v="7184"/>
    <n v="10"/>
    <x v="10"/>
    <n v="1.17051005363464"/>
    <n v="1.1695308685302701"/>
    <n v="9.7918510437000009E-4"/>
    <n v="1.168830037117"/>
    <n v="1.16803658008575"/>
    <n v="7.9345703125E-4"/>
    <n v="-224"/>
    <n v="0"/>
    <s v="SL"/>
  </r>
  <r>
    <d v="2019-12-12T22:53:16"/>
    <n v="9422"/>
    <n v="7184"/>
    <n v="10"/>
    <x v="10"/>
    <n v="1.17051005363464"/>
    <n v="1.1695308685302701"/>
    <n v="9.7918510437000009E-4"/>
    <n v="1.168830037117"/>
    <n v="1.16803658008575"/>
    <n v="7.9345703125E-4"/>
    <n v="-224"/>
    <n v="0"/>
    <s v="SL"/>
  </r>
  <r>
    <d v="2019-12-12T22:53:21"/>
    <n v="9422"/>
    <n v="7184"/>
    <n v="10"/>
    <x v="10"/>
    <n v="1.17051005363464"/>
    <n v="1.1695308685302701"/>
    <n v="9.7918510437000009E-4"/>
    <n v="1.168830037117"/>
    <n v="1.16803658008575"/>
    <n v="7.9345703125E-4"/>
    <n v="-224"/>
    <n v="0"/>
    <s v="SL"/>
  </r>
  <r>
    <d v="2019-12-12T22:53:26"/>
    <n v="9422"/>
    <n v="7184"/>
    <n v="10"/>
    <x v="10"/>
    <n v="1.17051005363464"/>
    <n v="1.1695308685302701"/>
    <n v="9.7918510437000009E-4"/>
    <n v="1.168830037117"/>
    <n v="1.16803658008575"/>
    <n v="7.9345703125E-4"/>
    <n v="-224"/>
    <n v="0"/>
    <s v="SL"/>
  </r>
  <r>
    <d v="2019-12-12T22:53:32"/>
    <n v="9422"/>
    <n v="7184"/>
    <n v="10"/>
    <x v="10"/>
    <n v="1.17051005363464"/>
    <n v="1.1695308685302701"/>
    <n v="9.7918510437000009E-4"/>
    <n v="1.168830037117"/>
    <n v="1.16803658008575"/>
    <n v="7.9345703125E-4"/>
    <n v="-224"/>
    <n v="0"/>
    <s v="SL"/>
  </r>
  <r>
    <d v="2019-12-12T22:53:37"/>
    <n v="9422"/>
    <n v="7184"/>
    <n v="10"/>
    <x v="10"/>
    <n v="1.17051005363464"/>
    <n v="1.1695308685302701"/>
    <n v="9.7918510437000009E-4"/>
    <n v="1.168830037117"/>
    <n v="1.16803658008575"/>
    <n v="7.9345703125E-4"/>
    <n v="-224"/>
    <n v="0"/>
    <s v="SL"/>
  </r>
  <r>
    <d v="2019-12-12T22:53:43"/>
    <n v="9422"/>
    <n v="7184"/>
    <n v="10"/>
    <x v="10"/>
    <n v="1.17051005363464"/>
    <n v="1.1695308685302701"/>
    <n v="9.7918510437000009E-4"/>
    <n v="1.168830037117"/>
    <n v="1.16803658008575"/>
    <n v="7.9345703125E-4"/>
    <n v="-224"/>
    <n v="0"/>
    <s v="SL"/>
  </r>
  <r>
    <d v="2019-12-12T22:53:49"/>
    <n v="9422"/>
    <n v="7184"/>
    <n v="10"/>
    <x v="10"/>
    <n v="1.17051005363464"/>
    <n v="1.1695308685302701"/>
    <n v="9.7918510437000009E-4"/>
    <n v="1.168830037117"/>
    <n v="1.16803658008575"/>
    <n v="7.9345703125E-4"/>
    <n v="-224"/>
    <n v="0"/>
    <s v="SL"/>
  </r>
  <r>
    <d v="2019-12-12T22:53:54"/>
    <n v="9422"/>
    <n v="7184"/>
    <n v="10"/>
    <x v="10"/>
    <n v="1.17051005363464"/>
    <n v="1.1695308685302701"/>
    <n v="9.7918510437000009E-4"/>
    <n v="1.168830037117"/>
    <n v="1.16803658008575"/>
    <n v="7.9345703125E-4"/>
    <n v="-224"/>
    <n v="0"/>
    <s v="SL"/>
  </r>
  <r>
    <d v="2019-12-12T22:54:00"/>
    <n v="9422"/>
    <n v="7184"/>
    <n v="10"/>
    <x v="10"/>
    <n v="1.17051005363464"/>
    <n v="1.1695308685302701"/>
    <n v="9.7918510437000009E-4"/>
    <n v="1.168830037117"/>
    <n v="1.16803658008575"/>
    <n v="7.9345703125E-4"/>
    <n v="-224"/>
    <n v="0"/>
    <s v="SL"/>
  </r>
  <r>
    <d v="2019-12-12T22:54:06"/>
    <n v="9422"/>
    <n v="7184"/>
    <n v="10"/>
    <x v="10"/>
    <n v="1.17051005363464"/>
    <n v="1.1695308685302701"/>
    <n v="9.7918510437000009E-4"/>
    <n v="1.168830037117"/>
    <n v="1.16803658008575"/>
    <n v="7.9345703125E-4"/>
    <n v="-224"/>
    <n v="0"/>
    <s v="SL"/>
  </r>
  <r>
    <d v="2019-12-12T22:54:12"/>
    <n v="9422"/>
    <n v="7184"/>
    <n v="10"/>
    <x v="10"/>
    <n v="1.17051005363464"/>
    <n v="1.1695308685302701"/>
    <n v="9.7918510437000009E-4"/>
    <n v="1.168830037117"/>
    <n v="1.16803658008575"/>
    <n v="7.9345703125E-4"/>
    <n v="-224"/>
    <n v="0"/>
    <s v="SL"/>
  </r>
  <r>
    <d v="2019-12-12T22:54:18"/>
    <n v="9422"/>
    <n v="7184"/>
    <n v="10"/>
    <x v="10"/>
    <n v="1.17051005363464"/>
    <n v="1.1695308685302701"/>
    <n v="9.7918510437000009E-4"/>
    <n v="1.168830037117"/>
    <n v="1.16803658008575"/>
    <n v="7.9345703125E-4"/>
    <n v="-224"/>
    <n v="0"/>
    <s v="SL"/>
  </r>
  <r>
    <d v="2019-12-12T22:54:25"/>
    <n v="9422"/>
    <n v="7184"/>
    <n v="10"/>
    <x v="10"/>
    <n v="1.17051005363464"/>
    <n v="1.1695308685302701"/>
    <n v="9.7918510437000009E-4"/>
    <n v="1.168830037117"/>
    <n v="1.16803658008575"/>
    <n v="7.9345703125E-4"/>
    <n v="-224"/>
    <n v="0"/>
    <s v="SL"/>
  </r>
  <r>
    <d v="2019-12-12T22:54:31"/>
    <n v="9422"/>
    <n v="7184"/>
    <n v="10"/>
    <x v="10"/>
    <n v="1.17051005363464"/>
    <n v="1.1695308685302701"/>
    <n v="9.7918510437000009E-4"/>
    <n v="1.168830037117"/>
    <n v="1.16803658008575"/>
    <n v="7.9345703125E-4"/>
    <n v="-224"/>
    <n v="0"/>
    <s v="SL"/>
  </r>
  <r>
    <d v="2019-12-12T22:54:38"/>
    <n v="9422"/>
    <n v="7184"/>
    <n v="10"/>
    <x v="10"/>
    <n v="1.17051005363464"/>
    <n v="1.1695308685302701"/>
    <n v="9.7918510437000009E-4"/>
    <n v="1.168830037117"/>
    <n v="1.16803658008575"/>
    <n v="7.9345703125E-4"/>
    <n v="-224"/>
    <n v="0"/>
    <s v="SL"/>
  </r>
  <r>
    <d v="2019-12-12T22:54:45"/>
    <n v="9422"/>
    <n v="7184"/>
    <n v="10"/>
    <x v="10"/>
    <n v="1.17051005363464"/>
    <n v="1.1695308685302701"/>
    <n v="9.7918510437000009E-4"/>
    <n v="1.168830037117"/>
    <n v="1.16803658008575"/>
    <n v="7.9345703125E-4"/>
    <n v="-224"/>
    <n v="0"/>
    <s v="SL"/>
  </r>
  <r>
    <d v="2019-12-12T22:54:52"/>
    <n v="9422"/>
    <n v="7184"/>
    <n v="10"/>
    <x v="10"/>
    <n v="1.17051005363464"/>
    <n v="1.1695308685302701"/>
    <n v="9.7918510437000009E-4"/>
    <n v="1.168830037117"/>
    <n v="1.16803658008575"/>
    <n v="7.9345703125E-4"/>
    <n v="-224"/>
    <n v="0"/>
    <s v="SL"/>
  </r>
  <r>
    <d v="2019-12-12T22:54:59"/>
    <n v="9422"/>
    <n v="7184"/>
    <n v="10"/>
    <x v="10"/>
    <n v="1.17051005363464"/>
    <n v="1.1695308685302701"/>
    <n v="9.7918510437000009E-4"/>
    <n v="1.168830037117"/>
    <n v="1.16803658008575"/>
    <n v="7.9345703125E-4"/>
    <n v="-224"/>
    <n v="0"/>
    <s v="SL"/>
  </r>
  <r>
    <d v="2019-12-12T22:52:57"/>
    <n v="9422"/>
    <n v="7184"/>
    <n v="10"/>
    <x v="10"/>
    <n v="1.17051005363464"/>
    <n v="1.1695308685302701"/>
    <n v="9.7918510437000009E-4"/>
    <n v="1.168830037117"/>
    <n v="1.16803658008575"/>
    <n v="7.9345703125E-4"/>
    <n v="-224"/>
    <n v="0"/>
    <s v="SL"/>
  </r>
  <r>
    <d v="2019-12-12T22:52:53"/>
    <n v="9422"/>
    <n v="7184"/>
    <n v="11"/>
    <x v="11"/>
    <n v="1.1717400550842301"/>
    <n v="1.1709671020507799"/>
    <n v="7.7295303344999998E-4"/>
    <n v="1.16958999633789"/>
    <n v="1.16928267478943"/>
    <n v="3.0732154846000001E-4"/>
    <n v="-228"/>
    <n v="0"/>
    <s v="SL"/>
  </r>
  <r>
    <d v="2019-12-12T22:52:57"/>
    <n v="9422"/>
    <n v="7184"/>
    <n v="11"/>
    <x v="11"/>
    <n v="1.1717400550842301"/>
    <n v="1.1709671020507799"/>
    <n v="7.7295303344999998E-4"/>
    <n v="1.16958999633789"/>
    <n v="1.16928267478943"/>
    <n v="3.0732154846000001E-4"/>
    <n v="-228"/>
    <n v="0"/>
    <s v="SL"/>
  </r>
  <r>
    <d v="2019-12-12T22:53:02"/>
    <n v="9422"/>
    <n v="7184"/>
    <n v="11"/>
    <x v="11"/>
    <n v="1.1717400550842301"/>
    <n v="1.1709671020507799"/>
    <n v="7.7295303344999998E-4"/>
    <n v="1.16958999633789"/>
    <n v="1.16928267478943"/>
    <n v="3.0732154846000001E-4"/>
    <n v="-228"/>
    <n v="0"/>
    <s v="SL"/>
  </r>
  <r>
    <d v="2019-12-12T22:53:06"/>
    <n v="9422"/>
    <n v="7184"/>
    <n v="11"/>
    <x v="11"/>
    <n v="1.1717400550842301"/>
    <n v="1.1709671020507799"/>
    <n v="7.7295303344999998E-4"/>
    <n v="1.16958999633789"/>
    <n v="1.16928267478943"/>
    <n v="3.0732154846000001E-4"/>
    <n v="-228"/>
    <n v="0"/>
    <s v="SL"/>
  </r>
  <r>
    <d v="2019-12-12T22:53:11"/>
    <n v="9422"/>
    <n v="7184"/>
    <n v="11"/>
    <x v="11"/>
    <n v="1.1717400550842301"/>
    <n v="1.1709671020507799"/>
    <n v="7.7295303344999998E-4"/>
    <n v="1.16958999633789"/>
    <n v="1.16928267478943"/>
    <n v="3.0732154846000001E-4"/>
    <n v="-228"/>
    <n v="0"/>
    <s v="SL"/>
  </r>
  <r>
    <d v="2019-12-12T22:53:16"/>
    <n v="9422"/>
    <n v="7184"/>
    <n v="11"/>
    <x v="11"/>
    <n v="1.1717400550842301"/>
    <n v="1.1709671020507799"/>
    <n v="7.7295303344999998E-4"/>
    <n v="1.16958999633789"/>
    <n v="1.16928267478943"/>
    <n v="3.0732154846000001E-4"/>
    <n v="-228"/>
    <n v="0"/>
    <s v="SL"/>
  </r>
  <r>
    <d v="2019-12-12T22:53:21"/>
    <n v="9422"/>
    <n v="7184"/>
    <n v="11"/>
    <x v="11"/>
    <n v="1.1717400550842301"/>
    <n v="1.1709671020507799"/>
    <n v="7.7295303344999998E-4"/>
    <n v="1.16958999633789"/>
    <n v="1.16928267478943"/>
    <n v="3.0732154846000001E-4"/>
    <n v="-228"/>
    <n v="0"/>
    <s v="SL"/>
  </r>
  <r>
    <d v="2019-12-12T22:53:26"/>
    <n v="9422"/>
    <n v="7184"/>
    <n v="11"/>
    <x v="11"/>
    <n v="1.1717400550842301"/>
    <n v="1.1709671020507799"/>
    <n v="7.7295303344999998E-4"/>
    <n v="1.16958999633789"/>
    <n v="1.16928267478943"/>
    <n v="3.0732154846000001E-4"/>
    <n v="-228"/>
    <n v="0"/>
    <s v="SL"/>
  </r>
  <r>
    <d v="2019-12-12T22:53:32"/>
    <n v="9422"/>
    <n v="7184"/>
    <n v="11"/>
    <x v="11"/>
    <n v="1.1717400550842301"/>
    <n v="1.1709671020507799"/>
    <n v="7.7295303344999998E-4"/>
    <n v="1.16958999633789"/>
    <n v="1.16928267478943"/>
    <n v="3.0732154846000001E-4"/>
    <n v="-228"/>
    <n v="0"/>
    <s v="SL"/>
  </r>
  <r>
    <d v="2019-12-12T22:53:37"/>
    <n v="9422"/>
    <n v="7184"/>
    <n v="11"/>
    <x v="11"/>
    <n v="1.1717400550842301"/>
    <n v="1.1709671020507799"/>
    <n v="7.7295303344999998E-4"/>
    <n v="1.16958999633789"/>
    <n v="1.16928267478943"/>
    <n v="3.0732154846000001E-4"/>
    <n v="-228"/>
    <n v="0"/>
    <s v="SL"/>
  </r>
  <r>
    <d v="2019-12-12T22:53:43"/>
    <n v="9422"/>
    <n v="7184"/>
    <n v="11"/>
    <x v="11"/>
    <n v="1.1717400550842301"/>
    <n v="1.1709671020507799"/>
    <n v="7.7295303344999998E-4"/>
    <n v="1.16958999633789"/>
    <n v="1.16928267478943"/>
    <n v="3.0732154846000001E-4"/>
    <n v="-228"/>
    <n v="0"/>
    <s v="SL"/>
  </r>
  <r>
    <d v="2019-12-12T22:53:49"/>
    <n v="9422"/>
    <n v="7184"/>
    <n v="11"/>
    <x v="11"/>
    <n v="1.1717400550842301"/>
    <n v="1.1709671020507799"/>
    <n v="7.7295303344999998E-4"/>
    <n v="1.16958999633789"/>
    <n v="1.16928267478943"/>
    <n v="3.0732154846000001E-4"/>
    <n v="-228"/>
    <n v="0"/>
    <s v="SL"/>
  </r>
  <r>
    <d v="2019-12-12T22:53:54"/>
    <n v="9422"/>
    <n v="7184"/>
    <n v="11"/>
    <x v="11"/>
    <n v="1.1717400550842301"/>
    <n v="1.1709671020507799"/>
    <n v="7.7295303344999998E-4"/>
    <n v="1.16958999633789"/>
    <n v="1.16928267478943"/>
    <n v="3.0732154846000001E-4"/>
    <n v="-228"/>
    <n v="0"/>
    <s v="SL"/>
  </r>
  <r>
    <d v="2019-12-12T22:54:00"/>
    <n v="9422"/>
    <n v="7184"/>
    <n v="11"/>
    <x v="11"/>
    <n v="1.1717400550842301"/>
    <n v="1.1709671020507799"/>
    <n v="7.7295303344999998E-4"/>
    <n v="1.16958999633789"/>
    <n v="1.16928267478943"/>
    <n v="3.0732154846000001E-4"/>
    <n v="-228"/>
    <n v="0"/>
    <s v="SL"/>
  </r>
  <r>
    <d v="2019-12-12T22:54:06"/>
    <n v="9422"/>
    <n v="7184"/>
    <n v="11"/>
    <x v="11"/>
    <n v="1.1717400550842301"/>
    <n v="1.1709671020507799"/>
    <n v="7.7295303344999998E-4"/>
    <n v="1.16958999633789"/>
    <n v="1.16928267478943"/>
    <n v="3.0732154846000001E-4"/>
    <n v="-228"/>
    <n v="0"/>
    <s v="SL"/>
  </r>
  <r>
    <d v="2019-12-12T22:54:12"/>
    <n v="9422"/>
    <n v="7184"/>
    <n v="11"/>
    <x v="11"/>
    <n v="1.1717400550842301"/>
    <n v="1.1709671020507799"/>
    <n v="7.7295303344999998E-4"/>
    <n v="1.16958999633789"/>
    <n v="1.16928267478943"/>
    <n v="3.0732154846000001E-4"/>
    <n v="-228"/>
    <n v="0"/>
    <s v="SL"/>
  </r>
  <r>
    <d v="2019-12-12T22:54:18"/>
    <n v="9422"/>
    <n v="7184"/>
    <n v="11"/>
    <x v="11"/>
    <n v="1.1717400550842301"/>
    <n v="1.1709671020507799"/>
    <n v="7.7295303344999998E-4"/>
    <n v="1.16958999633789"/>
    <n v="1.16928267478943"/>
    <n v="3.0732154846000001E-4"/>
    <n v="-228"/>
    <n v="0"/>
    <s v="SL"/>
  </r>
  <r>
    <d v="2019-12-12T22:54:25"/>
    <n v="9422"/>
    <n v="7184"/>
    <n v="11"/>
    <x v="11"/>
    <n v="1.1717400550842301"/>
    <n v="1.1709671020507799"/>
    <n v="7.7295303344999998E-4"/>
    <n v="1.16958999633789"/>
    <n v="1.16928267478943"/>
    <n v="3.0732154846000001E-4"/>
    <n v="-228"/>
    <n v="0"/>
    <s v="SL"/>
  </r>
  <r>
    <d v="2019-12-12T22:54:31"/>
    <n v="9422"/>
    <n v="7184"/>
    <n v="11"/>
    <x v="11"/>
    <n v="1.1717400550842301"/>
    <n v="1.1709671020507799"/>
    <n v="7.7295303344999998E-4"/>
    <n v="1.16958999633789"/>
    <n v="1.16928267478943"/>
    <n v="3.0732154846000001E-4"/>
    <n v="-228"/>
    <n v="0"/>
    <s v="SL"/>
  </r>
  <r>
    <d v="2019-12-12T22:54:38"/>
    <n v="9422"/>
    <n v="7184"/>
    <n v="11"/>
    <x v="11"/>
    <n v="1.1717400550842301"/>
    <n v="1.1709671020507799"/>
    <n v="7.7295303344999998E-4"/>
    <n v="1.16958999633789"/>
    <n v="1.16928267478943"/>
    <n v="3.0732154846000001E-4"/>
    <n v="-228"/>
    <n v="0"/>
    <s v="SL"/>
  </r>
  <r>
    <d v="2019-12-12T22:54:45"/>
    <n v="9422"/>
    <n v="7184"/>
    <n v="11"/>
    <x v="11"/>
    <n v="1.1717400550842301"/>
    <n v="1.1709671020507799"/>
    <n v="7.7295303344999998E-4"/>
    <n v="1.16958999633789"/>
    <n v="1.16928267478943"/>
    <n v="3.0732154846000001E-4"/>
    <n v="-228"/>
    <n v="0"/>
    <s v="SL"/>
  </r>
  <r>
    <d v="2019-12-12T22:54:52"/>
    <n v="9422"/>
    <n v="7184"/>
    <n v="11"/>
    <x v="11"/>
    <n v="1.1717400550842301"/>
    <n v="1.1709671020507799"/>
    <n v="7.7295303344999998E-4"/>
    <n v="1.16958999633789"/>
    <n v="1.16928267478943"/>
    <n v="3.0732154846000001E-4"/>
    <n v="-228"/>
    <n v="0"/>
    <s v="SL"/>
  </r>
  <r>
    <d v="2019-12-12T22:54:59"/>
    <n v="9422"/>
    <n v="7184"/>
    <n v="11"/>
    <x v="11"/>
    <n v="1.1717400550842301"/>
    <n v="1.1709671020507799"/>
    <n v="7.7295303344999998E-4"/>
    <n v="1.16958999633789"/>
    <n v="1.16928267478943"/>
    <n v="3.0732154846000001E-4"/>
    <n v="-228"/>
    <n v="0"/>
    <s v="SL"/>
  </r>
  <r>
    <d v="2019-12-12T22:55:05"/>
    <n v="9422"/>
    <n v="7184"/>
    <n v="11"/>
    <x v="11"/>
    <n v="1.1717400550842301"/>
    <n v="1.1709671020507799"/>
    <n v="7.7295303344999998E-4"/>
    <n v="1.16958999633789"/>
    <n v="1.16928267478943"/>
    <n v="3.0732154846000001E-4"/>
    <n v="-228"/>
    <n v="0"/>
    <s v="SL"/>
  </r>
  <r>
    <d v="2019-12-12T22:52:53"/>
    <n v="9422"/>
    <n v="7184"/>
    <n v="12"/>
    <x v="12"/>
    <n v="1.1703599691391"/>
    <n v="1.17119777202606"/>
    <n v="8.3780288696000003E-4"/>
    <n v="1.16743004322052"/>
    <n v="1.1696463823318499"/>
    <n v="2.2163391113299998E-3"/>
    <n v="-224"/>
    <n v="0"/>
    <s v="SL"/>
  </r>
  <r>
    <d v="2019-12-12T22:52:57"/>
    <n v="9422"/>
    <n v="7184"/>
    <n v="12"/>
    <x v="12"/>
    <n v="1.1703599691391"/>
    <n v="1.17119777202606"/>
    <n v="8.3780288696000003E-4"/>
    <n v="1.16743004322052"/>
    <n v="1.1696463823318499"/>
    <n v="2.2163391113299998E-3"/>
    <n v="-224"/>
    <n v="0"/>
    <s v="SL"/>
  </r>
  <r>
    <d v="2019-12-12T22:53:02"/>
    <n v="9422"/>
    <n v="7184"/>
    <n v="12"/>
    <x v="12"/>
    <n v="1.1703599691391"/>
    <n v="1.17119777202606"/>
    <n v="8.3780288696000003E-4"/>
    <n v="1.16743004322052"/>
    <n v="1.1696463823318499"/>
    <n v="2.2163391113299998E-3"/>
    <n v="-224"/>
    <n v="0"/>
    <s v="SL"/>
  </r>
  <r>
    <d v="2019-12-12T22:53:06"/>
    <n v="9422"/>
    <n v="7184"/>
    <n v="12"/>
    <x v="12"/>
    <n v="1.1703599691391"/>
    <n v="1.17119777202606"/>
    <n v="8.3780288696000003E-4"/>
    <n v="1.16743004322052"/>
    <n v="1.1696463823318499"/>
    <n v="2.2163391113299998E-3"/>
    <n v="-224"/>
    <n v="0"/>
    <s v="SL"/>
  </r>
  <r>
    <d v="2019-12-12T22:53:11"/>
    <n v="9422"/>
    <n v="7184"/>
    <n v="12"/>
    <x v="12"/>
    <n v="1.1703599691391"/>
    <n v="1.17119777202606"/>
    <n v="8.3780288696000003E-4"/>
    <n v="1.16743004322052"/>
    <n v="1.1696463823318499"/>
    <n v="2.2163391113299998E-3"/>
    <n v="-224"/>
    <n v="0"/>
    <s v="SL"/>
  </r>
  <r>
    <d v="2019-12-12T22:53:16"/>
    <n v="9422"/>
    <n v="7184"/>
    <n v="12"/>
    <x v="12"/>
    <n v="1.1703599691391"/>
    <n v="1.17119777202606"/>
    <n v="8.3780288696000003E-4"/>
    <n v="1.16743004322052"/>
    <n v="1.1696463823318499"/>
    <n v="2.2163391113299998E-3"/>
    <n v="-224"/>
    <n v="0"/>
    <s v="SL"/>
  </r>
  <r>
    <d v="2019-12-12T22:53:21"/>
    <n v="9422"/>
    <n v="7184"/>
    <n v="12"/>
    <x v="12"/>
    <n v="1.1703599691391"/>
    <n v="1.17119777202606"/>
    <n v="8.3780288696000003E-4"/>
    <n v="1.16743004322052"/>
    <n v="1.1696463823318499"/>
    <n v="2.2163391113299998E-3"/>
    <n v="-224"/>
    <n v="0"/>
    <s v="SL"/>
  </r>
  <r>
    <d v="2019-12-12T22:53:26"/>
    <n v="9422"/>
    <n v="7184"/>
    <n v="12"/>
    <x v="12"/>
    <n v="1.1703599691391"/>
    <n v="1.17119777202606"/>
    <n v="8.3780288696000003E-4"/>
    <n v="1.16743004322052"/>
    <n v="1.1696463823318499"/>
    <n v="2.2163391113299998E-3"/>
    <n v="-224"/>
    <n v="0"/>
    <s v="SL"/>
  </r>
  <r>
    <d v="2019-12-12T22:53:32"/>
    <n v="9422"/>
    <n v="7184"/>
    <n v="12"/>
    <x v="12"/>
    <n v="1.1703599691391"/>
    <n v="1.17119777202606"/>
    <n v="8.3780288696000003E-4"/>
    <n v="1.16743004322052"/>
    <n v="1.1696463823318499"/>
    <n v="2.2163391113299998E-3"/>
    <n v="-224"/>
    <n v="0"/>
    <s v="SL"/>
  </r>
  <r>
    <d v="2019-12-12T22:53:37"/>
    <n v="9422"/>
    <n v="7184"/>
    <n v="12"/>
    <x v="12"/>
    <n v="1.1703599691391"/>
    <n v="1.17119777202606"/>
    <n v="8.3780288696000003E-4"/>
    <n v="1.16743004322052"/>
    <n v="1.1696463823318499"/>
    <n v="2.2163391113299998E-3"/>
    <n v="-224"/>
    <n v="0"/>
    <s v="SL"/>
  </r>
  <r>
    <d v="2019-12-12T22:53:43"/>
    <n v="9422"/>
    <n v="7184"/>
    <n v="12"/>
    <x v="12"/>
    <n v="1.1703599691391"/>
    <n v="1.17119777202606"/>
    <n v="8.3780288696000003E-4"/>
    <n v="1.16743004322052"/>
    <n v="1.1696463823318499"/>
    <n v="2.2163391113299998E-3"/>
    <n v="-224"/>
    <n v="0"/>
    <s v="SL"/>
  </r>
  <r>
    <d v="2019-12-12T22:53:49"/>
    <n v="9422"/>
    <n v="7184"/>
    <n v="12"/>
    <x v="12"/>
    <n v="1.1703599691391"/>
    <n v="1.17119777202606"/>
    <n v="8.3780288696000003E-4"/>
    <n v="1.16743004322052"/>
    <n v="1.1696463823318499"/>
    <n v="2.2163391113299998E-3"/>
    <n v="-224"/>
    <n v="0"/>
    <s v="SL"/>
  </r>
  <r>
    <d v="2019-12-12T22:53:54"/>
    <n v="9422"/>
    <n v="7184"/>
    <n v="12"/>
    <x v="12"/>
    <n v="1.1703599691391"/>
    <n v="1.17119777202606"/>
    <n v="8.3780288696000003E-4"/>
    <n v="1.16743004322052"/>
    <n v="1.1696463823318499"/>
    <n v="2.2163391113299998E-3"/>
    <n v="-224"/>
    <n v="0"/>
    <s v="SL"/>
  </r>
  <r>
    <d v="2019-12-12T22:54:00"/>
    <n v="9422"/>
    <n v="7184"/>
    <n v="12"/>
    <x v="12"/>
    <n v="1.1703599691391"/>
    <n v="1.17119777202606"/>
    <n v="8.3780288696000003E-4"/>
    <n v="1.16743004322052"/>
    <n v="1.1696463823318499"/>
    <n v="2.2163391113299998E-3"/>
    <n v="-224"/>
    <n v="0"/>
    <s v="SL"/>
  </r>
  <r>
    <d v="2019-12-12T22:54:06"/>
    <n v="9422"/>
    <n v="7184"/>
    <n v="12"/>
    <x v="12"/>
    <n v="1.1703599691391"/>
    <n v="1.17119777202606"/>
    <n v="8.3780288696000003E-4"/>
    <n v="1.16743004322052"/>
    <n v="1.1696463823318499"/>
    <n v="2.2163391113299998E-3"/>
    <n v="-224"/>
    <n v="0"/>
    <s v="SL"/>
  </r>
  <r>
    <d v="2019-12-12T22:54:12"/>
    <n v="9422"/>
    <n v="7184"/>
    <n v="12"/>
    <x v="12"/>
    <n v="1.1703599691391"/>
    <n v="1.17119777202606"/>
    <n v="8.3780288696000003E-4"/>
    <n v="1.16743004322052"/>
    <n v="1.1696463823318499"/>
    <n v="2.2163391113299998E-3"/>
    <n v="-224"/>
    <n v="0"/>
    <s v="SL"/>
  </r>
  <r>
    <d v="2019-12-12T22:54:18"/>
    <n v="9422"/>
    <n v="7184"/>
    <n v="12"/>
    <x v="12"/>
    <n v="1.1703599691391"/>
    <n v="1.17119777202606"/>
    <n v="8.3780288696000003E-4"/>
    <n v="1.16743004322052"/>
    <n v="1.1696463823318499"/>
    <n v="2.2163391113299998E-3"/>
    <n v="-224"/>
    <n v="0"/>
    <s v="SL"/>
  </r>
  <r>
    <d v="2019-12-12T22:54:25"/>
    <n v="9422"/>
    <n v="7184"/>
    <n v="12"/>
    <x v="12"/>
    <n v="1.1703599691391"/>
    <n v="1.17119777202606"/>
    <n v="8.3780288696000003E-4"/>
    <n v="1.16743004322052"/>
    <n v="1.1696463823318499"/>
    <n v="2.2163391113299998E-3"/>
    <n v="-224"/>
    <n v="0"/>
    <s v="SL"/>
  </r>
  <r>
    <d v="2019-12-12T22:54:31"/>
    <n v="9422"/>
    <n v="7184"/>
    <n v="12"/>
    <x v="12"/>
    <n v="1.1703599691391"/>
    <n v="1.17119777202606"/>
    <n v="8.3780288696000003E-4"/>
    <n v="1.16743004322052"/>
    <n v="1.1696463823318499"/>
    <n v="2.2163391113299998E-3"/>
    <n v="-224"/>
    <n v="0"/>
    <s v="SL"/>
  </r>
  <r>
    <d v="2019-12-12T22:54:38"/>
    <n v="9422"/>
    <n v="7184"/>
    <n v="12"/>
    <x v="12"/>
    <n v="1.1703599691391"/>
    <n v="1.17119777202606"/>
    <n v="8.3780288696000003E-4"/>
    <n v="1.16743004322052"/>
    <n v="1.1696463823318499"/>
    <n v="2.2163391113299998E-3"/>
    <n v="-224"/>
    <n v="0"/>
    <s v="SL"/>
  </r>
  <r>
    <d v="2019-12-12T22:54:45"/>
    <n v="9422"/>
    <n v="7184"/>
    <n v="12"/>
    <x v="12"/>
    <n v="1.1703599691391"/>
    <n v="1.17119777202606"/>
    <n v="8.3780288696000003E-4"/>
    <n v="1.16743004322052"/>
    <n v="1.1696463823318499"/>
    <n v="2.2163391113299998E-3"/>
    <n v="-224"/>
    <n v="0"/>
    <s v="SL"/>
  </r>
  <r>
    <d v="2019-12-12T22:54:52"/>
    <n v="9422"/>
    <n v="7184"/>
    <n v="12"/>
    <x v="12"/>
    <n v="1.1703599691391"/>
    <n v="1.17119777202606"/>
    <n v="8.3780288696000003E-4"/>
    <n v="1.16743004322052"/>
    <n v="1.1696463823318499"/>
    <n v="2.2163391113299998E-3"/>
    <n v="-224"/>
    <n v="0"/>
    <s v="SL"/>
  </r>
  <r>
    <d v="2019-12-12T22:54:59"/>
    <n v="9422"/>
    <n v="7184"/>
    <n v="12"/>
    <x v="12"/>
    <n v="1.1703599691391"/>
    <n v="1.17119777202606"/>
    <n v="8.3780288696000003E-4"/>
    <n v="1.16743004322052"/>
    <n v="1.1696463823318499"/>
    <n v="2.2163391113299998E-3"/>
    <n v="-224"/>
    <n v="0"/>
    <s v="SL"/>
  </r>
  <r>
    <d v="2019-12-12T22:55:05"/>
    <n v="9422"/>
    <n v="7184"/>
    <n v="12"/>
    <x v="12"/>
    <n v="1.1703599691391"/>
    <n v="1.17119777202606"/>
    <n v="8.3780288696000003E-4"/>
    <n v="1.16743004322052"/>
    <n v="1.1696463823318499"/>
    <n v="2.2163391113299998E-3"/>
    <n v="-224"/>
    <n v="0"/>
    <s v="SL"/>
  </r>
  <r>
    <d v="2019-12-12T22:52:53"/>
    <n v="9422"/>
    <n v="7184"/>
    <n v="13"/>
    <x v="13"/>
    <n v="1.16990995407104"/>
    <n v="1.1697381734848"/>
    <n v="1.7178058624E-4"/>
    <n v="1.16839003562927"/>
    <n v="1.1676117181778001"/>
    <n v="7.7831745147E-4"/>
    <n v="-276"/>
    <n v="0"/>
    <s v="CLOSE"/>
  </r>
  <r>
    <d v="2019-12-12T22:52:57"/>
    <n v="9422"/>
    <n v="7184"/>
    <n v="13"/>
    <x v="13"/>
    <n v="1.16990995407104"/>
    <n v="1.1697381734848"/>
    <n v="1.7178058624E-4"/>
    <n v="1.16839003562927"/>
    <n v="1.1676117181778001"/>
    <n v="7.7831745147E-4"/>
    <n v="-276"/>
    <n v="0"/>
    <s v="CLOSE"/>
  </r>
  <r>
    <d v="2019-12-12T22:53:02"/>
    <n v="9422"/>
    <n v="7184"/>
    <n v="13"/>
    <x v="13"/>
    <n v="1.16990995407104"/>
    <n v="1.1697381734848"/>
    <n v="1.7178058624E-4"/>
    <n v="1.16839003562927"/>
    <n v="1.1676117181778001"/>
    <n v="7.7831745147E-4"/>
    <n v="-276"/>
    <n v="0"/>
    <s v="CLOSE"/>
  </r>
  <r>
    <d v="2019-12-12T22:53:06"/>
    <n v="9422"/>
    <n v="7184"/>
    <n v="13"/>
    <x v="13"/>
    <n v="1.16990995407104"/>
    <n v="1.1697381734848"/>
    <n v="1.7178058624E-4"/>
    <n v="1.16839003562927"/>
    <n v="1.1676117181778001"/>
    <n v="7.7831745147E-4"/>
    <n v="-276"/>
    <n v="0"/>
    <s v="CLOSE"/>
  </r>
  <r>
    <d v="2019-12-12T22:53:11"/>
    <n v="9422"/>
    <n v="7184"/>
    <n v="13"/>
    <x v="13"/>
    <n v="1.16990995407104"/>
    <n v="1.1697381734848"/>
    <n v="1.7178058624E-4"/>
    <n v="1.16839003562927"/>
    <n v="1.1676117181778001"/>
    <n v="7.7831745147E-4"/>
    <n v="-276"/>
    <n v="0"/>
    <s v="CLOSE"/>
  </r>
  <r>
    <d v="2019-12-12T22:53:16"/>
    <n v="9422"/>
    <n v="7184"/>
    <n v="13"/>
    <x v="13"/>
    <n v="1.16990995407104"/>
    <n v="1.1697381734848"/>
    <n v="1.7178058624E-4"/>
    <n v="1.16839003562927"/>
    <n v="1.1676117181778001"/>
    <n v="7.7831745147E-4"/>
    <n v="-276"/>
    <n v="0"/>
    <s v="CLOSE"/>
  </r>
  <r>
    <d v="2019-12-12T22:53:21"/>
    <n v="9422"/>
    <n v="7184"/>
    <n v="13"/>
    <x v="13"/>
    <n v="1.16990995407104"/>
    <n v="1.1697381734848"/>
    <n v="1.7178058624E-4"/>
    <n v="1.16839003562927"/>
    <n v="1.1676117181778001"/>
    <n v="7.7831745147E-4"/>
    <n v="-276"/>
    <n v="0"/>
    <s v="CLOSE"/>
  </r>
  <r>
    <d v="2019-12-12T22:53:26"/>
    <n v="9422"/>
    <n v="7184"/>
    <n v="13"/>
    <x v="13"/>
    <n v="1.16990995407104"/>
    <n v="1.1697381734848"/>
    <n v="1.7178058624E-4"/>
    <n v="1.16839003562927"/>
    <n v="1.1676117181778001"/>
    <n v="7.7831745147E-4"/>
    <n v="-276"/>
    <n v="0"/>
    <s v="CLOSE"/>
  </r>
  <r>
    <d v="2019-12-12T22:53:32"/>
    <n v="9422"/>
    <n v="7184"/>
    <n v="13"/>
    <x v="13"/>
    <n v="1.16990995407104"/>
    <n v="1.1697381734848"/>
    <n v="1.7178058624E-4"/>
    <n v="1.16839003562927"/>
    <n v="1.1676117181778001"/>
    <n v="7.7831745147E-4"/>
    <n v="-276"/>
    <n v="0"/>
    <s v="CLOSE"/>
  </r>
  <r>
    <d v="2019-12-12T22:53:37"/>
    <n v="9422"/>
    <n v="7184"/>
    <n v="13"/>
    <x v="13"/>
    <n v="1.16990995407104"/>
    <n v="1.1697381734848"/>
    <n v="1.7178058624E-4"/>
    <n v="1.16839003562927"/>
    <n v="1.1676117181778001"/>
    <n v="7.7831745147E-4"/>
    <n v="-276"/>
    <n v="0"/>
    <s v="CLOSE"/>
  </r>
  <r>
    <d v="2019-12-12T22:53:43"/>
    <n v="9422"/>
    <n v="7184"/>
    <n v="13"/>
    <x v="13"/>
    <n v="1.16990995407104"/>
    <n v="1.1697381734848"/>
    <n v="1.7178058624E-4"/>
    <n v="1.16839003562927"/>
    <n v="1.1676117181778001"/>
    <n v="7.7831745147E-4"/>
    <n v="-276"/>
    <n v="0"/>
    <s v="CLOSE"/>
  </r>
  <r>
    <d v="2019-12-12T22:53:49"/>
    <n v="9422"/>
    <n v="7184"/>
    <n v="13"/>
    <x v="13"/>
    <n v="1.16990995407104"/>
    <n v="1.1697381734848"/>
    <n v="1.7178058624E-4"/>
    <n v="1.16839003562927"/>
    <n v="1.1676117181778001"/>
    <n v="7.7831745147E-4"/>
    <n v="-276"/>
    <n v="0"/>
    <s v="CLOSE"/>
  </r>
  <r>
    <d v="2019-12-12T22:53:54"/>
    <n v="9422"/>
    <n v="7184"/>
    <n v="13"/>
    <x v="13"/>
    <n v="1.16990995407104"/>
    <n v="1.1697381734848"/>
    <n v="1.7178058624E-4"/>
    <n v="1.16839003562927"/>
    <n v="1.1676117181778001"/>
    <n v="7.7831745147E-4"/>
    <n v="-276"/>
    <n v="0"/>
    <s v="CLOSE"/>
  </r>
  <r>
    <d v="2019-12-12T22:54:00"/>
    <n v="9422"/>
    <n v="7184"/>
    <n v="13"/>
    <x v="13"/>
    <n v="1.16990995407104"/>
    <n v="1.1697381734848"/>
    <n v="1.7178058624E-4"/>
    <n v="1.16839003562927"/>
    <n v="1.1676117181778001"/>
    <n v="7.7831745147E-4"/>
    <n v="-276"/>
    <n v="0"/>
    <s v="CLOSE"/>
  </r>
  <r>
    <d v="2019-12-12T22:54:06"/>
    <n v="9422"/>
    <n v="7184"/>
    <n v="13"/>
    <x v="13"/>
    <n v="1.16990995407104"/>
    <n v="1.1697381734848"/>
    <n v="1.7178058624E-4"/>
    <n v="1.16839003562927"/>
    <n v="1.1676117181778001"/>
    <n v="7.7831745147E-4"/>
    <n v="-276"/>
    <n v="0"/>
    <s v="CLOSE"/>
  </r>
  <r>
    <d v="2019-12-12T22:54:12"/>
    <n v="9422"/>
    <n v="7184"/>
    <n v="13"/>
    <x v="13"/>
    <n v="1.16990995407104"/>
    <n v="1.1697381734848"/>
    <n v="1.7178058624E-4"/>
    <n v="1.16839003562927"/>
    <n v="1.1676117181778001"/>
    <n v="7.7831745147E-4"/>
    <n v="-276"/>
    <n v="0"/>
    <s v="CLOSE"/>
  </r>
  <r>
    <d v="2019-12-12T22:54:18"/>
    <n v="9422"/>
    <n v="7184"/>
    <n v="13"/>
    <x v="13"/>
    <n v="1.16990995407104"/>
    <n v="1.1697381734848"/>
    <n v="1.7178058624E-4"/>
    <n v="1.16839003562927"/>
    <n v="1.1676117181778001"/>
    <n v="7.7831745147E-4"/>
    <n v="-276"/>
    <n v="0"/>
    <s v="CLOSE"/>
  </r>
  <r>
    <d v="2019-12-12T22:54:25"/>
    <n v="9422"/>
    <n v="7184"/>
    <n v="13"/>
    <x v="13"/>
    <n v="1.16990995407104"/>
    <n v="1.1697381734848"/>
    <n v="1.7178058624E-4"/>
    <n v="1.16839003562927"/>
    <n v="1.1676117181778001"/>
    <n v="7.7831745147E-4"/>
    <n v="-276"/>
    <n v="0"/>
    <s v="CLOSE"/>
  </r>
  <r>
    <d v="2019-12-12T22:54:31"/>
    <n v="9422"/>
    <n v="7184"/>
    <n v="13"/>
    <x v="13"/>
    <n v="1.16990995407104"/>
    <n v="1.1697381734848"/>
    <n v="1.7178058624E-4"/>
    <n v="1.16839003562927"/>
    <n v="1.1676117181778001"/>
    <n v="7.7831745147E-4"/>
    <n v="-276"/>
    <n v="0"/>
    <s v="CLOSE"/>
  </r>
  <r>
    <d v="2019-12-12T22:54:38"/>
    <n v="9422"/>
    <n v="7184"/>
    <n v="13"/>
    <x v="13"/>
    <n v="1.16990995407104"/>
    <n v="1.1697381734848"/>
    <n v="1.7178058624E-4"/>
    <n v="1.16839003562927"/>
    <n v="1.1676117181778001"/>
    <n v="7.7831745147E-4"/>
    <n v="-276"/>
    <n v="0"/>
    <s v="CLOSE"/>
  </r>
  <r>
    <d v="2019-12-12T22:54:45"/>
    <n v="9422"/>
    <n v="7184"/>
    <n v="13"/>
    <x v="13"/>
    <n v="1.16990995407104"/>
    <n v="1.1697381734848"/>
    <n v="1.7178058624E-4"/>
    <n v="1.16839003562927"/>
    <n v="1.1676117181778001"/>
    <n v="7.7831745147E-4"/>
    <n v="-276"/>
    <n v="0"/>
    <s v="CLOSE"/>
  </r>
  <r>
    <d v="2019-12-12T22:54:52"/>
    <n v="9422"/>
    <n v="7184"/>
    <n v="13"/>
    <x v="13"/>
    <n v="1.16990995407104"/>
    <n v="1.1697381734848"/>
    <n v="1.7178058624E-4"/>
    <n v="1.16839003562927"/>
    <n v="1.1676117181778001"/>
    <n v="7.7831745147E-4"/>
    <n v="-276"/>
    <n v="0"/>
    <s v="CLOSE"/>
  </r>
  <r>
    <d v="2019-12-12T22:54:59"/>
    <n v="9422"/>
    <n v="7184"/>
    <n v="13"/>
    <x v="13"/>
    <n v="1.16990995407104"/>
    <n v="1.1697381734848"/>
    <n v="1.7178058624E-4"/>
    <n v="1.16839003562927"/>
    <n v="1.1676117181778001"/>
    <n v="7.7831745147E-4"/>
    <n v="-276"/>
    <n v="0"/>
    <s v="CLOSE"/>
  </r>
  <r>
    <d v="2019-12-12T22:55:05"/>
    <n v="9422"/>
    <n v="7184"/>
    <n v="13"/>
    <x v="13"/>
    <n v="1.16990995407104"/>
    <n v="1.1697381734848"/>
    <n v="1.7178058624E-4"/>
    <n v="1.16839003562927"/>
    <n v="1.1676117181778001"/>
    <n v="7.7831745147E-4"/>
    <n v="-276"/>
    <n v="0"/>
    <s v="CLOSE"/>
  </r>
  <r>
    <d v="2019-12-12T22:52:53"/>
    <n v="9422"/>
    <n v="7184"/>
    <n v="14"/>
    <x v="14"/>
    <n v="1.17081999778748"/>
    <n v="1.17053127288818"/>
    <n v="2.887248993E-4"/>
    <n v="1.1690599918365501"/>
    <n v="1.1686720848083501"/>
    <n v="3.879070282E-4"/>
    <n v="2"/>
    <n v="0"/>
    <s v="CLOSE"/>
  </r>
  <r>
    <d v="2019-12-12T22:52:57"/>
    <n v="9422"/>
    <n v="7184"/>
    <n v="14"/>
    <x v="14"/>
    <n v="1.17081999778748"/>
    <n v="1.17053127288818"/>
    <n v="2.887248993E-4"/>
    <n v="1.1690599918365501"/>
    <n v="1.1686720848083501"/>
    <n v="3.879070282E-4"/>
    <n v="2"/>
    <n v="0"/>
    <s v="CLOSE"/>
  </r>
  <r>
    <d v="2019-12-12T22:53:02"/>
    <n v="9422"/>
    <n v="7184"/>
    <n v="14"/>
    <x v="14"/>
    <n v="1.17081999778748"/>
    <n v="1.17053127288818"/>
    <n v="2.887248993E-4"/>
    <n v="1.1690599918365501"/>
    <n v="1.1686720848083501"/>
    <n v="3.879070282E-4"/>
    <n v="2"/>
    <n v="0"/>
    <s v="CLOSE"/>
  </r>
  <r>
    <d v="2019-12-12T22:53:06"/>
    <n v="9422"/>
    <n v="7184"/>
    <n v="14"/>
    <x v="14"/>
    <n v="1.17081999778748"/>
    <n v="1.17053127288818"/>
    <n v="2.887248993E-4"/>
    <n v="1.1690599918365501"/>
    <n v="1.1686720848083501"/>
    <n v="3.879070282E-4"/>
    <n v="2"/>
    <n v="0"/>
    <s v="CLOSE"/>
  </r>
  <r>
    <d v="2019-12-12T22:53:11"/>
    <n v="9422"/>
    <n v="7184"/>
    <n v="14"/>
    <x v="14"/>
    <n v="1.17081999778748"/>
    <n v="1.17053127288818"/>
    <n v="2.887248993E-4"/>
    <n v="1.1690599918365501"/>
    <n v="1.1686720848083501"/>
    <n v="3.879070282E-4"/>
    <n v="2"/>
    <n v="0"/>
    <s v="CLOSE"/>
  </r>
  <r>
    <d v="2019-12-12T22:53:16"/>
    <n v="9422"/>
    <n v="7184"/>
    <n v="14"/>
    <x v="14"/>
    <n v="1.17081999778748"/>
    <n v="1.17053127288818"/>
    <n v="2.887248993E-4"/>
    <n v="1.1690599918365501"/>
    <n v="1.1686720848083501"/>
    <n v="3.879070282E-4"/>
    <n v="2"/>
    <n v="0"/>
    <s v="CLOSE"/>
  </r>
  <r>
    <d v="2019-12-12T22:53:21"/>
    <n v="9422"/>
    <n v="7184"/>
    <n v="14"/>
    <x v="14"/>
    <n v="1.17081999778748"/>
    <n v="1.17053127288818"/>
    <n v="2.887248993E-4"/>
    <n v="1.1690599918365501"/>
    <n v="1.1686720848083501"/>
    <n v="3.879070282E-4"/>
    <n v="2"/>
    <n v="0"/>
    <s v="CLOSE"/>
  </r>
  <r>
    <d v="2019-12-12T22:53:26"/>
    <n v="9422"/>
    <n v="7184"/>
    <n v="14"/>
    <x v="14"/>
    <n v="1.17081999778748"/>
    <n v="1.17053127288818"/>
    <n v="2.887248993E-4"/>
    <n v="1.1690599918365501"/>
    <n v="1.1686720848083501"/>
    <n v="3.879070282E-4"/>
    <n v="2"/>
    <n v="0"/>
    <s v="CLOSE"/>
  </r>
  <r>
    <d v="2019-12-12T22:53:32"/>
    <n v="9422"/>
    <n v="7184"/>
    <n v="14"/>
    <x v="14"/>
    <n v="1.17081999778748"/>
    <n v="1.17053127288818"/>
    <n v="2.887248993E-4"/>
    <n v="1.1690599918365501"/>
    <n v="1.1686720848083501"/>
    <n v="3.879070282E-4"/>
    <n v="2"/>
    <n v="0"/>
    <s v="CLOSE"/>
  </r>
  <r>
    <d v="2019-12-12T22:53:37"/>
    <n v="9422"/>
    <n v="7184"/>
    <n v="14"/>
    <x v="14"/>
    <n v="1.17081999778748"/>
    <n v="1.17053127288818"/>
    <n v="2.887248993E-4"/>
    <n v="1.1690599918365501"/>
    <n v="1.1686720848083501"/>
    <n v="3.879070282E-4"/>
    <n v="2"/>
    <n v="0"/>
    <s v="CLOSE"/>
  </r>
  <r>
    <d v="2019-12-12T22:53:43"/>
    <n v="9422"/>
    <n v="7184"/>
    <n v="14"/>
    <x v="14"/>
    <n v="1.17081999778748"/>
    <n v="1.17053127288818"/>
    <n v="2.887248993E-4"/>
    <n v="1.1690599918365501"/>
    <n v="1.1686720848083501"/>
    <n v="3.879070282E-4"/>
    <n v="2"/>
    <n v="0"/>
    <s v="CLOSE"/>
  </r>
  <r>
    <d v="2019-12-12T22:53:49"/>
    <n v="9422"/>
    <n v="7184"/>
    <n v="14"/>
    <x v="14"/>
    <n v="1.17081999778748"/>
    <n v="1.17053127288818"/>
    <n v="2.887248993E-4"/>
    <n v="1.1690599918365501"/>
    <n v="1.1686720848083501"/>
    <n v="3.879070282E-4"/>
    <n v="2"/>
    <n v="0"/>
    <s v="CLOSE"/>
  </r>
  <r>
    <d v="2019-12-12T22:53:54"/>
    <n v="9422"/>
    <n v="7184"/>
    <n v="14"/>
    <x v="14"/>
    <n v="1.17081999778748"/>
    <n v="1.17053127288818"/>
    <n v="2.887248993E-4"/>
    <n v="1.1690599918365501"/>
    <n v="1.1686720848083501"/>
    <n v="3.879070282E-4"/>
    <n v="2"/>
    <n v="0"/>
    <s v="CLOSE"/>
  </r>
  <r>
    <d v="2019-12-12T22:54:00"/>
    <n v="9422"/>
    <n v="7184"/>
    <n v="14"/>
    <x v="14"/>
    <n v="1.17081999778748"/>
    <n v="1.17053127288818"/>
    <n v="2.887248993E-4"/>
    <n v="1.1690599918365501"/>
    <n v="1.1686720848083501"/>
    <n v="3.879070282E-4"/>
    <n v="2"/>
    <n v="0"/>
    <s v="CLOSE"/>
  </r>
  <r>
    <d v="2019-12-12T22:54:06"/>
    <n v="9422"/>
    <n v="7184"/>
    <n v="14"/>
    <x v="14"/>
    <n v="1.17081999778748"/>
    <n v="1.17053127288818"/>
    <n v="2.887248993E-4"/>
    <n v="1.1690599918365501"/>
    <n v="1.1686720848083501"/>
    <n v="3.879070282E-4"/>
    <n v="2"/>
    <n v="0"/>
    <s v="CLOSE"/>
  </r>
  <r>
    <d v="2019-12-12T22:54:12"/>
    <n v="9422"/>
    <n v="7184"/>
    <n v="14"/>
    <x v="14"/>
    <n v="1.17081999778748"/>
    <n v="1.17053127288818"/>
    <n v="2.887248993E-4"/>
    <n v="1.1690599918365501"/>
    <n v="1.1686720848083501"/>
    <n v="3.879070282E-4"/>
    <n v="2"/>
    <n v="0"/>
    <s v="CLOSE"/>
  </r>
  <r>
    <d v="2019-12-12T22:54:18"/>
    <n v="9422"/>
    <n v="7184"/>
    <n v="14"/>
    <x v="14"/>
    <n v="1.17081999778748"/>
    <n v="1.17053127288818"/>
    <n v="2.887248993E-4"/>
    <n v="1.1690599918365501"/>
    <n v="1.1686720848083501"/>
    <n v="3.879070282E-4"/>
    <n v="2"/>
    <n v="0"/>
    <s v="CLOSE"/>
  </r>
  <r>
    <d v="2019-12-12T22:54:25"/>
    <n v="9422"/>
    <n v="7184"/>
    <n v="14"/>
    <x v="14"/>
    <n v="1.17081999778748"/>
    <n v="1.17053127288818"/>
    <n v="2.887248993E-4"/>
    <n v="1.1690599918365501"/>
    <n v="1.1686720848083501"/>
    <n v="3.879070282E-4"/>
    <n v="2"/>
    <n v="0"/>
    <s v="CLOSE"/>
  </r>
  <r>
    <d v="2019-12-12T22:54:31"/>
    <n v="9422"/>
    <n v="7184"/>
    <n v="14"/>
    <x v="14"/>
    <n v="1.17081999778748"/>
    <n v="1.17053127288818"/>
    <n v="2.887248993E-4"/>
    <n v="1.1690599918365501"/>
    <n v="1.1686720848083501"/>
    <n v="3.879070282E-4"/>
    <n v="2"/>
    <n v="0"/>
    <s v="CLOSE"/>
  </r>
  <r>
    <d v="2019-12-12T22:54:38"/>
    <n v="9422"/>
    <n v="7184"/>
    <n v="14"/>
    <x v="14"/>
    <n v="1.17081999778748"/>
    <n v="1.17053127288818"/>
    <n v="2.887248993E-4"/>
    <n v="1.1690599918365501"/>
    <n v="1.1686720848083501"/>
    <n v="3.879070282E-4"/>
    <n v="2"/>
    <n v="0"/>
    <s v="CLOSE"/>
  </r>
  <r>
    <d v="2019-12-12T22:54:45"/>
    <n v="9422"/>
    <n v="7184"/>
    <n v="14"/>
    <x v="14"/>
    <n v="1.17081999778748"/>
    <n v="1.17053127288818"/>
    <n v="2.887248993E-4"/>
    <n v="1.1690599918365501"/>
    <n v="1.1686720848083501"/>
    <n v="3.879070282E-4"/>
    <n v="2"/>
    <n v="0"/>
    <s v="CLOSE"/>
  </r>
  <r>
    <d v="2019-12-12T22:54:52"/>
    <n v="9422"/>
    <n v="7184"/>
    <n v="14"/>
    <x v="14"/>
    <n v="1.17081999778748"/>
    <n v="1.17053127288818"/>
    <n v="2.887248993E-4"/>
    <n v="1.1690599918365501"/>
    <n v="1.1686720848083501"/>
    <n v="3.879070282E-4"/>
    <n v="2"/>
    <n v="0"/>
    <s v="CLOSE"/>
  </r>
  <r>
    <d v="2019-12-12T22:54:59"/>
    <n v="9422"/>
    <n v="7184"/>
    <n v="14"/>
    <x v="14"/>
    <n v="1.17081999778748"/>
    <n v="1.17053127288818"/>
    <n v="2.887248993E-4"/>
    <n v="1.1690599918365501"/>
    <n v="1.1686720848083501"/>
    <n v="3.879070282E-4"/>
    <n v="2"/>
    <n v="0"/>
    <s v="CLOSE"/>
  </r>
  <r>
    <d v="2019-12-12T22:55:05"/>
    <n v="9422"/>
    <n v="7184"/>
    <n v="14"/>
    <x v="14"/>
    <n v="1.17081999778748"/>
    <n v="1.17053127288818"/>
    <n v="2.887248993E-4"/>
    <n v="1.1690599918365501"/>
    <n v="1.1686720848083501"/>
    <n v="3.879070282E-4"/>
    <n v="2"/>
    <n v="0"/>
    <s v="CLOSE"/>
  </r>
  <r>
    <d v="2019-12-12T22:52:53"/>
    <n v="9422"/>
    <n v="7184"/>
    <n v="15"/>
    <x v="15"/>
    <n v="1.1698299646377599"/>
    <n v="1.17062151432037"/>
    <n v="7.9154968261E-4"/>
    <n v="1.1681499481201201"/>
    <n v="1.16858351230621"/>
    <n v="4.3356418609000002E-4"/>
    <n v="164"/>
    <n v="0"/>
    <s v="TP"/>
  </r>
  <r>
    <d v="2019-12-12T22:52:57"/>
    <n v="9422"/>
    <n v="7184"/>
    <n v="15"/>
    <x v="15"/>
    <n v="1.1698299646377599"/>
    <n v="1.17062151432037"/>
    <n v="7.9154968261E-4"/>
    <n v="1.1681499481201201"/>
    <n v="1.16858351230621"/>
    <n v="4.3356418609000002E-4"/>
    <n v="164"/>
    <n v="0"/>
    <s v="TP"/>
  </r>
  <r>
    <d v="2019-12-12T22:53:02"/>
    <n v="9422"/>
    <n v="7184"/>
    <n v="15"/>
    <x v="15"/>
    <n v="1.1698299646377599"/>
    <n v="1.17062151432037"/>
    <n v="7.9154968261E-4"/>
    <n v="1.1681499481201201"/>
    <n v="1.16858351230621"/>
    <n v="4.3356418609000002E-4"/>
    <n v="164"/>
    <n v="0"/>
    <s v="TP"/>
  </r>
  <r>
    <d v="2019-12-12T22:53:06"/>
    <n v="9422"/>
    <n v="7184"/>
    <n v="15"/>
    <x v="15"/>
    <n v="1.1698299646377599"/>
    <n v="1.17062151432037"/>
    <n v="7.9154968261E-4"/>
    <n v="1.1681499481201201"/>
    <n v="1.16858351230621"/>
    <n v="4.3356418609000002E-4"/>
    <n v="164"/>
    <n v="0"/>
    <s v="TP"/>
  </r>
  <r>
    <d v="2019-12-12T22:53:11"/>
    <n v="9422"/>
    <n v="7184"/>
    <n v="15"/>
    <x v="15"/>
    <n v="1.1698299646377599"/>
    <n v="1.17062151432037"/>
    <n v="7.9154968261E-4"/>
    <n v="1.1681499481201201"/>
    <n v="1.16858351230621"/>
    <n v="4.3356418609000002E-4"/>
    <n v="164"/>
    <n v="0"/>
    <s v="TP"/>
  </r>
  <r>
    <d v="2019-12-12T22:53:16"/>
    <n v="9422"/>
    <n v="7184"/>
    <n v="15"/>
    <x v="15"/>
    <n v="1.1698299646377599"/>
    <n v="1.17062151432037"/>
    <n v="7.9154968261E-4"/>
    <n v="1.1681499481201201"/>
    <n v="1.16858351230621"/>
    <n v="4.3356418609000002E-4"/>
    <n v="164"/>
    <n v="0"/>
    <s v="TP"/>
  </r>
  <r>
    <d v="2019-12-12T22:53:21"/>
    <n v="9422"/>
    <n v="7184"/>
    <n v="15"/>
    <x v="15"/>
    <n v="1.1698299646377599"/>
    <n v="1.17062151432037"/>
    <n v="7.9154968261E-4"/>
    <n v="1.1681499481201201"/>
    <n v="1.16858351230621"/>
    <n v="4.3356418609000002E-4"/>
    <n v="164"/>
    <n v="0"/>
    <s v="TP"/>
  </r>
  <r>
    <d v="2019-12-12T22:53:26"/>
    <n v="9422"/>
    <n v="7184"/>
    <n v="15"/>
    <x v="15"/>
    <n v="1.1698299646377599"/>
    <n v="1.17062151432037"/>
    <n v="7.9154968261E-4"/>
    <n v="1.1681499481201201"/>
    <n v="1.16858351230621"/>
    <n v="4.3356418609000002E-4"/>
    <n v="164"/>
    <n v="0"/>
    <s v="TP"/>
  </r>
  <r>
    <d v="2019-12-12T22:53:32"/>
    <n v="9422"/>
    <n v="7184"/>
    <n v="15"/>
    <x v="15"/>
    <n v="1.1698299646377599"/>
    <n v="1.17062151432037"/>
    <n v="7.9154968261E-4"/>
    <n v="1.1681499481201201"/>
    <n v="1.16858351230621"/>
    <n v="4.3356418609000002E-4"/>
    <n v="164"/>
    <n v="0"/>
    <s v="TP"/>
  </r>
  <r>
    <d v="2019-12-12T22:53:37"/>
    <n v="9422"/>
    <n v="7184"/>
    <n v="15"/>
    <x v="15"/>
    <n v="1.1698299646377599"/>
    <n v="1.17062151432037"/>
    <n v="7.9154968261E-4"/>
    <n v="1.1681499481201201"/>
    <n v="1.16858351230621"/>
    <n v="4.3356418609000002E-4"/>
    <n v="164"/>
    <n v="0"/>
    <s v="TP"/>
  </r>
  <r>
    <d v="2019-12-12T22:53:43"/>
    <n v="9422"/>
    <n v="7184"/>
    <n v="15"/>
    <x v="15"/>
    <n v="1.1698299646377599"/>
    <n v="1.17062151432037"/>
    <n v="7.9154968261E-4"/>
    <n v="1.1681499481201201"/>
    <n v="1.16858351230621"/>
    <n v="4.3356418609000002E-4"/>
    <n v="164"/>
    <n v="0"/>
    <s v="TP"/>
  </r>
  <r>
    <d v="2019-12-12T22:53:49"/>
    <n v="9422"/>
    <n v="7184"/>
    <n v="15"/>
    <x v="15"/>
    <n v="1.1698299646377599"/>
    <n v="1.17062151432037"/>
    <n v="7.9154968261E-4"/>
    <n v="1.1681499481201201"/>
    <n v="1.16858351230621"/>
    <n v="4.3356418609000002E-4"/>
    <n v="164"/>
    <n v="0"/>
    <s v="TP"/>
  </r>
  <r>
    <d v="2019-12-12T22:53:54"/>
    <n v="9422"/>
    <n v="7184"/>
    <n v="15"/>
    <x v="15"/>
    <n v="1.1698299646377599"/>
    <n v="1.17062151432037"/>
    <n v="7.9154968261E-4"/>
    <n v="1.1681499481201201"/>
    <n v="1.16858351230621"/>
    <n v="4.3356418609000002E-4"/>
    <n v="164"/>
    <n v="0"/>
    <s v="TP"/>
  </r>
  <r>
    <d v="2019-12-12T22:54:00"/>
    <n v="9422"/>
    <n v="7184"/>
    <n v="15"/>
    <x v="15"/>
    <n v="1.1698299646377599"/>
    <n v="1.17062151432037"/>
    <n v="7.9154968261E-4"/>
    <n v="1.1681499481201201"/>
    <n v="1.16858351230621"/>
    <n v="4.3356418609000002E-4"/>
    <n v="164"/>
    <n v="0"/>
    <s v="TP"/>
  </r>
  <r>
    <d v="2019-12-12T22:54:06"/>
    <n v="9422"/>
    <n v="7184"/>
    <n v="15"/>
    <x v="15"/>
    <n v="1.1698299646377599"/>
    <n v="1.17062151432037"/>
    <n v="7.9154968261E-4"/>
    <n v="1.1681499481201201"/>
    <n v="1.16858351230621"/>
    <n v="4.3356418609000002E-4"/>
    <n v="164"/>
    <n v="0"/>
    <s v="TP"/>
  </r>
  <r>
    <d v="2019-12-12T22:54:12"/>
    <n v="9422"/>
    <n v="7184"/>
    <n v="15"/>
    <x v="15"/>
    <n v="1.1698299646377599"/>
    <n v="1.17062151432037"/>
    <n v="7.9154968261E-4"/>
    <n v="1.1681499481201201"/>
    <n v="1.16858351230621"/>
    <n v="4.3356418609000002E-4"/>
    <n v="164"/>
    <n v="0"/>
    <s v="TP"/>
  </r>
  <r>
    <d v="2019-12-12T22:54:18"/>
    <n v="9422"/>
    <n v="7184"/>
    <n v="15"/>
    <x v="15"/>
    <n v="1.1698299646377599"/>
    <n v="1.17062151432037"/>
    <n v="7.9154968261E-4"/>
    <n v="1.1681499481201201"/>
    <n v="1.16858351230621"/>
    <n v="4.3356418609000002E-4"/>
    <n v="164"/>
    <n v="0"/>
    <s v="TP"/>
  </r>
  <r>
    <d v="2019-12-12T22:54:25"/>
    <n v="9422"/>
    <n v="7184"/>
    <n v="15"/>
    <x v="15"/>
    <n v="1.1698299646377599"/>
    <n v="1.17062151432037"/>
    <n v="7.9154968261E-4"/>
    <n v="1.1681499481201201"/>
    <n v="1.16858351230621"/>
    <n v="4.3356418609000002E-4"/>
    <n v="164"/>
    <n v="0"/>
    <s v="TP"/>
  </r>
  <r>
    <d v="2019-12-12T22:54:31"/>
    <n v="9422"/>
    <n v="7184"/>
    <n v="15"/>
    <x v="15"/>
    <n v="1.1698299646377599"/>
    <n v="1.17062151432037"/>
    <n v="7.9154968261E-4"/>
    <n v="1.1681499481201201"/>
    <n v="1.16858351230621"/>
    <n v="4.3356418609000002E-4"/>
    <n v="164"/>
    <n v="0"/>
    <s v="TP"/>
  </r>
  <r>
    <d v="2019-12-12T22:54:38"/>
    <n v="9422"/>
    <n v="7184"/>
    <n v="15"/>
    <x v="15"/>
    <n v="1.1698299646377599"/>
    <n v="1.17062151432037"/>
    <n v="7.9154968261E-4"/>
    <n v="1.1681499481201201"/>
    <n v="1.16858351230621"/>
    <n v="4.3356418609000002E-4"/>
    <n v="164"/>
    <n v="0"/>
    <s v="TP"/>
  </r>
  <r>
    <d v="2019-12-12T22:54:45"/>
    <n v="9422"/>
    <n v="7184"/>
    <n v="15"/>
    <x v="15"/>
    <n v="1.1698299646377599"/>
    <n v="1.17062151432037"/>
    <n v="7.9154968261E-4"/>
    <n v="1.1681499481201201"/>
    <n v="1.16858351230621"/>
    <n v="4.3356418609000002E-4"/>
    <n v="164"/>
    <n v="0"/>
    <s v="TP"/>
  </r>
  <r>
    <d v="2019-12-12T22:54:52"/>
    <n v="9422"/>
    <n v="7184"/>
    <n v="15"/>
    <x v="15"/>
    <n v="1.1698299646377599"/>
    <n v="1.17062151432037"/>
    <n v="7.9154968261E-4"/>
    <n v="1.1681499481201201"/>
    <n v="1.16858351230621"/>
    <n v="4.3356418609000002E-4"/>
    <n v="164"/>
    <n v="0"/>
    <s v="TP"/>
  </r>
  <r>
    <d v="2019-12-12T22:54:59"/>
    <n v="9422"/>
    <n v="7184"/>
    <n v="15"/>
    <x v="15"/>
    <n v="1.1698299646377599"/>
    <n v="1.17062151432037"/>
    <n v="7.9154968261E-4"/>
    <n v="1.1681499481201201"/>
    <n v="1.16858351230621"/>
    <n v="4.3356418609000002E-4"/>
    <n v="164"/>
    <n v="0"/>
    <s v="TP"/>
  </r>
  <r>
    <d v="2019-12-12T22:55:05"/>
    <n v="9422"/>
    <n v="7184"/>
    <n v="15"/>
    <x v="15"/>
    <n v="1.1698299646377599"/>
    <n v="1.17062151432037"/>
    <n v="7.9154968261E-4"/>
    <n v="1.1681499481201201"/>
    <n v="1.16858351230621"/>
    <n v="4.3356418609000002E-4"/>
    <n v="164"/>
    <n v="0"/>
    <s v="TP"/>
  </r>
  <r>
    <d v="2019-12-12T22:52:53"/>
    <n v="9422"/>
    <n v="7184"/>
    <n v="16"/>
    <x v="16"/>
    <n v="1.1695200204849201"/>
    <n v="1.1695910692214999"/>
    <n v="7.1048736579999998E-5"/>
    <n v="1.1676100492477399"/>
    <n v="1.16725838184357"/>
    <n v="3.5166740416999999E-4"/>
    <n v="140"/>
    <n v="0"/>
    <s v="CLOSE"/>
  </r>
  <r>
    <d v="2019-12-12T22:52:57"/>
    <n v="9422"/>
    <n v="7184"/>
    <n v="16"/>
    <x v="16"/>
    <n v="1.1695200204849201"/>
    <n v="1.1695910692214999"/>
    <n v="7.1048736579999998E-5"/>
    <n v="1.1676100492477399"/>
    <n v="1.16725838184357"/>
    <n v="3.5166740416999999E-4"/>
    <n v="140"/>
    <n v="0"/>
    <s v="CLOSE"/>
  </r>
  <r>
    <d v="2019-12-12T22:53:02"/>
    <n v="9422"/>
    <n v="7184"/>
    <n v="16"/>
    <x v="16"/>
    <n v="1.1695200204849201"/>
    <n v="1.1695910692214999"/>
    <n v="7.1048736579999998E-5"/>
    <n v="1.1676100492477399"/>
    <n v="1.16725838184357"/>
    <n v="3.5166740416999999E-4"/>
    <n v="140"/>
    <n v="0"/>
    <s v="CLOSE"/>
  </r>
  <r>
    <d v="2019-12-12T22:53:06"/>
    <n v="9422"/>
    <n v="7184"/>
    <n v="16"/>
    <x v="16"/>
    <n v="1.1695200204849201"/>
    <n v="1.1695910692214999"/>
    <n v="7.1048736579999998E-5"/>
    <n v="1.1676100492477399"/>
    <n v="1.16725838184357"/>
    <n v="3.5166740416999999E-4"/>
    <n v="140"/>
    <n v="0"/>
    <s v="CLOSE"/>
  </r>
  <r>
    <d v="2019-12-12T22:53:11"/>
    <n v="9422"/>
    <n v="7184"/>
    <n v="16"/>
    <x v="16"/>
    <n v="1.1695200204849201"/>
    <n v="1.1695910692214999"/>
    <n v="7.1048736579999998E-5"/>
    <n v="1.1676100492477399"/>
    <n v="1.16725838184357"/>
    <n v="3.5166740416999999E-4"/>
    <n v="140"/>
    <n v="0"/>
    <s v="CLOSE"/>
  </r>
  <r>
    <d v="2019-12-12T22:53:16"/>
    <n v="9422"/>
    <n v="7184"/>
    <n v="16"/>
    <x v="16"/>
    <n v="1.1695200204849201"/>
    <n v="1.1695910692214999"/>
    <n v="7.1048736579999998E-5"/>
    <n v="1.1676100492477399"/>
    <n v="1.16725838184357"/>
    <n v="3.5166740416999999E-4"/>
    <n v="140"/>
    <n v="0"/>
    <s v="CLOSE"/>
  </r>
  <r>
    <d v="2019-12-12T22:53:21"/>
    <n v="9422"/>
    <n v="7184"/>
    <n v="16"/>
    <x v="16"/>
    <n v="1.1695200204849201"/>
    <n v="1.1695910692214999"/>
    <n v="7.1048736579999998E-5"/>
    <n v="1.1676100492477399"/>
    <n v="1.16725838184357"/>
    <n v="3.5166740416999999E-4"/>
    <n v="140"/>
    <n v="0"/>
    <s v="CLOSE"/>
  </r>
  <r>
    <d v="2019-12-12T22:53:26"/>
    <n v="9422"/>
    <n v="7184"/>
    <n v="16"/>
    <x v="16"/>
    <n v="1.1695200204849201"/>
    <n v="1.1695910692214999"/>
    <n v="7.1048736579999998E-5"/>
    <n v="1.1676100492477399"/>
    <n v="1.16725838184357"/>
    <n v="3.5166740416999999E-4"/>
    <n v="140"/>
    <n v="0"/>
    <s v="CLOSE"/>
  </r>
  <r>
    <d v="2019-12-12T22:53:32"/>
    <n v="9422"/>
    <n v="7184"/>
    <n v="16"/>
    <x v="16"/>
    <n v="1.1695200204849201"/>
    <n v="1.1695910692214999"/>
    <n v="7.1048736579999998E-5"/>
    <n v="1.1676100492477399"/>
    <n v="1.16725838184357"/>
    <n v="3.5166740416999999E-4"/>
    <n v="140"/>
    <n v="0"/>
    <s v="CLOSE"/>
  </r>
  <r>
    <d v="2019-12-12T22:53:37"/>
    <n v="9422"/>
    <n v="7184"/>
    <n v="16"/>
    <x v="16"/>
    <n v="1.1695200204849201"/>
    <n v="1.1695910692214999"/>
    <n v="7.1048736579999998E-5"/>
    <n v="1.1676100492477399"/>
    <n v="1.16725838184357"/>
    <n v="3.5166740416999999E-4"/>
    <n v="140"/>
    <n v="0"/>
    <s v="CLOSE"/>
  </r>
  <r>
    <d v="2019-12-12T22:53:43"/>
    <n v="9422"/>
    <n v="7184"/>
    <n v="16"/>
    <x v="16"/>
    <n v="1.1695200204849201"/>
    <n v="1.1695910692214999"/>
    <n v="7.1048736579999998E-5"/>
    <n v="1.1676100492477399"/>
    <n v="1.16725838184357"/>
    <n v="3.5166740416999999E-4"/>
    <n v="140"/>
    <n v="0"/>
    <s v="CLOSE"/>
  </r>
  <r>
    <d v="2019-12-12T22:53:49"/>
    <n v="9422"/>
    <n v="7184"/>
    <n v="16"/>
    <x v="16"/>
    <n v="1.1695200204849201"/>
    <n v="1.1695910692214999"/>
    <n v="7.1048736579999998E-5"/>
    <n v="1.1676100492477399"/>
    <n v="1.16725838184357"/>
    <n v="3.5166740416999999E-4"/>
    <n v="140"/>
    <n v="0"/>
    <s v="CLOSE"/>
  </r>
  <r>
    <d v="2019-12-12T22:53:54"/>
    <n v="9422"/>
    <n v="7184"/>
    <n v="16"/>
    <x v="16"/>
    <n v="1.1695200204849201"/>
    <n v="1.1695910692214999"/>
    <n v="7.1048736579999998E-5"/>
    <n v="1.1676100492477399"/>
    <n v="1.16725838184357"/>
    <n v="3.5166740416999999E-4"/>
    <n v="140"/>
    <n v="0"/>
    <s v="CLOSE"/>
  </r>
  <r>
    <d v="2019-12-12T22:54:00"/>
    <n v="9422"/>
    <n v="7184"/>
    <n v="16"/>
    <x v="16"/>
    <n v="1.1695200204849201"/>
    <n v="1.1695910692214999"/>
    <n v="7.1048736579999998E-5"/>
    <n v="1.1676100492477399"/>
    <n v="1.16725838184357"/>
    <n v="3.5166740416999999E-4"/>
    <n v="140"/>
    <n v="0"/>
    <s v="CLOSE"/>
  </r>
  <r>
    <d v="2019-12-12T22:54:06"/>
    <n v="9422"/>
    <n v="7184"/>
    <n v="16"/>
    <x v="16"/>
    <n v="1.1695200204849201"/>
    <n v="1.1695910692214999"/>
    <n v="7.1048736579999998E-5"/>
    <n v="1.1676100492477399"/>
    <n v="1.16725838184357"/>
    <n v="3.5166740416999999E-4"/>
    <n v="140"/>
    <n v="0"/>
    <s v="CLOSE"/>
  </r>
  <r>
    <d v="2019-12-12T22:54:12"/>
    <n v="9422"/>
    <n v="7184"/>
    <n v="16"/>
    <x v="16"/>
    <n v="1.1695200204849201"/>
    <n v="1.1695910692214999"/>
    <n v="7.1048736579999998E-5"/>
    <n v="1.1676100492477399"/>
    <n v="1.16725838184357"/>
    <n v="3.5166740416999999E-4"/>
    <n v="140"/>
    <n v="0"/>
    <s v="CLOSE"/>
  </r>
  <r>
    <d v="2019-12-12T22:54:18"/>
    <n v="9422"/>
    <n v="7184"/>
    <n v="16"/>
    <x v="16"/>
    <n v="1.1695200204849201"/>
    <n v="1.1695910692214999"/>
    <n v="7.1048736579999998E-5"/>
    <n v="1.1676100492477399"/>
    <n v="1.16725838184357"/>
    <n v="3.5166740416999999E-4"/>
    <n v="140"/>
    <n v="0"/>
    <s v="CLOSE"/>
  </r>
  <r>
    <d v="2019-12-12T22:54:25"/>
    <n v="9422"/>
    <n v="7184"/>
    <n v="16"/>
    <x v="16"/>
    <n v="1.1695200204849201"/>
    <n v="1.1695910692214999"/>
    <n v="7.1048736579999998E-5"/>
    <n v="1.1676100492477399"/>
    <n v="1.16725838184357"/>
    <n v="3.5166740416999999E-4"/>
    <n v="140"/>
    <n v="0"/>
    <s v="CLOSE"/>
  </r>
  <r>
    <d v="2019-12-12T22:54:31"/>
    <n v="9422"/>
    <n v="7184"/>
    <n v="16"/>
    <x v="16"/>
    <n v="1.1695200204849201"/>
    <n v="1.1695910692214999"/>
    <n v="7.1048736579999998E-5"/>
    <n v="1.1676100492477399"/>
    <n v="1.16725838184357"/>
    <n v="3.5166740416999999E-4"/>
    <n v="140"/>
    <n v="0"/>
    <s v="CLOSE"/>
  </r>
  <r>
    <d v="2019-12-12T22:54:38"/>
    <n v="9422"/>
    <n v="7184"/>
    <n v="16"/>
    <x v="16"/>
    <n v="1.1695200204849201"/>
    <n v="1.1695910692214999"/>
    <n v="7.1048736579999998E-5"/>
    <n v="1.1676100492477399"/>
    <n v="1.16725838184357"/>
    <n v="3.5166740416999999E-4"/>
    <n v="140"/>
    <n v="0"/>
    <s v="CLOSE"/>
  </r>
  <r>
    <d v="2019-12-12T22:54:45"/>
    <n v="9422"/>
    <n v="7184"/>
    <n v="16"/>
    <x v="16"/>
    <n v="1.1695200204849201"/>
    <n v="1.1695910692214999"/>
    <n v="7.1048736579999998E-5"/>
    <n v="1.1676100492477399"/>
    <n v="1.16725838184357"/>
    <n v="3.5166740416999999E-4"/>
    <n v="140"/>
    <n v="0"/>
    <s v="CLOSE"/>
  </r>
  <r>
    <d v="2019-12-12T22:54:52"/>
    <n v="9422"/>
    <n v="7184"/>
    <n v="16"/>
    <x v="16"/>
    <n v="1.1695200204849201"/>
    <n v="1.1695910692214999"/>
    <n v="7.1048736579999998E-5"/>
    <n v="1.1676100492477399"/>
    <n v="1.16725838184357"/>
    <n v="3.5166740416999999E-4"/>
    <n v="140"/>
    <n v="0"/>
    <s v="CLOSE"/>
  </r>
  <r>
    <d v="2019-12-12T22:54:59"/>
    <n v="9422"/>
    <n v="7184"/>
    <n v="16"/>
    <x v="16"/>
    <n v="1.1695200204849201"/>
    <n v="1.1695910692214999"/>
    <n v="7.1048736579999998E-5"/>
    <n v="1.1676100492477399"/>
    <n v="1.16725838184357"/>
    <n v="3.5166740416999999E-4"/>
    <n v="140"/>
    <n v="0"/>
    <s v="CLOSE"/>
  </r>
  <r>
    <d v="2019-12-12T22:55:05"/>
    <n v="9422"/>
    <n v="7184"/>
    <n v="16"/>
    <x v="16"/>
    <n v="1.1695200204849201"/>
    <n v="1.1695910692214999"/>
    <n v="7.1048736579999998E-5"/>
    <n v="1.1676100492477399"/>
    <n v="1.16725838184357"/>
    <n v="3.5166740416999999E-4"/>
    <n v="140"/>
    <n v="0"/>
    <s v="CLOSE"/>
  </r>
  <r>
    <d v="2019-12-12T22:52:53"/>
    <n v="9422"/>
    <n v="7184"/>
    <n v="17"/>
    <x v="17"/>
    <n v="1.16819000244141"/>
    <n v="1.1690984964370701"/>
    <n v="9.0849399565999999E-4"/>
    <n v="1.16434001922607"/>
    <n v="1.1666350364685101"/>
    <n v="2.2950172424399998E-3"/>
    <n v="-324"/>
    <n v="0"/>
    <s v="SL"/>
  </r>
  <r>
    <d v="2019-12-12T22:52:57"/>
    <n v="9422"/>
    <n v="7184"/>
    <n v="17"/>
    <x v="17"/>
    <n v="1.16819000244141"/>
    <n v="1.1690984964370701"/>
    <n v="9.0849399565999999E-4"/>
    <n v="1.16434001922607"/>
    <n v="1.1666350364685101"/>
    <n v="2.2950172424399998E-3"/>
    <n v="-324"/>
    <n v="0"/>
    <s v="SL"/>
  </r>
  <r>
    <d v="2019-12-12T22:53:02"/>
    <n v="9422"/>
    <n v="7184"/>
    <n v="17"/>
    <x v="17"/>
    <n v="1.16819000244141"/>
    <n v="1.1690984964370701"/>
    <n v="9.0849399565999999E-4"/>
    <n v="1.16434001922607"/>
    <n v="1.1666350364685101"/>
    <n v="2.2950172424399998E-3"/>
    <n v="-324"/>
    <n v="0"/>
    <s v="SL"/>
  </r>
  <r>
    <d v="2019-12-12T22:53:06"/>
    <n v="9422"/>
    <n v="7184"/>
    <n v="17"/>
    <x v="17"/>
    <n v="1.16819000244141"/>
    <n v="1.1690984964370701"/>
    <n v="9.0849399565999999E-4"/>
    <n v="1.16434001922607"/>
    <n v="1.1666350364685101"/>
    <n v="2.2950172424399998E-3"/>
    <n v="-324"/>
    <n v="0"/>
    <s v="SL"/>
  </r>
  <r>
    <d v="2019-12-12T22:53:11"/>
    <n v="9422"/>
    <n v="7184"/>
    <n v="17"/>
    <x v="17"/>
    <n v="1.16819000244141"/>
    <n v="1.1690984964370701"/>
    <n v="9.0849399565999999E-4"/>
    <n v="1.16434001922607"/>
    <n v="1.1666350364685101"/>
    <n v="2.2950172424399998E-3"/>
    <n v="-324"/>
    <n v="0"/>
    <s v="SL"/>
  </r>
  <r>
    <d v="2019-12-12T22:53:16"/>
    <n v="9422"/>
    <n v="7184"/>
    <n v="17"/>
    <x v="17"/>
    <n v="1.16819000244141"/>
    <n v="1.1690984964370701"/>
    <n v="9.0849399565999999E-4"/>
    <n v="1.16434001922607"/>
    <n v="1.1666350364685101"/>
    <n v="2.2950172424399998E-3"/>
    <n v="-324"/>
    <n v="0"/>
    <s v="SL"/>
  </r>
  <r>
    <d v="2019-12-12T22:53:21"/>
    <n v="9422"/>
    <n v="7184"/>
    <n v="17"/>
    <x v="17"/>
    <n v="1.16819000244141"/>
    <n v="1.1690984964370701"/>
    <n v="9.0849399565999999E-4"/>
    <n v="1.16434001922607"/>
    <n v="1.1666350364685101"/>
    <n v="2.2950172424399998E-3"/>
    <n v="-324"/>
    <n v="0"/>
    <s v="SL"/>
  </r>
  <r>
    <d v="2019-12-12T22:53:26"/>
    <n v="9422"/>
    <n v="7184"/>
    <n v="17"/>
    <x v="17"/>
    <n v="1.16819000244141"/>
    <n v="1.1690984964370701"/>
    <n v="9.0849399565999999E-4"/>
    <n v="1.16434001922607"/>
    <n v="1.1666350364685101"/>
    <n v="2.2950172424399998E-3"/>
    <n v="-324"/>
    <n v="0"/>
    <s v="SL"/>
  </r>
  <r>
    <d v="2019-12-12T22:53:32"/>
    <n v="9422"/>
    <n v="7184"/>
    <n v="17"/>
    <x v="17"/>
    <n v="1.16819000244141"/>
    <n v="1.1690984964370701"/>
    <n v="9.0849399565999999E-4"/>
    <n v="1.16434001922607"/>
    <n v="1.1666350364685101"/>
    <n v="2.2950172424399998E-3"/>
    <n v="-324"/>
    <n v="0"/>
    <s v="SL"/>
  </r>
  <r>
    <d v="2019-12-12T22:53:37"/>
    <n v="9422"/>
    <n v="7184"/>
    <n v="17"/>
    <x v="17"/>
    <n v="1.16819000244141"/>
    <n v="1.1690984964370701"/>
    <n v="9.0849399565999999E-4"/>
    <n v="1.16434001922607"/>
    <n v="1.1666350364685101"/>
    <n v="2.2950172424399998E-3"/>
    <n v="-324"/>
    <n v="0"/>
    <s v="SL"/>
  </r>
  <r>
    <d v="2019-12-12T22:53:43"/>
    <n v="9422"/>
    <n v="7184"/>
    <n v="17"/>
    <x v="17"/>
    <n v="1.16819000244141"/>
    <n v="1.1690984964370701"/>
    <n v="9.0849399565999999E-4"/>
    <n v="1.16434001922607"/>
    <n v="1.1666350364685101"/>
    <n v="2.2950172424399998E-3"/>
    <n v="-324"/>
    <n v="0"/>
    <s v="SL"/>
  </r>
  <r>
    <d v="2019-12-12T22:53:49"/>
    <n v="9422"/>
    <n v="7184"/>
    <n v="17"/>
    <x v="17"/>
    <n v="1.16819000244141"/>
    <n v="1.1690984964370701"/>
    <n v="9.0849399565999999E-4"/>
    <n v="1.16434001922607"/>
    <n v="1.1666350364685101"/>
    <n v="2.2950172424399998E-3"/>
    <n v="-324"/>
    <n v="0"/>
    <s v="SL"/>
  </r>
  <r>
    <d v="2019-12-12T22:53:54"/>
    <n v="9422"/>
    <n v="7184"/>
    <n v="17"/>
    <x v="17"/>
    <n v="1.16819000244141"/>
    <n v="1.1690984964370701"/>
    <n v="9.0849399565999999E-4"/>
    <n v="1.16434001922607"/>
    <n v="1.1666350364685101"/>
    <n v="2.2950172424399998E-3"/>
    <n v="-324"/>
    <n v="0"/>
    <s v="SL"/>
  </r>
  <r>
    <d v="2019-12-12T22:54:00"/>
    <n v="9422"/>
    <n v="7184"/>
    <n v="17"/>
    <x v="17"/>
    <n v="1.16819000244141"/>
    <n v="1.1690984964370701"/>
    <n v="9.0849399565999999E-4"/>
    <n v="1.16434001922607"/>
    <n v="1.1666350364685101"/>
    <n v="2.2950172424399998E-3"/>
    <n v="-324"/>
    <n v="0"/>
    <s v="SL"/>
  </r>
  <r>
    <d v="2019-12-12T22:54:06"/>
    <n v="9422"/>
    <n v="7184"/>
    <n v="17"/>
    <x v="17"/>
    <n v="1.16819000244141"/>
    <n v="1.1690984964370701"/>
    <n v="9.0849399565999999E-4"/>
    <n v="1.16434001922607"/>
    <n v="1.1666350364685101"/>
    <n v="2.2950172424399998E-3"/>
    <n v="-324"/>
    <n v="0"/>
    <s v="SL"/>
  </r>
  <r>
    <d v="2019-12-12T22:54:12"/>
    <n v="9422"/>
    <n v="7184"/>
    <n v="17"/>
    <x v="17"/>
    <n v="1.16819000244141"/>
    <n v="1.1690984964370701"/>
    <n v="9.0849399565999999E-4"/>
    <n v="1.16434001922607"/>
    <n v="1.1666350364685101"/>
    <n v="2.2950172424399998E-3"/>
    <n v="-324"/>
    <n v="0"/>
    <s v="SL"/>
  </r>
  <r>
    <d v="2019-12-12T22:54:18"/>
    <n v="9422"/>
    <n v="7184"/>
    <n v="17"/>
    <x v="17"/>
    <n v="1.16819000244141"/>
    <n v="1.1690984964370701"/>
    <n v="9.0849399565999999E-4"/>
    <n v="1.16434001922607"/>
    <n v="1.1666350364685101"/>
    <n v="2.2950172424399998E-3"/>
    <n v="-324"/>
    <n v="0"/>
    <s v="SL"/>
  </r>
  <r>
    <d v="2019-12-12T22:54:25"/>
    <n v="9422"/>
    <n v="7184"/>
    <n v="17"/>
    <x v="17"/>
    <n v="1.16819000244141"/>
    <n v="1.1690984964370701"/>
    <n v="9.0849399565999999E-4"/>
    <n v="1.16434001922607"/>
    <n v="1.1666350364685101"/>
    <n v="2.2950172424399998E-3"/>
    <n v="-324"/>
    <n v="0"/>
    <s v="SL"/>
  </r>
  <r>
    <d v="2019-12-12T22:54:31"/>
    <n v="9422"/>
    <n v="7184"/>
    <n v="17"/>
    <x v="17"/>
    <n v="1.16819000244141"/>
    <n v="1.1690984964370701"/>
    <n v="9.0849399565999999E-4"/>
    <n v="1.16434001922607"/>
    <n v="1.1666350364685101"/>
    <n v="2.2950172424399998E-3"/>
    <n v="-324"/>
    <n v="0"/>
    <s v="SL"/>
  </r>
  <r>
    <d v="2019-12-12T22:54:38"/>
    <n v="9422"/>
    <n v="7184"/>
    <n v="17"/>
    <x v="17"/>
    <n v="1.16819000244141"/>
    <n v="1.1690984964370701"/>
    <n v="9.0849399565999999E-4"/>
    <n v="1.16434001922607"/>
    <n v="1.1666350364685101"/>
    <n v="2.2950172424399998E-3"/>
    <n v="-324"/>
    <n v="0"/>
    <s v="SL"/>
  </r>
  <r>
    <d v="2019-12-12T22:54:45"/>
    <n v="9422"/>
    <n v="7184"/>
    <n v="17"/>
    <x v="17"/>
    <n v="1.16819000244141"/>
    <n v="1.1690984964370701"/>
    <n v="9.0849399565999999E-4"/>
    <n v="1.16434001922607"/>
    <n v="1.1666350364685101"/>
    <n v="2.2950172424399998E-3"/>
    <n v="-324"/>
    <n v="0"/>
    <s v="SL"/>
  </r>
  <r>
    <d v="2019-12-12T22:54:52"/>
    <n v="9422"/>
    <n v="7184"/>
    <n v="17"/>
    <x v="17"/>
    <n v="1.16819000244141"/>
    <n v="1.1690984964370701"/>
    <n v="9.0849399565999999E-4"/>
    <n v="1.16434001922607"/>
    <n v="1.1666350364685101"/>
    <n v="2.2950172424399998E-3"/>
    <n v="-324"/>
    <n v="0"/>
    <s v="SL"/>
  </r>
  <r>
    <d v="2019-12-12T22:54:59"/>
    <n v="9422"/>
    <n v="7184"/>
    <n v="17"/>
    <x v="17"/>
    <n v="1.16819000244141"/>
    <n v="1.1690984964370701"/>
    <n v="9.0849399565999999E-4"/>
    <n v="1.16434001922607"/>
    <n v="1.1666350364685101"/>
    <n v="2.2950172424399998E-3"/>
    <n v="-324"/>
    <n v="0"/>
    <s v="SL"/>
  </r>
  <r>
    <d v="2019-12-12T22:55:05"/>
    <n v="9422"/>
    <n v="7184"/>
    <n v="17"/>
    <x v="17"/>
    <n v="1.16819000244141"/>
    <n v="1.1690984964370701"/>
    <n v="9.0849399565999999E-4"/>
    <n v="1.16434001922607"/>
    <n v="1.1666350364685101"/>
    <n v="2.2950172424399998E-3"/>
    <n v="-324"/>
    <n v="0"/>
    <s v="SL"/>
  </r>
  <r>
    <d v="2019-12-12T22:52:53"/>
    <n v="9422"/>
    <n v="7184"/>
    <n v="18"/>
    <x v="18"/>
    <n v="1.16676998138428"/>
    <n v="1.1673388481140099"/>
    <n v="5.6886672972999996E-4"/>
    <n v="1.1649700403213501"/>
    <n v="1.1645094156265301"/>
    <n v="4.6062469482000001E-4"/>
    <n v="36"/>
    <n v="0"/>
    <s v="CLOSE"/>
  </r>
  <r>
    <d v="2019-12-12T22:52:57"/>
    <n v="9422"/>
    <n v="7184"/>
    <n v="18"/>
    <x v="18"/>
    <n v="1.16676998138428"/>
    <n v="1.1673388481140099"/>
    <n v="5.6886672972999996E-4"/>
    <n v="1.1649700403213501"/>
    <n v="1.1645094156265301"/>
    <n v="4.6062469482000001E-4"/>
    <n v="36"/>
    <n v="0"/>
    <s v="CLOSE"/>
  </r>
  <r>
    <d v="2019-12-12T22:53:02"/>
    <n v="9422"/>
    <n v="7184"/>
    <n v="18"/>
    <x v="18"/>
    <n v="1.16676998138428"/>
    <n v="1.1673388481140099"/>
    <n v="5.6886672972999996E-4"/>
    <n v="1.1649700403213501"/>
    <n v="1.1645094156265301"/>
    <n v="4.6062469482000001E-4"/>
    <n v="36"/>
    <n v="0"/>
    <s v="CLOSE"/>
  </r>
  <r>
    <d v="2019-12-12T22:53:06"/>
    <n v="9422"/>
    <n v="7184"/>
    <n v="18"/>
    <x v="18"/>
    <n v="1.16676998138428"/>
    <n v="1.1673388481140099"/>
    <n v="5.6886672972999996E-4"/>
    <n v="1.1649700403213501"/>
    <n v="1.1645094156265301"/>
    <n v="4.6062469482000001E-4"/>
    <n v="36"/>
    <n v="0"/>
    <s v="CLOSE"/>
  </r>
  <r>
    <d v="2019-12-12T22:53:11"/>
    <n v="9422"/>
    <n v="7184"/>
    <n v="18"/>
    <x v="18"/>
    <n v="1.16676998138428"/>
    <n v="1.1673388481140099"/>
    <n v="5.6886672972999996E-4"/>
    <n v="1.1649700403213501"/>
    <n v="1.1645094156265301"/>
    <n v="4.6062469482000001E-4"/>
    <n v="36"/>
    <n v="0"/>
    <s v="CLOSE"/>
  </r>
  <r>
    <d v="2019-12-12T22:53:16"/>
    <n v="9422"/>
    <n v="7184"/>
    <n v="18"/>
    <x v="18"/>
    <n v="1.16676998138428"/>
    <n v="1.1673388481140099"/>
    <n v="5.6886672972999996E-4"/>
    <n v="1.1649700403213501"/>
    <n v="1.1645094156265301"/>
    <n v="4.6062469482000001E-4"/>
    <n v="36"/>
    <n v="0"/>
    <s v="CLOSE"/>
  </r>
  <r>
    <d v="2019-12-12T22:53:21"/>
    <n v="9422"/>
    <n v="7184"/>
    <n v="18"/>
    <x v="18"/>
    <n v="1.16676998138428"/>
    <n v="1.1673388481140099"/>
    <n v="5.6886672972999996E-4"/>
    <n v="1.1649700403213501"/>
    <n v="1.1645094156265301"/>
    <n v="4.6062469482000001E-4"/>
    <n v="36"/>
    <n v="0"/>
    <s v="CLOSE"/>
  </r>
  <r>
    <d v="2019-12-12T22:53:26"/>
    <n v="9422"/>
    <n v="7184"/>
    <n v="18"/>
    <x v="18"/>
    <n v="1.16676998138428"/>
    <n v="1.1673388481140099"/>
    <n v="5.6886672972999996E-4"/>
    <n v="1.1649700403213501"/>
    <n v="1.1645094156265301"/>
    <n v="4.6062469482000001E-4"/>
    <n v="36"/>
    <n v="0"/>
    <s v="CLOSE"/>
  </r>
  <r>
    <d v="2019-12-12T22:53:32"/>
    <n v="9422"/>
    <n v="7184"/>
    <n v="18"/>
    <x v="18"/>
    <n v="1.16676998138428"/>
    <n v="1.1673388481140099"/>
    <n v="5.6886672972999996E-4"/>
    <n v="1.1649700403213501"/>
    <n v="1.1645094156265301"/>
    <n v="4.6062469482000001E-4"/>
    <n v="36"/>
    <n v="0"/>
    <s v="CLOSE"/>
  </r>
  <r>
    <d v="2019-12-12T22:53:37"/>
    <n v="9422"/>
    <n v="7184"/>
    <n v="18"/>
    <x v="18"/>
    <n v="1.16676998138428"/>
    <n v="1.1673388481140099"/>
    <n v="5.6886672972999996E-4"/>
    <n v="1.1649700403213501"/>
    <n v="1.1645094156265301"/>
    <n v="4.6062469482000001E-4"/>
    <n v="36"/>
    <n v="0"/>
    <s v="CLOSE"/>
  </r>
  <r>
    <d v="2019-12-12T22:53:43"/>
    <n v="9422"/>
    <n v="7184"/>
    <n v="18"/>
    <x v="18"/>
    <n v="1.16676998138428"/>
    <n v="1.1673388481140099"/>
    <n v="5.6886672972999996E-4"/>
    <n v="1.1649700403213501"/>
    <n v="1.1645094156265301"/>
    <n v="4.6062469482000001E-4"/>
    <n v="36"/>
    <n v="0"/>
    <s v="CLOSE"/>
  </r>
  <r>
    <d v="2019-12-12T22:53:49"/>
    <n v="9422"/>
    <n v="7184"/>
    <n v="18"/>
    <x v="18"/>
    <n v="1.16676998138428"/>
    <n v="1.1673388481140099"/>
    <n v="5.6886672972999996E-4"/>
    <n v="1.1649700403213501"/>
    <n v="1.1645094156265301"/>
    <n v="4.6062469482000001E-4"/>
    <n v="36"/>
    <n v="0"/>
    <s v="CLOSE"/>
  </r>
  <r>
    <d v="2019-12-12T22:53:54"/>
    <n v="9422"/>
    <n v="7184"/>
    <n v="18"/>
    <x v="18"/>
    <n v="1.16676998138428"/>
    <n v="1.1673388481140099"/>
    <n v="5.6886672972999996E-4"/>
    <n v="1.1649700403213501"/>
    <n v="1.1645094156265301"/>
    <n v="4.6062469482000001E-4"/>
    <n v="36"/>
    <n v="0"/>
    <s v="CLOSE"/>
  </r>
  <r>
    <d v="2019-12-12T22:54:00"/>
    <n v="9422"/>
    <n v="7184"/>
    <n v="18"/>
    <x v="18"/>
    <n v="1.16676998138428"/>
    <n v="1.1673388481140099"/>
    <n v="5.6886672972999996E-4"/>
    <n v="1.1649700403213501"/>
    <n v="1.1645094156265301"/>
    <n v="4.6062469482000001E-4"/>
    <n v="36"/>
    <n v="0"/>
    <s v="CLOSE"/>
  </r>
  <r>
    <d v="2019-12-12T22:54:06"/>
    <n v="9422"/>
    <n v="7184"/>
    <n v="18"/>
    <x v="18"/>
    <n v="1.16676998138428"/>
    <n v="1.1673388481140099"/>
    <n v="5.6886672972999996E-4"/>
    <n v="1.1649700403213501"/>
    <n v="1.1645094156265301"/>
    <n v="4.6062469482000001E-4"/>
    <n v="36"/>
    <n v="0"/>
    <s v="CLOSE"/>
  </r>
  <r>
    <d v="2019-12-12T22:54:12"/>
    <n v="9422"/>
    <n v="7184"/>
    <n v="18"/>
    <x v="18"/>
    <n v="1.16676998138428"/>
    <n v="1.1673388481140099"/>
    <n v="5.6886672972999996E-4"/>
    <n v="1.1649700403213501"/>
    <n v="1.1645094156265301"/>
    <n v="4.6062469482000001E-4"/>
    <n v="36"/>
    <n v="0"/>
    <s v="CLOSE"/>
  </r>
  <r>
    <d v="2019-12-12T22:54:18"/>
    <n v="9422"/>
    <n v="7184"/>
    <n v="18"/>
    <x v="18"/>
    <n v="1.16676998138428"/>
    <n v="1.1673388481140099"/>
    <n v="5.6886672972999996E-4"/>
    <n v="1.1649700403213501"/>
    <n v="1.1645094156265301"/>
    <n v="4.6062469482000001E-4"/>
    <n v="36"/>
    <n v="0"/>
    <s v="CLOSE"/>
  </r>
  <r>
    <d v="2019-12-12T22:54:25"/>
    <n v="9422"/>
    <n v="7184"/>
    <n v="18"/>
    <x v="18"/>
    <n v="1.16676998138428"/>
    <n v="1.1673388481140099"/>
    <n v="5.6886672972999996E-4"/>
    <n v="1.1649700403213501"/>
    <n v="1.1645094156265301"/>
    <n v="4.6062469482000001E-4"/>
    <n v="36"/>
    <n v="0"/>
    <s v="CLOSE"/>
  </r>
  <r>
    <d v="2019-12-12T22:54:31"/>
    <n v="9422"/>
    <n v="7184"/>
    <n v="18"/>
    <x v="18"/>
    <n v="1.16676998138428"/>
    <n v="1.1673388481140099"/>
    <n v="5.6886672972999996E-4"/>
    <n v="1.1649700403213501"/>
    <n v="1.1645094156265301"/>
    <n v="4.6062469482000001E-4"/>
    <n v="36"/>
    <n v="0"/>
    <s v="CLOSE"/>
  </r>
  <r>
    <d v="2019-12-12T22:54:38"/>
    <n v="9422"/>
    <n v="7184"/>
    <n v="18"/>
    <x v="18"/>
    <n v="1.16676998138428"/>
    <n v="1.1673388481140099"/>
    <n v="5.6886672972999996E-4"/>
    <n v="1.1649700403213501"/>
    <n v="1.1645094156265301"/>
    <n v="4.6062469482000001E-4"/>
    <n v="36"/>
    <n v="0"/>
    <s v="CLOSE"/>
  </r>
  <r>
    <d v="2019-12-12T22:54:45"/>
    <n v="9422"/>
    <n v="7184"/>
    <n v="18"/>
    <x v="18"/>
    <n v="1.16676998138428"/>
    <n v="1.1673388481140099"/>
    <n v="5.6886672972999996E-4"/>
    <n v="1.1649700403213501"/>
    <n v="1.1645094156265301"/>
    <n v="4.6062469482000001E-4"/>
    <n v="36"/>
    <n v="0"/>
    <s v="CLOSE"/>
  </r>
  <r>
    <d v="2019-12-12T22:54:52"/>
    <n v="9422"/>
    <n v="7184"/>
    <n v="18"/>
    <x v="18"/>
    <n v="1.16676998138428"/>
    <n v="1.1673388481140099"/>
    <n v="5.6886672972999996E-4"/>
    <n v="1.1649700403213501"/>
    <n v="1.1645094156265301"/>
    <n v="4.6062469482000001E-4"/>
    <n v="36"/>
    <n v="0"/>
    <s v="CLOSE"/>
  </r>
  <r>
    <d v="2019-12-12T22:54:59"/>
    <n v="9422"/>
    <n v="7184"/>
    <n v="18"/>
    <x v="18"/>
    <n v="1.16676998138428"/>
    <n v="1.1673388481140099"/>
    <n v="5.6886672972999996E-4"/>
    <n v="1.1649700403213501"/>
    <n v="1.1645094156265301"/>
    <n v="4.6062469482000001E-4"/>
    <n v="36"/>
    <n v="0"/>
    <s v="CLOSE"/>
  </r>
  <r>
    <d v="2019-12-12T22:55:05"/>
    <n v="9422"/>
    <n v="7184"/>
    <n v="18"/>
    <x v="18"/>
    <n v="1.16676998138428"/>
    <n v="1.1673388481140099"/>
    <n v="5.6886672972999996E-4"/>
    <n v="1.1649700403213501"/>
    <n v="1.1645094156265301"/>
    <n v="4.6062469482000001E-4"/>
    <n v="36"/>
    <n v="0"/>
    <s v="CLOSE"/>
  </r>
  <r>
    <d v="2019-12-12T22:52:53"/>
    <n v="9422"/>
    <n v="7184"/>
    <n v="19"/>
    <x v="19"/>
    <n v="1.16612005233765"/>
    <n v="1.16654825210571"/>
    <n v="4.2819976806000002E-4"/>
    <n v="1.16412997245789"/>
    <n v="1.1645594835281401"/>
    <n v="4.2951107024999998E-4"/>
    <n v="158"/>
    <n v="0"/>
    <s v="TP"/>
  </r>
  <r>
    <d v="2019-12-12T22:52:57"/>
    <n v="9422"/>
    <n v="7184"/>
    <n v="19"/>
    <x v="19"/>
    <n v="1.16612005233765"/>
    <n v="1.16654825210571"/>
    <n v="4.2819976806000002E-4"/>
    <n v="1.16412997245789"/>
    <n v="1.1645594835281401"/>
    <n v="4.2951107024999998E-4"/>
    <n v="158"/>
    <n v="0"/>
    <s v="TP"/>
  </r>
  <r>
    <d v="2019-12-12T22:53:02"/>
    <n v="9422"/>
    <n v="7184"/>
    <n v="19"/>
    <x v="19"/>
    <n v="1.16612005233765"/>
    <n v="1.16654825210571"/>
    <n v="4.2819976806000002E-4"/>
    <n v="1.16412997245789"/>
    <n v="1.1645594835281401"/>
    <n v="4.2951107024999998E-4"/>
    <n v="158"/>
    <n v="0"/>
    <s v="TP"/>
  </r>
  <r>
    <d v="2019-12-12T22:53:06"/>
    <n v="9422"/>
    <n v="7184"/>
    <n v="19"/>
    <x v="19"/>
    <n v="1.16612005233765"/>
    <n v="1.16654825210571"/>
    <n v="4.2819976806000002E-4"/>
    <n v="1.16412997245789"/>
    <n v="1.1645594835281401"/>
    <n v="4.2951107024999998E-4"/>
    <n v="158"/>
    <n v="0"/>
    <s v="TP"/>
  </r>
  <r>
    <d v="2019-12-12T22:53:11"/>
    <n v="9422"/>
    <n v="7184"/>
    <n v="19"/>
    <x v="19"/>
    <n v="1.16612005233765"/>
    <n v="1.16654825210571"/>
    <n v="4.2819976806000002E-4"/>
    <n v="1.16412997245789"/>
    <n v="1.1645594835281401"/>
    <n v="4.2951107024999998E-4"/>
    <n v="158"/>
    <n v="0"/>
    <s v="TP"/>
  </r>
  <r>
    <d v="2019-12-12T22:53:16"/>
    <n v="9422"/>
    <n v="7184"/>
    <n v="19"/>
    <x v="19"/>
    <n v="1.16612005233765"/>
    <n v="1.16654825210571"/>
    <n v="4.2819976806000002E-4"/>
    <n v="1.16412997245789"/>
    <n v="1.1645594835281401"/>
    <n v="4.2951107024999998E-4"/>
    <n v="158"/>
    <n v="0"/>
    <s v="TP"/>
  </r>
  <r>
    <d v="2019-12-12T22:53:21"/>
    <n v="9422"/>
    <n v="7184"/>
    <n v="19"/>
    <x v="19"/>
    <n v="1.16612005233765"/>
    <n v="1.16654825210571"/>
    <n v="4.2819976806000002E-4"/>
    <n v="1.16412997245789"/>
    <n v="1.1645594835281401"/>
    <n v="4.2951107024999998E-4"/>
    <n v="158"/>
    <n v="0"/>
    <s v="TP"/>
  </r>
  <r>
    <d v="2019-12-12T22:53:26"/>
    <n v="9422"/>
    <n v="7184"/>
    <n v="19"/>
    <x v="19"/>
    <n v="1.16612005233765"/>
    <n v="1.16654825210571"/>
    <n v="4.2819976806000002E-4"/>
    <n v="1.16412997245789"/>
    <n v="1.1645594835281401"/>
    <n v="4.2951107024999998E-4"/>
    <n v="158"/>
    <n v="0"/>
    <s v="TP"/>
  </r>
  <r>
    <d v="2019-12-12T22:53:32"/>
    <n v="9422"/>
    <n v="7184"/>
    <n v="19"/>
    <x v="19"/>
    <n v="1.16612005233765"/>
    <n v="1.16654825210571"/>
    <n v="4.2819976806000002E-4"/>
    <n v="1.16412997245789"/>
    <n v="1.1645594835281401"/>
    <n v="4.2951107024999998E-4"/>
    <n v="158"/>
    <n v="0"/>
    <s v="TP"/>
  </r>
  <r>
    <d v="2019-12-12T22:53:37"/>
    <n v="9422"/>
    <n v="7184"/>
    <n v="19"/>
    <x v="19"/>
    <n v="1.16612005233765"/>
    <n v="1.16654825210571"/>
    <n v="4.2819976806000002E-4"/>
    <n v="1.16412997245789"/>
    <n v="1.1645594835281401"/>
    <n v="4.2951107024999998E-4"/>
    <n v="158"/>
    <n v="0"/>
    <s v="TP"/>
  </r>
  <r>
    <d v="2019-12-12T22:53:43"/>
    <n v="9422"/>
    <n v="7184"/>
    <n v="19"/>
    <x v="19"/>
    <n v="1.16612005233765"/>
    <n v="1.16654825210571"/>
    <n v="4.2819976806000002E-4"/>
    <n v="1.16412997245789"/>
    <n v="1.1645594835281401"/>
    <n v="4.2951107024999998E-4"/>
    <n v="158"/>
    <n v="0"/>
    <s v="TP"/>
  </r>
  <r>
    <d v="2019-12-12T22:53:49"/>
    <n v="9422"/>
    <n v="7184"/>
    <n v="19"/>
    <x v="19"/>
    <n v="1.16612005233765"/>
    <n v="1.16654825210571"/>
    <n v="4.2819976806000002E-4"/>
    <n v="1.16412997245789"/>
    <n v="1.1645594835281401"/>
    <n v="4.2951107024999998E-4"/>
    <n v="158"/>
    <n v="0"/>
    <s v="TP"/>
  </r>
  <r>
    <d v="2019-12-12T22:53:54"/>
    <n v="9422"/>
    <n v="7184"/>
    <n v="19"/>
    <x v="19"/>
    <n v="1.16612005233765"/>
    <n v="1.16654825210571"/>
    <n v="4.2819976806000002E-4"/>
    <n v="1.16412997245789"/>
    <n v="1.1645594835281401"/>
    <n v="4.2951107024999998E-4"/>
    <n v="158"/>
    <n v="0"/>
    <s v="TP"/>
  </r>
  <r>
    <d v="2019-12-12T22:54:00"/>
    <n v="9422"/>
    <n v="7184"/>
    <n v="19"/>
    <x v="19"/>
    <n v="1.16612005233765"/>
    <n v="1.16654825210571"/>
    <n v="4.2819976806000002E-4"/>
    <n v="1.16412997245789"/>
    <n v="1.1645594835281401"/>
    <n v="4.2951107024999998E-4"/>
    <n v="158"/>
    <n v="0"/>
    <s v="TP"/>
  </r>
  <r>
    <d v="2019-12-12T22:54:06"/>
    <n v="9422"/>
    <n v="7184"/>
    <n v="19"/>
    <x v="19"/>
    <n v="1.16612005233765"/>
    <n v="1.16654825210571"/>
    <n v="4.2819976806000002E-4"/>
    <n v="1.16412997245789"/>
    <n v="1.1645594835281401"/>
    <n v="4.2951107024999998E-4"/>
    <n v="158"/>
    <n v="0"/>
    <s v="TP"/>
  </r>
  <r>
    <d v="2019-12-12T22:54:12"/>
    <n v="9422"/>
    <n v="7184"/>
    <n v="19"/>
    <x v="19"/>
    <n v="1.16612005233765"/>
    <n v="1.16654825210571"/>
    <n v="4.2819976806000002E-4"/>
    <n v="1.16412997245789"/>
    <n v="1.1645594835281401"/>
    <n v="4.2951107024999998E-4"/>
    <n v="158"/>
    <n v="0"/>
    <s v="TP"/>
  </r>
  <r>
    <d v="2019-12-12T22:54:18"/>
    <n v="9422"/>
    <n v="7184"/>
    <n v="19"/>
    <x v="19"/>
    <n v="1.16612005233765"/>
    <n v="1.16654825210571"/>
    <n v="4.2819976806000002E-4"/>
    <n v="1.16412997245789"/>
    <n v="1.1645594835281401"/>
    <n v="4.2951107024999998E-4"/>
    <n v="158"/>
    <n v="0"/>
    <s v="TP"/>
  </r>
  <r>
    <d v="2019-12-12T22:54:25"/>
    <n v="9422"/>
    <n v="7184"/>
    <n v="19"/>
    <x v="19"/>
    <n v="1.16612005233765"/>
    <n v="1.16654825210571"/>
    <n v="4.2819976806000002E-4"/>
    <n v="1.16412997245789"/>
    <n v="1.1645594835281401"/>
    <n v="4.2951107024999998E-4"/>
    <n v="158"/>
    <n v="0"/>
    <s v="TP"/>
  </r>
  <r>
    <d v="2019-12-12T22:54:31"/>
    <n v="9422"/>
    <n v="7184"/>
    <n v="19"/>
    <x v="19"/>
    <n v="1.16612005233765"/>
    <n v="1.16654825210571"/>
    <n v="4.2819976806000002E-4"/>
    <n v="1.16412997245789"/>
    <n v="1.1645594835281401"/>
    <n v="4.2951107024999998E-4"/>
    <n v="158"/>
    <n v="0"/>
    <s v="TP"/>
  </r>
  <r>
    <d v="2019-12-12T22:54:38"/>
    <n v="9422"/>
    <n v="7184"/>
    <n v="19"/>
    <x v="19"/>
    <n v="1.16612005233765"/>
    <n v="1.16654825210571"/>
    <n v="4.2819976806000002E-4"/>
    <n v="1.16412997245789"/>
    <n v="1.1645594835281401"/>
    <n v="4.2951107024999998E-4"/>
    <n v="158"/>
    <n v="0"/>
    <s v="TP"/>
  </r>
  <r>
    <d v="2019-12-12T22:54:45"/>
    <n v="9422"/>
    <n v="7184"/>
    <n v="19"/>
    <x v="19"/>
    <n v="1.16612005233765"/>
    <n v="1.16654825210571"/>
    <n v="4.2819976806000002E-4"/>
    <n v="1.16412997245789"/>
    <n v="1.1645594835281401"/>
    <n v="4.2951107024999998E-4"/>
    <n v="158"/>
    <n v="0"/>
    <s v="TP"/>
  </r>
  <r>
    <d v="2019-12-12T22:54:52"/>
    <n v="9422"/>
    <n v="7184"/>
    <n v="19"/>
    <x v="19"/>
    <n v="1.16612005233765"/>
    <n v="1.16654825210571"/>
    <n v="4.2819976806000002E-4"/>
    <n v="1.16412997245789"/>
    <n v="1.1645594835281401"/>
    <n v="4.2951107024999998E-4"/>
    <n v="158"/>
    <n v="0"/>
    <s v="TP"/>
  </r>
  <r>
    <d v="2019-12-12T22:54:59"/>
    <n v="9422"/>
    <n v="7184"/>
    <n v="19"/>
    <x v="19"/>
    <n v="1.16612005233765"/>
    <n v="1.16654825210571"/>
    <n v="4.2819976806000002E-4"/>
    <n v="1.16412997245789"/>
    <n v="1.1645594835281401"/>
    <n v="4.2951107024999998E-4"/>
    <n v="158"/>
    <n v="0"/>
    <s v="TP"/>
  </r>
  <r>
    <d v="2019-12-12T22:55:05"/>
    <n v="9422"/>
    <n v="7184"/>
    <n v="19"/>
    <x v="19"/>
    <n v="1.16612005233765"/>
    <n v="1.16654825210571"/>
    <n v="4.2819976806000002E-4"/>
    <n v="1.16412997245789"/>
    <n v="1.1645594835281401"/>
    <n v="4.2951107024999998E-4"/>
    <n v="158"/>
    <n v="0"/>
    <s v="TP"/>
  </r>
  <r>
    <d v="2019-12-12T22:52:53"/>
    <n v="9422"/>
    <n v="7184"/>
    <n v="20"/>
    <x v="20"/>
    <n v="1.1659799814224201"/>
    <n v="1.1656250953674301"/>
    <n v="3.5488605499000002E-4"/>
    <n v="1.1641000509262101"/>
    <n v="1.1635240316391"/>
    <n v="5.7601928711000004E-4"/>
    <n v="-306"/>
    <n v="0"/>
    <s v="SL"/>
  </r>
  <r>
    <d v="2019-12-12T22:52:57"/>
    <n v="9422"/>
    <n v="7184"/>
    <n v="20"/>
    <x v="20"/>
    <n v="1.1659799814224201"/>
    <n v="1.1656250953674301"/>
    <n v="3.5488605499000002E-4"/>
    <n v="1.1641000509262101"/>
    <n v="1.1635240316391"/>
    <n v="5.7601928711000004E-4"/>
    <n v="-306"/>
    <n v="0"/>
    <s v="SL"/>
  </r>
  <r>
    <d v="2019-12-12T22:53:02"/>
    <n v="9422"/>
    <n v="7184"/>
    <n v="20"/>
    <x v="20"/>
    <n v="1.1659799814224201"/>
    <n v="1.1656250953674301"/>
    <n v="3.5488605499000002E-4"/>
    <n v="1.1641000509262101"/>
    <n v="1.1635240316391"/>
    <n v="5.7601928711000004E-4"/>
    <n v="-306"/>
    <n v="0"/>
    <s v="SL"/>
  </r>
  <r>
    <d v="2019-12-12T22:53:06"/>
    <n v="9422"/>
    <n v="7184"/>
    <n v="20"/>
    <x v="20"/>
    <n v="1.1659799814224201"/>
    <n v="1.1656250953674301"/>
    <n v="3.5488605499000002E-4"/>
    <n v="1.1641000509262101"/>
    <n v="1.1635240316391"/>
    <n v="5.7601928711000004E-4"/>
    <n v="-306"/>
    <n v="0"/>
    <s v="SL"/>
  </r>
  <r>
    <d v="2019-12-12T22:53:11"/>
    <n v="9422"/>
    <n v="7184"/>
    <n v="20"/>
    <x v="20"/>
    <n v="1.1659799814224201"/>
    <n v="1.1656250953674301"/>
    <n v="3.5488605499000002E-4"/>
    <n v="1.1641000509262101"/>
    <n v="1.1635240316391"/>
    <n v="5.7601928711000004E-4"/>
    <n v="-306"/>
    <n v="0"/>
    <s v="SL"/>
  </r>
  <r>
    <d v="2019-12-12T22:53:16"/>
    <n v="9422"/>
    <n v="7184"/>
    <n v="20"/>
    <x v="20"/>
    <n v="1.1659799814224201"/>
    <n v="1.1656250953674301"/>
    <n v="3.5488605499000002E-4"/>
    <n v="1.1641000509262101"/>
    <n v="1.1635240316391"/>
    <n v="5.7601928711000004E-4"/>
    <n v="-306"/>
    <n v="0"/>
    <s v="SL"/>
  </r>
  <r>
    <d v="2019-12-12T22:53:21"/>
    <n v="9422"/>
    <n v="7184"/>
    <n v="20"/>
    <x v="20"/>
    <n v="1.1659799814224201"/>
    <n v="1.1656250953674301"/>
    <n v="3.5488605499000002E-4"/>
    <n v="1.1641000509262101"/>
    <n v="1.1635240316391"/>
    <n v="5.7601928711000004E-4"/>
    <n v="-306"/>
    <n v="0"/>
    <s v="SL"/>
  </r>
  <r>
    <d v="2019-12-12T22:53:26"/>
    <n v="9422"/>
    <n v="7184"/>
    <n v="20"/>
    <x v="20"/>
    <n v="1.1659799814224201"/>
    <n v="1.1656250953674301"/>
    <n v="3.5488605499000002E-4"/>
    <n v="1.1641000509262101"/>
    <n v="1.1635240316391"/>
    <n v="5.7601928711000004E-4"/>
    <n v="-306"/>
    <n v="0"/>
    <s v="SL"/>
  </r>
  <r>
    <d v="2019-12-12T22:53:32"/>
    <n v="9422"/>
    <n v="7184"/>
    <n v="20"/>
    <x v="20"/>
    <n v="1.1659799814224201"/>
    <n v="1.1656250953674301"/>
    <n v="3.5488605499000002E-4"/>
    <n v="1.1641000509262101"/>
    <n v="1.1635240316391"/>
    <n v="5.7601928711000004E-4"/>
    <n v="-306"/>
    <n v="0"/>
    <s v="SL"/>
  </r>
  <r>
    <d v="2019-12-12T22:53:37"/>
    <n v="9422"/>
    <n v="7184"/>
    <n v="20"/>
    <x v="20"/>
    <n v="1.1659799814224201"/>
    <n v="1.1656250953674301"/>
    <n v="3.5488605499000002E-4"/>
    <n v="1.1641000509262101"/>
    <n v="1.1635240316391"/>
    <n v="5.7601928711000004E-4"/>
    <n v="-306"/>
    <n v="0"/>
    <s v="SL"/>
  </r>
  <r>
    <d v="2019-12-12T22:53:43"/>
    <n v="9422"/>
    <n v="7184"/>
    <n v="20"/>
    <x v="20"/>
    <n v="1.1659799814224201"/>
    <n v="1.1656250953674301"/>
    <n v="3.5488605499000002E-4"/>
    <n v="1.1641000509262101"/>
    <n v="1.1635240316391"/>
    <n v="5.7601928711000004E-4"/>
    <n v="-306"/>
    <n v="0"/>
    <s v="SL"/>
  </r>
  <r>
    <d v="2019-12-12T22:53:49"/>
    <n v="9422"/>
    <n v="7184"/>
    <n v="20"/>
    <x v="20"/>
    <n v="1.1659799814224201"/>
    <n v="1.1656250953674301"/>
    <n v="3.5488605499000002E-4"/>
    <n v="1.1641000509262101"/>
    <n v="1.1635240316391"/>
    <n v="5.7601928711000004E-4"/>
    <n v="-306"/>
    <n v="0"/>
    <s v="SL"/>
  </r>
  <r>
    <d v="2019-12-12T22:53:54"/>
    <n v="9422"/>
    <n v="7184"/>
    <n v="20"/>
    <x v="20"/>
    <n v="1.1659799814224201"/>
    <n v="1.1656250953674301"/>
    <n v="3.5488605499000002E-4"/>
    <n v="1.1641000509262101"/>
    <n v="1.1635240316391"/>
    <n v="5.7601928711000004E-4"/>
    <n v="-306"/>
    <n v="0"/>
    <s v="SL"/>
  </r>
  <r>
    <d v="2019-12-12T22:54:00"/>
    <n v="9422"/>
    <n v="7184"/>
    <n v="20"/>
    <x v="20"/>
    <n v="1.1659799814224201"/>
    <n v="1.1656250953674301"/>
    <n v="3.5488605499000002E-4"/>
    <n v="1.1641000509262101"/>
    <n v="1.1635240316391"/>
    <n v="5.7601928711000004E-4"/>
    <n v="-306"/>
    <n v="0"/>
    <s v="SL"/>
  </r>
  <r>
    <d v="2019-12-12T22:54:06"/>
    <n v="9422"/>
    <n v="7184"/>
    <n v="20"/>
    <x v="20"/>
    <n v="1.1659799814224201"/>
    <n v="1.1656250953674301"/>
    <n v="3.5488605499000002E-4"/>
    <n v="1.1641000509262101"/>
    <n v="1.1635240316391"/>
    <n v="5.7601928711000004E-4"/>
    <n v="-306"/>
    <n v="0"/>
    <s v="SL"/>
  </r>
  <r>
    <d v="2019-12-12T22:54:12"/>
    <n v="9422"/>
    <n v="7184"/>
    <n v="20"/>
    <x v="20"/>
    <n v="1.1659799814224201"/>
    <n v="1.1656250953674301"/>
    <n v="3.5488605499000002E-4"/>
    <n v="1.1641000509262101"/>
    <n v="1.1635240316391"/>
    <n v="5.7601928711000004E-4"/>
    <n v="-306"/>
    <n v="0"/>
    <s v="SL"/>
  </r>
  <r>
    <d v="2019-12-12T22:54:18"/>
    <n v="9422"/>
    <n v="7184"/>
    <n v="20"/>
    <x v="20"/>
    <n v="1.1659799814224201"/>
    <n v="1.1656250953674301"/>
    <n v="3.5488605499000002E-4"/>
    <n v="1.1641000509262101"/>
    <n v="1.1635240316391"/>
    <n v="5.7601928711000004E-4"/>
    <n v="-306"/>
    <n v="0"/>
    <s v="SL"/>
  </r>
  <r>
    <d v="2019-12-12T22:54:25"/>
    <n v="9422"/>
    <n v="7184"/>
    <n v="20"/>
    <x v="20"/>
    <n v="1.1659799814224201"/>
    <n v="1.1656250953674301"/>
    <n v="3.5488605499000002E-4"/>
    <n v="1.1641000509262101"/>
    <n v="1.1635240316391"/>
    <n v="5.7601928711000004E-4"/>
    <n v="-306"/>
    <n v="0"/>
    <s v="SL"/>
  </r>
  <r>
    <d v="2019-12-12T22:54:31"/>
    <n v="9422"/>
    <n v="7184"/>
    <n v="20"/>
    <x v="20"/>
    <n v="1.1659799814224201"/>
    <n v="1.1656250953674301"/>
    <n v="3.5488605499000002E-4"/>
    <n v="1.1641000509262101"/>
    <n v="1.1635240316391"/>
    <n v="5.7601928711000004E-4"/>
    <n v="-306"/>
    <n v="0"/>
    <s v="SL"/>
  </r>
  <r>
    <d v="2019-12-12T22:54:38"/>
    <n v="9422"/>
    <n v="7184"/>
    <n v="20"/>
    <x v="20"/>
    <n v="1.1659799814224201"/>
    <n v="1.1656250953674301"/>
    <n v="3.5488605499000002E-4"/>
    <n v="1.1641000509262101"/>
    <n v="1.1635240316391"/>
    <n v="5.7601928711000004E-4"/>
    <n v="-306"/>
    <n v="0"/>
    <s v="SL"/>
  </r>
  <r>
    <d v="2019-12-12T22:54:45"/>
    <n v="9422"/>
    <n v="7184"/>
    <n v="20"/>
    <x v="20"/>
    <n v="1.1659799814224201"/>
    <n v="1.1656250953674301"/>
    <n v="3.5488605499000002E-4"/>
    <n v="1.1641000509262101"/>
    <n v="1.1635240316391"/>
    <n v="5.7601928711000004E-4"/>
    <n v="-306"/>
    <n v="0"/>
    <s v="SL"/>
  </r>
  <r>
    <d v="2019-12-12T22:54:52"/>
    <n v="9422"/>
    <n v="7184"/>
    <n v="20"/>
    <x v="20"/>
    <n v="1.1659799814224201"/>
    <n v="1.1656250953674301"/>
    <n v="3.5488605499000002E-4"/>
    <n v="1.1641000509262101"/>
    <n v="1.1635240316391"/>
    <n v="5.7601928711000004E-4"/>
    <n v="-306"/>
    <n v="0"/>
    <s v="SL"/>
  </r>
  <r>
    <d v="2019-12-12T22:54:59"/>
    <n v="9422"/>
    <n v="7184"/>
    <n v="20"/>
    <x v="20"/>
    <n v="1.1659799814224201"/>
    <n v="1.1656250953674301"/>
    <n v="3.5488605499000002E-4"/>
    <n v="1.1641000509262101"/>
    <n v="1.1635240316391"/>
    <n v="5.7601928711000004E-4"/>
    <n v="-306"/>
    <n v="0"/>
    <s v="SL"/>
  </r>
  <r>
    <d v="2019-12-12T22:55:05"/>
    <n v="9422"/>
    <n v="7184"/>
    <n v="20"/>
    <x v="20"/>
    <n v="1.1659799814224201"/>
    <n v="1.1656250953674301"/>
    <n v="3.5488605499000002E-4"/>
    <n v="1.1641000509262101"/>
    <n v="1.1635240316391"/>
    <n v="5.7601928711000004E-4"/>
    <n v="-306"/>
    <n v="0"/>
    <s v="SL"/>
  </r>
  <r>
    <d v="2019-12-12T22:52:53"/>
    <n v="9422"/>
    <n v="7184"/>
    <n v="21"/>
    <x v="21"/>
    <n v="1.16691994667053"/>
    <n v="1.16661489009857"/>
    <n v="3.0505657195999998E-4"/>
    <n v="1.1649099588394201"/>
    <n v="1.16498255729675"/>
    <n v="7.259845733E-5"/>
    <n v="108"/>
    <n v="0"/>
    <s v="TP"/>
  </r>
  <r>
    <d v="2019-12-12T22:52:57"/>
    <n v="9422"/>
    <n v="7184"/>
    <n v="21"/>
    <x v="21"/>
    <n v="1.16691994667053"/>
    <n v="1.16661489009857"/>
    <n v="3.0505657195999998E-4"/>
    <n v="1.1649099588394201"/>
    <n v="1.16498255729675"/>
    <n v="7.259845733E-5"/>
    <n v="108"/>
    <n v="0"/>
    <s v="TP"/>
  </r>
  <r>
    <d v="2019-12-12T22:53:02"/>
    <n v="9422"/>
    <n v="7184"/>
    <n v="21"/>
    <x v="21"/>
    <n v="1.16691994667053"/>
    <n v="1.16661489009857"/>
    <n v="3.0505657195999998E-4"/>
    <n v="1.1649099588394201"/>
    <n v="1.16498255729675"/>
    <n v="7.259845733E-5"/>
    <n v="108"/>
    <n v="0"/>
    <s v="TP"/>
  </r>
  <r>
    <d v="2019-12-12T22:53:06"/>
    <n v="9422"/>
    <n v="7184"/>
    <n v="21"/>
    <x v="21"/>
    <n v="1.16691994667053"/>
    <n v="1.16661489009857"/>
    <n v="3.0505657195999998E-4"/>
    <n v="1.1649099588394201"/>
    <n v="1.16498255729675"/>
    <n v="7.259845733E-5"/>
    <n v="108"/>
    <n v="0"/>
    <s v="TP"/>
  </r>
  <r>
    <d v="2019-12-12T22:53:11"/>
    <n v="9422"/>
    <n v="7184"/>
    <n v="21"/>
    <x v="21"/>
    <n v="1.16691994667053"/>
    <n v="1.16661489009857"/>
    <n v="3.0505657195999998E-4"/>
    <n v="1.1649099588394201"/>
    <n v="1.16498255729675"/>
    <n v="7.259845733E-5"/>
    <n v="108"/>
    <n v="0"/>
    <s v="TP"/>
  </r>
  <r>
    <d v="2019-12-12T22:53:16"/>
    <n v="9422"/>
    <n v="7184"/>
    <n v="21"/>
    <x v="21"/>
    <n v="1.16691994667053"/>
    <n v="1.16661489009857"/>
    <n v="3.0505657195999998E-4"/>
    <n v="1.1649099588394201"/>
    <n v="1.16498255729675"/>
    <n v="7.259845733E-5"/>
    <n v="108"/>
    <n v="0"/>
    <s v="TP"/>
  </r>
  <r>
    <d v="2019-12-12T22:53:21"/>
    <n v="9422"/>
    <n v="7184"/>
    <n v="21"/>
    <x v="21"/>
    <n v="1.16691994667053"/>
    <n v="1.16661489009857"/>
    <n v="3.0505657195999998E-4"/>
    <n v="1.1649099588394201"/>
    <n v="1.16498255729675"/>
    <n v="7.259845733E-5"/>
    <n v="108"/>
    <n v="0"/>
    <s v="TP"/>
  </r>
  <r>
    <d v="2019-12-12T22:53:26"/>
    <n v="9422"/>
    <n v="7184"/>
    <n v="21"/>
    <x v="21"/>
    <n v="1.16691994667053"/>
    <n v="1.16661489009857"/>
    <n v="3.0505657195999998E-4"/>
    <n v="1.1649099588394201"/>
    <n v="1.16498255729675"/>
    <n v="7.259845733E-5"/>
    <n v="108"/>
    <n v="0"/>
    <s v="TP"/>
  </r>
  <r>
    <d v="2019-12-12T22:53:32"/>
    <n v="9422"/>
    <n v="7184"/>
    <n v="21"/>
    <x v="21"/>
    <n v="1.16691994667053"/>
    <n v="1.16661489009857"/>
    <n v="3.0505657195999998E-4"/>
    <n v="1.1649099588394201"/>
    <n v="1.16498255729675"/>
    <n v="7.259845733E-5"/>
    <n v="108"/>
    <n v="0"/>
    <s v="TP"/>
  </r>
  <r>
    <d v="2019-12-12T22:53:37"/>
    <n v="9422"/>
    <n v="7184"/>
    <n v="21"/>
    <x v="21"/>
    <n v="1.16691994667053"/>
    <n v="1.16661489009857"/>
    <n v="3.0505657195999998E-4"/>
    <n v="1.1649099588394201"/>
    <n v="1.16498255729675"/>
    <n v="7.259845733E-5"/>
    <n v="108"/>
    <n v="0"/>
    <s v="TP"/>
  </r>
  <r>
    <d v="2019-12-12T22:53:43"/>
    <n v="9422"/>
    <n v="7184"/>
    <n v="21"/>
    <x v="21"/>
    <n v="1.16691994667053"/>
    <n v="1.16661489009857"/>
    <n v="3.0505657195999998E-4"/>
    <n v="1.1649099588394201"/>
    <n v="1.16498255729675"/>
    <n v="7.259845733E-5"/>
    <n v="108"/>
    <n v="0"/>
    <s v="TP"/>
  </r>
  <r>
    <d v="2019-12-12T22:53:49"/>
    <n v="9422"/>
    <n v="7184"/>
    <n v="21"/>
    <x v="21"/>
    <n v="1.16691994667053"/>
    <n v="1.16661489009857"/>
    <n v="3.0505657195999998E-4"/>
    <n v="1.1649099588394201"/>
    <n v="1.16498255729675"/>
    <n v="7.259845733E-5"/>
    <n v="108"/>
    <n v="0"/>
    <s v="TP"/>
  </r>
  <r>
    <d v="2019-12-12T22:53:54"/>
    <n v="9422"/>
    <n v="7184"/>
    <n v="21"/>
    <x v="21"/>
    <n v="1.16691994667053"/>
    <n v="1.16661489009857"/>
    <n v="3.0505657195999998E-4"/>
    <n v="1.1649099588394201"/>
    <n v="1.16498255729675"/>
    <n v="7.259845733E-5"/>
    <n v="108"/>
    <n v="0"/>
    <s v="TP"/>
  </r>
  <r>
    <d v="2019-12-12T22:54:00"/>
    <n v="9422"/>
    <n v="7184"/>
    <n v="21"/>
    <x v="21"/>
    <n v="1.16691994667053"/>
    <n v="1.16661489009857"/>
    <n v="3.0505657195999998E-4"/>
    <n v="1.1649099588394201"/>
    <n v="1.16498255729675"/>
    <n v="7.259845733E-5"/>
    <n v="108"/>
    <n v="0"/>
    <s v="TP"/>
  </r>
  <r>
    <d v="2019-12-12T22:54:06"/>
    <n v="9422"/>
    <n v="7184"/>
    <n v="21"/>
    <x v="21"/>
    <n v="1.16691994667053"/>
    <n v="1.16661489009857"/>
    <n v="3.0505657195999998E-4"/>
    <n v="1.1649099588394201"/>
    <n v="1.16498255729675"/>
    <n v="7.259845733E-5"/>
    <n v="108"/>
    <n v="0"/>
    <s v="TP"/>
  </r>
  <r>
    <d v="2019-12-12T22:54:12"/>
    <n v="9422"/>
    <n v="7184"/>
    <n v="21"/>
    <x v="21"/>
    <n v="1.16691994667053"/>
    <n v="1.16661489009857"/>
    <n v="3.0505657195999998E-4"/>
    <n v="1.1649099588394201"/>
    <n v="1.16498255729675"/>
    <n v="7.259845733E-5"/>
    <n v="108"/>
    <n v="0"/>
    <s v="TP"/>
  </r>
  <r>
    <d v="2019-12-12T22:54:18"/>
    <n v="9422"/>
    <n v="7184"/>
    <n v="21"/>
    <x v="21"/>
    <n v="1.16691994667053"/>
    <n v="1.16661489009857"/>
    <n v="3.0505657195999998E-4"/>
    <n v="1.1649099588394201"/>
    <n v="1.16498255729675"/>
    <n v="7.259845733E-5"/>
    <n v="108"/>
    <n v="0"/>
    <s v="TP"/>
  </r>
  <r>
    <d v="2019-12-12T22:54:25"/>
    <n v="9422"/>
    <n v="7184"/>
    <n v="21"/>
    <x v="21"/>
    <n v="1.16691994667053"/>
    <n v="1.16661489009857"/>
    <n v="3.0505657195999998E-4"/>
    <n v="1.1649099588394201"/>
    <n v="1.16498255729675"/>
    <n v="7.259845733E-5"/>
    <n v="108"/>
    <n v="0"/>
    <s v="TP"/>
  </r>
  <r>
    <d v="2019-12-12T22:54:31"/>
    <n v="9422"/>
    <n v="7184"/>
    <n v="21"/>
    <x v="21"/>
    <n v="1.16691994667053"/>
    <n v="1.16661489009857"/>
    <n v="3.0505657195999998E-4"/>
    <n v="1.1649099588394201"/>
    <n v="1.16498255729675"/>
    <n v="7.259845733E-5"/>
    <n v="108"/>
    <n v="0"/>
    <s v="TP"/>
  </r>
  <r>
    <d v="2019-12-12T22:54:38"/>
    <n v="9422"/>
    <n v="7184"/>
    <n v="21"/>
    <x v="21"/>
    <n v="1.16691994667053"/>
    <n v="1.16661489009857"/>
    <n v="3.0505657195999998E-4"/>
    <n v="1.1649099588394201"/>
    <n v="1.16498255729675"/>
    <n v="7.259845733E-5"/>
    <n v="108"/>
    <n v="0"/>
    <s v="TP"/>
  </r>
  <r>
    <d v="2019-12-12T22:54:45"/>
    <n v="9422"/>
    <n v="7184"/>
    <n v="21"/>
    <x v="21"/>
    <n v="1.16691994667053"/>
    <n v="1.16661489009857"/>
    <n v="3.0505657195999998E-4"/>
    <n v="1.1649099588394201"/>
    <n v="1.16498255729675"/>
    <n v="7.259845733E-5"/>
    <n v="108"/>
    <n v="0"/>
    <s v="TP"/>
  </r>
  <r>
    <d v="2019-12-12T22:54:52"/>
    <n v="9422"/>
    <n v="7184"/>
    <n v="21"/>
    <x v="21"/>
    <n v="1.16691994667053"/>
    <n v="1.16661489009857"/>
    <n v="3.0505657195999998E-4"/>
    <n v="1.1649099588394201"/>
    <n v="1.16498255729675"/>
    <n v="7.259845733E-5"/>
    <n v="108"/>
    <n v="0"/>
    <s v="TP"/>
  </r>
  <r>
    <d v="2019-12-12T22:54:59"/>
    <n v="9422"/>
    <n v="7184"/>
    <n v="21"/>
    <x v="21"/>
    <n v="1.16691994667053"/>
    <n v="1.16661489009857"/>
    <n v="3.0505657195999998E-4"/>
    <n v="1.1649099588394201"/>
    <n v="1.16498255729675"/>
    <n v="7.259845733E-5"/>
    <n v="108"/>
    <n v="0"/>
    <s v="TP"/>
  </r>
  <r>
    <d v="2019-12-12T22:55:05"/>
    <n v="9422"/>
    <n v="7184"/>
    <n v="21"/>
    <x v="21"/>
    <n v="1.16691994667053"/>
    <n v="1.16661489009857"/>
    <n v="3.0505657195999998E-4"/>
    <n v="1.1649099588394201"/>
    <n v="1.16498255729675"/>
    <n v="7.259845733E-5"/>
    <n v="108"/>
    <n v="0"/>
    <s v="TP"/>
  </r>
  <r>
    <d v="2019-12-12T22:52:53"/>
    <n v="9422"/>
    <n v="7184"/>
    <n v="22"/>
    <x v="22"/>
    <n v="1.1671400070190401"/>
    <n v="1.1674290895462001"/>
    <n v="2.8908252715999997E-4"/>
    <n v="1.1655199527740501"/>
    <n v="1.1654248237609901"/>
    <n v="9.5129013059999998E-5"/>
    <n v="206"/>
    <n v="0"/>
    <s v="TP"/>
  </r>
  <r>
    <d v="2019-12-12T22:52:57"/>
    <n v="9422"/>
    <n v="7184"/>
    <n v="22"/>
    <x v="22"/>
    <n v="1.1671400070190401"/>
    <n v="1.1674290895462001"/>
    <n v="2.8908252715999997E-4"/>
    <n v="1.1655199527740501"/>
    <n v="1.1654248237609901"/>
    <n v="9.5129013059999998E-5"/>
    <n v="206"/>
    <n v="0"/>
    <s v="TP"/>
  </r>
  <r>
    <d v="2019-12-12T22:53:02"/>
    <n v="9422"/>
    <n v="7184"/>
    <n v="22"/>
    <x v="22"/>
    <n v="1.1671400070190401"/>
    <n v="1.1674290895462001"/>
    <n v="2.8908252715999997E-4"/>
    <n v="1.1655199527740501"/>
    <n v="1.1654248237609901"/>
    <n v="9.5129013059999998E-5"/>
    <n v="206"/>
    <n v="0"/>
    <s v="TP"/>
  </r>
  <r>
    <d v="2019-12-12T22:53:06"/>
    <n v="9422"/>
    <n v="7184"/>
    <n v="22"/>
    <x v="22"/>
    <n v="1.1671400070190401"/>
    <n v="1.1674290895462001"/>
    <n v="2.8908252715999997E-4"/>
    <n v="1.1655199527740501"/>
    <n v="1.1654248237609901"/>
    <n v="9.5129013059999998E-5"/>
    <n v="206"/>
    <n v="0"/>
    <s v="TP"/>
  </r>
  <r>
    <d v="2019-12-12T22:53:11"/>
    <n v="9422"/>
    <n v="7184"/>
    <n v="22"/>
    <x v="22"/>
    <n v="1.1671400070190401"/>
    <n v="1.1674290895462001"/>
    <n v="2.8908252715999997E-4"/>
    <n v="1.1655199527740501"/>
    <n v="1.1654248237609901"/>
    <n v="9.5129013059999998E-5"/>
    <n v="206"/>
    <n v="0"/>
    <s v="TP"/>
  </r>
  <r>
    <d v="2019-12-12T22:53:16"/>
    <n v="9422"/>
    <n v="7184"/>
    <n v="22"/>
    <x v="22"/>
    <n v="1.1671400070190401"/>
    <n v="1.1674290895462001"/>
    <n v="2.8908252715999997E-4"/>
    <n v="1.1655199527740501"/>
    <n v="1.1654248237609901"/>
    <n v="9.5129013059999998E-5"/>
    <n v="206"/>
    <n v="0"/>
    <s v="TP"/>
  </r>
  <r>
    <d v="2019-12-12T22:53:21"/>
    <n v="9422"/>
    <n v="7184"/>
    <n v="22"/>
    <x v="22"/>
    <n v="1.1671400070190401"/>
    <n v="1.1674290895462001"/>
    <n v="2.8908252715999997E-4"/>
    <n v="1.1655199527740501"/>
    <n v="1.1654248237609901"/>
    <n v="9.5129013059999998E-5"/>
    <n v="206"/>
    <n v="0"/>
    <s v="TP"/>
  </r>
  <r>
    <d v="2019-12-12T22:53:26"/>
    <n v="9422"/>
    <n v="7184"/>
    <n v="22"/>
    <x v="22"/>
    <n v="1.1671400070190401"/>
    <n v="1.1674290895462001"/>
    <n v="2.8908252715999997E-4"/>
    <n v="1.1655199527740501"/>
    <n v="1.1654248237609901"/>
    <n v="9.5129013059999998E-5"/>
    <n v="206"/>
    <n v="0"/>
    <s v="TP"/>
  </r>
  <r>
    <d v="2019-12-12T22:53:32"/>
    <n v="9422"/>
    <n v="7184"/>
    <n v="22"/>
    <x v="22"/>
    <n v="1.1671400070190401"/>
    <n v="1.1674290895462001"/>
    <n v="2.8908252715999997E-4"/>
    <n v="1.1655199527740501"/>
    <n v="1.1654248237609901"/>
    <n v="9.5129013059999998E-5"/>
    <n v="206"/>
    <n v="0"/>
    <s v="TP"/>
  </r>
  <r>
    <d v="2019-12-12T22:53:37"/>
    <n v="9422"/>
    <n v="7184"/>
    <n v="22"/>
    <x v="22"/>
    <n v="1.1671400070190401"/>
    <n v="1.1674290895462001"/>
    <n v="2.8908252715999997E-4"/>
    <n v="1.1655199527740501"/>
    <n v="1.1654248237609901"/>
    <n v="9.5129013059999998E-5"/>
    <n v="206"/>
    <n v="0"/>
    <s v="TP"/>
  </r>
  <r>
    <d v="2019-12-12T22:53:43"/>
    <n v="9422"/>
    <n v="7184"/>
    <n v="22"/>
    <x v="22"/>
    <n v="1.1671400070190401"/>
    <n v="1.1674290895462001"/>
    <n v="2.8908252715999997E-4"/>
    <n v="1.1655199527740501"/>
    <n v="1.1654248237609901"/>
    <n v="9.5129013059999998E-5"/>
    <n v="206"/>
    <n v="0"/>
    <s v="TP"/>
  </r>
  <r>
    <d v="2019-12-12T22:53:49"/>
    <n v="9422"/>
    <n v="7184"/>
    <n v="22"/>
    <x v="22"/>
    <n v="1.1671400070190401"/>
    <n v="1.1674290895462001"/>
    <n v="2.8908252715999997E-4"/>
    <n v="1.1655199527740501"/>
    <n v="1.1654248237609901"/>
    <n v="9.5129013059999998E-5"/>
    <n v="206"/>
    <n v="0"/>
    <s v="TP"/>
  </r>
  <r>
    <d v="2019-12-12T22:53:54"/>
    <n v="9422"/>
    <n v="7184"/>
    <n v="22"/>
    <x v="22"/>
    <n v="1.1671400070190401"/>
    <n v="1.1674290895462001"/>
    <n v="2.8908252715999997E-4"/>
    <n v="1.1655199527740501"/>
    <n v="1.1654248237609901"/>
    <n v="9.5129013059999998E-5"/>
    <n v="206"/>
    <n v="0"/>
    <s v="TP"/>
  </r>
  <r>
    <d v="2019-12-12T22:54:00"/>
    <n v="9422"/>
    <n v="7184"/>
    <n v="22"/>
    <x v="22"/>
    <n v="1.1671400070190401"/>
    <n v="1.1674290895462001"/>
    <n v="2.8908252715999997E-4"/>
    <n v="1.1655199527740501"/>
    <n v="1.1654248237609901"/>
    <n v="9.5129013059999998E-5"/>
    <n v="206"/>
    <n v="0"/>
    <s v="TP"/>
  </r>
  <r>
    <d v="2019-12-12T22:54:06"/>
    <n v="9422"/>
    <n v="7184"/>
    <n v="22"/>
    <x v="22"/>
    <n v="1.1671400070190401"/>
    <n v="1.1674290895462001"/>
    <n v="2.8908252715999997E-4"/>
    <n v="1.1655199527740501"/>
    <n v="1.1654248237609901"/>
    <n v="9.5129013059999998E-5"/>
    <n v="206"/>
    <n v="0"/>
    <s v="TP"/>
  </r>
  <r>
    <d v="2019-12-12T22:54:12"/>
    <n v="9422"/>
    <n v="7184"/>
    <n v="22"/>
    <x v="22"/>
    <n v="1.1671400070190401"/>
    <n v="1.1674290895462001"/>
    <n v="2.8908252715999997E-4"/>
    <n v="1.1655199527740501"/>
    <n v="1.1654248237609901"/>
    <n v="9.5129013059999998E-5"/>
    <n v="206"/>
    <n v="0"/>
    <s v="TP"/>
  </r>
  <r>
    <d v="2019-12-12T22:54:18"/>
    <n v="9422"/>
    <n v="7184"/>
    <n v="22"/>
    <x v="22"/>
    <n v="1.1671400070190401"/>
    <n v="1.1674290895462001"/>
    <n v="2.8908252715999997E-4"/>
    <n v="1.1655199527740501"/>
    <n v="1.1654248237609901"/>
    <n v="9.5129013059999998E-5"/>
    <n v="206"/>
    <n v="0"/>
    <s v="TP"/>
  </r>
  <r>
    <d v="2019-12-12T22:54:25"/>
    <n v="9422"/>
    <n v="7184"/>
    <n v="22"/>
    <x v="22"/>
    <n v="1.1671400070190401"/>
    <n v="1.1674290895462001"/>
    <n v="2.8908252715999997E-4"/>
    <n v="1.1655199527740501"/>
    <n v="1.1654248237609901"/>
    <n v="9.5129013059999998E-5"/>
    <n v="206"/>
    <n v="0"/>
    <s v="TP"/>
  </r>
  <r>
    <d v="2019-12-12T22:54:31"/>
    <n v="9422"/>
    <n v="7184"/>
    <n v="22"/>
    <x v="22"/>
    <n v="1.1671400070190401"/>
    <n v="1.1674290895462001"/>
    <n v="2.8908252715999997E-4"/>
    <n v="1.1655199527740501"/>
    <n v="1.1654248237609901"/>
    <n v="9.5129013059999998E-5"/>
    <n v="206"/>
    <n v="0"/>
    <s v="TP"/>
  </r>
  <r>
    <d v="2019-12-12T22:54:38"/>
    <n v="9422"/>
    <n v="7184"/>
    <n v="22"/>
    <x v="22"/>
    <n v="1.1671400070190401"/>
    <n v="1.1674290895462001"/>
    <n v="2.8908252715999997E-4"/>
    <n v="1.1655199527740501"/>
    <n v="1.1654248237609901"/>
    <n v="9.5129013059999998E-5"/>
    <n v="206"/>
    <n v="0"/>
    <s v="TP"/>
  </r>
  <r>
    <d v="2019-12-12T22:54:45"/>
    <n v="9422"/>
    <n v="7184"/>
    <n v="22"/>
    <x v="22"/>
    <n v="1.1671400070190401"/>
    <n v="1.1674290895462001"/>
    <n v="2.8908252715999997E-4"/>
    <n v="1.1655199527740501"/>
    <n v="1.1654248237609901"/>
    <n v="9.5129013059999998E-5"/>
    <n v="206"/>
    <n v="0"/>
    <s v="TP"/>
  </r>
  <r>
    <d v="2019-12-12T22:54:52"/>
    <n v="9422"/>
    <n v="7184"/>
    <n v="22"/>
    <x v="22"/>
    <n v="1.1671400070190401"/>
    <n v="1.1674290895462001"/>
    <n v="2.8908252715999997E-4"/>
    <n v="1.1655199527740501"/>
    <n v="1.1654248237609901"/>
    <n v="9.5129013059999998E-5"/>
    <n v="206"/>
    <n v="0"/>
    <s v="TP"/>
  </r>
  <r>
    <d v="2019-12-12T22:54:59"/>
    <n v="9422"/>
    <n v="7184"/>
    <n v="22"/>
    <x v="22"/>
    <n v="1.1671400070190401"/>
    <n v="1.1674290895462001"/>
    <n v="2.8908252715999997E-4"/>
    <n v="1.1655199527740501"/>
    <n v="1.1654248237609901"/>
    <n v="9.5129013059999998E-5"/>
    <n v="206"/>
    <n v="0"/>
    <s v="TP"/>
  </r>
  <r>
    <d v="2019-12-12T22:55:05"/>
    <n v="9422"/>
    <n v="7184"/>
    <n v="22"/>
    <x v="22"/>
    <n v="1.1671400070190401"/>
    <n v="1.1674290895462001"/>
    <n v="2.8908252715999997E-4"/>
    <n v="1.1655199527740501"/>
    <n v="1.1654248237609901"/>
    <n v="9.5129013059999998E-5"/>
    <n v="206"/>
    <n v="0"/>
    <s v="TP"/>
  </r>
  <r>
    <d v="2019-12-12T22:52:53"/>
    <n v="9422"/>
    <n v="7184"/>
    <n v="23"/>
    <x v="23"/>
    <n v="1.16782999038696"/>
    <n v="1.1671434640884399"/>
    <n v="6.8652629851999997E-4"/>
    <n v="1.16589999198914"/>
    <n v="1.1651803255081199"/>
    <n v="7.1966648101999997E-4"/>
    <n v="-236"/>
    <n v="0"/>
    <s v="SL"/>
  </r>
  <r>
    <d v="2019-12-12T22:52:57"/>
    <n v="9422"/>
    <n v="7184"/>
    <n v="23"/>
    <x v="23"/>
    <n v="1.16782999038696"/>
    <n v="1.1671434640884399"/>
    <n v="6.8652629851999997E-4"/>
    <n v="1.16589999198914"/>
    <n v="1.1651803255081199"/>
    <n v="7.1966648101999997E-4"/>
    <n v="-236"/>
    <n v="0"/>
    <s v="SL"/>
  </r>
  <r>
    <d v="2019-12-12T22:53:02"/>
    <n v="9422"/>
    <n v="7184"/>
    <n v="23"/>
    <x v="23"/>
    <n v="1.16782999038696"/>
    <n v="1.1671434640884399"/>
    <n v="6.8652629851999997E-4"/>
    <n v="1.16589999198914"/>
    <n v="1.1651803255081199"/>
    <n v="7.1966648101999997E-4"/>
    <n v="-236"/>
    <n v="0"/>
    <s v="SL"/>
  </r>
  <r>
    <d v="2019-12-12T22:53:06"/>
    <n v="9422"/>
    <n v="7184"/>
    <n v="23"/>
    <x v="23"/>
    <n v="1.16782999038696"/>
    <n v="1.1671434640884399"/>
    <n v="6.8652629851999997E-4"/>
    <n v="1.16589999198914"/>
    <n v="1.1651803255081199"/>
    <n v="7.1966648101999997E-4"/>
    <n v="-236"/>
    <n v="0"/>
    <s v="SL"/>
  </r>
  <r>
    <d v="2019-12-12T22:53:11"/>
    <n v="9422"/>
    <n v="7184"/>
    <n v="23"/>
    <x v="23"/>
    <n v="1.16782999038696"/>
    <n v="1.1671434640884399"/>
    <n v="6.8652629851999997E-4"/>
    <n v="1.16589999198914"/>
    <n v="1.1651803255081199"/>
    <n v="7.1966648101999997E-4"/>
    <n v="-236"/>
    <n v="0"/>
    <s v="SL"/>
  </r>
  <r>
    <d v="2019-12-12T22:53:16"/>
    <n v="9422"/>
    <n v="7184"/>
    <n v="23"/>
    <x v="23"/>
    <n v="1.16782999038696"/>
    <n v="1.1671434640884399"/>
    <n v="6.8652629851999997E-4"/>
    <n v="1.16589999198914"/>
    <n v="1.1651803255081199"/>
    <n v="7.1966648101999997E-4"/>
    <n v="-236"/>
    <n v="0"/>
    <s v="SL"/>
  </r>
  <r>
    <d v="2019-12-12T22:53:21"/>
    <n v="9422"/>
    <n v="7184"/>
    <n v="23"/>
    <x v="23"/>
    <n v="1.16782999038696"/>
    <n v="1.1671434640884399"/>
    <n v="6.8652629851999997E-4"/>
    <n v="1.16589999198914"/>
    <n v="1.1651803255081199"/>
    <n v="7.1966648101999997E-4"/>
    <n v="-236"/>
    <n v="0"/>
    <s v="SL"/>
  </r>
  <r>
    <d v="2019-12-12T22:53:26"/>
    <n v="9422"/>
    <n v="7184"/>
    <n v="23"/>
    <x v="23"/>
    <n v="1.16782999038696"/>
    <n v="1.1671434640884399"/>
    <n v="6.8652629851999997E-4"/>
    <n v="1.16589999198914"/>
    <n v="1.1651803255081199"/>
    <n v="7.1966648101999997E-4"/>
    <n v="-236"/>
    <n v="0"/>
    <s v="SL"/>
  </r>
  <r>
    <d v="2019-12-12T22:53:32"/>
    <n v="9422"/>
    <n v="7184"/>
    <n v="23"/>
    <x v="23"/>
    <n v="1.16782999038696"/>
    <n v="1.1671434640884399"/>
    <n v="6.8652629851999997E-4"/>
    <n v="1.16589999198914"/>
    <n v="1.1651803255081199"/>
    <n v="7.1966648101999997E-4"/>
    <n v="-236"/>
    <n v="0"/>
    <s v="SL"/>
  </r>
  <r>
    <d v="2019-12-12T22:53:37"/>
    <n v="9422"/>
    <n v="7184"/>
    <n v="23"/>
    <x v="23"/>
    <n v="1.16782999038696"/>
    <n v="1.1671434640884399"/>
    <n v="6.8652629851999997E-4"/>
    <n v="1.16589999198914"/>
    <n v="1.1651803255081199"/>
    <n v="7.1966648101999997E-4"/>
    <n v="-236"/>
    <n v="0"/>
    <s v="SL"/>
  </r>
  <r>
    <d v="2019-12-12T22:53:43"/>
    <n v="9422"/>
    <n v="7184"/>
    <n v="23"/>
    <x v="23"/>
    <n v="1.16782999038696"/>
    <n v="1.1671434640884399"/>
    <n v="6.8652629851999997E-4"/>
    <n v="1.16589999198914"/>
    <n v="1.1651803255081199"/>
    <n v="7.1966648101999997E-4"/>
    <n v="-236"/>
    <n v="0"/>
    <s v="SL"/>
  </r>
  <r>
    <d v="2019-12-12T22:53:49"/>
    <n v="9422"/>
    <n v="7184"/>
    <n v="23"/>
    <x v="23"/>
    <n v="1.16782999038696"/>
    <n v="1.1671434640884399"/>
    <n v="6.8652629851999997E-4"/>
    <n v="1.16589999198914"/>
    <n v="1.1651803255081199"/>
    <n v="7.1966648101999997E-4"/>
    <n v="-236"/>
    <n v="0"/>
    <s v="SL"/>
  </r>
  <r>
    <d v="2019-12-12T22:53:54"/>
    <n v="9422"/>
    <n v="7184"/>
    <n v="23"/>
    <x v="23"/>
    <n v="1.16782999038696"/>
    <n v="1.1671434640884399"/>
    <n v="6.8652629851999997E-4"/>
    <n v="1.16589999198914"/>
    <n v="1.1651803255081199"/>
    <n v="7.1966648101999997E-4"/>
    <n v="-236"/>
    <n v="0"/>
    <s v="SL"/>
  </r>
  <r>
    <d v="2019-12-12T22:54:00"/>
    <n v="9422"/>
    <n v="7184"/>
    <n v="23"/>
    <x v="23"/>
    <n v="1.16782999038696"/>
    <n v="1.1671434640884399"/>
    <n v="6.8652629851999997E-4"/>
    <n v="1.16589999198914"/>
    <n v="1.1651803255081199"/>
    <n v="7.1966648101999997E-4"/>
    <n v="-236"/>
    <n v="0"/>
    <s v="SL"/>
  </r>
  <r>
    <d v="2019-12-12T22:54:06"/>
    <n v="9422"/>
    <n v="7184"/>
    <n v="23"/>
    <x v="23"/>
    <n v="1.16782999038696"/>
    <n v="1.1671434640884399"/>
    <n v="6.8652629851999997E-4"/>
    <n v="1.16589999198914"/>
    <n v="1.1651803255081199"/>
    <n v="7.1966648101999997E-4"/>
    <n v="-236"/>
    <n v="0"/>
    <s v="SL"/>
  </r>
  <r>
    <d v="2019-12-12T22:54:12"/>
    <n v="9422"/>
    <n v="7184"/>
    <n v="23"/>
    <x v="23"/>
    <n v="1.16782999038696"/>
    <n v="1.1671434640884399"/>
    <n v="6.8652629851999997E-4"/>
    <n v="1.16589999198914"/>
    <n v="1.1651803255081199"/>
    <n v="7.1966648101999997E-4"/>
    <n v="-236"/>
    <n v="0"/>
    <s v="SL"/>
  </r>
  <r>
    <d v="2019-12-12T22:54:18"/>
    <n v="9422"/>
    <n v="7184"/>
    <n v="23"/>
    <x v="23"/>
    <n v="1.16782999038696"/>
    <n v="1.1671434640884399"/>
    <n v="6.8652629851999997E-4"/>
    <n v="1.16589999198914"/>
    <n v="1.1651803255081199"/>
    <n v="7.1966648101999997E-4"/>
    <n v="-236"/>
    <n v="0"/>
    <s v="SL"/>
  </r>
  <r>
    <d v="2019-12-12T22:54:25"/>
    <n v="9422"/>
    <n v="7184"/>
    <n v="23"/>
    <x v="23"/>
    <n v="1.16782999038696"/>
    <n v="1.1671434640884399"/>
    <n v="6.8652629851999997E-4"/>
    <n v="1.16589999198914"/>
    <n v="1.1651803255081199"/>
    <n v="7.1966648101999997E-4"/>
    <n v="-236"/>
    <n v="0"/>
    <s v="SL"/>
  </r>
  <r>
    <d v="2019-12-12T22:54:31"/>
    <n v="9422"/>
    <n v="7184"/>
    <n v="23"/>
    <x v="23"/>
    <n v="1.16782999038696"/>
    <n v="1.1671434640884399"/>
    <n v="6.8652629851999997E-4"/>
    <n v="1.16589999198914"/>
    <n v="1.1651803255081199"/>
    <n v="7.1966648101999997E-4"/>
    <n v="-236"/>
    <n v="0"/>
    <s v="SL"/>
  </r>
  <r>
    <d v="2019-12-12T22:54:38"/>
    <n v="9422"/>
    <n v="7184"/>
    <n v="23"/>
    <x v="23"/>
    <n v="1.16782999038696"/>
    <n v="1.1671434640884399"/>
    <n v="6.8652629851999997E-4"/>
    <n v="1.16589999198914"/>
    <n v="1.1651803255081199"/>
    <n v="7.1966648101999997E-4"/>
    <n v="-236"/>
    <n v="0"/>
    <s v="SL"/>
  </r>
  <r>
    <d v="2019-12-12T22:54:45"/>
    <n v="9422"/>
    <n v="7184"/>
    <n v="23"/>
    <x v="23"/>
    <n v="1.16782999038696"/>
    <n v="1.1671434640884399"/>
    <n v="6.8652629851999997E-4"/>
    <n v="1.16589999198914"/>
    <n v="1.1651803255081199"/>
    <n v="7.1966648101999997E-4"/>
    <n v="-236"/>
    <n v="0"/>
    <s v="SL"/>
  </r>
  <r>
    <d v="2019-12-12T22:54:52"/>
    <n v="9422"/>
    <n v="7184"/>
    <n v="23"/>
    <x v="23"/>
    <n v="1.16782999038696"/>
    <n v="1.1671434640884399"/>
    <n v="6.8652629851999997E-4"/>
    <n v="1.16589999198914"/>
    <n v="1.1651803255081199"/>
    <n v="7.1966648101999997E-4"/>
    <n v="-236"/>
    <n v="0"/>
    <s v="SL"/>
  </r>
  <r>
    <d v="2019-12-12T22:54:59"/>
    <n v="9422"/>
    <n v="7184"/>
    <n v="23"/>
    <x v="23"/>
    <n v="1.16782999038696"/>
    <n v="1.1671434640884399"/>
    <n v="6.8652629851999997E-4"/>
    <n v="1.16589999198914"/>
    <n v="1.1651803255081199"/>
    <n v="7.1966648101999997E-4"/>
    <n v="-236"/>
    <n v="0"/>
    <s v="SL"/>
  </r>
  <r>
    <d v="2019-12-12T22:55:05"/>
    <n v="9422"/>
    <n v="7184"/>
    <n v="23"/>
    <x v="23"/>
    <n v="1.16782999038696"/>
    <n v="1.1671434640884399"/>
    <n v="6.8652629851999997E-4"/>
    <n v="1.16589999198914"/>
    <n v="1.1651803255081199"/>
    <n v="7.1966648101999997E-4"/>
    <n v="-236"/>
    <n v="0"/>
    <s v="S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C15" firstHeaderRow="0" firstDataRow="1" firstDataCol="1"/>
  <pivotFields count="7">
    <pivotField showAll="0" defaultSubtotal="0">
      <items count="88">
        <item x="39"/>
        <item x="25"/>
        <item x="32"/>
        <item m="1" x="72"/>
        <item x="18"/>
        <item x="1"/>
        <item x="41"/>
        <item m="1" x="79"/>
        <item m="1" x="61"/>
        <item x="3"/>
        <item m="1" x="87"/>
        <item m="1" x="64"/>
        <item x="5"/>
        <item x="10"/>
        <item m="1" x="71"/>
        <item x="15"/>
        <item x="7"/>
        <item x="47"/>
        <item x="33"/>
        <item m="1" x="68"/>
        <item x="17"/>
        <item x="28"/>
        <item m="1" x="67"/>
        <item m="1" x="60"/>
        <item x="34"/>
        <item m="1" x="78"/>
        <item m="1" x="74"/>
        <item x="48"/>
        <item m="1" x="63"/>
        <item m="1" x="62"/>
        <item x="2"/>
        <item x="31"/>
        <item x="16"/>
        <item x="52"/>
        <item x="45"/>
        <item x="51"/>
        <item x="53"/>
        <item x="4"/>
        <item m="1" x="82"/>
        <item m="1" x="80"/>
        <item m="1" x="77"/>
        <item m="1" x="75"/>
        <item m="1" x="70"/>
        <item m="1" x="69"/>
        <item x="54"/>
        <item m="1" x="59"/>
        <item m="1" x="58"/>
        <item m="1" x="86"/>
        <item m="1" x="84"/>
        <item m="1" x="81"/>
        <item x="19"/>
        <item m="1" x="76"/>
        <item m="1" x="73"/>
        <item x="50"/>
        <item x="8"/>
        <item x="30"/>
        <item x="38"/>
        <item x="56"/>
        <item x="13"/>
        <item x="6"/>
        <item x="55"/>
        <item x="44"/>
        <item x="12"/>
        <item m="1" x="85"/>
        <item m="1" x="66"/>
        <item x="35"/>
        <item x="14"/>
        <item x="26"/>
        <item x="40"/>
        <item x="57"/>
        <item m="1" x="65"/>
        <item x="37"/>
        <item x="11"/>
        <item x="36"/>
        <item x="22"/>
        <item x="23"/>
        <item m="1" x="83"/>
        <item x="0"/>
        <item x="42"/>
        <item x="46"/>
        <item x="43"/>
        <item x="24"/>
        <item x="21"/>
        <item x="9"/>
        <item x="27"/>
        <item x="49"/>
        <item x="29"/>
        <item x="20"/>
      </items>
    </pivotField>
    <pivotField showAll="0">
      <items count="845">
        <item h="1" m="1" x="530"/>
        <item h="1" m="1" x="403"/>
        <item h="1" m="1" x="349"/>
        <item h="1" m="1" x="618"/>
        <item h="1" m="1" x="259"/>
        <item h="1" m="1" x="443"/>
        <item h="1" m="1" x="404"/>
        <item h="1" x="0"/>
        <item h="1" m="1" x="830"/>
        <item h="1" x="1"/>
        <item h="1" m="1" x="768"/>
        <item h="1" m="1" x="759"/>
        <item h="1" m="1" x="351"/>
        <item h="1" m="1" x="335"/>
        <item h="1" m="1" x="387"/>
        <item h="1" m="1" x="507"/>
        <item h="1" m="1" x="550"/>
        <item h="1" m="1" x="664"/>
        <item h="1" m="1" x="375"/>
        <item h="1" m="1" x="655"/>
        <item h="1" x="2"/>
        <item h="1" m="1" x="434"/>
        <item h="1" x="3"/>
        <item h="1" m="1" x="620"/>
        <item h="1" m="1" x="607"/>
        <item h="1" m="1" x="713"/>
        <item h="1" m="1" x="343"/>
        <item h="1" m="1" x="257"/>
        <item h="1" m="1" x="304"/>
        <item h="1" x="4"/>
        <item h="1" m="1" x="642"/>
        <item h="1" m="1" x="785"/>
        <item h="1" m="1" x="823"/>
        <item h="1" m="1" x="225"/>
        <item h="1" m="1" x="395"/>
        <item h="1" m="1" x="513"/>
        <item h="1" m="1" x="594"/>
        <item h="1" m="1" x="276"/>
        <item h="1" m="1" x="651"/>
        <item h="1" x="5"/>
        <item h="1" m="1" x="301"/>
        <item h="1" m="1" x="356"/>
        <item h="1" m="1" x="380"/>
        <item h="1" m="1" x="405"/>
        <item h="1" x="6"/>
        <item h="1" m="1" x="625"/>
        <item h="1" x="7"/>
        <item h="1" m="1" x="711"/>
        <item h="1" m="1" x="751"/>
        <item h="1" m="1" x="221"/>
        <item h="1" x="8"/>
        <item h="1" m="1" x="455"/>
        <item h="1" x="9"/>
        <item h="1" m="1" x="613"/>
        <item h="1" m="1" x="760"/>
        <item h="1" x="10"/>
        <item h="1" m="1" x="233"/>
        <item h="1" m="1" x="426"/>
        <item h="1" m="1" x="497"/>
        <item h="1" x="11"/>
        <item h="1" x="12"/>
        <item h="1" m="1" x="389"/>
        <item h="1" m="1" x="413"/>
        <item h="1" m="1" x="471"/>
        <item h="1" m="1" x="593"/>
        <item h="1" m="1" x="685"/>
        <item h="1" m="1" x="827"/>
        <item h="1" m="1" x="232"/>
        <item h="1" x="13"/>
        <item h="1" x="14"/>
        <item h="1" m="1" x="622"/>
        <item h="1" x="15"/>
        <item h="1" m="1" x="695"/>
        <item h="1" m="1" x="747"/>
        <item h="1" m="1" x="216"/>
        <item h="1" m="1" x="283"/>
        <item h="1" m="1" x="308"/>
        <item h="1" m="1" x="468"/>
        <item h="1" m="1" x="646"/>
        <item h="1" m="1" x="702"/>
        <item h="1" x="16"/>
        <item h="1" m="1" x="781"/>
        <item h="1" m="1" x="839"/>
        <item h="1" m="1" x="214"/>
        <item h="1" m="1" x="242"/>
        <item h="1" m="1" x="294"/>
        <item h="1" m="1" x="322"/>
        <item h="1" x="17"/>
        <item h="1" m="1" x="540"/>
        <item h="1" m="1" x="599"/>
        <item h="1" x="18"/>
        <item h="1" x="19"/>
        <item h="1" m="1" x="745"/>
        <item h="1" m="1" x="240"/>
        <item h="1" m="1" x="264"/>
        <item h="1" m="1" x="320"/>
        <item h="1" m="1" x="347"/>
        <item h="1" x="20"/>
        <item h="1" m="1" x="421"/>
        <item h="1" m="1" x="435"/>
        <item h="1" m="1" x="564"/>
        <item h="1" m="1" x="571"/>
        <item h="1" m="1" x="589"/>
        <item h="1" m="1" x="653"/>
        <item h="1" m="1" x="694"/>
        <item h="1" m="1" x="779"/>
        <item h="1" m="1" x="263"/>
        <item h="1" m="1" x="815"/>
        <item h="1" m="1" x="371"/>
        <item h="1" x="21"/>
        <item h="1" x="22"/>
        <item h="1" m="1" x="597"/>
        <item h="1" m="1" x="698"/>
        <item h="1" m="1" x="707"/>
        <item h="1" m="1" x="744"/>
        <item h="1" m="1" x="765"/>
        <item h="1" m="1" x="250"/>
        <item h="1" m="1" x="410"/>
        <item h="1" x="23"/>
        <item h="1" m="1" x="587"/>
        <item h="1" m="1" x="621"/>
        <item h="1" m="1" x="636"/>
        <item h="1" x="24"/>
        <item h="1" m="1" x="662"/>
        <item h="1" m="1" x="691"/>
        <item h="1" m="1" x="731"/>
        <item h="1" m="1" x="778"/>
        <item h="1" m="1" x="788"/>
        <item h="1" m="1" x="360"/>
        <item h="1" m="1" x="409"/>
        <item h="1" m="1" x="459"/>
        <item h="1" m="1" x="482"/>
        <item h="1" m="1" x="515"/>
        <item h="1" x="25"/>
        <item h="1" x="26"/>
        <item h="1" m="1" x="669"/>
        <item h="1" x="27"/>
        <item h="1" m="1" x="777"/>
        <item h="1" x="28"/>
        <item h="1" x="29"/>
        <item h="1" m="1" x="262"/>
        <item h="1" x="30"/>
        <item h="1" m="1" x="293"/>
        <item h="1" m="1" x="318"/>
        <item h="1" m="1" x="464"/>
        <item h="1" m="1" x="489"/>
        <item h="1" m="1" x="546"/>
        <item h="1" m="1" x="585"/>
        <item h="1" m="1" x="681"/>
        <item h="1" m="1" x="824"/>
        <item h="1" m="1" x="843"/>
        <item h="1" m="1" x="211"/>
        <item h="1" m="1" x="279"/>
        <item h="1" m="1" x="317"/>
        <item h="1" m="1" x="331"/>
        <item h="1" m="1" x="358"/>
        <item h="1" m="1" x="385"/>
        <item h="1" m="1" x="451"/>
        <item h="1" m="1" x="488"/>
        <item h="1" m="1" x="528"/>
        <item h="1" m="1" x="537"/>
        <item h="1" m="1" x="577"/>
        <item h="1" m="1" x="643"/>
        <item h="1" m="1" x="689"/>
        <item h="1" m="1" x="712"/>
        <item h="1" m="1" x="601"/>
        <item h="1" x="31"/>
        <item h="1" m="1" x="227"/>
        <item h="1" m="1" x="249"/>
        <item h="1" m="1" x="258"/>
        <item h="1" m="1" x="369"/>
        <item h="1" m="1" x="417"/>
        <item h="1" m="1" x="475"/>
        <item h="1" m="1" x="501"/>
        <item h="1" m="1" x="237"/>
        <item h="1" m="1" x="606"/>
        <item h="1" m="1" x="291"/>
        <item h="1" m="1" x="652"/>
        <item h="1" m="1" x="661"/>
        <item h="1" m="1" x="330"/>
        <item h="1" x="32"/>
        <item h="1" m="1" x="432"/>
        <item h="1" m="1" x="776"/>
        <item h="1" m="1" x="834"/>
        <item h="1" m="1" x="226"/>
        <item h="1" x="33"/>
        <item h="1" m="1" x="382"/>
        <item h="1" m="1" x="396"/>
        <item h="1" x="34"/>
        <item h="1" x="35"/>
        <item h="1" x="36"/>
        <item h="1" m="1" x="584"/>
        <item h="1" m="1" x="236"/>
        <item h="1" m="1" x="329"/>
        <item h="1" m="1" x="679"/>
        <item h="1" m="1" x="442"/>
        <item h="1" m="1" x="485"/>
        <item h="1" m="1" x="500"/>
        <item h="1" m="1" x="832"/>
        <item h="1" m="1" x="841"/>
        <item h="1" m="1" x="248"/>
        <item h="1" m="1" x="256"/>
        <item h="1" m="1" x="277"/>
        <item h="1" m="1" x="302"/>
        <item h="1" m="1" x="218"/>
        <item h="1" m="1" x="314"/>
        <item h="1" m="1" x="705"/>
        <item h="1" m="1" x="415"/>
        <item h="1" m="1" x="727"/>
        <item h="1" m="1" x="462"/>
        <item h="1" m="1" x="804"/>
        <item h="1" m="1" x="511"/>
        <item h="1" m="1" x="811"/>
        <item h="1" x="37"/>
        <item h="1" m="1" x="632"/>
        <item h="1" m="1" x="313"/>
        <item h="1" m="1" x="339"/>
        <item h="1" m="1" x="676"/>
        <item h="1" m="1" x="563"/>
        <item h="1" x="38"/>
        <item h="1" m="1" x="406"/>
        <item h="1" m="1" x="449"/>
        <item h="1" m="1" x="775"/>
        <item h="1" m="1" x="510"/>
        <item h="1" m="1" x="260"/>
        <item h="1" m="1" x="534"/>
        <item h="1" m="1" x="831"/>
        <item h="1" m="1" x="557"/>
        <item h="1" x="39"/>
        <item h="1" x="40"/>
        <item h="1" m="1" x="223"/>
        <item h="1" m="1" x="582"/>
        <item h="1" x="41"/>
        <item h="1" x="42"/>
        <item h="1" m="1" x="288"/>
        <item h="1" m="1" x="739"/>
        <item h="1" m="1" x="474"/>
        <item h="1" m="1" x="533"/>
        <item h="1" x="43"/>
        <item h="1" m="1" x="575"/>
        <item h="1" m="1" x="581"/>
        <item h="1" m="1" x="624"/>
        <item h="1" m="1" x="274"/>
        <item h="1" m="1" x="641"/>
        <item h="1" m="1" x="244"/>
        <item h="1" m="1" x="338"/>
        <item h="1" x="44"/>
        <item h="1" m="1" x="366"/>
        <item h="1" m="1" x="697"/>
        <item h="1" m="1" x="392"/>
        <item h="1" m="1" x="710"/>
        <item h="1" m="1" x="719"/>
        <item h="1" m="1" x="441"/>
        <item h="1" x="45"/>
        <item h="1" x="46"/>
        <item h="1" m="1" x="456"/>
        <item h="1" m="1" x="461"/>
        <item h="1" m="1" x="484"/>
        <item h="1" m="1" x="795"/>
        <item h="1" m="1" x="800"/>
        <item h="1" m="1" x="555"/>
        <item h="1" m="1" x="234"/>
        <item h="1" m="1" x="604"/>
        <item h="1" m="1" x="614"/>
        <item h="1" m="1" x="268"/>
        <item h="1" m="1" x="286"/>
        <item h="1" m="1" x="337"/>
        <item h="1" x="47"/>
        <item h="1" m="1" x="427"/>
        <item h="1" m="1" x="784"/>
        <item h="1" x="48"/>
        <item h="1" m="1" x="498"/>
        <item h="1" x="49"/>
        <item h="1" x="50"/>
        <item h="1" m="1" x="554"/>
        <item h="1" x="51"/>
        <item h="1" m="1" x="220"/>
        <item h="1" m="1" x="580"/>
        <item h="1" m="1" x="623"/>
        <item h="1" x="52"/>
        <item h="1" m="1" x="354"/>
        <item h="1" m="1" x="687"/>
        <item h="1" m="1" x="718"/>
        <item h="1" m="1" x="323"/>
        <item h="1" m="1" x="440"/>
        <item h="1" m="1" x="750"/>
        <item h="1" m="1" x="483"/>
        <item h="1" m="1" x="810"/>
        <item h="1" m="1" x="532"/>
        <item h="1" m="1" x="821"/>
        <item h="1" m="1" x="494"/>
        <item h="1" m="1" x="246"/>
        <item h="1" m="1" x="612"/>
        <item h="1" m="1" x="300"/>
        <item h="1" m="1" x="213"/>
        <item h="1" m="1" x="311"/>
        <item h="1" m="1" x="666"/>
        <item h="1" m="1" x="709"/>
        <item h="1" m="1" x="402"/>
        <item h="1" m="1" x="717"/>
        <item h="1" m="1" x="726"/>
        <item h="1" m="1" x="683"/>
        <item h="1" m="1" x="472"/>
        <item h="1" x="53"/>
        <item h="1" x="54"/>
        <item h="1" m="1" x="509"/>
        <item h="1" m="1" x="809"/>
        <item h="1" m="1" x="521"/>
        <item h="1" m="1" x="754"/>
        <item h="1" m="1" x="543"/>
        <item h="1" m="1" x="219"/>
        <item h="1" x="55"/>
        <item h="1" m="1" x="603"/>
        <item h="1" x="56"/>
        <item h="1" m="1" x="298"/>
        <item h="1" m="1" x="327"/>
        <item h="1" m="1" x="353"/>
        <item h="1" m="1" x="686"/>
        <item h="1" m="1" x="696"/>
        <item h="1" m="1" x="378"/>
        <item h="1" m="1" x="390"/>
        <item h="1" m="1" x="321"/>
        <item h="1" m="1" x="425"/>
        <item h="1" m="1" x="769"/>
        <item h="1" m="1" x="460"/>
        <item h="1" m="1" x="790"/>
        <item h="1" m="1" x="306"/>
        <item h="1" x="57"/>
        <item h="1" m="1" x="495"/>
        <item h="1" x="58"/>
        <item h="1" m="1" x="820"/>
        <item h="1" m="1" x="542"/>
        <item h="1" m="1" x="553"/>
        <item h="1" x="59"/>
        <item h="1" m="1" x="491"/>
        <item h="1" x="60"/>
        <item h="1" m="1" x="253"/>
        <item h="1" x="61"/>
        <item h="1" x="62"/>
        <item h="1" x="63"/>
        <item h="1" m="1" x="657"/>
        <item h="1" m="1" x="388"/>
        <item h="1" m="1" x="401"/>
        <item h="1" m="1" x="424"/>
        <item h="1" m="1" x="447"/>
        <item h="1" x="64"/>
        <item h="1" m="1" x="799"/>
        <item h="1" m="1" x="531"/>
        <item h="1" m="1" x="828"/>
        <item h="1" m="1" x="552"/>
        <item h="1" m="1" x="245"/>
        <item h="1" m="1" x="602"/>
        <item h="1" m="1" x="272"/>
        <item h="1" m="1" x="629"/>
        <item h="1" m="1" x="285"/>
        <item h="1" m="1" x="640"/>
        <item h="1" m="1" x="296"/>
        <item h="1" x="65"/>
        <item h="1" m="1" x="229"/>
        <item h="1" m="1" x="326"/>
        <item h="1" m="1" x="675"/>
        <item h="1" x="66"/>
        <item h="1" m="1" x="376"/>
        <item h="1" m="1" x="725"/>
        <item h="1" m="1" x="749"/>
        <item h="1" x="67"/>
        <item h="1" m="1" x="767"/>
        <item h="1" m="1" x="699"/>
        <item h="1" m="1" x="411"/>
        <item h="1" m="1" x="732"/>
        <item h="1" m="1" x="819"/>
        <item h="1" m="1" x="541"/>
        <item h="1" m="1" x="567"/>
        <item h="1" m="1" x="209"/>
        <item h="1" m="1" x="217"/>
        <item h="1" m="1" x="579"/>
        <item h="1" m="1" x="592"/>
        <item h="1" x="68"/>
        <item h="1" m="1" x="266"/>
        <item h="1" m="1" x="271"/>
        <item h="1" m="1" x="284"/>
        <item h="1" m="1" x="639"/>
        <item h="1" m="1" x="648"/>
        <item h="1" m="1" x="310"/>
        <item h="1" x="69"/>
        <item h="1" m="1" x="363"/>
        <item h="1" m="1" x="703"/>
        <item h="1" m="1" x="736"/>
        <item h="1" m="1" x="439"/>
        <item h="1" m="1" x="748"/>
        <item h="1" x="70"/>
        <item h="1" m="1" x="758"/>
        <item h="1" m="1" x="766"/>
        <item h="1" m="1" x="470"/>
        <item h="1" m="1" x="479"/>
        <item h="1" m="1" x="520"/>
        <item h="1" x="71"/>
        <item h="1" m="1" x="840"/>
        <item h="1" m="1" x="477"/>
        <item h="1" m="1" x="611"/>
        <item h="1" m="1" x="309"/>
        <item h="1" m="1" x="665"/>
        <item h="1" x="72"/>
        <item h="1" m="1" x="350"/>
        <item h="1" x="73"/>
        <item h="1" m="1" x="412"/>
        <item h="1" m="1" x="423"/>
        <item h="1" m="1" x="438"/>
        <item h="1" m="1" x="446"/>
        <item h="1" m="1" x="757"/>
        <item h="1" m="1" x="469"/>
        <item h="1" m="1" x="783"/>
        <item h="1" m="1" x="798"/>
        <item h="1" m="1" x="808"/>
        <item h="1" m="1" x="566"/>
        <item h="1" m="1" x="574"/>
        <item h="1" m="1" x="600"/>
        <item h="1" m="1" x="295"/>
        <item h="1" m="1" x="647"/>
        <item h="1" m="1" x="325"/>
        <item h="1" m="1" x="336"/>
        <item h="1" m="1" x="684"/>
        <item h="1" m="1" x="724"/>
        <item h="1" m="1" x="735"/>
        <item h="1" m="1" x="332"/>
        <item h="1" m="1" x="746"/>
        <item h="1" m="1" x="445"/>
        <item h="1" m="1" x="756"/>
        <item h="1" m="1" x="773"/>
        <item h="1" m="1" x="467"/>
        <item h="1" m="1" x="782"/>
        <item h="1" m="1" x="626"/>
        <item h="1" m="1" x="771"/>
        <item h="1" m="1" x="797"/>
        <item h="1" m="1" x="508"/>
        <item h="1" m="1" x="807"/>
        <item h="1" m="1" x="357"/>
        <item h="1" m="1" x="688"/>
        <item h="1" m="1" x="368"/>
        <item h="1" m="1" x="465"/>
        <item h="1" m="1" x="408"/>
        <item h="1" m="1" x="573"/>
        <item h="1" m="1" x="720"/>
        <item h="1" m="1" x="215"/>
        <item h="1" m="1" x="729"/>
        <item h="1" m="1" x="243"/>
        <item h="1" x="74"/>
        <item h="1" m="1" x="752"/>
        <item h="1" m="1" x="450"/>
        <item h="1" m="1" x="764"/>
        <item h="1" m="1" x="458"/>
        <item h="1" m="1" x="463"/>
        <item h="1" x="75"/>
        <item h="1" m="1" x="786"/>
        <item h="1" m="1" x="645"/>
        <item h="1" m="1" x="487"/>
        <item h="1" x="76"/>
        <item h="1" m="1" x="324"/>
        <item h="1" m="1" x="674"/>
        <item h="1" m="1" x="527"/>
        <item h="1" m="1" x="816"/>
        <item h="1" m="1" x="536"/>
        <item h="1" m="1" x="545"/>
        <item h="1" m="1" x="803"/>
        <item h="1" m="1" x="835"/>
        <item h="1" m="1" x="559"/>
        <item h="1" m="1" x="569"/>
        <item h="1" m="1" x="576"/>
        <item h="1" m="1" x="723"/>
        <item h="1" m="1" x="734"/>
        <item h="1" m="1" x="437"/>
        <item h="1" x="77"/>
        <item h="1" m="1" x="755"/>
        <item h="1" m="1" x="453"/>
        <item h="1" m="1" x="617"/>
        <item h="1" m="1" x="634"/>
        <item h="1" m="1" x="303"/>
        <item h="1" m="1" x="315"/>
        <item h="1" m="1" x="506"/>
        <item h="1" m="1" x="519"/>
        <item h="1" m="1" x="680"/>
        <item h="1" m="1" x="383"/>
        <item h="1" m="1" x="397"/>
        <item h="1" m="1" x="208"/>
        <item h="1" m="1" x="407"/>
        <item h="1" x="78"/>
        <item h="1" m="1" x="591"/>
        <item h="1" m="1" x="836"/>
        <item h="1" m="1" x="241"/>
        <item h="1" m="1" x="610"/>
        <item h="1" m="1" x="763"/>
        <item h="1" m="1" x="265"/>
        <item h="1" m="1" x="270"/>
        <item h="1" m="1" x="282"/>
        <item h="1" m="1" x="644"/>
        <item h="1" m="1" x="796"/>
        <item h="1" x="79"/>
        <item h="1" m="1" x="806"/>
        <item h="1" m="1" x="334"/>
        <item h="1" m="1" x="514"/>
        <item h="1" x="80"/>
        <item h="1" m="1" x="544"/>
        <item h="1" m="1" x="701"/>
        <item h="1" m="1" x="386"/>
        <item h="1" m="1" x="672"/>
        <item h="1" m="1" x="422"/>
        <item h="1" m="1" x="436"/>
        <item h="1" m="1" x="596"/>
        <item h="1" x="81"/>
        <item h="1" x="82"/>
        <item h="1" m="1" x="452"/>
        <item h="1" x="83"/>
        <item h="1" m="1" x="222"/>
        <item h="1" m="1" x="627"/>
        <item h="1" m="1" x="772"/>
        <item h="1" m="1" x="466"/>
        <item h="1" x="84"/>
        <item h="1" m="1" x="789"/>
        <item h="1" m="1" x="493"/>
        <item h="1" m="1" x="660"/>
        <item h="1" m="1" x="505"/>
        <item h="1" m="1" x="341"/>
        <item h="1" m="1" x="818"/>
        <item h="1" m="1" x="549"/>
        <item h="1" m="1" x="572"/>
        <item h="1" m="1" x="416"/>
        <item h="1" m="1" x="231"/>
        <item h="1" m="1" x="431"/>
        <item h="1" m="1" x="741"/>
        <item h="1" m="1" x="252"/>
        <item h="1" x="85"/>
        <item h="1" m="1" x="281"/>
        <item h="1" m="1" x="638"/>
        <item h="1" m="1" x="486"/>
        <item h="1" m="1" x="656"/>
        <item h="1" x="86"/>
        <item h="1" m="1" x="805"/>
        <item h="1" m="1" x="348"/>
        <item h="1" m="1" x="535"/>
        <item h="1" m="1" x="374"/>
        <item h="1" m="1" x="700"/>
        <item h="1" m="1" x="833"/>
        <item h="1" m="1" x="558"/>
        <item h="1" m="1" x="842"/>
        <item h="1" m="1" x="400"/>
        <item h="1" m="1" x="224"/>
        <item h="1" m="1" x="583"/>
        <item h="1" x="87"/>
        <item h="1" x="88"/>
        <item h="1" m="1" x="595"/>
        <item h="1" x="89"/>
        <item h="1" x="90"/>
        <item h="1" m="1" x="278"/>
        <item h="1" m="1" x="290"/>
        <item h="1" m="1" x="478"/>
        <item h="1" x="91"/>
        <item h="1" m="1" x="492"/>
        <item h="1" m="1" x="504"/>
        <item h="1" m="1" x="340"/>
        <item h="1" m="1" x="518"/>
        <item h="1" m="1" x="678"/>
        <item h="1" x="92"/>
        <item h="1" m="1" x="367"/>
        <item h="1" m="1" x="539"/>
        <item h="1" m="1" x="548"/>
        <item h="1" m="1" x="706"/>
        <item h="1" m="1" x="565"/>
        <item h="1" m="1" x="728"/>
        <item h="1" m="1" x="230"/>
        <item h="1" m="1" x="430"/>
        <item h="1" m="1" x="590"/>
        <item h="1" x="93"/>
        <item h="1" x="94"/>
        <item h="1" m="1" x="770"/>
        <item h="1" m="1" x="269"/>
        <item h="1" m="1" x="637"/>
        <item h="1" m="1" x="792"/>
        <item h="1" m="1" x="307"/>
        <item h="1" x="95"/>
        <item h="1" m="1" x="654"/>
        <item h="1" x="96"/>
        <item h="1" m="1" x="319"/>
        <item h="1" m="1" x="512"/>
        <item h="1" m="1" x="812"/>
        <item h="1" m="1" x="526"/>
        <item h="1" x="97"/>
        <item h="1" m="1" x="373"/>
        <item h="1" x="98"/>
        <item h="1" m="1" x="708"/>
        <item h="1" m="1" x="715"/>
        <item h="1" m="1" x="210"/>
        <item h="1" m="1" x="722"/>
        <item h="1" m="1" x="420"/>
        <item h="1" m="1" x="733"/>
        <item h="1" m="1" x="235"/>
        <item h="1" m="1" x="247"/>
        <item h="1" m="1" x="616"/>
        <item h="1" m="1" x="275"/>
        <item h="1" m="1" x="633"/>
        <item h="1" m="1" x="780"/>
        <item h="1" m="1" x="289"/>
        <item h="1" m="1" x="650"/>
        <item h="1" m="1" x="490"/>
        <item h="1" x="99"/>
        <item h="1" m="1" x="517"/>
        <item h="1" m="1" x="677"/>
        <item h="1" x="100"/>
        <item h="1" m="1" x="817"/>
        <item h="1" m="1" x="381"/>
        <item h="1" m="1" x="668"/>
        <item h="1" m="1" x="838"/>
        <item h="1" m="1" x="394"/>
        <item h="1" x="101"/>
        <item h="1" m="1" x="740"/>
        <item h="1" m="1" x="457"/>
        <item h="1" m="1" x="586"/>
        <item h="1" x="102"/>
        <item h="1" x="103"/>
        <item h="1" x="104"/>
        <item h="1" m="1" x="499"/>
        <item h="1" m="1" x="663"/>
        <item h="1" m="1" x="673"/>
        <item h="1" m="1" x="525"/>
        <item h="1" x="105"/>
        <item h="1" m="1" x="361"/>
        <item h="1" m="1" x="693"/>
        <item h="1" m="1" x="372"/>
        <item h="1" x="106"/>
        <item h="1" m="1" x="419"/>
        <item h="1" x="107"/>
        <item h="1" x="108"/>
        <item h="1" x="109"/>
        <item h="1" m="1" x="649"/>
        <item h="1" x="110"/>
        <item h="1" m="1" x="659"/>
        <item h="1" x="111"/>
        <item h="1" m="1" x="355"/>
        <item h="1" m="1" x="826"/>
        <item h="1" m="1" x="837"/>
        <item h="1" m="1" x="212"/>
        <item h="1" m="1" x="429"/>
        <item h="1" m="1" x="588"/>
        <item h="1" m="1" x="239"/>
        <item h="1" m="1" x="598"/>
        <item h="1" m="1" x="251"/>
        <item h="1" m="1" x="609"/>
        <item h="1" m="1" x="762"/>
        <item h="1" m="1" x="774"/>
        <item h="1" x="112"/>
        <item h="1" m="1" x="802"/>
        <item h="1" x="113"/>
        <item h="1" m="1" x="556"/>
        <item h="1" m="1" x="359"/>
        <item h="1" x="114"/>
        <item h="1" x="115"/>
        <item h="1" x="116"/>
        <item h="1" m="1" x="255"/>
        <item h="1" m="1" x="631"/>
        <item h="1" m="1" x="287"/>
        <item h="1" m="1" x="312"/>
        <item h="1" x="117"/>
        <item h="1" x="118"/>
        <item h="1" m="1" x="393"/>
        <item h="1" m="1" x="562"/>
        <item h="1" x="119"/>
        <item h="1" x="120"/>
        <item h="1" m="1" x="414"/>
        <item h="1" m="1" x="228"/>
        <item h="1" x="121"/>
        <item h="1" m="1" x="738"/>
        <item h="1" x="122"/>
        <item h="1" m="1" x="473"/>
        <item h="1" m="1" x="801"/>
        <item h="1" x="123"/>
        <item h="1" m="1" x="524"/>
        <item h="1" m="1" x="692"/>
        <item h="1" m="1" x="399"/>
        <item h="1" x="124"/>
        <item h="1" x="125"/>
        <item h="1" x="126"/>
        <item h="1" x="127"/>
        <item h="1" m="1" x="444"/>
        <item h="1" m="1" x="605"/>
        <item h="1" m="1" x="753"/>
        <item h="1" m="1" x="615"/>
        <item h="1" x="128"/>
        <item h="1" m="1" x="658"/>
        <item h="1" m="1" x="516"/>
        <item h="1" m="1" x="529"/>
        <item h="1" x="129"/>
        <item h="1" x="130"/>
        <item h="1" m="1" x="825"/>
        <item h="1" m="1" x="379"/>
        <item h="1" m="1" x="547"/>
        <item h="1" x="131"/>
        <item h="1" m="1" x="428"/>
        <item h="1" x="132"/>
        <item h="1" x="133"/>
        <item h="1" m="1" x="761"/>
        <item h="1" x="134"/>
        <item h="1" m="1" x="481"/>
        <item h="1" m="1" x="791"/>
        <item h="1" x="135"/>
        <item h="1" m="1" x="346"/>
        <item h="1" m="1" x="370"/>
        <item h="1" x="136"/>
        <item h="1" x="137"/>
        <item h="1" m="1" x="267"/>
        <item h="1" x="138"/>
        <item h="1" x="139"/>
        <item h="1" x="140"/>
        <item h="1" m="1" x="297"/>
        <item h="1" m="1" x="365"/>
        <item h="1" x="141"/>
        <item h="1" x="142"/>
        <item h="1" m="1" x="377"/>
        <item h="1" x="143"/>
        <item h="1" x="144"/>
        <item h="1" m="1" x="670"/>
        <item h="1" x="145"/>
        <item h="1" x="146"/>
        <item h="1" x="147"/>
        <item h="1" x="148"/>
        <item h="1" m="1" x="743"/>
        <item h="1" x="149"/>
        <item h="1" m="1" x="273"/>
        <item h="1" m="1" x="742"/>
        <item h="1" m="1" x="503"/>
        <item h="1" m="1" x="667"/>
        <item h="1" m="1" x="476"/>
        <item h="1" m="1" x="364"/>
        <item h="1" m="1" x="704"/>
        <item h="1" x="150"/>
        <item h="1" m="1" x="448"/>
        <item h="1" m="1" x="628"/>
        <item h="1" m="1" x="635"/>
        <item h="1" m="1" x="794"/>
        <item h="1" m="1" x="496"/>
        <item h="1" m="1" x="292"/>
        <item h="1" m="1" x="522"/>
        <item h="1" m="1" x="690"/>
        <item h="1" m="1" x="829"/>
        <item h="1" m="1" x="398"/>
        <item h="1" x="151"/>
        <item h="1" m="1" x="814"/>
        <item h="1" m="1" x="299"/>
        <item h="1" x="152"/>
        <item h="1" m="1" x="328"/>
        <item h="1" m="1" x="391"/>
        <item h="1" x="153"/>
        <item h="1" m="1" x="608"/>
        <item h="1" x="154"/>
        <item h="1" m="1" x="793"/>
        <item h="1" m="1" x="345"/>
        <item h="1" x="155"/>
        <item h="1" x="156"/>
        <item h="1" m="1" x="630"/>
        <item h="1" x="157"/>
        <item h="1" x="158"/>
        <item h="1" x="159"/>
        <item h="1" m="1" x="502"/>
        <item h="1" m="1" x="538"/>
        <item h="1" m="1" x="578"/>
        <item h="1" x="160"/>
        <item h="1" m="1" x="619"/>
        <item h="1" x="161"/>
        <item h="1" m="1" x="480"/>
        <item h="1" x="162"/>
        <item h="1" m="1" x="305"/>
        <item h="1" x="163"/>
        <item h="1" m="1" x="682"/>
        <item h="1" x="164"/>
        <item h="1" m="1" x="568"/>
        <item h="1" m="1" x="714"/>
        <item h="1" m="1" x="721"/>
        <item h="1" m="1" x="418"/>
        <item h="1" x="165"/>
        <item h="1" x="166"/>
        <item h="1" m="1" x="787"/>
        <item h="1" m="1" x="352"/>
        <item h="1" x="167"/>
        <item h="1" m="1" x="737"/>
        <item h="1" x="168"/>
        <item h="1" m="1" x="261"/>
        <item h="1" x="169"/>
        <item h="1" m="1" x="280"/>
        <item h="1" x="170"/>
        <item h="1" x="171"/>
        <item h="1" m="1" x="433"/>
        <item h="1" x="172"/>
        <item h="1" x="173"/>
        <item h="1" x="174"/>
        <item h="1" x="175"/>
        <item h="1" m="1" x="454"/>
        <item h="1" x="176"/>
        <item h="1" m="1" x="344"/>
        <item h="1" m="1" x="384"/>
        <item h="1" m="1" x="730"/>
        <item h="1" x="177"/>
        <item h="1" x="178"/>
        <item h="1" m="1" x="560"/>
        <item h="1" m="1" x="238"/>
        <item h="1" x="179"/>
        <item h="1" x="180"/>
        <item h="1" x="181"/>
        <item h="1" x="182"/>
        <item h="1" x="183"/>
        <item h="1" m="1" x="551"/>
        <item h="1" x="184"/>
        <item h="1" x="185"/>
        <item h="1" x="186"/>
        <item h="1" x="187"/>
        <item h="1" x="188"/>
        <item h="1" x="189"/>
        <item h="1" x="190"/>
        <item h="1" x="191"/>
        <item h="1" x="192"/>
        <item h="1" x="193"/>
        <item h="1" x="194"/>
        <item h="1" x="195"/>
        <item h="1" m="1" x="716"/>
        <item h="1" m="1" x="822"/>
        <item h="1" x="196"/>
        <item h="1" x="197"/>
        <item h="1" m="1" x="316"/>
        <item h="1" x="198"/>
        <item h="1" m="1" x="342"/>
        <item h="1" x="199"/>
        <item h="1" x="200"/>
        <item h="1" x="201"/>
        <item h="1" x="202"/>
        <item h="1" m="1" x="362"/>
        <item h="1" m="1" x="523"/>
        <item h="1" x="203"/>
        <item h="1" m="1" x="254"/>
        <item h="1" x="204"/>
        <item h="1" x="205"/>
        <item x="206"/>
        <item h="1" x="207"/>
        <item h="1" m="1" x="813"/>
        <item h="1" m="1" x="570"/>
        <item h="1" m="1" x="561"/>
        <item h="1" m="1" x="333"/>
        <item h="1" m="1" x="671"/>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m="1" x="4128"/>
        <item m="1" x="4222"/>
        <item m="1" x="4315"/>
        <item m="1" x="4408"/>
        <item m="1" x="4501"/>
        <item m="1" x="4594"/>
        <item m="1" x="4687"/>
        <item m="1" x="4780"/>
        <item m="1" x="4873"/>
        <item m="1" x="4966"/>
        <item m="1" x="3059"/>
        <item m="1" x="3152"/>
        <item m="1" x="3245"/>
        <item m="1" x="3338"/>
        <item m="1" x="3431"/>
        <item m="1" x="3524"/>
        <item m="1" x="3617"/>
        <item m="1" x="3710"/>
        <item m="1" x="3803"/>
        <item m="1" x="3896"/>
        <item m="1" x="3989"/>
        <item m="1" x="4082"/>
        <item m="1" x="4177"/>
        <item m="1" x="4270"/>
        <item m="1" x="4363"/>
        <item m="1" x="4456"/>
        <item m="1" x="4549"/>
        <item m="1" x="4642"/>
        <item m="1" x="4735"/>
        <item m="1" x="4828"/>
        <item m="1" x="4921"/>
        <item m="1" x="3014"/>
        <item m="1" x="3107"/>
        <item m="1" x="3200"/>
        <item m="1" x="3293"/>
        <item m="1" x="3386"/>
        <item m="1" x="3479"/>
        <item m="1" x="3572"/>
        <item m="1" x="3665"/>
        <item m="1" x="3758"/>
        <item m="1" x="3851"/>
        <item m="1" x="3944"/>
        <item m="1" x="4037"/>
        <item m="1" x="4131"/>
        <item m="1" x="4225"/>
        <item m="1" x="4318"/>
        <item m="1" x="4411"/>
        <item m="1" x="4504"/>
        <item m="1" x="4597"/>
        <item m="1" x="4690"/>
        <item m="1" x="4783"/>
        <item m="1" x="4876"/>
        <item m="1" x="4969"/>
        <item m="1" x="3062"/>
        <item m="1" x="3155"/>
        <item m="1" x="3248"/>
        <item m="1" x="3341"/>
        <item m="1" x="3434"/>
        <item m="1" x="3527"/>
        <item m="1" x="3620"/>
        <item m="1" x="3713"/>
        <item m="1" x="3806"/>
        <item m="1" x="3899"/>
        <item m="1" x="3992"/>
        <item m="1" x="4085"/>
        <item m="1" x="4180"/>
        <item m="1" x="4273"/>
        <item m="1" x="4366"/>
        <item m="1" x="4459"/>
        <item m="1" x="4552"/>
        <item m="1" x="4645"/>
        <item m="1" x="4738"/>
        <item m="1" x="4831"/>
        <item m="1" x="4924"/>
        <item m="1" x="3017"/>
        <item m="1" x="3110"/>
        <item m="1" x="3203"/>
        <item m="1" x="3296"/>
        <item m="1" x="3389"/>
        <item m="1" x="3482"/>
        <item m="1" x="3575"/>
        <item m="1" x="3668"/>
        <item m="1" x="3761"/>
        <item m="1" x="3854"/>
        <item m="1" x="3947"/>
        <item m="1" x="4040"/>
        <item m="1" x="4134"/>
        <item m="1" x="4228"/>
        <item m="1" x="4321"/>
        <item m="1" x="4414"/>
        <item m="1" x="4507"/>
        <item m="1" x="4600"/>
        <item m="1" x="4693"/>
        <item m="1" x="4786"/>
        <item m="1" x="4879"/>
        <item m="1" x="4972"/>
        <item m="1" x="3065"/>
        <item m="1" x="3158"/>
        <item m="1" x="3251"/>
        <item m="1" x="3344"/>
        <item m="1" x="3437"/>
        <item m="1" x="3530"/>
        <item m="1" x="3623"/>
        <item m="1" x="3716"/>
        <item m="1" x="3809"/>
        <item m="1" x="3902"/>
        <item m="1" x="3995"/>
        <item m="1" x="4088"/>
        <item m="1" x="4183"/>
        <item m="1" x="4276"/>
        <item m="1" x="4369"/>
        <item m="1" x="4462"/>
        <item m="1" x="4555"/>
        <item m="1" x="4648"/>
        <item m="1" x="4741"/>
        <item m="1" x="4834"/>
        <item m="1" x="4927"/>
        <item m="1" x="3020"/>
        <item m="1" x="3113"/>
        <item m="1" x="3206"/>
        <item m="1" x="3299"/>
        <item m="1" x="3392"/>
        <item m="1" x="3485"/>
        <item m="1" x="3578"/>
        <item m="1" x="3671"/>
        <item m="1" x="3764"/>
        <item m="1" x="3857"/>
        <item m="1" x="3950"/>
        <item m="1" x="4043"/>
        <item m="1" x="4137"/>
        <item m="1" x="4231"/>
        <item m="1" x="4324"/>
        <item m="1" x="4417"/>
        <item m="1" x="4510"/>
        <item m="1" x="4603"/>
        <item m="1" x="4696"/>
        <item m="1" x="4789"/>
        <item m="1" x="4882"/>
        <item m="1" x="4975"/>
        <item m="1" x="3068"/>
        <item m="1" x="3161"/>
        <item m="1" x="3254"/>
        <item m="1" x="3347"/>
        <item m="1" x="3440"/>
        <item m="1" x="3533"/>
        <item m="1" x="3626"/>
        <item m="1" x="3719"/>
        <item m="1" x="3812"/>
        <item m="1" x="3905"/>
        <item m="1" x="3998"/>
        <item m="1" x="4091"/>
        <item m="1" x="4186"/>
        <item m="1" x="4279"/>
        <item m="1" x="4372"/>
        <item m="1" x="4465"/>
        <item m="1" x="4558"/>
        <item m="1" x="4651"/>
        <item m="1" x="4744"/>
        <item m="1" x="4837"/>
        <item m="1" x="4930"/>
        <item m="1" x="3023"/>
        <item m="1" x="3116"/>
        <item m="1" x="3209"/>
        <item m="1" x="3302"/>
        <item m="1" x="3395"/>
        <item m="1" x="3488"/>
        <item m="1" x="3581"/>
        <item m="1" x="3674"/>
        <item m="1" x="3767"/>
        <item m="1" x="3860"/>
        <item m="1" x="3953"/>
        <item m="1" x="4046"/>
        <item m="1" x="4140"/>
        <item m="1" x="4234"/>
        <item m="1" x="4327"/>
        <item m="1" x="4420"/>
        <item m="1" x="4513"/>
        <item m="1" x="4606"/>
        <item m="1" x="4699"/>
        <item m="1" x="4792"/>
        <item m="1" x="4885"/>
        <item m="1" x="4978"/>
        <item m="1" x="3071"/>
        <item m="1" x="3164"/>
        <item m="1" x="3257"/>
        <item m="1" x="3350"/>
        <item m="1" x="3443"/>
        <item m="1" x="3536"/>
        <item m="1" x="3629"/>
        <item m="1" x="3722"/>
        <item m="1" x="3815"/>
        <item m="1" x="3908"/>
        <item m="1" x="4001"/>
        <item m="1" x="4094"/>
        <item m="1" x="4189"/>
        <item m="1" x="4282"/>
        <item m="1" x="4375"/>
        <item m="1" x="4468"/>
        <item m="1" x="4561"/>
        <item m="1" x="4654"/>
        <item m="1" x="4747"/>
        <item m="1" x="4840"/>
        <item m="1" x="4933"/>
        <item m="1" x="3026"/>
        <item m="1" x="3119"/>
        <item m="1" x="3212"/>
        <item m="1" x="3305"/>
        <item m="1" x="3398"/>
        <item m="1" x="3491"/>
        <item m="1" x="3584"/>
        <item m="1" x="3677"/>
        <item m="1" x="3770"/>
        <item m="1" x="3863"/>
        <item m="1" x="3956"/>
        <item m="1" x="4049"/>
        <item m="1" x="4143"/>
        <item m="1" x="4237"/>
        <item m="1" x="4330"/>
        <item m="1" x="4423"/>
        <item m="1" x="4516"/>
        <item m="1" x="4609"/>
        <item m="1" x="4702"/>
        <item m="1" x="4795"/>
        <item m="1" x="4888"/>
        <item m="1" x="4981"/>
        <item m="1" x="3074"/>
        <item m="1" x="3167"/>
        <item m="1" x="3260"/>
        <item m="1" x="3353"/>
        <item m="1" x="3446"/>
        <item m="1" x="3539"/>
        <item m="1" x="3632"/>
        <item m="1" x="3725"/>
        <item m="1" x="3818"/>
        <item m="1" x="3911"/>
        <item m="1" x="4004"/>
        <item m="1" x="4097"/>
        <item m="1" x="4192"/>
        <item m="1" x="4285"/>
        <item m="1" x="4378"/>
        <item m="1" x="4471"/>
        <item m="1" x="4564"/>
        <item m="1" x="4657"/>
        <item m="1" x="4750"/>
        <item m="1" x="4843"/>
        <item m="1" x="4936"/>
        <item m="1" x="3029"/>
        <item m="1" x="3122"/>
        <item m="1" x="3215"/>
        <item m="1" x="3308"/>
        <item m="1" x="3401"/>
        <item m="1" x="3494"/>
        <item m="1" x="3587"/>
        <item m="1" x="3680"/>
        <item m="1" x="3773"/>
        <item m="1" x="3866"/>
        <item m="1" x="3959"/>
        <item m="1" x="4052"/>
        <item m="1" x="4146"/>
        <item m="1" x="4240"/>
        <item m="1" x="4333"/>
        <item m="1" x="4426"/>
        <item m="1" x="4519"/>
        <item m="1" x="4612"/>
        <item m="1" x="4705"/>
        <item m="1" x="4798"/>
        <item m="1" x="4891"/>
        <item m="1" x="4984"/>
        <item m="1" x="3077"/>
        <item m="1" x="3170"/>
        <item m="1" x="3263"/>
        <item m="1" x="3356"/>
        <item m="1" x="3449"/>
        <item m="1" x="3542"/>
        <item m="1" x="3635"/>
        <item m="1" x="3728"/>
        <item m="1" x="3821"/>
        <item m="1" x="3914"/>
        <item m="1" x="4007"/>
        <item m="1" x="4100"/>
        <item m="1" x="4195"/>
        <item m="1" x="4288"/>
        <item m="1" x="4381"/>
        <item m="1" x="4474"/>
        <item m="1" x="4567"/>
        <item m="1" x="4660"/>
        <item m="1" x="4753"/>
        <item m="1" x="4846"/>
        <item m="1" x="4939"/>
        <item m="1" x="3032"/>
        <item m="1" x="3125"/>
        <item m="1" x="3218"/>
        <item m="1" x="3311"/>
        <item m="1" x="3404"/>
        <item m="1" x="3497"/>
        <item m="1" x="3590"/>
        <item m="1" x="3683"/>
        <item m="1" x="3776"/>
        <item m="1" x="3869"/>
        <item m="1" x="3962"/>
        <item m="1" x="4055"/>
        <item m="1" x="4149"/>
        <item m="1" x="4243"/>
        <item m="1" x="4336"/>
        <item m="1" x="4429"/>
        <item m="1" x="4522"/>
        <item m="1" x="4615"/>
        <item m="1" x="4708"/>
        <item m="1" x="4801"/>
        <item m="1" x="4894"/>
        <item m="1" x="4987"/>
        <item m="1" x="3080"/>
        <item m="1" x="3173"/>
        <item m="1" x="3266"/>
        <item m="1" x="3359"/>
        <item m="1" x="3452"/>
        <item m="1" x="3545"/>
        <item m="1" x="3638"/>
        <item m="1" x="3731"/>
        <item m="1" x="3824"/>
        <item m="1" x="3917"/>
        <item m="1" x="4010"/>
        <item m="1" x="4103"/>
        <item m="1" x="4198"/>
        <item m="1" x="4291"/>
        <item m="1" x="4384"/>
        <item m="1" x="4477"/>
        <item m="1" x="4570"/>
        <item m="1" x="4663"/>
        <item m="1" x="4756"/>
        <item m="1" x="4849"/>
        <item m="1" x="4942"/>
        <item m="1" x="3035"/>
        <item m="1" x="3128"/>
        <item m="1" x="3221"/>
        <item m="1" x="3314"/>
        <item m="1" x="3407"/>
        <item m="1" x="3500"/>
        <item m="1" x="3593"/>
        <item m="1" x="3686"/>
        <item m="1" x="3779"/>
        <item m="1" x="3872"/>
        <item m="1" x="3965"/>
        <item m="1" x="4058"/>
        <item m="1" x="4152"/>
        <item m="1" x="4246"/>
        <item m="1" x="4339"/>
        <item m="1" x="4432"/>
        <item m="1" x="4525"/>
        <item m="1" x="4618"/>
        <item m="1" x="4711"/>
        <item m="1" x="4804"/>
        <item m="1" x="4897"/>
        <item m="1" x="4990"/>
        <item m="1" x="3083"/>
        <item m="1" x="3176"/>
        <item m="1" x="3269"/>
        <item m="1" x="3362"/>
        <item m="1" x="3455"/>
        <item m="1" x="3548"/>
        <item m="1" x="3641"/>
        <item m="1" x="3734"/>
        <item m="1" x="3827"/>
        <item m="1" x="3920"/>
        <item m="1" x="4013"/>
        <item m="1" x="4106"/>
        <item m="1" x="4201"/>
        <item m="1" x="4294"/>
        <item m="1" x="4387"/>
        <item m="1" x="4480"/>
        <item m="1" x="4573"/>
        <item m="1" x="4666"/>
        <item m="1" x="4759"/>
        <item m="1" x="4852"/>
        <item m="1" x="4945"/>
        <item m="1" x="3038"/>
        <item m="1" x="3131"/>
        <item m="1" x="3224"/>
        <item m="1" x="3317"/>
        <item m="1" x="3410"/>
        <item m="1" x="3503"/>
        <item m="1" x="3596"/>
        <item m="1" x="3689"/>
        <item m="1" x="3782"/>
        <item m="1" x="3875"/>
        <item m="1" x="3968"/>
        <item m="1" x="4061"/>
        <item m="1" x="4155"/>
        <item m="1" x="4249"/>
        <item m="1" x="4342"/>
        <item m="1" x="4435"/>
        <item m="1" x="4528"/>
        <item m="1" x="4621"/>
        <item m="1" x="4714"/>
        <item m="1" x="4807"/>
        <item m="1" x="4900"/>
        <item m="1" x="4993"/>
        <item m="1" x="3086"/>
        <item m="1" x="3179"/>
        <item m="1" x="3272"/>
        <item m="1" x="3365"/>
        <item m="1" x="3458"/>
        <item m="1" x="3551"/>
        <item m="1" x="3644"/>
        <item m="1" x="3737"/>
        <item m="1" x="3830"/>
        <item m="1" x="3923"/>
        <item m="1" x="4016"/>
        <item m="1" x="4109"/>
        <item m="1" x="4204"/>
        <item m="1" x="4297"/>
        <item m="1" x="4390"/>
        <item m="1" x="4483"/>
        <item m="1" x="4576"/>
        <item m="1" x="4669"/>
        <item m="1" x="4762"/>
        <item m="1" x="4855"/>
        <item m="1" x="4948"/>
        <item m="1" x="3041"/>
        <item m="1" x="3134"/>
        <item m="1" x="3227"/>
        <item m="1" x="3320"/>
        <item m="1" x="3413"/>
        <item m="1" x="3506"/>
        <item m="1" x="3599"/>
        <item m="1" x="3692"/>
        <item m="1" x="3785"/>
        <item m="1" x="3878"/>
        <item m="1" x="3971"/>
        <item m="1" x="4064"/>
        <item m="1" x="4158"/>
        <item m="1" x="4252"/>
        <item m="1" x="4345"/>
        <item m="1" x="4438"/>
        <item m="1" x="4531"/>
        <item m="1" x="4624"/>
        <item m="1" x="4717"/>
        <item m="1" x="4810"/>
        <item m="1" x="4903"/>
        <item m="1" x="4996"/>
        <item m="1" x="3089"/>
        <item m="1" x="3182"/>
        <item m="1" x="3275"/>
        <item m="1" x="3368"/>
        <item m="1" x="3461"/>
        <item m="1" x="3554"/>
        <item m="1" x="3647"/>
        <item m="1" x="3740"/>
        <item m="1" x="3833"/>
        <item m="1" x="3926"/>
        <item m="1" x="4019"/>
        <item m="1" x="4112"/>
        <item m="1" x="4206"/>
        <item m="1" x="4299"/>
        <item m="1" x="4392"/>
        <item m="1" x="4485"/>
        <item m="1" x="4578"/>
        <item m="1" x="4671"/>
        <item m="1" x="4764"/>
        <item m="1" x="4857"/>
        <item m="1" x="4950"/>
        <item m="1" x="3043"/>
        <item m="1" x="3136"/>
        <item m="1" x="3229"/>
        <item m="1" x="3322"/>
        <item m="1" x="3415"/>
        <item m="1" x="3508"/>
        <item m="1" x="3601"/>
        <item m="1" x="3694"/>
        <item m="1" x="3787"/>
        <item m="1" x="3880"/>
        <item m="1" x="3973"/>
        <item m="1" x="4066"/>
        <item m="1" x="4160"/>
        <item m="1" x="4253"/>
        <item m="1" x="4346"/>
        <item m="1" x="4439"/>
        <item m="1" x="4532"/>
        <item m="1" x="4625"/>
        <item m="1" x="4718"/>
        <item m="1" x="4811"/>
        <item m="1" x="4904"/>
        <item m="1" x="4997"/>
        <item m="1" x="3090"/>
        <item m="1" x="3183"/>
        <item m="1" x="3276"/>
        <item m="1" x="3369"/>
        <item m="1" x="3462"/>
        <item m="1" x="3555"/>
        <item m="1" x="3648"/>
        <item m="1" x="3741"/>
        <item m="1" x="3834"/>
        <item m="1" x="3927"/>
        <item m="1" x="4020"/>
        <item m="1" x="4113"/>
        <item m="1" x="4207"/>
        <item m="1" x="4300"/>
        <item m="1" x="4393"/>
        <item m="1" x="4486"/>
        <item m="1" x="4579"/>
        <item m="1" x="4672"/>
        <item m="1" x="4765"/>
        <item m="1" x="4858"/>
        <item m="1" x="4951"/>
        <item m="1" x="3044"/>
        <item m="1" x="3137"/>
        <item m="1" x="3230"/>
        <item m="1" x="3323"/>
        <item m="1" x="3416"/>
        <item m="1" x="3509"/>
        <item m="1" x="3602"/>
        <item m="1" x="3695"/>
        <item m="1" x="3788"/>
        <item m="1" x="3881"/>
        <item m="1" x="3974"/>
        <item m="1" x="4067"/>
        <item m="1" x="4161"/>
        <item m="1" x="4254"/>
        <item m="1" x="4347"/>
        <item m="1" x="4440"/>
        <item m="1" x="4533"/>
        <item m="1" x="4626"/>
        <item m="1" x="4719"/>
        <item m="1" x="4812"/>
        <item m="1" x="4905"/>
        <item m="1" x="4998"/>
        <item m="1" x="3091"/>
        <item m="1" x="3184"/>
        <item m="1" x="3277"/>
        <item m="1" x="3370"/>
        <item m="1" x="3463"/>
        <item m="1" x="3556"/>
        <item m="1" x="3649"/>
        <item m="1" x="3742"/>
        <item m="1" x="3835"/>
        <item m="1" x="3928"/>
        <item m="1" x="4021"/>
        <item m="1" x="4114"/>
        <item m="1" x="4208"/>
        <item m="1" x="4301"/>
        <item m="1" x="4394"/>
        <item m="1" x="4487"/>
        <item m="1" x="4580"/>
        <item m="1" x="4673"/>
        <item m="1" x="4766"/>
        <item m="1" x="4859"/>
        <item m="1" x="4952"/>
        <item m="1" x="3045"/>
        <item m="1" x="3138"/>
        <item m="1" x="3231"/>
        <item m="1" x="3324"/>
        <item m="1" x="3417"/>
        <item m="1" x="3510"/>
        <item m="1" x="3603"/>
        <item m="1" x="3696"/>
        <item m="1" x="3789"/>
        <item m="1" x="3882"/>
        <item m="1" x="3975"/>
        <item m="1" x="4068"/>
        <item m="1" x="4162"/>
        <item m="1" x="4255"/>
        <item m="1" x="4348"/>
        <item m="1" x="4441"/>
        <item m="1" x="4534"/>
        <item m="1" x="4627"/>
        <item m="1" x="4720"/>
        <item m="1" x="4813"/>
        <item m="1" x="4906"/>
        <item m="1" x="4999"/>
        <item m="1" x="3092"/>
        <item m="1" x="3185"/>
        <item m="1" x="3278"/>
        <item m="1" x="3371"/>
        <item m="1" x="3464"/>
        <item m="1" x="3557"/>
        <item m="1" x="3650"/>
        <item m="1" x="3743"/>
        <item m="1" x="3836"/>
        <item m="1" x="3929"/>
        <item m="1" x="4022"/>
        <item m="1" x="4115"/>
        <item m="1" x="4209"/>
        <item m="1" x="4302"/>
        <item m="1" x="4395"/>
        <item m="1" x="4488"/>
        <item m="1" x="4581"/>
        <item m="1" x="4674"/>
        <item m="1" x="4767"/>
        <item m="1" x="4860"/>
        <item m="1" x="4953"/>
        <item m="1" x="3046"/>
        <item m="1" x="3139"/>
        <item m="1" x="3232"/>
        <item m="1" x="3325"/>
        <item m="1" x="3418"/>
        <item m="1" x="3511"/>
        <item m="1" x="3604"/>
        <item m="1" x="3697"/>
        <item m="1" x="3790"/>
        <item m="1" x="3883"/>
        <item m="1" x="3976"/>
        <item m="1" x="4069"/>
        <item m="1" x="4163"/>
        <item m="1" x="4256"/>
        <item m="1" x="4349"/>
        <item m="1" x="4442"/>
        <item m="1" x="4535"/>
        <item m="1" x="4628"/>
        <item m="1" x="4721"/>
        <item m="1" x="4814"/>
        <item m="1" x="4907"/>
        <item m="1" x="3000"/>
        <item m="1" x="3093"/>
        <item m="1" x="3186"/>
        <item m="1" x="3279"/>
        <item m="1" x="3372"/>
        <item m="1" x="3465"/>
        <item m="1" x="3558"/>
        <item m="1" x="3651"/>
        <item m="1" x="3744"/>
        <item m="1" x="3837"/>
        <item m="1" x="3930"/>
        <item m="1" x="4023"/>
        <item m="1" x="4116"/>
        <item m="1" x="4210"/>
        <item m="1" x="4303"/>
        <item m="1" x="4396"/>
        <item m="1" x="4489"/>
        <item m="1" x="4582"/>
        <item m="1" x="4675"/>
        <item m="1" x="4768"/>
        <item m="1" x="4861"/>
        <item m="1" x="4954"/>
        <item m="1" x="3047"/>
        <item m="1" x="3140"/>
        <item m="1" x="3233"/>
        <item m="1" x="3326"/>
        <item m="1" x="3419"/>
        <item m="1" x="3512"/>
        <item m="1" x="3605"/>
        <item m="1" x="3698"/>
        <item m="1" x="3791"/>
        <item m="1" x="3884"/>
        <item m="1" x="3977"/>
        <item m="1" x="4070"/>
        <item m="1" x="4164"/>
        <item m="1" x="4257"/>
        <item m="1" x="4350"/>
        <item m="1" x="4443"/>
        <item m="1" x="4536"/>
        <item m="1" x="4629"/>
        <item m="1" x="4722"/>
        <item m="1" x="4815"/>
        <item m="1" x="4908"/>
        <item m="1" x="3001"/>
        <item m="1" x="3094"/>
        <item m="1" x="3187"/>
        <item m="1" x="3280"/>
        <item m="1" x="3373"/>
        <item m="1" x="3466"/>
        <item m="1" x="3559"/>
        <item m="1" x="3652"/>
        <item m="1" x="3745"/>
        <item m="1" x="3838"/>
        <item m="1" x="3931"/>
        <item m="1" x="4024"/>
        <item m="1" x="4117"/>
        <item m="1" x="4211"/>
        <item m="1" x="4304"/>
        <item m="1" x="4397"/>
        <item m="1" x="4490"/>
        <item m="1" x="4583"/>
        <item m="1" x="4676"/>
        <item m="1" x="4769"/>
        <item m="1" x="4862"/>
        <item m="1" x="4955"/>
        <item m="1" x="3048"/>
        <item m="1" x="3141"/>
        <item m="1" x="3234"/>
        <item m="1" x="3327"/>
        <item m="1" x="3420"/>
        <item m="1" x="3513"/>
        <item m="1" x="3606"/>
        <item m="1" x="3699"/>
        <item m="1" x="3792"/>
        <item m="1" x="3885"/>
        <item m="1" x="3978"/>
        <item m="1" x="4071"/>
        <item m="1" x="4165"/>
        <item m="1" x="4258"/>
        <item m="1" x="4351"/>
        <item m="1" x="4444"/>
        <item m="1" x="4537"/>
        <item m="1" x="4630"/>
        <item m="1" x="4723"/>
        <item m="1" x="4816"/>
        <item m="1" x="4909"/>
        <item m="1" x="3002"/>
        <item m="1" x="3095"/>
        <item m="1" x="3188"/>
        <item m="1" x="3281"/>
        <item m="1" x="3374"/>
        <item m="1" x="3467"/>
        <item m="1" x="3560"/>
        <item m="1" x="3653"/>
        <item m="1" x="3746"/>
        <item m="1" x="3839"/>
        <item m="1" x="3932"/>
        <item m="1" x="4025"/>
        <item m="1" x="4118"/>
        <item m="1" x="4212"/>
        <item m="1" x="4305"/>
        <item m="1" x="4398"/>
        <item m="1" x="4491"/>
        <item m="1" x="4584"/>
        <item m="1" x="4677"/>
        <item m="1" x="4770"/>
        <item m="1" x="4863"/>
        <item m="1" x="4956"/>
        <item m="1" x="3049"/>
        <item m="1" x="3142"/>
        <item m="1" x="3235"/>
        <item m="1" x="3328"/>
        <item m="1" x="3421"/>
        <item m="1" x="3514"/>
        <item m="1" x="3607"/>
        <item m="1" x="3700"/>
        <item m="1" x="3793"/>
        <item m="1" x="3886"/>
        <item m="1" x="3979"/>
        <item m="1" x="4072"/>
        <item m="1" x="4166"/>
        <item m="1" x="4259"/>
        <item m="1" x="4352"/>
        <item m="1" x="4445"/>
        <item m="1" x="4538"/>
        <item m="1" x="4631"/>
        <item m="1" x="4724"/>
        <item m="1" x="4817"/>
        <item m="1" x="4910"/>
        <item m="1" x="3003"/>
        <item m="1" x="3096"/>
        <item m="1" x="3189"/>
        <item m="1" x="3282"/>
        <item m="1" x="3375"/>
        <item m="1" x="3468"/>
        <item m="1" x="3561"/>
        <item m="1" x="3654"/>
        <item m="1" x="3747"/>
        <item m="1" x="3840"/>
        <item m="1" x="3933"/>
        <item m="1" x="4026"/>
        <item m="1" x="4119"/>
        <item m="1" x="4213"/>
        <item m="1" x="4306"/>
        <item m="1" x="4399"/>
        <item m="1" x="4492"/>
        <item m="1" x="4585"/>
        <item m="1" x="4678"/>
        <item m="1" x="4771"/>
        <item m="1" x="4864"/>
        <item m="1" x="4957"/>
        <item m="1" x="3050"/>
        <item m="1" x="3143"/>
        <item m="1" x="3236"/>
        <item m="1" x="3329"/>
        <item m="1" x="3422"/>
        <item m="1" x="3515"/>
        <item m="1" x="3608"/>
        <item m="1" x="3701"/>
        <item m="1" x="3794"/>
        <item m="1" x="3887"/>
        <item m="1" x="3980"/>
        <item m="1" x="4073"/>
        <item m="1" x="4167"/>
        <item m="1" x="4260"/>
        <item m="1" x="4353"/>
        <item m="1" x="4446"/>
        <item m="1" x="4539"/>
        <item m="1" x="4632"/>
        <item m="1" x="4725"/>
        <item m="1" x="4818"/>
        <item m="1" x="4911"/>
        <item m="1" x="3004"/>
        <item m="1" x="3097"/>
        <item m="1" x="3190"/>
        <item m="1" x="3283"/>
        <item m="1" x="3376"/>
        <item m="1" x="3469"/>
        <item m="1" x="3562"/>
        <item m="1" x="3655"/>
        <item m="1" x="3748"/>
        <item m="1" x="3841"/>
        <item m="1" x="3934"/>
        <item m="1" x="4027"/>
        <item m="1" x="4120"/>
        <item m="1" x="4214"/>
        <item m="1" x="4307"/>
        <item m="1" x="4400"/>
        <item m="1" x="4493"/>
        <item m="1" x="4586"/>
        <item m="1" x="4679"/>
        <item m="1" x="4772"/>
        <item m="1" x="4865"/>
        <item m="1" x="4958"/>
        <item m="1" x="3051"/>
        <item m="1" x="3144"/>
        <item m="1" x="3237"/>
        <item m="1" x="3330"/>
        <item m="1" x="3423"/>
        <item m="1" x="3516"/>
        <item m="1" x="3609"/>
        <item m="1" x="3702"/>
        <item m="1" x="3795"/>
        <item m="1" x="3888"/>
        <item m="1" x="3981"/>
        <item m="1" x="4074"/>
        <item m="1" x="4168"/>
        <item m="1" x="4261"/>
        <item m="1" x="4354"/>
        <item m="1" x="4447"/>
        <item m="1" x="4540"/>
        <item m="1" x="4633"/>
        <item m="1" x="4726"/>
        <item m="1" x="4819"/>
        <item m="1" x="4912"/>
        <item m="1" x="3005"/>
        <item m="1" x="3098"/>
        <item m="1" x="3191"/>
        <item m="1" x="3284"/>
        <item m="1" x="3377"/>
        <item m="1" x="3470"/>
        <item m="1" x="3563"/>
        <item m="1" x="3656"/>
        <item m="1" x="3749"/>
        <item m="1" x="3842"/>
        <item m="1" x="3935"/>
        <item m="1" x="4028"/>
        <item m="1" x="4121"/>
        <item m="1" x="4215"/>
        <item m="1" x="4308"/>
        <item m="1" x="4401"/>
        <item m="1" x="4494"/>
        <item m="1" x="4587"/>
        <item m="1" x="4680"/>
        <item m="1" x="4773"/>
        <item m="1" x="4866"/>
        <item m="1" x="4959"/>
        <item m="1" x="3052"/>
        <item m="1" x="3145"/>
        <item m="1" x="3238"/>
        <item m="1" x="3331"/>
        <item m="1" x="3424"/>
        <item m="1" x="3517"/>
        <item m="1" x="3610"/>
        <item m="1" x="3703"/>
        <item m="1" x="3796"/>
        <item m="1" x="3889"/>
        <item m="1" x="3982"/>
        <item m="1" x="4075"/>
        <item m="1" x="4169"/>
        <item m="1" x="4262"/>
        <item m="1" x="4355"/>
        <item m="1" x="4448"/>
        <item m="1" x="4541"/>
        <item m="1" x="4634"/>
        <item m="1" x="4727"/>
        <item m="1" x="4820"/>
        <item m="1" x="4913"/>
        <item m="1" x="3006"/>
        <item m="1" x="3099"/>
        <item m="1" x="3192"/>
        <item m="1" x="3285"/>
        <item m="1" x="3378"/>
        <item m="1" x="3471"/>
        <item m="1" x="3564"/>
        <item m="1" x="3657"/>
        <item m="1" x="3750"/>
        <item m="1" x="3843"/>
        <item m="1" x="3936"/>
        <item m="1" x="4029"/>
        <item m="1" x="4122"/>
        <item m="1" x="4216"/>
        <item m="1" x="4309"/>
        <item m="1" x="4402"/>
        <item m="1" x="4495"/>
        <item m="1" x="4588"/>
        <item m="1" x="4681"/>
        <item m="1" x="4774"/>
        <item m="1" x="4867"/>
        <item m="1" x="4960"/>
        <item m="1" x="3053"/>
        <item m="1" x="3146"/>
        <item m="1" x="3239"/>
        <item m="1" x="3332"/>
        <item m="1" x="3425"/>
        <item m="1" x="3518"/>
        <item m="1" x="3611"/>
        <item m="1" x="3704"/>
        <item m="1" x="3797"/>
        <item m="1" x="3890"/>
        <item m="1" x="3983"/>
        <item m="1" x="4076"/>
        <item m="1" x="4170"/>
        <item m="1" x="4263"/>
        <item m="1" x="4356"/>
        <item m="1" x="4449"/>
        <item m="1" x="4542"/>
        <item m="1" x="4635"/>
        <item m="1" x="4728"/>
        <item m="1" x="4821"/>
        <item m="1" x="4914"/>
        <item m="1" x="3007"/>
        <item m="1" x="3100"/>
        <item m="1" x="3193"/>
        <item m="1" x="3286"/>
        <item m="1" x="3379"/>
        <item m="1" x="3472"/>
        <item m="1" x="3565"/>
        <item m="1" x="3658"/>
        <item m="1" x="3751"/>
        <item m="1" x="3844"/>
        <item m="1" x="3937"/>
        <item m="1" x="4030"/>
        <item m="1" x="4123"/>
        <item m="1" x="4217"/>
        <item m="1" x="4310"/>
        <item m="1" x="4403"/>
        <item m="1" x="4496"/>
        <item m="1" x="4589"/>
        <item m="1" x="4682"/>
        <item m="1" x="4775"/>
        <item m="1" x="4868"/>
        <item m="1" x="4961"/>
        <item m="1" x="3054"/>
        <item m="1" x="3147"/>
        <item m="1" x="3240"/>
        <item m="1" x="3333"/>
        <item m="1" x="3426"/>
        <item m="1" x="3519"/>
        <item m="1" x="3612"/>
        <item m="1" x="3705"/>
        <item m="1" x="3798"/>
        <item m="1" x="3891"/>
        <item m="1" x="3984"/>
        <item m="1" x="4077"/>
        <item m="1" x="4171"/>
        <item m="1" x="4264"/>
        <item m="1" x="4357"/>
        <item m="1" x="4450"/>
        <item m="1" x="4543"/>
        <item m="1" x="4636"/>
        <item m="1" x="4729"/>
        <item m="1" x="4822"/>
        <item m="1" x="4915"/>
        <item m="1" x="3008"/>
        <item m="1" x="3101"/>
        <item m="1" x="3194"/>
        <item m="1" x="3287"/>
        <item m="1" x="3380"/>
        <item m="1" x="3473"/>
        <item m="1" x="3566"/>
        <item m="1" x="3659"/>
        <item m="1" x="3752"/>
        <item m="1" x="3845"/>
        <item m="1" x="3938"/>
        <item m="1" x="4031"/>
        <item m="1" x="4124"/>
        <item m="1" x="4218"/>
        <item m="1" x="4311"/>
        <item m="1" x="4404"/>
        <item m="1" x="4497"/>
        <item m="1" x="4590"/>
        <item m="1" x="4683"/>
        <item m="1" x="4776"/>
        <item m="1" x="4869"/>
        <item m="1" x="4962"/>
        <item m="1" x="3055"/>
        <item m="1" x="3148"/>
        <item m="1" x="3241"/>
        <item m="1" x="3334"/>
        <item m="1" x="3427"/>
        <item m="1" x="3520"/>
        <item m="1" x="3613"/>
        <item m="1" x="3706"/>
        <item m="1" x="3799"/>
        <item m="1" x="3892"/>
        <item m="1" x="3985"/>
        <item m="1" x="4078"/>
        <item m="1" x="4172"/>
        <item m="1" x="4265"/>
        <item m="1" x="4358"/>
        <item m="1" x="4451"/>
        <item m="1" x="4544"/>
        <item m="1" x="4637"/>
        <item m="1" x="4730"/>
        <item m="1" x="4823"/>
        <item m="1" x="4916"/>
        <item m="1" x="3009"/>
        <item m="1" x="3102"/>
        <item m="1" x="3195"/>
        <item m="1" x="3288"/>
        <item m="1" x="3381"/>
        <item m="1" x="3474"/>
        <item m="1" x="3567"/>
        <item m="1" x="3660"/>
        <item m="1" x="3753"/>
        <item m="1" x="3846"/>
        <item m="1" x="3939"/>
        <item m="1" x="4032"/>
        <item m="1" x="4125"/>
        <item m="1" x="4219"/>
        <item m="1" x="4312"/>
        <item m="1" x="4405"/>
        <item m="1" x="4498"/>
        <item m="1" x="4591"/>
        <item m="1" x="4684"/>
        <item m="1" x="4777"/>
        <item m="1" x="4870"/>
        <item m="1" x="4963"/>
        <item m="1" x="3056"/>
        <item m="1" x="3149"/>
        <item m="1" x="3242"/>
        <item m="1" x="3335"/>
        <item m="1" x="3428"/>
        <item m="1" x="3521"/>
        <item m="1" x="3614"/>
        <item m="1" x="3707"/>
        <item m="1" x="3800"/>
        <item m="1" x="3893"/>
        <item m="1" x="3986"/>
        <item m="1" x="4079"/>
        <item m="1" x="4173"/>
        <item m="1" x="4266"/>
        <item m="1" x="4359"/>
        <item m="1" x="4452"/>
        <item m="1" x="4545"/>
        <item m="1" x="4638"/>
        <item m="1" x="4731"/>
        <item m="1" x="4824"/>
        <item m="1" x="4917"/>
        <item m="1" x="3010"/>
        <item m="1" x="3103"/>
        <item m="1" x="3196"/>
        <item m="1" x="3289"/>
        <item m="1" x="3382"/>
        <item m="1" x="3475"/>
        <item m="1" x="3568"/>
        <item m="1" x="3661"/>
        <item m="1" x="3754"/>
        <item m="1" x="3847"/>
        <item m="1" x="3940"/>
        <item m="1" x="4033"/>
        <item m="1" x="4126"/>
        <item m="1" x="4220"/>
        <item m="1" x="4313"/>
        <item m="1" x="4406"/>
        <item m="1" x="4499"/>
        <item m="1" x="4592"/>
        <item m="1" x="4685"/>
        <item m="1" x="4778"/>
        <item m="1" x="4871"/>
        <item m="1" x="4964"/>
        <item m="1" x="3057"/>
        <item m="1" x="3150"/>
        <item m="1" x="3243"/>
        <item m="1" x="3336"/>
        <item m="1" x="3429"/>
        <item m="1" x="3522"/>
        <item m="1" x="3615"/>
        <item m="1" x="3708"/>
        <item m="1" x="3801"/>
        <item m="1" x="3894"/>
        <item m="1" x="3987"/>
        <item m="1" x="4080"/>
        <item m="1" x="4174"/>
        <item m="1" x="4267"/>
        <item m="1" x="4360"/>
        <item m="1" x="4453"/>
        <item m="1" x="4546"/>
        <item m="1" x="4639"/>
        <item m="1" x="4732"/>
        <item m="1" x="4825"/>
        <item m="1" x="4918"/>
        <item m="1" x="3011"/>
        <item m="1" x="3104"/>
        <item m="1" x="3197"/>
        <item m="1" x="3290"/>
        <item m="1" x="3383"/>
        <item m="1" x="3476"/>
        <item m="1" x="3569"/>
        <item m="1" x="3662"/>
        <item m="1" x="3755"/>
        <item m="1" x="3848"/>
        <item m="1" x="3941"/>
        <item m="1" x="4034"/>
        <item m="1" x="4127"/>
        <item m="1" x="4175"/>
        <item m="1" x="4221"/>
        <item m="1" x="4268"/>
        <item m="1" x="4314"/>
        <item m="1" x="4361"/>
        <item m="1" x="4407"/>
        <item m="1" x="4454"/>
        <item m="1" x="4500"/>
        <item m="1" x="4547"/>
        <item m="1" x="4593"/>
        <item m="1" x="4640"/>
        <item m="1" x="4686"/>
        <item m="1" x="4733"/>
        <item m="1" x="4779"/>
        <item m="1" x="4826"/>
        <item m="1" x="4872"/>
        <item m="1" x="4919"/>
        <item m="1" x="4965"/>
        <item m="1" x="3012"/>
        <item m="1" x="3058"/>
        <item m="1" x="3105"/>
        <item m="1" x="3151"/>
        <item m="1" x="3198"/>
        <item m="1" x="3244"/>
        <item m="1" x="3291"/>
        <item m="1" x="3337"/>
        <item m="1" x="3384"/>
        <item m="1" x="3430"/>
        <item m="1" x="3477"/>
        <item m="1" x="3523"/>
        <item m="1" x="3570"/>
        <item m="1" x="3616"/>
        <item m="1" x="3663"/>
        <item m="1" x="3709"/>
        <item m="1" x="3756"/>
        <item m="1" x="3802"/>
        <item m="1" x="3849"/>
        <item m="1" x="3895"/>
        <item m="1" x="3942"/>
        <item m="1" x="3988"/>
        <item m="1" x="4035"/>
        <item m="1" x="4081"/>
        <item m="1" x="4129"/>
        <item m="1" x="4176"/>
        <item m="1" x="4223"/>
        <item m="1" x="4269"/>
        <item m="1" x="4316"/>
        <item m="1" x="4362"/>
        <item m="1" x="4409"/>
        <item m="1" x="4455"/>
        <item m="1" x="4502"/>
        <item m="1" x="4548"/>
        <item m="1" x="4595"/>
        <item m="1" x="4641"/>
        <item m="1" x="4688"/>
        <item m="1" x="4734"/>
        <item m="1" x="4781"/>
        <item m="1" x="4827"/>
        <item m="1" x="4874"/>
        <item m="1" x="4920"/>
        <item m="1" x="4967"/>
        <item m="1" x="3013"/>
        <item m="1" x="3060"/>
        <item m="1" x="3106"/>
        <item m="1" x="3153"/>
        <item m="1" x="3199"/>
        <item m="1" x="3246"/>
        <item m="1" x="3292"/>
        <item m="1" x="3339"/>
        <item m="1" x="3385"/>
        <item m="1" x="3432"/>
        <item m="1" x="3478"/>
        <item m="1" x="3525"/>
        <item m="1" x="3571"/>
        <item m="1" x="3618"/>
        <item m="1" x="3664"/>
        <item m="1" x="3711"/>
        <item m="1" x="3757"/>
        <item m="1" x="3804"/>
        <item m="1" x="3850"/>
        <item m="1" x="3897"/>
        <item m="1" x="3943"/>
        <item m="1" x="3990"/>
        <item m="1" x="4036"/>
        <item m="1" x="4083"/>
        <item m="1" x="4130"/>
        <item m="1" x="4178"/>
        <item m="1" x="4224"/>
        <item m="1" x="4271"/>
        <item m="1" x="4317"/>
        <item m="1" x="4364"/>
        <item m="1" x="4410"/>
        <item m="1" x="4457"/>
        <item m="1" x="4503"/>
        <item m="1" x="4550"/>
        <item m="1" x="4596"/>
        <item m="1" x="4643"/>
        <item m="1" x="4689"/>
        <item m="1" x="4736"/>
        <item m="1" x="4782"/>
        <item m="1" x="4829"/>
        <item m="1" x="4875"/>
        <item m="1" x="4922"/>
        <item m="1" x="4968"/>
        <item m="1" x="3015"/>
        <item m="1" x="3061"/>
        <item m="1" x="3108"/>
        <item m="1" x="3154"/>
        <item m="1" x="3201"/>
        <item m="1" x="3247"/>
        <item m="1" x="3294"/>
        <item m="1" x="3340"/>
        <item m="1" x="3387"/>
        <item m="1" x="3433"/>
        <item m="1" x="3480"/>
        <item m="1" x="3526"/>
        <item m="1" x="3573"/>
        <item m="1" x="3619"/>
        <item m="1" x="3666"/>
        <item m="1" x="3712"/>
        <item m="1" x="3759"/>
        <item m="1" x="3805"/>
        <item m="1" x="3852"/>
        <item m="1" x="3898"/>
        <item m="1" x="3945"/>
        <item m="1" x="3991"/>
        <item m="1" x="4038"/>
        <item m="1" x="4084"/>
        <item m="1" x="4132"/>
        <item m="1" x="4179"/>
        <item m="1" x="4226"/>
        <item m="1" x="4272"/>
        <item m="1" x="4319"/>
        <item m="1" x="4365"/>
        <item m="1" x="4412"/>
        <item m="1" x="4458"/>
        <item m="1" x="4505"/>
        <item m="1" x="4551"/>
        <item m="1" x="4598"/>
        <item m="1" x="4644"/>
        <item m="1" x="4691"/>
        <item m="1" x="4737"/>
        <item m="1" x="4784"/>
        <item m="1" x="4830"/>
        <item m="1" x="4877"/>
        <item m="1" x="4923"/>
        <item m="1" x="4970"/>
        <item m="1" x="3016"/>
        <item m="1" x="3063"/>
        <item m="1" x="3109"/>
        <item m="1" x="3156"/>
        <item m="1" x="3202"/>
        <item m="1" x="3249"/>
        <item m="1" x="3295"/>
        <item m="1" x="3342"/>
        <item m="1" x="3388"/>
        <item m="1" x="3435"/>
        <item m="1" x="3481"/>
        <item m="1" x="3528"/>
        <item m="1" x="3574"/>
        <item m="1" x="3621"/>
        <item m="1" x="3667"/>
        <item m="1" x="3714"/>
        <item m="1" x="3760"/>
        <item m="1" x="3807"/>
        <item m="1" x="3853"/>
        <item m="1" x="3900"/>
        <item m="1" x="3946"/>
        <item m="1" x="3993"/>
        <item m="1" x="4039"/>
        <item m="1" x="4086"/>
        <item m="1" x="4133"/>
        <item m="1" x="4181"/>
        <item m="1" x="4227"/>
        <item m="1" x="4274"/>
        <item m="1" x="4320"/>
        <item m="1" x="4367"/>
        <item m="1" x="4413"/>
        <item m="1" x="4460"/>
        <item m="1" x="4506"/>
        <item m="1" x="4553"/>
        <item m="1" x="4599"/>
        <item m="1" x="4646"/>
        <item m="1" x="4692"/>
        <item m="1" x="4739"/>
        <item m="1" x="4785"/>
        <item m="1" x="4832"/>
        <item m="1" x="4878"/>
        <item m="1" x="4925"/>
        <item m="1" x="4971"/>
        <item m="1" x="3018"/>
        <item m="1" x="3064"/>
        <item m="1" x="3111"/>
        <item m="1" x="3157"/>
        <item m="1" x="3204"/>
        <item m="1" x="3250"/>
        <item m="1" x="3297"/>
        <item m="1" x="3343"/>
        <item m="1" x="3390"/>
        <item m="1" x="3436"/>
        <item m="1" x="3483"/>
        <item m="1" x="3529"/>
        <item m="1" x="3576"/>
        <item m="1" x="3622"/>
        <item m="1" x="3669"/>
        <item m="1" x="3715"/>
        <item m="1" x="3762"/>
        <item m="1" x="3808"/>
        <item m="1" x="3855"/>
        <item m="1" x="3901"/>
        <item m="1" x="3948"/>
        <item m="1" x="3994"/>
        <item m="1" x="4041"/>
        <item m="1" x="4087"/>
        <item m="1" x="4135"/>
        <item m="1" x="4182"/>
        <item m="1" x="4229"/>
        <item m="1" x="4275"/>
        <item m="1" x="4322"/>
        <item m="1" x="4368"/>
        <item m="1" x="4415"/>
        <item m="1" x="4461"/>
        <item m="1" x="4508"/>
        <item m="1" x="4554"/>
        <item m="1" x="4601"/>
        <item m="1" x="4647"/>
        <item m="1" x="4694"/>
        <item m="1" x="4740"/>
        <item m="1" x="4787"/>
        <item m="1" x="4833"/>
        <item m="1" x="4880"/>
        <item m="1" x="4926"/>
        <item m="1" x="4973"/>
        <item m="1" x="3019"/>
        <item m="1" x="3066"/>
        <item m="1" x="3112"/>
        <item m="1" x="3159"/>
        <item m="1" x="3205"/>
        <item m="1" x="3252"/>
        <item m="1" x="3298"/>
        <item m="1" x="3345"/>
        <item m="1" x="3391"/>
        <item m="1" x="3438"/>
        <item m="1" x="3484"/>
        <item m="1" x="3531"/>
        <item m="1" x="3577"/>
        <item m="1" x="3624"/>
        <item m="1" x="3670"/>
        <item m="1" x="3717"/>
        <item m="1" x="3763"/>
        <item m="1" x="3810"/>
        <item m="1" x="3856"/>
        <item m="1" x="3903"/>
        <item m="1" x="3949"/>
        <item m="1" x="3996"/>
        <item m="1" x="4042"/>
        <item m="1" x="4089"/>
        <item m="1" x="4136"/>
        <item m="1" x="4184"/>
        <item m="1" x="4230"/>
        <item m="1" x="4277"/>
        <item m="1" x="4323"/>
        <item m="1" x="4370"/>
        <item m="1" x="4416"/>
        <item m="1" x="4463"/>
        <item m="1" x="4509"/>
        <item m="1" x="4556"/>
        <item m="1" x="4602"/>
        <item m="1" x="4649"/>
        <item m="1" x="4695"/>
        <item m="1" x="4742"/>
        <item m="1" x="4788"/>
        <item m="1" x="4835"/>
        <item m="1" x="4881"/>
        <item m="1" x="4928"/>
        <item m="1" x="4974"/>
        <item m="1" x="3021"/>
        <item m="1" x="3067"/>
        <item m="1" x="3114"/>
        <item m="1" x="3160"/>
        <item m="1" x="3207"/>
        <item m="1" x="3253"/>
        <item m="1" x="3300"/>
        <item m="1" x="3346"/>
        <item m="1" x="3393"/>
        <item m="1" x="3439"/>
        <item m="1" x="3486"/>
        <item m="1" x="3532"/>
        <item m="1" x="3579"/>
        <item m="1" x="3625"/>
        <item m="1" x="3672"/>
        <item m="1" x="3718"/>
        <item m="1" x="3765"/>
        <item m="1" x="3811"/>
        <item m="1" x="3858"/>
        <item m="1" x="3904"/>
        <item m="1" x="3951"/>
        <item m="1" x="3997"/>
        <item m="1" x="4044"/>
        <item m="1" x="4090"/>
        <item m="1" x="4138"/>
        <item m="1" x="4185"/>
        <item m="1" x="4232"/>
        <item m="1" x="4278"/>
        <item m="1" x="4325"/>
        <item m="1" x="4371"/>
        <item m="1" x="4418"/>
        <item m="1" x="4464"/>
        <item m="1" x="4511"/>
        <item m="1" x="4557"/>
        <item m="1" x="4604"/>
        <item m="1" x="4650"/>
        <item m="1" x="4697"/>
        <item m="1" x="4743"/>
        <item m="1" x="4790"/>
        <item m="1" x="4836"/>
        <item m="1" x="4883"/>
        <item m="1" x="4929"/>
        <item m="1" x="4976"/>
        <item m="1" x="3022"/>
        <item m="1" x="3069"/>
        <item m="1" x="3115"/>
        <item m="1" x="3162"/>
        <item m="1" x="3208"/>
        <item m="1" x="3255"/>
        <item m="1" x="3301"/>
        <item m="1" x="3348"/>
        <item m="1" x="3394"/>
        <item m="1" x="3441"/>
        <item m="1" x="3487"/>
        <item m="1" x="3534"/>
        <item m="1" x="3580"/>
        <item m="1" x="3627"/>
        <item m="1" x="3673"/>
        <item m="1" x="3720"/>
        <item m="1" x="3766"/>
        <item m="1" x="3813"/>
        <item m="1" x="3859"/>
        <item m="1" x="3906"/>
        <item m="1" x="3952"/>
        <item m="1" x="3999"/>
        <item m="1" x="4045"/>
        <item m="1" x="4092"/>
        <item m="1" x="4139"/>
        <item m="1" x="4187"/>
        <item m="1" x="4233"/>
        <item m="1" x="4280"/>
        <item m="1" x="4326"/>
        <item m="1" x="4373"/>
        <item m="1" x="4419"/>
        <item m="1" x="4466"/>
        <item m="1" x="4512"/>
        <item m="1" x="4559"/>
        <item m="1" x="4605"/>
        <item m="1" x="4652"/>
        <item m="1" x="4698"/>
        <item m="1" x="4745"/>
        <item m="1" x="4791"/>
        <item m="1" x="4838"/>
        <item m="1" x="4884"/>
        <item m="1" x="4931"/>
        <item m="1" x="4977"/>
        <item m="1" x="3024"/>
        <item m="1" x="3070"/>
        <item m="1" x="3117"/>
        <item m="1" x="3163"/>
        <item m="1" x="3210"/>
        <item m="1" x="3256"/>
        <item m="1" x="3303"/>
        <item m="1" x="3349"/>
        <item m="1" x="3396"/>
        <item m="1" x="3442"/>
        <item m="1" x="3489"/>
        <item m="1" x="3535"/>
        <item m="1" x="3582"/>
        <item m="1" x="3628"/>
        <item m="1" x="3675"/>
        <item m="1" x="3721"/>
        <item m="1" x="3768"/>
        <item m="1" x="3814"/>
        <item m="1" x="3861"/>
        <item m="1" x="3907"/>
        <item m="1" x="3954"/>
        <item m="1" x="4000"/>
        <item m="1" x="4047"/>
        <item m="1" x="4093"/>
        <item m="1" x="4141"/>
        <item m="1" x="4188"/>
        <item m="1" x="4235"/>
        <item m="1" x="4281"/>
        <item m="1" x="4328"/>
        <item m="1" x="4374"/>
        <item m="1" x="4421"/>
        <item m="1" x="4467"/>
        <item m="1" x="4514"/>
        <item m="1" x="4560"/>
        <item m="1" x="4607"/>
        <item m="1" x="4653"/>
        <item m="1" x="4700"/>
        <item m="1" x="4746"/>
        <item m="1" x="4793"/>
        <item m="1" x="4839"/>
        <item m="1" x="4886"/>
        <item m="1" x="4932"/>
        <item m="1" x="4979"/>
        <item m="1" x="3025"/>
        <item m="1" x="3072"/>
        <item m="1" x="3118"/>
        <item m="1" x="3165"/>
        <item m="1" x="3211"/>
        <item m="1" x="3258"/>
        <item m="1" x="3304"/>
        <item m="1" x="3351"/>
        <item m="1" x="3397"/>
        <item m="1" x="3444"/>
        <item m="1" x="3490"/>
        <item m="1" x="3537"/>
        <item m="1" x="3583"/>
        <item m="1" x="3630"/>
        <item m="1" x="3676"/>
        <item m="1" x="3723"/>
        <item m="1" x="3769"/>
        <item m="1" x="3816"/>
        <item m="1" x="3862"/>
        <item m="1" x="3909"/>
        <item m="1" x="3955"/>
        <item m="1" x="4002"/>
        <item m="1" x="4048"/>
        <item m="1" x="4095"/>
        <item m="1" x="4142"/>
        <item m="1" x="4190"/>
        <item m="1" x="4236"/>
        <item m="1" x="4283"/>
        <item m="1" x="4329"/>
        <item m="1" x="4376"/>
        <item m="1" x="4422"/>
        <item m="1" x="4469"/>
        <item m="1" x="4515"/>
        <item m="1" x="4562"/>
        <item m="1" x="4608"/>
        <item m="1" x="4655"/>
        <item m="1" x="4701"/>
        <item m="1" x="4748"/>
        <item m="1" x="4794"/>
        <item m="1" x="4841"/>
        <item m="1" x="4887"/>
        <item m="1" x="4934"/>
        <item m="1" x="4980"/>
        <item m="1" x="3027"/>
        <item m="1" x="3073"/>
        <item m="1" x="3120"/>
        <item m="1" x="3166"/>
        <item m="1" x="3213"/>
        <item m="1" x="3259"/>
        <item m="1" x="3306"/>
        <item m="1" x="3352"/>
        <item m="1" x="3399"/>
        <item m="1" x="3445"/>
        <item m="1" x="3492"/>
        <item m="1" x="3538"/>
        <item m="1" x="3585"/>
        <item m="1" x="3631"/>
        <item m="1" x="3678"/>
        <item m="1" x="3724"/>
        <item m="1" x="3771"/>
        <item m="1" x="3817"/>
        <item m="1" x="3864"/>
        <item m="1" x="3910"/>
        <item m="1" x="3957"/>
        <item m="1" x="4003"/>
        <item m="1" x="4050"/>
        <item m="1" x="4096"/>
        <item m="1" x="4144"/>
        <item m="1" x="4191"/>
        <item m="1" x="4238"/>
        <item m="1" x="4284"/>
        <item m="1" x="4331"/>
        <item m="1" x="4377"/>
        <item m="1" x="4424"/>
        <item m="1" x="4470"/>
        <item m="1" x="4517"/>
        <item m="1" x="4563"/>
        <item m="1" x="4610"/>
        <item m="1" x="4656"/>
        <item m="1" x="4703"/>
        <item m="1" x="4749"/>
        <item m="1" x="4796"/>
        <item m="1" x="4842"/>
        <item m="1" x="4889"/>
        <item m="1" x="4935"/>
        <item m="1" x="4982"/>
        <item m="1" x="3028"/>
        <item m="1" x="3075"/>
        <item m="1" x="3121"/>
        <item m="1" x="3168"/>
        <item m="1" x="3214"/>
        <item m="1" x="3261"/>
        <item m="1" x="3307"/>
        <item m="1" x="3354"/>
        <item m="1" x="3400"/>
        <item m="1" x="3447"/>
        <item m="1" x="3493"/>
        <item m="1" x="3540"/>
        <item m="1" x="3586"/>
        <item m="1" x="3633"/>
        <item m="1" x="3679"/>
        <item m="1" x="3726"/>
        <item m="1" x="3772"/>
        <item m="1" x="3819"/>
        <item m="1" x="3865"/>
        <item m="1" x="3912"/>
        <item m="1" x="3958"/>
        <item m="1" x="4005"/>
        <item m="1" x="4051"/>
        <item m="1" x="4098"/>
        <item m="1" x="4145"/>
        <item m="1" x="4193"/>
        <item m="1" x="4239"/>
        <item m="1" x="4286"/>
        <item m="1" x="4332"/>
        <item m="1" x="4379"/>
        <item m="1" x="4425"/>
        <item m="1" x="4472"/>
        <item m="1" x="4518"/>
        <item m="1" x="4565"/>
        <item m="1" x="4611"/>
        <item m="1" x="4658"/>
        <item m="1" x="4704"/>
        <item m="1" x="4751"/>
        <item m="1" x="4797"/>
        <item m="1" x="4844"/>
        <item m="1" x="4890"/>
        <item m="1" x="4937"/>
        <item m="1" x="4983"/>
        <item m="1" x="3030"/>
        <item m="1" x="3076"/>
        <item m="1" x="3123"/>
        <item m="1" x="3169"/>
        <item m="1" x="3216"/>
        <item m="1" x="3262"/>
        <item m="1" x="3309"/>
        <item m="1" x="3355"/>
        <item m="1" x="3402"/>
        <item m="1" x="3448"/>
        <item m="1" x="3495"/>
        <item m="1" x="3541"/>
        <item m="1" x="3588"/>
        <item m="1" x="3634"/>
        <item m="1" x="3681"/>
        <item m="1" x="3727"/>
        <item m="1" x="3774"/>
        <item m="1" x="3820"/>
        <item m="1" x="3867"/>
        <item m="1" x="3913"/>
        <item m="1" x="3960"/>
        <item m="1" x="4006"/>
        <item m="1" x="4053"/>
        <item m="1" x="4099"/>
        <item m="1" x="4147"/>
        <item m="1" x="4194"/>
        <item m="1" x="4241"/>
        <item m="1" x="4287"/>
        <item m="1" x="4334"/>
        <item m="1" x="4380"/>
        <item m="1" x="4427"/>
        <item m="1" x="4473"/>
        <item m="1" x="4520"/>
        <item m="1" x="4566"/>
        <item m="1" x="4613"/>
        <item m="1" x="4659"/>
        <item m="1" x="4706"/>
        <item m="1" x="4752"/>
        <item m="1" x="4799"/>
        <item m="1" x="4845"/>
        <item m="1" x="4892"/>
        <item m="1" x="4938"/>
        <item m="1" x="4985"/>
        <item m="1" x="3031"/>
        <item m="1" x="3078"/>
        <item m="1" x="3124"/>
        <item m="1" x="3171"/>
        <item m="1" x="3217"/>
        <item m="1" x="3264"/>
        <item m="1" x="3310"/>
        <item m="1" x="3357"/>
        <item m="1" x="3403"/>
        <item m="1" x="3450"/>
        <item m="1" x="3496"/>
        <item m="1" x="3543"/>
        <item m="1" x="3589"/>
        <item m="1" x="3636"/>
        <item m="1" x="3682"/>
        <item m="1" x="3729"/>
        <item m="1" x="3775"/>
        <item m="1" x="3822"/>
        <item m="1" x="3868"/>
        <item m="1" x="3915"/>
        <item m="1" x="3961"/>
        <item m="1" x="4008"/>
        <item m="1" x="4054"/>
        <item m="1" x="4101"/>
        <item m="1" x="4148"/>
        <item m="1" x="4196"/>
        <item m="1" x="4242"/>
        <item m="1" x="4289"/>
        <item m="1" x="4335"/>
        <item m="1" x="4382"/>
        <item m="1" x="4428"/>
        <item m="1" x="4475"/>
        <item m="1" x="4521"/>
        <item m="1" x="4568"/>
        <item m="1" x="4614"/>
        <item m="1" x="4661"/>
        <item m="1" x="4707"/>
        <item m="1" x="4754"/>
        <item m="1" x="4800"/>
        <item m="1" x="4847"/>
        <item m="1" x="4893"/>
        <item m="1" x="4940"/>
        <item m="1" x="4986"/>
        <item m="1" x="3033"/>
        <item m="1" x="3079"/>
        <item m="1" x="3126"/>
        <item m="1" x="3172"/>
        <item m="1" x="3219"/>
        <item m="1" x="3265"/>
        <item m="1" x="3312"/>
        <item m="1" x="3358"/>
        <item m="1" x="3405"/>
        <item m="1" x="3451"/>
        <item m="1" x="3498"/>
        <item m="1" x="3544"/>
        <item m="1" x="3591"/>
        <item m="1" x="3637"/>
        <item m="1" x="3684"/>
        <item m="1" x="3730"/>
        <item m="1" x="3777"/>
        <item m="1" x="3823"/>
        <item m="1" x="3870"/>
        <item m="1" x="3916"/>
        <item m="1" x="3963"/>
        <item m="1" x="4009"/>
        <item m="1" x="4056"/>
        <item m="1" x="4102"/>
        <item m="1" x="4150"/>
        <item m="1" x="4197"/>
        <item m="1" x="4244"/>
        <item m="1" x="4290"/>
        <item m="1" x="4337"/>
        <item m="1" x="4383"/>
        <item m="1" x="4430"/>
        <item m="1" x="4476"/>
        <item m="1" x="4523"/>
        <item m="1" x="4569"/>
        <item m="1" x="4616"/>
        <item m="1" x="4662"/>
        <item m="1" x="4709"/>
        <item m="1" x="4755"/>
        <item m="1" x="4802"/>
        <item m="1" x="4848"/>
        <item m="1" x="4895"/>
        <item m="1" x="4941"/>
        <item m="1" x="4988"/>
        <item m="1" x="3034"/>
        <item m="1" x="3081"/>
        <item m="1" x="3127"/>
        <item m="1" x="3174"/>
        <item m="1" x="3220"/>
        <item m="1" x="3267"/>
        <item m="1" x="3313"/>
        <item m="1" x="3360"/>
        <item m="1" x="3406"/>
        <item m="1" x="3453"/>
        <item m="1" x="3499"/>
        <item m="1" x="3546"/>
        <item m="1" x="3592"/>
        <item m="1" x="3639"/>
        <item m="1" x="3685"/>
        <item m="1" x="3732"/>
        <item m="1" x="3778"/>
        <item m="1" x="3825"/>
        <item m="1" x="3871"/>
        <item m="1" x="3918"/>
        <item m="1" x="3964"/>
        <item m="1" x="4011"/>
        <item m="1" x="4057"/>
        <item m="1" x="4104"/>
        <item m="1" x="4151"/>
        <item m="1" x="4199"/>
        <item m="1" x="4245"/>
        <item m="1" x="4292"/>
        <item m="1" x="4338"/>
        <item m="1" x="4385"/>
        <item m="1" x="4431"/>
        <item m="1" x="4478"/>
        <item m="1" x="4524"/>
        <item m="1" x="4571"/>
        <item m="1" x="4617"/>
        <item m="1" x="4664"/>
        <item m="1" x="4710"/>
        <item m="1" x="4757"/>
        <item m="1" x="4803"/>
        <item m="1" x="4850"/>
        <item m="1" x="4896"/>
        <item m="1" x="4943"/>
        <item m="1" x="4989"/>
        <item m="1" x="3036"/>
        <item m="1" x="3082"/>
        <item m="1" x="3129"/>
        <item m="1" x="3175"/>
        <item m="1" x="3222"/>
        <item m="1" x="3268"/>
        <item m="1" x="3315"/>
        <item m="1" x="3361"/>
        <item m="1" x="3408"/>
        <item m="1" x="3454"/>
        <item m="1" x="3501"/>
        <item m="1" x="3547"/>
        <item m="1" x="3594"/>
        <item m="1" x="3640"/>
        <item m="1" x="3687"/>
        <item m="1" x="3733"/>
        <item m="1" x="3780"/>
        <item m="1" x="3826"/>
        <item m="1" x="3873"/>
        <item m="1" x="3919"/>
        <item m="1" x="3966"/>
        <item m="1" x="4012"/>
        <item m="1" x="4059"/>
        <item m="1" x="4105"/>
        <item m="1" x="4153"/>
        <item m="1" x="4200"/>
        <item m="1" x="4247"/>
        <item m="1" x="4293"/>
        <item m="1" x="4340"/>
        <item m="1" x="4386"/>
        <item m="1" x="4433"/>
        <item m="1" x="4479"/>
        <item m="1" x="4526"/>
        <item m="1" x="4572"/>
        <item m="1" x="4619"/>
        <item m="1" x="4665"/>
        <item m="1" x="4712"/>
        <item m="1" x="4758"/>
        <item m="1" x="4805"/>
        <item m="1" x="4851"/>
        <item m="1" x="4898"/>
        <item m="1" x="4944"/>
        <item m="1" x="4991"/>
        <item m="1" x="3037"/>
        <item m="1" x="3084"/>
        <item m="1" x="3130"/>
        <item m="1" x="3177"/>
        <item m="1" x="3223"/>
        <item m="1" x="3270"/>
        <item m="1" x="3316"/>
        <item m="1" x="3363"/>
        <item m="1" x="3409"/>
        <item m="1" x="3456"/>
        <item m="1" x="3502"/>
        <item m="1" x="3549"/>
        <item m="1" x="3595"/>
        <item m="1" x="3642"/>
        <item m="1" x="3688"/>
        <item m="1" x="3735"/>
        <item m="1" x="3781"/>
        <item m="1" x="3828"/>
        <item m="1" x="3874"/>
        <item m="1" x="3921"/>
        <item m="1" x="3967"/>
        <item m="1" x="4014"/>
        <item m="1" x="4060"/>
        <item m="1" x="4107"/>
        <item m="1" x="4154"/>
        <item m="1" x="4202"/>
        <item m="1" x="4248"/>
        <item m="1" x="4295"/>
        <item m="1" x="4341"/>
        <item m="1" x="4388"/>
        <item m="1" x="4434"/>
        <item m="1" x="4481"/>
        <item m="1" x="4527"/>
        <item m="1" x="4574"/>
        <item m="1" x="4620"/>
        <item m="1" x="4667"/>
        <item m="1" x="4713"/>
        <item m="1" x="4760"/>
        <item m="1" x="4806"/>
        <item m="1" x="4853"/>
        <item m="1" x="4899"/>
        <item m="1" x="4946"/>
        <item m="1" x="4992"/>
        <item m="1" x="3039"/>
        <item m="1" x="3085"/>
        <item m="1" x="3132"/>
        <item m="1" x="3178"/>
        <item m="1" x="3225"/>
        <item m="1" x="3271"/>
        <item m="1" x="3318"/>
        <item m="1" x="3364"/>
        <item m="1" x="3411"/>
        <item m="1" x="3457"/>
        <item m="1" x="3504"/>
        <item m="1" x="3550"/>
        <item m="1" x="3597"/>
        <item m="1" x="3643"/>
        <item m="1" x="3690"/>
        <item m="1" x="3736"/>
        <item m="1" x="3783"/>
        <item m="1" x="3829"/>
        <item m="1" x="3876"/>
        <item m="1" x="3922"/>
        <item m="1" x="3969"/>
        <item m="1" x="4015"/>
        <item m="1" x="4062"/>
        <item m="1" x="4108"/>
        <item m="1" x="4156"/>
        <item m="1" x="4203"/>
        <item m="1" x="4250"/>
        <item m="1" x="4296"/>
        <item m="1" x="4343"/>
        <item m="1" x="4389"/>
        <item m="1" x="4436"/>
        <item m="1" x="4482"/>
        <item m="1" x="4529"/>
        <item m="1" x="4575"/>
        <item m="1" x="4622"/>
        <item m="1" x="4668"/>
        <item m="1" x="4715"/>
        <item m="1" x="4761"/>
        <item m="1" x="4808"/>
        <item m="1" x="4854"/>
        <item m="1" x="4901"/>
        <item m="1" x="4947"/>
        <item m="1" x="4994"/>
        <item m="1" x="3040"/>
        <item m="1" x="3087"/>
        <item m="1" x="3133"/>
        <item m="1" x="3180"/>
        <item m="1" x="3226"/>
        <item m="1" x="3273"/>
        <item m="1" x="3319"/>
        <item m="1" x="3366"/>
        <item m="1" x="3412"/>
        <item m="1" x="3459"/>
        <item m="1" x="3505"/>
        <item m="1" x="3552"/>
        <item m="1" x="3598"/>
        <item m="1" x="3645"/>
        <item m="1" x="3691"/>
        <item m="1" x="3738"/>
        <item m="1" x="3784"/>
        <item m="1" x="3831"/>
        <item m="1" x="3877"/>
        <item m="1" x="3924"/>
        <item m="1" x="3970"/>
        <item m="1" x="4017"/>
        <item m="1" x="4063"/>
        <item m="1" x="4110"/>
        <item m="1" x="4157"/>
        <item m="1" x="4205"/>
        <item m="1" x="4251"/>
        <item m="1" x="4298"/>
        <item m="1" x="4344"/>
        <item m="1" x="4391"/>
        <item m="1" x="4437"/>
        <item m="1" x="4484"/>
        <item m="1" x="4530"/>
        <item m="1" x="4577"/>
        <item m="1" x="4623"/>
        <item m="1" x="4670"/>
        <item m="1" x="4716"/>
        <item m="1" x="4763"/>
        <item m="1" x="4809"/>
        <item m="1" x="4856"/>
        <item m="1" x="4902"/>
        <item m="1" x="4949"/>
        <item m="1" x="4995"/>
        <item m="1" x="3042"/>
        <item m="1" x="3088"/>
        <item m="1" x="3135"/>
        <item m="1" x="3181"/>
        <item m="1" x="3228"/>
        <item m="1" x="3274"/>
        <item m="1" x="3321"/>
        <item m="1" x="3367"/>
        <item m="1" x="3414"/>
        <item m="1" x="3460"/>
        <item m="1" x="3507"/>
        <item m="1" x="3553"/>
        <item m="1" x="3600"/>
        <item m="1" x="3646"/>
        <item m="1" x="3693"/>
        <item m="1" x="3739"/>
        <item m="1" x="3786"/>
        <item m="1" x="3832"/>
        <item m="1" x="3879"/>
        <item m="1" x="3925"/>
        <item m="1" x="3972"/>
        <item m="1" x="4018"/>
        <item m="1" x="4065"/>
        <item m="1" x="4111"/>
        <item m="1" x="4159"/>
        <item t="default"/>
      </items>
    </pivotField>
    <pivotField dataField="1" showAll="0" defaultSubtotal="0"/>
    <pivotField dataField="1" showAll="0"/>
    <pivotField showAll="0"/>
  </pivotFields>
  <rowFields count="1">
    <field x="3"/>
  </rowFields>
  <rowItems count="14">
    <i>
      <x/>
    </i>
    <i>
      <x v="1"/>
    </i>
    <i>
      <x v="2"/>
    </i>
    <i>
      <x v="3"/>
    </i>
    <i>
      <x v="4"/>
    </i>
    <i>
      <x v="5"/>
    </i>
    <i>
      <x v="6"/>
    </i>
    <i>
      <x v="7"/>
    </i>
    <i>
      <x v="8"/>
    </i>
    <i>
      <x v="9"/>
    </i>
    <i>
      <x v="10"/>
    </i>
    <i>
      <x v="11"/>
    </i>
    <i>
      <x v="12"/>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2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fieldListSortAscending="1">
  <location ref="A1:D186" firstHeaderRow="0" firstDataRow="1" firstDataCol="1"/>
  <pivotFields count="22">
    <pivotField showAll="0">
      <items count="794">
        <item m="1" x="380"/>
        <item m="1" x="178"/>
        <item x="15"/>
        <item m="1" x="356"/>
        <item m="1" x="692"/>
        <item m="1" x="267"/>
        <item m="1" x="334"/>
        <item m="1" x="721"/>
        <item m="1" x="114"/>
        <item m="1" x="476"/>
        <item m="1" x="562"/>
        <item m="1" x="739"/>
        <item m="1" x="750"/>
        <item m="1" x="766"/>
        <item m="1" x="293"/>
        <item m="1" x="560"/>
        <item m="1" x="223"/>
        <item m="1" x="395"/>
        <item m="1" x="435"/>
        <item m="1" x="290"/>
        <item m="1" x="582"/>
        <item m="1" x="568"/>
        <item m="1" x="745"/>
        <item m="1" x="80"/>
        <item m="1" x="256"/>
        <item m="1" x="392"/>
        <item m="1" x="500"/>
        <item m="1" x="688"/>
        <item m="1" x="761"/>
        <item m="1" x="490"/>
        <item m="1" x="532"/>
        <item m="1" x="28"/>
        <item m="1" x="104"/>
        <item m="1" x="183"/>
        <item m="1" x="564"/>
        <item x="12"/>
        <item m="1" x="265"/>
        <item m="1" x="309"/>
        <item m="1" x="529"/>
        <item m="1" x="452"/>
        <item m="1" x="79"/>
        <item m="1" x="390"/>
        <item m="1" x="262"/>
        <item m="1" x="633"/>
        <item m="1" x="642"/>
        <item m="1" x="286"/>
        <item m="1" x="659"/>
        <item m="1" x="682"/>
        <item m="1" x="237"/>
        <item m="1" x="307"/>
        <item m="1" x="464"/>
        <item m="1" x="511"/>
        <item m="1" x="769"/>
        <item m="1" x="55"/>
        <item m="1" x="778"/>
        <item m="1" x="412"/>
        <item m="1" x="144"/>
        <item m="1" x="167"/>
        <item m="1" x="727"/>
        <item m="1" x="88"/>
        <item m="1" x="235"/>
        <item m="1" x="585"/>
        <item m="1" x="605"/>
        <item m="1" x="72"/>
        <item m="1" x="112"/>
        <item m="1" x="232"/>
        <item m="1" x="326"/>
        <item m="1" x="596"/>
        <item m="1" x="792"/>
        <item m="1" x="48"/>
        <item m="1" x="247"/>
        <item m="1" x="317"/>
        <item m="1" x="368"/>
        <item m="1" x="482"/>
        <item m="1" x="548"/>
        <item m="1" x="165"/>
        <item m="1" x="204"/>
        <item m="1" x="292"/>
        <item m="1" x="195"/>
        <item m="1" x="445"/>
        <item m="1" x="616"/>
        <item m="1" x="764"/>
        <item m="1" x="495"/>
        <item m="1" x="570"/>
        <item m="1" x="273"/>
        <item m="1" x="453"/>
        <item m="1" x="521"/>
        <item m="1" x="152"/>
        <item m="1" x="93"/>
        <item m="1" x="291"/>
        <item m="1" x="316"/>
        <item m="1" x="338"/>
        <item m="1" x="470"/>
        <item m="1" x="569"/>
        <item m="1" x="270"/>
        <item m="1" x="451"/>
        <item m="1" x="639"/>
        <item m="1" x="690"/>
        <item m="1" x="202"/>
        <item m="1" x="628"/>
        <item m="1" x="787"/>
        <item m="1" x="67"/>
        <item m="1" x="201"/>
        <item m="1" x="383"/>
        <item m="1" x="534"/>
        <item m="1" x="722"/>
        <item m="1" x="423"/>
        <item m="1" x="607"/>
        <item m="1" x="45"/>
        <item m="1" x="137"/>
        <item m="1" x="211"/>
        <item m="1" x="243"/>
        <item m="1" x="51"/>
        <item m="1" x="335"/>
        <item m="1" x="279"/>
        <item m="1" x="352"/>
        <item m="1" x="373"/>
        <item m="1" x="306"/>
        <item m="1" x="149"/>
        <item m="1" x="626"/>
        <item m="1" x="638"/>
        <item m="1" x="647"/>
        <item m="1" x="287"/>
        <item m="1" x="457"/>
        <item m="1" x="266"/>
        <item m="1" x="405"/>
        <item m="1" x="479"/>
        <item m="1" x="106"/>
        <item m="1" x="401"/>
        <item m="1" x="491"/>
        <item m="1" x="555"/>
        <item m="1" x="254"/>
        <item m="1" x="772"/>
        <item m="1" x="783"/>
        <item m="1" x="135"/>
        <item m="1" x="514"/>
        <item m="1" x="580"/>
        <item m="1" x="313"/>
        <item m="1" x="646"/>
        <item m="1" x="215"/>
        <item m="1" x="27"/>
        <item m="1" x="328"/>
        <item m="1" x="421"/>
        <item m="1" x="148"/>
        <item m="1" x="543"/>
        <item m="1" x="253"/>
        <item m="1" x="644"/>
        <item m="1" x="89"/>
        <item m="1" x="612"/>
        <item m="1" x="635"/>
        <item m="1" x="661"/>
        <item m="1" x="708"/>
        <item m="1" x="283"/>
        <item m="1" x="382"/>
        <item m="1" x="40"/>
        <item m="1" x="182"/>
        <item m="1" x="264"/>
        <item m="1" x="207"/>
        <item m="1" x="26"/>
        <item m="1" x="419"/>
        <item m="1" x="751"/>
        <item m="1" x="191"/>
        <item m="1" x="330"/>
        <item m="1" x="39"/>
        <item m="1" x="357"/>
        <item m="1" x="78"/>
        <item m="1" x="418"/>
        <item m="1" x="512"/>
        <item m="1" x="339"/>
        <item m="1" x="378"/>
        <item x="3"/>
        <item m="1" x="553"/>
        <item m="1" x="263"/>
        <item m="1" x="643"/>
        <item m="1" x="683"/>
        <item m="1" x="617"/>
        <item m="1" x="438"/>
        <item m="1" x="526"/>
        <item m="1" x="210"/>
        <item m="1" x="484"/>
        <item m="1" x="609"/>
        <item x="18"/>
        <item m="1" x="138"/>
        <item m="1" x="38"/>
        <item m="1" x="341"/>
        <item m="1" x="132"/>
        <item m="1" x="622"/>
        <item m="1" x="108"/>
        <item m="1" x="680"/>
        <item x="0"/>
        <item m="1" x="389"/>
        <item m="1" x="440"/>
        <item m="1" x="475"/>
        <item m="1" x="102"/>
        <item m="1" x="519"/>
        <item m="1" x="550"/>
        <item m="1" x="99"/>
        <item m="1" x="608"/>
        <item m="1" x="620"/>
        <item m="1" x="572"/>
        <item m="1" x="670"/>
        <item m="1" x="679"/>
        <item m="1" x="779"/>
        <item m="1" x="37"/>
        <item m="1" x="439"/>
        <item m="1" x="725"/>
        <item m="1" x="509"/>
        <item m="1" x="82"/>
        <item m="1" x="190"/>
        <item m="1" x="656"/>
        <item m="1" x="296"/>
        <item m="1" x="320"/>
        <item m="1" x="695"/>
        <item m="1" x="327"/>
        <item m="1" x="245"/>
        <item m="1" x="343"/>
        <item m="1" x="387"/>
        <item m="1" x="768"/>
        <item x="13"/>
        <item m="1" x="485"/>
        <item m="1" x="518"/>
        <item m="1" x="208"/>
        <item m="1" x="677"/>
        <item m="1" x="52"/>
        <item m="1" x="128"/>
        <item m="1" x="62"/>
        <item m="1" x="233"/>
        <item m="1" x="606"/>
        <item m="1" x="153"/>
        <item m="1" x="249"/>
        <item m="1" x="667"/>
        <item m="1" x="557"/>
        <item m="1" x="603"/>
        <item m="1" x="653"/>
        <item m="1" x="702"/>
        <item m="1" x="752"/>
        <item m="1" x="199"/>
        <item m="1" x="50"/>
        <item m="1" x="627"/>
        <item m="1" x="73"/>
        <item m="1" x="301"/>
        <item m="1" x="323"/>
        <item m="1" x="362"/>
        <item m="1" x="177"/>
        <item m="1" x="374"/>
        <item m="1" x="743"/>
        <item m="1" x="762"/>
        <item m="1" x="206"/>
        <item m="1" x="719"/>
        <item m="1" x="406"/>
        <item x="21"/>
        <item m="1" x="44"/>
        <item m="1" x="618"/>
        <item m="1" x="260"/>
        <item m="1" x="246"/>
        <item m="1" x="294"/>
        <item m="1" x="480"/>
        <item m="1" x="119"/>
        <item m="1" x="594"/>
        <item m="1" x="358"/>
        <item m="1" x="533"/>
        <item m="1" x="171"/>
        <item m="1" x="545"/>
        <item m="1" x="386"/>
        <item m="1" x="255"/>
        <item m="1" x="447"/>
        <item m="1" x="461"/>
        <item m="1" x="648"/>
        <item m="1" x="85"/>
        <item m="1" x="288"/>
        <item m="1" x="310"/>
        <item m="1" x="696"/>
        <item m="1" x="143"/>
        <item m="1" x="711"/>
        <item m="1" x="524"/>
        <item m="1" x="372"/>
        <item m="1" x="515"/>
        <item m="1" x="575"/>
        <item m="1" x="672"/>
        <item m="1" x="248"/>
        <item x="4"/>
        <item m="1" x="58"/>
        <item m="1" x="95"/>
        <item m="1" x="714"/>
        <item m="1" x="170"/>
        <item m="1" x="736"/>
        <item m="1" x="185"/>
        <item m="1" x="556"/>
        <item m="1" x="531"/>
        <item m="1" x="776"/>
        <item m="1" x="554"/>
        <item m="1" x="636"/>
        <item m="1" x="71"/>
        <item m="1" x="437"/>
        <item m="1" x="472"/>
        <item m="1" x="516"/>
        <item m="1" x="350"/>
        <item m="1" x="541"/>
        <item m="1" x="175"/>
        <item m="1" x="584"/>
        <item x="14"/>
        <item m="1" x="784"/>
        <item m="1" x="595"/>
        <item m="1" x="43"/>
        <item m="1" x="275"/>
        <item m="1" x="230"/>
        <item m="1" x="281"/>
        <item m="1" x="654"/>
        <item m="1" x="305"/>
        <item m="1" x="675"/>
        <item m="1" x="379"/>
        <item m="1" x="197"/>
        <item m="1" x="340"/>
        <item m="1" x="384"/>
        <item x="20"/>
        <item m="1" x="581"/>
        <item m="1" x="791"/>
        <item m="1" x="227"/>
        <item m="1" x="625"/>
        <item m="1" x="277"/>
        <item m="1" x="663"/>
        <item m="1" x="300"/>
        <item m="1" x="483"/>
        <item m="1" x="686"/>
        <item m="1" x="155"/>
        <item m="1" x="361"/>
        <item m="1" x="549"/>
        <item m="1" x="187"/>
        <item m="1" x="760"/>
        <item m="1" x="573"/>
        <item m="1" x="29"/>
        <item m="1" x="771"/>
        <item m="1" x="57"/>
        <item m="1" x="404"/>
        <item m="1" x="668"/>
        <item m="1" x="105"/>
        <item m="1" x="116"/>
        <item m="1" x="497"/>
        <item m="1" x="325"/>
        <item m="1" x="354"/>
        <item m="1" x="629"/>
        <item m="1" x="184"/>
        <item m="1" x="159"/>
        <item m="1" x="775"/>
        <item m="1" x="219"/>
        <item m="1" x="610"/>
        <item m="1" x="662"/>
        <item m="1" x="47"/>
        <item m="1" x="100"/>
        <item x="22"/>
        <item m="1" x="586"/>
        <item m="1" x="685"/>
        <item m="1" x="349"/>
        <item m="1" x="720"/>
        <item m="1" x="539"/>
        <item m="1" x="125"/>
        <item m="1" x="742"/>
        <item m="1" x="139"/>
        <item m="1" x="782"/>
        <item m="1" x="259"/>
        <item m="1" x="640"/>
        <item m="1" x="115"/>
        <item m="1" x="134"/>
        <item m="1" x="465"/>
        <item m="1" x="652"/>
        <item m="1" x="522"/>
        <item m="1" x="726"/>
        <item m="1" x="747"/>
        <item m="1" x="565"/>
        <item m="1" x="765"/>
        <item m="1" x="773"/>
        <item m="1" x="220"/>
        <item m="1" x="790"/>
        <item m="1" x="34"/>
        <item m="1" x="63"/>
        <item m="1" x="69"/>
        <item m="1" x="459"/>
        <item m="1" x="645"/>
        <item m="1" x="239"/>
        <item m="1" x="709"/>
        <item m="1" x="348"/>
        <item m="1" x="186"/>
        <item m="1" x="214"/>
        <item m="1" x="41"/>
        <item m="1" x="56"/>
        <item m="1" x="455"/>
        <item m="1" x="280"/>
        <item m="1" x="468"/>
        <item m="1" x="429"/>
        <item m="1" x="478"/>
        <item m="1" x="147"/>
        <item m="1" x="488"/>
        <item m="1" x="724"/>
        <item m="1" x="242"/>
        <item m="1" x="158"/>
        <item m="1" x="446"/>
        <item m="1" x="734"/>
        <item m="1" x="129"/>
        <item m="1" x="252"/>
        <item m="1" x="473"/>
        <item m="1" x="684"/>
        <item m="1" x="506"/>
        <item m="1" x="332"/>
        <item m="1" x="205"/>
        <item m="1" x="164"/>
        <item m="1" x="538"/>
        <item m="1" x="571"/>
        <item m="1" x="213"/>
        <item x="17"/>
        <item m="1" x="694"/>
        <item m="1" x="420"/>
        <item m="1" x="631"/>
        <item m="1" x="274"/>
        <item m="1" x="454"/>
        <item m="1" x="133"/>
        <item x="7"/>
        <item m="1" x="487"/>
        <item m="1" x="169"/>
        <item m="1" x="194"/>
        <item m="1" x="396"/>
        <item m="1" x="579"/>
        <item m="1" x="723"/>
        <item m="1" x="417"/>
        <item m="1" x="241"/>
        <item m="1" x="634"/>
        <item m="1" x="458"/>
        <item m="1" x="598"/>
        <item m="1" x="660"/>
        <item m="1" x="299"/>
        <item m="1" x="110"/>
        <item m="1" x="322"/>
        <item m="1" x="505"/>
        <item m="1" x="285"/>
        <item m="1" x="97"/>
        <item m="1" x="154"/>
        <item m="1" x="494"/>
        <item m="1" x="537"/>
        <item m="1" x="122"/>
        <item m="1" x="758"/>
        <item m="1" x="203"/>
        <item m="1" x="583"/>
        <item m="1" x="467"/>
        <item m="1" x="666"/>
        <item m="1" x="103"/>
        <item m="1" x="602"/>
        <item m="1" x="651"/>
        <item m="1" x="131"/>
        <item m="1" x="181"/>
        <item m="1" x="192"/>
        <item m="1" x="577"/>
        <item m="1" x="70"/>
        <item m="1" x="127"/>
        <item m="1" x="601"/>
        <item m="1" x="504"/>
        <item m="1" x="140"/>
        <item m="1" x="346"/>
        <item m="1" x="481"/>
        <item m="1" x="718"/>
        <item m="1" x="107"/>
        <item m="1" x="163"/>
        <item m="1" x="729"/>
        <item m="1" x="547"/>
        <item m="1" x="229"/>
        <item m="1" x="430"/>
        <item m="1" x="64"/>
        <item m="1" x="271"/>
        <item m="1" x="94"/>
        <item m="1" x="513"/>
        <item m="1" x="700"/>
        <item m="1" x="528"/>
        <item m="1" x="312"/>
        <item m="1" x="364"/>
        <item m="1" x="130"/>
        <item m="1" x="226"/>
        <item m="1" x="376"/>
        <item m="1" x="416"/>
        <item m="1" x="600"/>
        <item m="1" x="240"/>
        <item m="1" x="250"/>
        <item m="1" x="308"/>
        <item x="10"/>
        <item m="1" x="123"/>
        <item m="1" x="345"/>
        <item m="1" x="717"/>
        <item m="1" x="120"/>
        <item m="1" x="740"/>
        <item m="1" x="559"/>
        <item m="1" x="212"/>
        <item m="1" x="402"/>
        <item m="1" x="415"/>
        <item m="1" x="630"/>
        <item m="1" x="737"/>
        <item m="1" x="53"/>
        <item m="1" x="777"/>
        <item m="1" x="527"/>
        <item m="1" x="552"/>
        <item m="1" x="83"/>
        <item m="1" x="563"/>
        <item m="1" x="394"/>
        <item m="1" x="788"/>
        <item m="1" x="225"/>
        <item m="1" x="599"/>
        <item m="1" x="746"/>
        <item m="1" x="623"/>
        <item m="1" x="503"/>
        <item m="1" x="716"/>
        <item m="1" x="536"/>
        <item m="1" x="370"/>
        <item m="1" x="117"/>
        <item m="1" x="25"/>
        <item m="1" x="228"/>
        <item m="1" x="753"/>
        <item m="1" x="200"/>
        <item m="1" x="426"/>
        <item m="1" x="257"/>
        <item m="1" x="24"/>
        <item m="1" x="76"/>
        <item m="1" x="530"/>
        <item m="1" x="314"/>
        <item m="1" x="650"/>
        <item m="1" x="699"/>
        <item m="1" x="713"/>
        <item m="1" x="542"/>
        <item m="1" x="732"/>
        <item m="1" x="166"/>
        <item m="1" x="218"/>
        <item m="1" x="443"/>
        <item m="1" x="658"/>
        <item m="1" x="574"/>
        <item m="1" x="671"/>
        <item x="8"/>
        <item m="1" x="681"/>
        <item m="1" x="502"/>
        <item m="1" x="329"/>
        <item m="1" x="756"/>
        <item m="1" x="715"/>
        <item m="1" x="413"/>
        <item m="1" x="449"/>
        <item m="1" x="75"/>
        <item m="1" x="463"/>
        <item m="1" x="304"/>
        <item m="1" x="486"/>
        <item m="1" x="113"/>
        <item m="1" x="689"/>
        <item m="1" x="510"/>
        <item m="1" x="336"/>
        <item m="1" x="179"/>
        <item m="1" x="508"/>
        <item m="1" x="156"/>
        <item m="1" x="209"/>
        <item m="1" x="32"/>
        <item m="1" x="621"/>
        <item m="1" x="60"/>
        <item m="1" x="442"/>
        <item m="1" x="68"/>
        <item m="1" x="284"/>
        <item m="1" x="344"/>
        <item m="1" x="360"/>
        <item m="1" x="388"/>
        <item m="1" x="489"/>
        <item m="1" x="54"/>
        <item m="1" x="448"/>
        <item m="1" x="748"/>
        <item m="1" x="303"/>
        <item m="1" x="698"/>
        <item m="1" x="525"/>
        <item m="1" x="311"/>
        <item m="1" x="351"/>
        <item m="1" x="216"/>
        <item m="1" x="176"/>
        <item m="1" x="261"/>
        <item m="1" x="121"/>
        <item m="1" x="641"/>
        <item m="1" x="705"/>
        <item m="1" x="150"/>
        <item m="1" x="173"/>
        <item m="1" x="369"/>
        <item m="1" x="755"/>
        <item x="5"/>
        <item m="1" x="591"/>
        <item m="1" x="701"/>
        <item m="1" x="36"/>
        <item m="1" x="90"/>
        <item m="1" x="49"/>
        <item m="1" x="712"/>
        <item m="1" x="189"/>
        <item m="1" x="561"/>
        <item m="1" x="393"/>
        <item m="1" x="407"/>
        <item m="1" x="424"/>
        <item m="1" x="59"/>
        <item x="11"/>
        <item m="1" x="96"/>
        <item m="1" x="282"/>
        <item m="1" x="359"/>
        <item m="1" x="546"/>
        <item m="1" x="754"/>
        <item m="1" x="767"/>
        <item m="1" x="400"/>
        <item m="1" x="590"/>
        <item m="1" x="244"/>
        <item m="1" x="614"/>
        <item x="23"/>
        <item m="1" x="613"/>
        <item m="1" x="101"/>
        <item m="1" x="157"/>
        <item m="1" x="731"/>
        <item m="1" x="188"/>
        <item m="1" x="786"/>
        <item x="1"/>
        <item m="1" x="31"/>
        <item m="1" x="234"/>
        <item m="1" x="619"/>
        <item m="1" x="81"/>
        <item m="1" x="431"/>
        <item m="1" x="342"/>
        <item m="1" x="523"/>
        <item m="1" x="161"/>
        <item m="1" x="738"/>
        <item m="1" x="399"/>
        <item m="1" x="353"/>
        <item m="1" x="146"/>
        <item m="1" x="168"/>
        <item m="1" x="649"/>
        <item m="1" x="87"/>
        <item m="1" x="193"/>
        <item m="1" x="637"/>
        <item m="1" x="665"/>
        <item m="1" x="302"/>
        <item m="1" x="377"/>
        <item m="1" x="578"/>
        <item m="1" x="588"/>
        <item m="1" x="324"/>
        <item m="1" x="697"/>
        <item m="1" x="425"/>
        <item m="1" x="517"/>
        <item m="1" x="611"/>
        <item m="1" x="789"/>
        <item m="1" x="251"/>
        <item m="1" x="436"/>
        <item m="1" x="444"/>
        <item x="19"/>
        <item x="2"/>
        <item m="1" x="375"/>
        <item m="1" x="624"/>
        <item m="1" x="744"/>
        <item m="1" x="471"/>
        <item m="1" x="321"/>
        <item m="1" x="597"/>
        <item m="1" x="141"/>
        <item m="1" x="331"/>
        <item m="1" x="347"/>
        <item m="1" x="757"/>
        <item m="1" x="295"/>
        <item m="1" x="381"/>
        <item m="1" x="403"/>
        <item m="1" x="493"/>
        <item m="1" x="780"/>
        <item m="1" x="222"/>
        <item m="1" x="501"/>
        <item m="1" x="693"/>
        <item m="1" x="704"/>
        <item m="1" x="160"/>
        <item m="1" x="258"/>
        <item m="1" x="65"/>
        <item m="1" x="172"/>
        <item m="1" x="272"/>
        <item m="1" x="427"/>
        <item m="1" x="466"/>
        <item m="1" x="366"/>
        <item m="1" x="385"/>
        <item m="1" x="411"/>
        <item m="1" x="520"/>
        <item m="1" x="589"/>
        <item m="1" x="365"/>
        <item m="1" x="278"/>
        <item m="1" x="462"/>
        <item m="1" x="86"/>
        <item m="1" x="474"/>
        <item m="1" x="763"/>
        <item m="1" x="409"/>
        <item x="9"/>
        <item m="1" x="434"/>
        <item m="1" x="730"/>
        <item m="1" x="298"/>
        <item m="1" x="391"/>
        <item m="1" x="124"/>
        <item m="1" x="604"/>
        <item m="1" x="151"/>
        <item m="1" x="432"/>
        <item m="1" x="162"/>
        <item m="1" x="678"/>
        <item m="1" x="706"/>
        <item m="1" x="728"/>
        <item m="1" x="759"/>
        <item m="1" x="781"/>
        <item m="1" x="42"/>
        <item m="1" x="66"/>
        <item m="1" x="174"/>
        <item m="1" x="741"/>
        <item m="1" x="535"/>
        <item m="1" x="669"/>
        <item m="1" x="770"/>
        <item m="1" x="676"/>
        <item m="1" x="118"/>
        <item m="1" x="221"/>
        <item m="1" x="319"/>
        <item m="1" x="499"/>
        <item m="1" x="77"/>
        <item m="1" x="355"/>
        <item m="1" x="450"/>
        <item m="1" x="477"/>
        <item m="1" x="398"/>
        <item m="1" x="315"/>
        <item m="1" x="410"/>
        <item m="1" x="496"/>
        <item m="1" x="691"/>
        <item m="1" x="363"/>
        <item m="1" x="84"/>
        <item m="1" x="33"/>
        <item m="1" x="111"/>
        <item m="1" x="142"/>
        <item m="1" x="238"/>
        <item m="1" x="710"/>
        <item m="1" x="433"/>
        <item m="1" x="507"/>
        <item x="6"/>
        <item m="1" x="61"/>
        <item m="1" x="540"/>
        <item x="16"/>
        <item m="1" x="109"/>
        <item m="1" x="785"/>
        <item m="1" x="231"/>
        <item m="1" x="422"/>
        <item m="1" x="441"/>
        <item m="1" x="469"/>
        <item m="1" x="655"/>
        <item m="1" x="492"/>
        <item m="1" x="318"/>
        <item m="1" x="703"/>
        <item m="1" x="428"/>
        <item m="1" x="92"/>
        <item m="1" x="198"/>
        <item m="1" x="567"/>
        <item m="1" x="74"/>
        <item m="1" x="673"/>
        <item m="1" x="774"/>
        <item m="1" x="35"/>
        <item m="1" x="145"/>
        <item m="1" x="337"/>
        <item m="1" x="733"/>
        <item m="1" x="180"/>
        <item m="1" x="460"/>
        <item m="1" x="551"/>
        <item m="1" x="664"/>
        <item m="1" x="576"/>
        <item m="1" x="408"/>
        <item m="1" x="587"/>
        <item m="1" x="687"/>
        <item m="1" x="98"/>
        <item m="1" x="126"/>
        <item m="1" x="224"/>
        <item m="1" x="217"/>
        <item m="1" x="236"/>
        <item m="1" x="46"/>
        <item m="1" x="333"/>
        <item m="1" x="371"/>
        <item m="1" x="456"/>
        <item m="1" x="276"/>
        <item m="1" x="297"/>
        <item m="1" x="657"/>
        <item m="1" x="30"/>
        <item m="1" x="707"/>
        <item m="1" x="632"/>
        <item m="1" x="558"/>
        <item m="1" x="674"/>
        <item m="1" x="414"/>
        <item m="1" x="498"/>
        <item m="1" x="593"/>
        <item m="1" x="136"/>
        <item m="1" x="544"/>
        <item m="1" x="592"/>
        <item m="1" x="615"/>
        <item m="1" x="269"/>
        <item m="1" x="367"/>
        <item m="1" x="749"/>
        <item m="1" x="91"/>
        <item m="1" x="196"/>
        <item m="1" x="268"/>
        <item m="1" x="289"/>
        <item m="1" x="566"/>
        <item m="1" x="735"/>
        <item m="1" x="397"/>
        <item t="default"/>
      </items>
    </pivotField>
    <pivotField showAll="0">
      <items count="669">
        <item m="1" x="199"/>
        <item m="1" x="145"/>
        <item m="1" x="316"/>
        <item m="1" x="59"/>
        <item m="1" x="397"/>
        <item m="1" x="623"/>
        <item m="1" x="124"/>
        <item m="1" x="651"/>
        <item m="1" x="317"/>
        <item m="1" x="121"/>
        <item m="1" x="94"/>
        <item m="1" x="264"/>
        <item m="1" x="294"/>
        <item m="1" x="381"/>
        <item m="1" x="528"/>
        <item m="1" x="31"/>
        <item m="1" x="227"/>
        <item m="1" x="585"/>
        <item m="1" x="148"/>
        <item m="1" x="476"/>
        <item m="1" x="592"/>
        <item m="1" x="130"/>
        <item m="1" x="284"/>
        <item m="1" x="271"/>
        <item m="1" x="68"/>
        <item m="1" x="114"/>
        <item m="1" x="213"/>
        <item m="1" x="282"/>
        <item m="1" x="493"/>
        <item m="1" x="56"/>
        <item m="1" x="319"/>
        <item m="1" x="560"/>
        <item m="1" x="208"/>
        <item m="1" x="325"/>
        <item m="1" x="407"/>
        <item m="1" x="425"/>
        <item m="1" x="490"/>
        <item m="1" x="649"/>
        <item m="1" x="99"/>
        <item m="1" x="299"/>
        <item m="1" x="442"/>
        <item m="1" x="639"/>
        <item m="1" x="218"/>
        <item m="1" x="547"/>
        <item m="1" x="163"/>
        <item m="1" x="184"/>
        <item x="6"/>
        <item m="1" x="348"/>
        <item m="1" x="604"/>
        <item m="1" x="638"/>
        <item m="1" x="63"/>
        <item m="1" x="206"/>
        <item m="1" x="241"/>
        <item m="1" x="373"/>
        <item m="1" x="505"/>
        <item m="1" x="559"/>
        <item m="1" x="429"/>
        <item m="1" x="454"/>
        <item m="1" x="486"/>
        <item m="1" x="518"/>
        <item m="1" x="529"/>
        <item m="1" x="558"/>
        <item m="1" x="601"/>
        <item m="1" x="616"/>
        <item m="1" x="73"/>
        <item m="1" x="84"/>
        <item m="1" x="170"/>
        <item m="1" x="310"/>
        <item m="1" x="355"/>
        <item m="1" x="60"/>
        <item m="1" x="105"/>
        <item m="1" x="204"/>
        <item m="1" x="216"/>
        <item m="1" x="544"/>
        <item m="1" x="624"/>
        <item m="1" x="71"/>
        <item m="1" x="161"/>
        <item m="1" x="203"/>
        <item x="13"/>
        <item m="1" x="477"/>
        <item m="1" x="215"/>
        <item m="1" x="292"/>
        <item m="1" x="159"/>
        <item m="1" x="499"/>
        <item m="1" x="543"/>
        <item m="1" x="553"/>
        <item m="1" x="247"/>
        <item m="1" x="574"/>
        <item m="1" x="614"/>
        <item m="1" x="361"/>
        <item x="1"/>
        <item m="1" x="27"/>
        <item m="1" x="47"/>
        <item m="1" x="402"/>
        <item m="1" x="237"/>
        <item m="1" x="39"/>
        <item m="1" x="451"/>
        <item m="1" x="536"/>
        <item m="1" x="245"/>
        <item x="22"/>
        <item m="1" x="307"/>
        <item m="1" x="342"/>
        <item m="1" x="393"/>
        <item m="1" x="418"/>
        <item m="1" x="91"/>
        <item m="1" x="511"/>
        <item m="1" x="514"/>
        <item m="1" x="562"/>
        <item m="1" x="573"/>
        <item m="1" x="572"/>
        <item x="4"/>
        <item m="1" x="611"/>
        <item m="1" x="322"/>
        <item m="1" x="368"/>
        <item m="1" x="57"/>
        <item m="1" x="410"/>
        <item m="1" x="128"/>
        <item m="1" x="582"/>
        <item m="1" x="646"/>
        <item m="1" x="367"/>
        <item m="1" x="66"/>
        <item m="1" x="101"/>
        <item m="1" x="113"/>
        <item m="1" x="447"/>
        <item m="1" x="494"/>
        <item m="1" x="177"/>
        <item m="1" x="212"/>
        <item m="1" x="633"/>
        <item m="1" x="339"/>
        <item m="1" x="523"/>
        <item m="1" x="211"/>
        <item m="1" x="539"/>
        <item m="1" x="550"/>
        <item m="1" x="609"/>
        <item m="1" x="320"/>
        <item m="1" x="630"/>
        <item m="1" x="643"/>
        <item m="1" x="376"/>
        <item m="1" x="136"/>
        <item m="1" x="196"/>
        <item m="1" x="580"/>
        <item m="1" x="598"/>
        <item m="1" x="286"/>
        <item m="1" x="303"/>
        <item m="1" x="318"/>
        <item m="1" x="358"/>
        <item m="1" x="25"/>
        <item m="1" x="388"/>
        <item m="1" x="408"/>
        <item m="1" x="110"/>
        <item m="1" x="123"/>
        <item m="1" x="459"/>
        <item m="1" x="223"/>
        <item m="1" x="549"/>
        <item m="1" x="279"/>
        <item m="1" x="608"/>
        <item m="1" x="302"/>
        <item x="14"/>
        <item m="1" x="444"/>
        <item m="1" x="466"/>
        <item m="1" x="301"/>
        <item m="1" x="629"/>
        <item x="21"/>
        <item m="1" x="87"/>
        <item m="1" x="154"/>
        <item m="1" x="234"/>
        <item m="1" x="256"/>
        <item m="1" x="579"/>
        <item m="1" x="619"/>
        <item m="1" x="351"/>
        <item m="1" x="126"/>
        <item m="1" x="176"/>
        <item m="1" x="243"/>
        <item m="1" x="607"/>
        <item m="1" x="139"/>
        <item m="1" x="337"/>
        <item m="1" x="641"/>
        <item m="1" x="356"/>
        <item m="1" x="516"/>
        <item m="1" x="202"/>
        <item m="1" x="465"/>
        <item m="1" x="481"/>
        <item m="1" x="489"/>
        <item m="1" x="509"/>
        <item m="1" x="194"/>
        <item m="1" x="548"/>
        <item m="1" x="83"/>
        <item m="1" x="255"/>
        <item m="1" x="422"/>
        <item m="1" x="588"/>
        <item m="1" x="438"/>
        <item x="12"/>
        <item m="1" x="300"/>
        <item m="1" x="472"/>
        <item m="1" x="160"/>
        <item m="1" x="500"/>
        <item m="1" x="35"/>
        <item m="1" x="386"/>
        <item m="1" x="54"/>
        <item m="1" x="226"/>
        <item m="1" x="554"/>
        <item m="1" x="248"/>
        <item m="1" x="97"/>
        <item m="1" x="273"/>
        <item m="1" x="432"/>
        <item m="1" x="122"/>
        <item m="1" x="622"/>
        <item m="1" x="152"/>
        <item m="1" x="344"/>
        <item m="1" x="521"/>
        <item m="1" x="50"/>
        <item m="1" x="396"/>
        <item m="1" x="82"/>
        <item m="1" x="421"/>
        <item m="1" x="578"/>
        <item m="1" x="267"/>
        <item m="1" x="596"/>
        <item m="1" x="115"/>
        <item m="1" x="606"/>
        <item m="1" x="470"/>
        <item m="1" x="138"/>
        <item m="1" x="475"/>
        <item x="23"/>
        <item m="1" x="201"/>
        <item m="1" x="225"/>
        <item m="1" x="246"/>
        <item m="1" x="413"/>
        <item m="1" x="424"/>
        <item m="1" x="431"/>
        <item m="1" x="109"/>
        <item m="1" x="323"/>
        <item m="1" x="329"/>
        <item m="1" x="165"/>
        <item m="1" x="507"/>
        <item m="1" x="653"/>
        <item m="1" x="193"/>
        <item m="1" x="41"/>
        <item m="1" x="48"/>
        <item m="1" x="219"/>
        <item m="1" x="242"/>
        <item m="1" x="570"/>
        <item m="1" x="266"/>
        <item m="1" x="132"/>
        <item m="1" x="350"/>
        <item m="1" x="189"/>
        <item m="1" x="384"/>
        <item m="1" x="542"/>
        <item x="15"/>
        <item m="1" x="238"/>
        <item m="1" x="260"/>
        <item m="1" x="96"/>
        <item m="1" x="591"/>
        <item m="1" x="290"/>
        <item m="1" x="480"/>
        <item m="1" x="370"/>
        <item m="1" x="531"/>
        <item m="1" x="58"/>
        <item m="1" x="233"/>
        <item m="1" x="569"/>
        <item m="1" x="92"/>
        <item m="1" x="265"/>
        <item m="1" x="453"/>
        <item m="1" x="298"/>
        <item m="1" x="461"/>
        <item m="1" x="349"/>
        <item m="1" x="169"/>
        <item m="1" x="180"/>
        <item m="1" x="364"/>
        <item m="1" x="526"/>
        <item m="1" x="541"/>
        <item m="1" x="53"/>
        <item m="1" x="405"/>
        <item m="1" x="75"/>
        <item m="1" x="86"/>
        <item m="1" x="583"/>
        <item m="1" x="441"/>
        <item m="1" x="289"/>
        <item m="1" x="135"/>
        <item m="1" x="343"/>
        <item m="1" x="174"/>
        <item m="1" x="378"/>
        <item m="1" x="530"/>
        <item m="1" x="40"/>
        <item m="1" x="546"/>
        <item m="1" x="420"/>
        <item m="1" x="587"/>
        <item m="1" x="452"/>
        <item m="1" x="605"/>
        <item m="1" x="129"/>
        <item m="1" x="658"/>
        <item m="1" x="33"/>
        <item x="7"/>
        <item m="1" x="214"/>
        <item m="1" x="540"/>
        <item m="1" x="404"/>
        <item m="1" x="563"/>
        <item m="1" x="74"/>
        <item m="1" x="272"/>
        <item m="1" x="599"/>
        <item m="1" x="513"/>
        <item m="1" x="665"/>
        <item m="1" x="377"/>
        <item x="11"/>
        <item m="1" x="46"/>
        <item m="1" x="232"/>
        <item m="1" x="419"/>
        <item m="1" x="437"/>
        <item m="1" x="450"/>
        <item m="1" x="618"/>
        <item m="1" x="313"/>
        <item m="1" x="626"/>
        <item m="1" x="474"/>
        <item m="1" x="496"/>
        <item m="1" x="657"/>
        <item m="1" x="179"/>
        <item m="1" x="363"/>
        <item m="1" x="85"/>
        <item m="1" x="95"/>
        <item m="1" x="125"/>
        <item m="1" x="328"/>
        <item m="1" x="151"/>
        <item m="1" x="341"/>
        <item m="1" x="506"/>
        <item m="1" x="664"/>
        <item m="1" x="519"/>
        <item m="1" x="392"/>
        <item m="1" x="231"/>
        <item m="1" x="254"/>
        <item m="1" x="417"/>
        <item m="1" x="90"/>
        <item m="1" x="427"/>
        <item m="1" x="102"/>
        <item m="1" x="285"/>
        <item m="1" x="312"/>
        <item m="1" x="157"/>
        <item m="1" x="178"/>
        <item m="1" x="552"/>
        <item m="1" x="236"/>
        <item m="1" x="259"/>
        <item m="1" x="270"/>
        <item m="1" x="288"/>
        <item x="19"/>
        <item m="1" x="134"/>
        <item m="1" x="634"/>
        <item m="1" x="150"/>
        <item m="1" x="173"/>
        <item m="1" x="369"/>
        <item m="1" x="230"/>
        <item m="1" x="568"/>
        <item m="1" x="577"/>
        <item x="9"/>
        <item m="1" x="449"/>
        <item m="1" x="311"/>
        <item m="1" x="469"/>
        <item m="1" x="625"/>
        <item m="1" x="156"/>
        <item m="1" x="495"/>
        <item m="1" x="168"/>
        <item m="1" x="258"/>
        <item m="1" x="430"/>
        <item m="1" x="283"/>
        <item m="1" x="120"/>
        <item m="1" x="455"/>
        <item m="1" x="610"/>
        <item m="1" x="503"/>
        <item m="1" x="652"/>
        <item m="1" x="172"/>
        <item m="1" x="183"/>
        <item m="1" x="26"/>
        <item m="1" x="192"/>
        <item m="1" x="401"/>
        <item m="1" x="67"/>
        <item m="1" x="239"/>
        <item m="1" x="80"/>
        <item m="1" x="436"/>
        <item m="1" x="595"/>
        <item m="1" x="448"/>
        <item m="1" x="602"/>
        <item m="1" x="460"/>
        <item m="1" x="468"/>
        <item m="1" x="667"/>
        <item m="1" x="525"/>
        <item m="1" x="198"/>
        <item m="1" x="551"/>
        <item m="1" x="423"/>
        <item m="1" x="107"/>
        <item m="1" x="621"/>
        <item m="1" x="340"/>
        <item m="1" x="537"/>
        <item m="1" x="545"/>
        <item m="1" x="228"/>
        <item m="1" x="79"/>
        <item m="1" x="253"/>
        <item m="1" x="575"/>
        <item m="1" x="593"/>
        <item x="3"/>
        <item m="1" x="524"/>
        <item m="1" x="43"/>
        <item m="1" x="399"/>
        <item m="1" x="61"/>
        <item m="1" x="581"/>
        <item m="1" x="464"/>
        <item m="1" x="321"/>
        <item m="1" x="484"/>
        <item m="1" x="644"/>
        <item m="1" x="390"/>
        <item m="1" x="45"/>
        <item m="1" x="217"/>
        <item m="1" x="557"/>
        <item m="1" x="567"/>
        <item m="1" x="252"/>
        <item m="1" x="88"/>
        <item m="1" x="100"/>
        <item m="1" x="275"/>
        <item m="1" x="434"/>
        <item m="1" x="111"/>
        <item m="1" x="467"/>
        <item m="1" x="636"/>
        <item m="1" x="346"/>
        <item m="1" x="510"/>
        <item m="1" x="187"/>
        <item m="1" x="32"/>
        <item m="1" x="380"/>
        <item m="1" x="209"/>
        <item m="1" x="561"/>
        <item m="1" x="93"/>
        <item m="1" x="269"/>
        <item m="1" x="280"/>
        <item m="1" x="440"/>
        <item m="1" x="118"/>
        <item m="1" x="304"/>
        <item m="1" x="463"/>
        <item m="1" x="642"/>
        <item m="1" x="512"/>
        <item m="1" x="661"/>
        <item m="1" x="181"/>
        <item m="1" x="527"/>
        <item m="1" x="37"/>
        <item m="1" x="262"/>
        <item m="1" x="586"/>
        <item m="1" x="445"/>
        <item m="1" x="333"/>
        <item m="1" x="155"/>
        <item m="1" x="167"/>
        <item m="1" x="354"/>
        <item m="1" x="538"/>
        <item m="1" x="51"/>
        <item m="1" x="439"/>
        <item m="1" x="133"/>
        <item m="1" x="140"/>
        <item m="1" x="326"/>
        <item m="1" x="149"/>
        <item m="1" x="357"/>
        <item m="1" x="191"/>
        <item m="1" x="205"/>
        <item m="1" x="555"/>
        <item m="1" x="251"/>
        <item m="1" x="415"/>
        <item m="1" x="261"/>
        <item m="1" x="433"/>
        <item m="1" x="458"/>
        <item m="1" x="127"/>
        <item m="1" x="632"/>
        <item m="1" x="332"/>
        <item m="1" x="647"/>
        <item m="1" x="522"/>
        <item m="1" x="30"/>
        <item m="1" x="195"/>
        <item m="1" x="379"/>
        <item m="1" x="222"/>
        <item m="1" x="411"/>
        <item m="1" x="104"/>
        <item m="1" x="478"/>
        <item m="1" x="366"/>
        <item m="1" x="517"/>
        <item m="1" x="387"/>
        <item m="1" x="250"/>
        <item m="1" x="443"/>
        <item m="1" x="600"/>
        <item m="1" x="309"/>
        <item m="1" x="331"/>
        <item m="1" x="482"/>
        <item m="1" x="492"/>
        <item m="1" x="186"/>
        <item m="1" x="221"/>
        <item m="1" x="257"/>
        <item m="1" x="117"/>
        <item m="1" x="162"/>
        <item m="1" x="365"/>
        <item m="1" x="374"/>
        <item m="1" x="65"/>
        <item m="1" x="153"/>
        <item m="1" x="491"/>
        <item m="1" x="666"/>
        <item m="1" x="185"/>
        <item m="1" x="42"/>
        <item m="1" x="207"/>
        <item m="1" x="220"/>
        <item m="1" x="70"/>
        <item m="1" x="268"/>
        <item m="1" x="628"/>
        <item m="1" x="650"/>
        <item m="1" x="190"/>
        <item m="1" x="36"/>
        <item m="1" x="297"/>
        <item m="1" x="64"/>
        <item m="1" x="334"/>
        <item m="1" x="565"/>
        <item m="1" x="77"/>
        <item m="1" x="648"/>
        <item m="1" x="274"/>
        <item m="1" x="457"/>
        <item m="1" x="44"/>
        <item m="1" x="473"/>
        <item m="1" x="244"/>
        <item m="1" x="345"/>
        <item m="1" x="412"/>
        <item m="1" x="166"/>
        <item m="1" x="655"/>
        <item m="1" x="108"/>
        <item m="1" x="29"/>
        <item m="1" x="306"/>
        <item m="1" x="142"/>
        <item m="1" x="69"/>
        <item m="1" x="487"/>
        <item m="1" x="352"/>
        <item m="1" x="504"/>
        <item m="1" x="360"/>
        <item m="1" x="663"/>
        <item m="1" x="103"/>
        <item m="1" x="38"/>
        <item m="1" x="229"/>
        <item m="1" x="240"/>
        <item m="1" x="409"/>
        <item m="1" x="640"/>
        <item m="1" x="576"/>
        <item m="1" x="89"/>
        <item m="1" x="263"/>
        <item m="1" x="660"/>
        <item m="1" x="277"/>
        <item m="1" x="515"/>
        <item m="1" x="24"/>
        <item m="1" x="603"/>
        <item m="1" x="296"/>
        <item x="10"/>
        <item x="8"/>
        <item m="1" x="406"/>
        <item m="1" x="76"/>
        <item m="1" x="249"/>
        <item m="1" x="347"/>
        <item m="1" x="414"/>
        <item m="1" x="98"/>
        <item m="1" x="291"/>
        <item m="1" x="383"/>
        <item m="1" x="52"/>
        <item m="1" x="400"/>
        <item m="1" x="62"/>
        <item m="1" x="144"/>
        <item m="1" x="330"/>
        <item m="1" x="508"/>
        <item m="1" x="654"/>
        <item m="1" x="590"/>
        <item m="1" x="28"/>
        <item m="1" x="534"/>
        <item m="1" x="141"/>
        <item m="1" x="327"/>
        <item m="1" x="479"/>
        <item x="5"/>
        <item m="1" x="502"/>
        <item m="1" x="171"/>
        <item m="1" x="182"/>
        <item x="18"/>
        <item m="1" x="597"/>
        <item m="1" x="116"/>
        <item m="1" x="462"/>
        <item m="1" x="471"/>
        <item m="1" x="627"/>
        <item m="1" x="336"/>
        <item m="1" x="416"/>
        <item m="1" x="498"/>
        <item m="1" x="435"/>
        <item m="1" x="594"/>
        <item m="1" x="446"/>
        <item m="1" x="295"/>
        <item m="1" x="617"/>
        <item x="2"/>
        <item x="20"/>
        <item x="16"/>
        <item m="1" x="324"/>
        <item m="1" x="483"/>
        <item m="1" x="564"/>
        <item m="1" x="637"/>
        <item m="1" x="656"/>
        <item m="1" x="188"/>
        <item m="1" x="372"/>
        <item m="1" x="197"/>
        <item m="1" x="382"/>
        <item m="1" x="613"/>
        <item m="1" x="143"/>
        <item m="1" x="235"/>
        <item m="1" x="403"/>
        <item m="1" x="488"/>
        <item m="1" x="353"/>
        <item m="1" x="175"/>
        <item m="1" x="589"/>
        <item m="1" x="106"/>
        <item m="1" x="520"/>
        <item m="1" x="119"/>
        <item m="1" x="287"/>
        <item m="1" x="533"/>
        <item m="1" x="394"/>
        <item m="1" x="49"/>
        <item m="1" x="485"/>
        <item m="1" x="645"/>
        <item m="1" x="501"/>
        <item m="1" x="359"/>
        <item m="1" x="428"/>
        <item m="1" x="662"/>
        <item m="1" x="278"/>
        <item m="1" x="391"/>
        <item m="1" x="315"/>
        <item m="1" x="335"/>
        <item m="1" x="78"/>
        <item m="1" x="659"/>
        <item m="1" x="276"/>
        <item m="1" x="112"/>
        <item m="1" x="34"/>
        <item m="1" x="200"/>
        <item m="1" x="293"/>
        <item m="1" x="385"/>
        <item m="1" x="615"/>
        <item m="1" x="137"/>
        <item m="1" x="146"/>
        <item m="1" x="584"/>
        <item m="1" x="362"/>
        <item m="1" x="371"/>
        <item m="1" x="456"/>
        <item m="1" x="535"/>
        <item m="1" x="612"/>
        <item m="1" x="210"/>
        <item m="1" x="308"/>
        <item m="1" x="224"/>
        <item m="1" x="398"/>
        <item m="1" x="631"/>
        <item m="1" x="635"/>
        <item m="1" x="72"/>
        <item m="1" x="571"/>
        <item m="1" x="164"/>
        <item m="1" x="281"/>
        <item m="1" x="532"/>
        <item m="1" x="305"/>
        <item m="1" x="620"/>
        <item x="0"/>
        <item m="1" x="395"/>
        <item m="1" x="338"/>
        <item m="1" x="81"/>
        <item m="1" x="375"/>
        <item m="1" x="389"/>
        <item m="1" x="131"/>
        <item m="1" x="314"/>
        <item m="1" x="55"/>
        <item m="1" x="556"/>
        <item m="1" x="147"/>
        <item m="1" x="566"/>
        <item m="1" x="158"/>
        <item m="1" x="497"/>
        <item x="17"/>
        <item m="1" x="426"/>
        <item t="default"/>
      </items>
    </pivotField>
    <pivotField showAll="0">
      <items count="89">
        <item x="0"/>
        <item m="1" x="51"/>
        <item m="1" x="23"/>
        <item m="1" x="53"/>
        <item m="1" x="83"/>
        <item m="1" x="11"/>
        <item m="1" x="25"/>
        <item m="1" x="37"/>
        <item m="1" x="55"/>
        <item m="1" x="64"/>
        <item m="1" x="71"/>
        <item m="1" x="76"/>
        <item m="1" x="85"/>
        <item m="1" x="4"/>
        <item m="1" x="12"/>
        <item m="1" x="19"/>
        <item m="1" x="26"/>
        <item m="1" x="28"/>
        <item m="1" x="30"/>
        <item m="1" x="34"/>
        <item m="1" x="39"/>
        <item m="1" x="43"/>
        <item m="1" x="47"/>
        <item m="1" x="52"/>
        <item m="1" x="58"/>
        <item m="1" x="62"/>
        <item m="1" x="67"/>
        <item m="1" x="69"/>
        <item m="1" x="73"/>
        <item m="1" x="74"/>
        <item m="1" x="78"/>
        <item m="1" x="81"/>
        <item m="1" x="86"/>
        <item m="1" x="42"/>
        <item m="1" x="2"/>
        <item m="1" x="45"/>
        <item m="1" x="6"/>
        <item m="1" x="49"/>
        <item m="1" x="9"/>
        <item m="1" x="56"/>
        <item m="1" x="14"/>
        <item m="1" x="60"/>
        <item m="1" x="17"/>
        <item m="1" x="65"/>
        <item m="1" x="21"/>
        <item m="1" x="68"/>
        <item m="1" x="24"/>
        <item m="1" x="72"/>
        <item m="1" x="77"/>
        <item m="1" x="32"/>
        <item m="1" x="80"/>
        <item m="1" x="36"/>
        <item m="1" x="41"/>
        <item m="1" x="1"/>
        <item m="1" x="44"/>
        <item m="1" x="5"/>
        <item m="1" x="48"/>
        <item m="1" x="8"/>
        <item m="1" x="54"/>
        <item m="1" x="13"/>
        <item m="1" x="59"/>
        <item m="1" x="33"/>
        <item m="1" x="16"/>
        <item m="1" x="82"/>
        <item m="1" x="63"/>
        <item m="1" x="38"/>
        <item m="1" x="20"/>
        <item m="1" x="87"/>
        <item m="1" x="3"/>
        <item m="1" x="70"/>
        <item m="1" x="46"/>
        <item m="1" x="27"/>
        <item m="1" x="7"/>
        <item m="1" x="50"/>
        <item m="1" x="29"/>
        <item m="1" x="10"/>
        <item m="1" x="75"/>
        <item m="1" x="57"/>
        <item m="1" x="31"/>
        <item m="1" x="15"/>
        <item m="1" x="79"/>
        <item m="1" x="61"/>
        <item m="1" x="35"/>
        <item m="1" x="18"/>
        <item m="1" x="84"/>
        <item m="1" x="66"/>
        <item m="1" x="40"/>
        <item m="1" x="22"/>
        <item t="default"/>
      </items>
    </pivotField>
    <pivotField showAll="0">
      <items count="40">
        <item m="1" x="1"/>
        <item m="1" x="18"/>
        <item m="1" x="21"/>
        <item m="1" x="33"/>
        <item m="1" x="15"/>
        <item m="1" x="31"/>
        <item m="1" x="2"/>
        <item m="1" x="12"/>
        <item m="1" x="20"/>
        <item m="1" x="28"/>
        <item m="1" x="26"/>
        <item m="1" x="22"/>
        <item m="1" x="27"/>
        <item m="1" x="23"/>
        <item m="1" x="34"/>
        <item m="1" x="30"/>
        <item m="1" x="7"/>
        <item m="1" x="24"/>
        <item m="1" x="4"/>
        <item m="1" x="13"/>
        <item m="1" x="5"/>
        <item m="1" x="25"/>
        <item m="1" x="8"/>
        <item m="1" x="35"/>
        <item m="1" x="37"/>
        <item m="1" x="11"/>
        <item m="1" x="32"/>
        <item m="1" x="6"/>
        <item x="0"/>
        <item m="1" x="19"/>
        <item m="1" x="14"/>
        <item m="1" x="36"/>
        <item m="1" x="38"/>
        <item m="1" x="3"/>
        <item m="1" x="16"/>
        <item m="1" x="17"/>
        <item m="1" x="9"/>
        <item m="1" x="10"/>
        <item m="1" x="29"/>
        <item t="default"/>
      </items>
    </pivotField>
    <pivotField showAll="0"/>
    <pivotField showAll="0" defaultSubtotal="0">
      <items count="332">
        <item m="1" x="271"/>
        <item m="1" x="6"/>
        <item m="1" x="277"/>
        <item m="1" x="159"/>
        <item m="1" x="178"/>
        <item m="1" x="86"/>
        <item m="1" x="160"/>
        <item m="1" x="110"/>
        <item m="1" x="184"/>
        <item m="1" x="305"/>
        <item m="1" x="163"/>
        <item m="1" x="148"/>
        <item m="1" x="106"/>
        <item m="1" x="179"/>
        <item m="1" x="50"/>
        <item m="1" x="228"/>
        <item m="1" x="41"/>
        <item m="1" x="7"/>
        <item m="1" x="139"/>
        <item m="1" x="37"/>
        <item m="1" x="111"/>
        <item m="1" x="236"/>
        <item m="1" x="123"/>
        <item m="1" x="256"/>
        <item m="1" x="167"/>
        <item m="1" x="272"/>
        <item m="1" x="189"/>
        <item m="1" x="257"/>
        <item m="1" x="62"/>
        <item m="1" x="295"/>
        <item m="1" x="124"/>
        <item m="1" x="245"/>
        <item m="1" x="87"/>
        <item m="1" x="314"/>
        <item m="1" x="42"/>
        <item m="1" x="252"/>
        <item m="1" x="319"/>
        <item m="1" x="320"/>
        <item m="1" x="149"/>
        <item m="1" x="17"/>
        <item m="1" x="91"/>
        <item m="1" x="190"/>
        <item m="1" x="198"/>
        <item m="1" x="324"/>
        <item m="1" x="248"/>
        <item m="1" x="315"/>
        <item m="1" x="316"/>
        <item m="1" x="55"/>
        <item m="1" x="131"/>
        <item m="1" x="253"/>
        <item m="1" x="150"/>
        <item m="1" x="43"/>
        <item m="1" x="116"/>
        <item m="1" x="135"/>
        <item m="1" x="69"/>
        <item m="1" x="92"/>
        <item m="1" x="207"/>
        <item m="1" x="265"/>
        <item m="1" x="2"/>
        <item m="1" x="151"/>
        <item m="1" x="25"/>
        <item m="1" x="125"/>
        <item m="1" x="194"/>
        <item m="1" x="211"/>
        <item m="1" x="273"/>
        <item m="1" x="132"/>
        <item m="1" x="199"/>
        <item m="1" x="260"/>
        <item m="1" x="67"/>
        <item m="1" x="70"/>
        <item m="1" x="143"/>
        <item m="1" x="18"/>
        <item m="1" x="93"/>
        <item m="1" x="266"/>
        <item m="1" x="72"/>
        <item m="1" x="284"/>
        <item m="1" x="26"/>
        <item m="1" x="223"/>
        <item m="1" x="296"/>
        <item m="1" x="325"/>
        <item m="1" x="317"/>
        <item m="1" x="254"/>
        <item m="1" x="58"/>
        <item m="1" x="200"/>
        <item m="1" x="13"/>
        <item m="1" x="88"/>
        <item m="1" x="203"/>
        <item m="1" x="144"/>
        <item m="1" x="215"/>
        <item m="1" x="94"/>
        <item m="1" x="95"/>
        <item m="1" x="117"/>
        <item m="1" x="191"/>
        <item m="1" x="274"/>
        <item m="1" x="8"/>
        <item m="1" x="79"/>
        <item m="1" x="96"/>
        <item m="1" x="164"/>
        <item m="1" x="231"/>
        <item m="1" x="168"/>
        <item m="1" x="237"/>
        <item m="1" x="68"/>
        <item m="1" x="185"/>
        <item m="1" x="142"/>
        <item m="1" x="212"/>
        <item m="1" x="328"/>
        <item m="1" x="285"/>
        <item m="1" x="169"/>
        <item m="1" x="133"/>
        <item m="1" x="186"/>
        <item m="1" x="249"/>
        <item m="1" x="255"/>
        <item m="1" x="80"/>
        <item m="1" x="136"/>
        <item m="1" x="19"/>
        <item m="1" x="224"/>
        <item m="1" x="286"/>
        <item m="1" x="170"/>
        <item m="1" x="238"/>
        <item m="1" x="126"/>
        <item m="1" x="32"/>
        <item m="1" x="107"/>
        <item m="1" x="14"/>
        <item m="1" x="73"/>
        <item m="1" x="287"/>
        <item m="1" x="27"/>
        <item m="1" x="195"/>
        <item m="1" x="15"/>
        <item m="1" x="20"/>
        <item m="1" x="192"/>
        <item m="1" x="59"/>
        <item m="1" x="208"/>
        <item m="1" x="218"/>
        <item m="1" x="275"/>
        <item m="1" x="9"/>
        <item m="1" x="81"/>
        <item m="1" x="33"/>
        <item m="1" x="219"/>
        <item m="1" x="288"/>
        <item m="1" x="28"/>
        <item m="1" x="171"/>
        <item m="1" x="239"/>
        <item m="1" x="46"/>
        <item m="1" x="127"/>
        <item m="1" x="51"/>
        <item m="1" x="118"/>
        <item m="1" x="10"/>
        <item m="1" x="229"/>
        <item m="1" x="161"/>
        <item m="1" x="300"/>
        <item m="1" x="38"/>
        <item m="1" x="112"/>
        <item m="1" x="240"/>
        <item m="1" x="306"/>
        <item m="1" x="196"/>
        <item m="1" x="258"/>
        <item m="1" x="261"/>
        <item m="1" x="326"/>
        <item m="1" x="137"/>
        <item m="1" x="204"/>
        <item m="1" x="278"/>
        <item m="1" x="113"/>
        <item m="1" x="21"/>
        <item m="1" x="232"/>
        <item m="1" x="303"/>
        <item m="1" x="44"/>
        <item m="1" x="193"/>
        <item m="1" x="289"/>
        <item m="1" x="165"/>
        <item m="1" x="233"/>
        <item m="1" x="47"/>
        <item m="1" x="128"/>
        <item m="1" x="60"/>
        <item m="1" x="281"/>
        <item m="1" x="22"/>
        <item m="1" x="97"/>
        <item m="1" x="166"/>
        <item m="1" x="262"/>
        <item m="1" x="250"/>
        <item m="1" x="140"/>
        <item m="1" x="71"/>
        <item m="1" x="145"/>
        <item m="1" x="216"/>
        <item m="1" x="282"/>
        <item m="1" x="23"/>
        <item m="1" x="98"/>
        <item m="1" x="74"/>
        <item m="1" x="152"/>
        <item m="1" x="220"/>
        <item m="1" x="290"/>
        <item m="1" x="29"/>
        <item m="1" x="101"/>
        <item m="1" x="172"/>
        <item m="1" x="241"/>
        <item m="1" x="307"/>
        <item m="1" x="82"/>
        <item m="1" x="225"/>
        <item m="1" x="297"/>
        <item m="1" x="34"/>
        <item m="1" x="180"/>
        <item m="1" x="246"/>
        <item m="1" x="52"/>
        <item m="1" x="173"/>
        <item m="1" x="308"/>
        <item m="1" x="129"/>
        <item m="1" x="259"/>
        <item m="1" x="283"/>
        <item m="1" x="63"/>
        <item m="1" x="322"/>
        <item m="1" x="64"/>
        <item m="1" x="213"/>
        <item m="1" x="279"/>
        <item m="1" x="119"/>
        <item m="1" x="321"/>
        <item m="1" x="323"/>
        <item m="1" x="201"/>
        <item m="1" x="327"/>
        <item m="1" x="309"/>
        <item m="1" x="48"/>
        <item m="1" x="130"/>
        <item m="1" x="174"/>
        <item m="1" x="310"/>
        <item m="1" x="181"/>
        <item m="1" x="65"/>
        <item m="1" x="99"/>
        <item m="1" x="120"/>
        <item m="1" x="102"/>
        <item m="1" x="242"/>
        <item m="1" x="138"/>
        <item m="1" x="205"/>
        <item m="1" x="263"/>
        <item m="1" x="329"/>
        <item m="1" x="121"/>
        <item m="1" x="267"/>
        <item m="1" x="3"/>
        <item m="1" x="75"/>
        <item m="1" x="268"/>
        <item m="1" x="4"/>
        <item m="1" x="76"/>
        <item m="1" x="153"/>
        <item m="1" x="155"/>
        <item m="1" x="298"/>
        <item m="1" x="39"/>
        <item m="1" x="56"/>
        <item m="1" x="234"/>
        <item m="1" x="154"/>
        <item m="1" x="221"/>
        <item m="1" x="291"/>
        <item m="1" x="30"/>
        <item m="1" x="156"/>
        <item m="1" x="226"/>
        <item m="1" x="299"/>
        <item m="1" x="35"/>
        <item m="1" x="276"/>
        <item m="1" x="292"/>
        <item m="1" x="175"/>
        <item m="1" x="243"/>
        <item m="1" x="157"/>
        <item m="1" x="227"/>
        <item m="1" x="103"/>
        <item m="1" x="176"/>
        <item m="1" x="66"/>
        <item m="1" x="182"/>
        <item m="1" x="247"/>
        <item m="1" x="313"/>
        <item m="1" x="53"/>
        <item m="1" x="61"/>
        <item m="1" x="209"/>
        <item m="1" x="77"/>
        <item m="1" x="108"/>
        <item m="1" x="269"/>
        <item m="1" x="57"/>
        <item m="1" x="206"/>
        <item m="1" x="264"/>
        <item m="1" x="330"/>
        <item m="1" x="141"/>
        <item m="1" x="210"/>
        <item m="1" x="270"/>
        <item m="1" x="5"/>
        <item m="1" x="78"/>
        <item m="1" x="222"/>
        <item m="1" x="293"/>
        <item m="1" x="31"/>
        <item m="1" x="104"/>
        <item m="1" x="11"/>
        <item m="1" x="83"/>
        <item m="1" x="100"/>
        <item m="1" x="235"/>
        <item m="1" x="304"/>
        <item m="1" x="45"/>
        <item m="1" x="122"/>
        <item m="1" x="16"/>
        <item m="1" x="89"/>
        <item m="1" x="301"/>
        <item m="1" x="40"/>
        <item m="1" x="146"/>
        <item m="1" x="244"/>
        <item m="1" x="311"/>
        <item m="1" x="49"/>
        <item m="1" x="214"/>
        <item m="1" x="280"/>
        <item m="1" x="90"/>
        <item m="1" x="162"/>
        <item m="1" x="294"/>
        <item m="1" x="105"/>
        <item m="1" x="177"/>
        <item m="1" x="197"/>
        <item m="1" x="36"/>
        <item m="1" x="109"/>
        <item m="1" x="183"/>
        <item m="1" x="12"/>
        <item m="1" x="84"/>
        <item m="1" x="331"/>
        <item m="1" x="147"/>
        <item m="1" x="217"/>
        <item m="1" x="312"/>
        <item m="1" x="85"/>
        <item m="1" x="158"/>
        <item m="1" x="114"/>
        <item m="1" x="187"/>
        <item m="1" x="251"/>
        <item m="1" x="318"/>
        <item m="1" x="54"/>
        <item m="1" x="134"/>
        <item m="1" x="202"/>
        <item x="0"/>
        <item x="1"/>
        <item m="1" x="230"/>
        <item m="1" x="302"/>
        <item m="1" x="115"/>
        <item m="1" x="188"/>
        <item m="1" x="24"/>
      </items>
    </pivotField>
    <pivotField showAll="0"/>
    <pivotField showAll="0"/>
    <pivotField showAll="0" defaultSubtotal="0"/>
    <pivotField axis="axisRow" showAll="0" sortType="ascending">
      <items count="8001">
        <item m="1" x="854"/>
        <item m="1" x="855"/>
        <item m="1" x="856"/>
        <item m="1" x="857"/>
        <item m="1" x="858"/>
        <item m="1" x="859"/>
        <item m="1" x="4771"/>
        <item m="1" x="4772"/>
        <item m="1" x="4773"/>
        <item m="1" x="1046"/>
        <item m="1" x="1047"/>
        <item m="1" x="1048"/>
        <item m="1" x="1049"/>
        <item m="1" x="1050"/>
        <item m="1" x="1051"/>
        <item m="1" x="5383"/>
        <item m="1" x="5384"/>
        <item m="1" x="3113"/>
        <item m="1" x="3114"/>
        <item m="1" x="3115"/>
        <item m="1" x="1165"/>
        <item m="1" x="4070"/>
        <item m="1" x="1166"/>
        <item m="1" x="4071"/>
        <item m="1" x="3116"/>
        <item m="1" x="3117"/>
        <item m="1" x="1167"/>
        <item m="1" x="4072"/>
        <item m="1" x="1429"/>
        <item m="1" x="4672"/>
        <item m="1" x="3692"/>
        <item m="1" x="1430"/>
        <item m="1" x="4673"/>
        <item m="1" x="1431"/>
        <item m="1" x="4674"/>
        <item m="1" x="1432"/>
        <item m="1" x="4675"/>
        <item m="1" x="3693"/>
        <item m="1" x="3694"/>
        <item m="1" x="1433"/>
        <item m="1" x="4676"/>
        <item m="1" x="1434"/>
        <item m="1" x="4677"/>
        <item m="1" x="3695"/>
        <item m="1" x="5638"/>
        <item m="1" x="3696"/>
        <item m="1" x="1435"/>
        <item m="1" x="4678"/>
        <item m="1" x="5639"/>
        <item m="1" x="3697"/>
        <item m="1" x="468"/>
        <item m="1" x="469"/>
        <item m="1" x="470"/>
        <item m="1" x="4279"/>
        <item m="1" x="1776"/>
        <item m="1" x="5284"/>
        <item m="1" x="1777"/>
        <item m="1" x="5285"/>
        <item m="1" x="1778"/>
        <item m="1" x="5286"/>
        <item m="1" x="3245"/>
        <item m="1" x="3246"/>
        <item m="1" x="482"/>
        <item m="1" x="483"/>
        <item m="1" x="3804"/>
        <item m="1" x="3805"/>
        <item m="1" x="3806"/>
        <item m="1" x="3807"/>
        <item m="1" x="3808"/>
        <item m="1" x="3809"/>
        <item m="1" x="3810"/>
        <item m="1" x="925"/>
        <item m="1" x="926"/>
        <item m="1" x="2596"/>
        <item m="1" x="3589"/>
        <item m="1" x="4774"/>
        <item m="1" x="5957"/>
        <item m="1" x="4846"/>
        <item m="1" x="6029"/>
        <item m="1" x="1617"/>
        <item m="1" x="2372"/>
        <item m="1" x="3321"/>
        <item m="1" x="3381"/>
        <item m="1" x="4541"/>
        <item m="1" x="5740"/>
        <item m="1" x="5808"/>
        <item m="1" x="663"/>
        <item m="1" x="952"/>
        <item m="1" x="1438"/>
        <item m="1" x="2146"/>
        <item m="1" x="1501"/>
        <item m="1" x="2192"/>
        <item m="1" x="3078"/>
        <item m="1" x="4197"/>
        <item m="1" x="3187"/>
        <item m="1" x="4280"/>
        <item m="1" x="5472"/>
        <item m="1" x="507"/>
        <item m="1" x="594"/>
        <item m="1" x="862"/>
        <item m="1" x="1285"/>
        <item m="1" x="5046"/>
        <item m="1" x="911"/>
        <item m="1" x="1334"/>
        <item m="1" x="2006"/>
        <item m="1" x="2100"/>
        <item m="1" x="2925"/>
        <item m="1" x="3993"/>
        <item m="1" x="491"/>
        <item m="1" x="556"/>
        <item m="1" x="3557"/>
        <item m="1" x="4721"/>
        <item m="1" x="5897"/>
        <item m="1" x="815"/>
        <item m="1" x="1204"/>
        <item m="1" x="5958"/>
        <item m="1" x="1889"/>
        <item m="1" x="2667"/>
        <item m="1" x="935"/>
        <item m="1" x="1372"/>
        <item m="1" x="2044"/>
        <item m="1" x="2866"/>
        <item m="1" x="2129"/>
        <item m="1" x="2970"/>
        <item m="1" x="4038"/>
        <item m="1" x="5215"/>
        <item m="1" x="4112"/>
        <item m="1" x="5288"/>
        <item m="1" x="833"/>
        <item m="1" x="1233"/>
        <item m="1" x="5995"/>
        <item m="1" x="1924"/>
        <item m="1" x="2726"/>
        <item m="1" x="3816"/>
        <item m="1" x="4977"/>
        <item m="1" x="748"/>
        <item m="1" x="4492"/>
        <item m="1" x="5692"/>
        <item m="1" x="1744"/>
        <item m="1" x="3526"/>
        <item m="1" x="3039"/>
        <item m="1" x="4158"/>
        <item m="1" x="5364"/>
        <item m="1" x="5421"/>
        <item m="1" x="1310"/>
        <item m="1" x="1970"/>
        <item m="1" x="2811"/>
        <item m="1" x="3873"/>
        <item m="1" x="2867"/>
        <item m="1" x="3945"/>
        <item m="1" x="5141"/>
        <item m="1" x="5216"/>
        <item m="1" x="516"/>
        <item m="1" x="639"/>
        <item m="1" x="4125"/>
        <item m="1" x="5311"/>
        <item m="1" x="981"/>
        <item m="1" x="1467"/>
        <item m="1" x="2227"/>
        <item m="1" x="3118"/>
        <item m="1" x="1951"/>
        <item m="1" x="2781"/>
        <item m="1" x="3835"/>
        <item m="1" x="5000"/>
        <item m="1" x="3874"/>
        <item m="1" x="5071"/>
        <item m="1" x="1890"/>
        <item m="1" x="2668"/>
        <item m="1" x="3668"/>
        <item m="1" x="3784"/>
        <item m="1" x="4940"/>
        <item m="1" x="1130"/>
        <item m="1" x="1695"/>
        <item m="1" x="2448"/>
        <item m="1" x="2531"/>
        <item m="1" x="3484"/>
        <item m="1" x="4631"/>
        <item m="1" x="4698"/>
        <item m="1" x="5874"/>
        <item m="1" x="1010"/>
        <item m="1" x="1502"/>
        <item m="1" x="2290"/>
        <item m="1" x="3188"/>
        <item m="1" x="4370"/>
        <item m="1" x="5562"/>
        <item m="1" x="1618"/>
        <item m="1" x="2373"/>
        <item m="1" x="3322"/>
        <item m="1" x="3382"/>
        <item m="1" x="4542"/>
        <item m="1" x="5741"/>
        <item m="1" x="5809"/>
        <item m="1" x="664"/>
        <item m="1" x="953"/>
        <item m="1" x="1439"/>
        <item m="1" x="2147"/>
        <item m="1" x="1503"/>
        <item m="1" x="2193"/>
        <item m="1" x="3079"/>
        <item m="1" x="4198"/>
        <item m="1" x="3189"/>
        <item m="1" x="4281"/>
        <item m="1" x="5473"/>
        <item m="1" x="595"/>
        <item m="1" x="863"/>
        <item m="1" x="1286"/>
        <item m="1" x="5047"/>
        <item m="1" x="1335"/>
        <item m="1" x="2007"/>
        <item m="1" x="2926"/>
        <item m="1" x="3994"/>
        <item m="1" x="557"/>
        <item m="1" x="3558"/>
        <item m="1" x="4722"/>
        <item m="1" x="5898"/>
        <item m="1" x="1205"/>
        <item m="1" x="5959"/>
        <item m="1" x="2669"/>
        <item m="1" x="2334"/>
        <item m="1" x="3283"/>
        <item m="1" x="4401"/>
        <item m="1" x="4455"/>
        <item m="1" x="5661"/>
        <item m="1" x="1131"/>
        <item m="1" x="1696"/>
        <item m="1" x="2449"/>
        <item m="1" x="2532"/>
        <item m="1" x="3485"/>
        <item m="1" x="4632"/>
        <item m="1" x="4699"/>
        <item m="1" x="5875"/>
        <item m="1" x="692"/>
        <item m="1" x="1011"/>
        <item m="1" x="1504"/>
        <item m="1" x="1574"/>
        <item m="1" x="2291"/>
        <item m="1" x="3190"/>
        <item m="1" x="3271"/>
        <item m="1" x="4371"/>
        <item m="1" x="5563"/>
        <item m="1" x="632"/>
        <item m="1" x="3916"/>
        <item m="1" x="5105"/>
        <item m="1" x="1417"/>
        <item m="1" x="3016"/>
        <item m="1" x="2597"/>
        <item m="1" x="3590"/>
        <item m="1" x="4775"/>
        <item m="1" x="5960"/>
        <item m="1" x="4847"/>
        <item m="1" x="6030"/>
        <item m="1" x="1619"/>
        <item m="1" x="2374"/>
        <item m="1" x="3323"/>
        <item m="1" x="3383"/>
        <item m="1" x="4543"/>
        <item m="1" x="5742"/>
        <item m="1" x="5810"/>
        <item m="1" x="492"/>
        <item m="1" x="558"/>
        <item m="1" x="3559"/>
        <item m="1" x="4723"/>
        <item m="1" x="5899"/>
        <item m="1" x="816"/>
        <item m="1" x="1206"/>
        <item m="1" x="5961"/>
        <item m="1" x="1891"/>
        <item m="1" x="2670"/>
        <item m="1" x="484"/>
        <item m="1" x="2335"/>
        <item m="1" x="3284"/>
        <item m="1" x="4402"/>
        <item m="1" x="737"/>
        <item m="1" x="4456"/>
        <item m="1" x="5662"/>
        <item m="1" x="1697"/>
        <item m="1" x="2228"/>
        <item m="1" x="3119"/>
        <item m="1" x="4228"/>
        <item m="1" x="4323"/>
        <item m="1" x="5515"/>
        <item m="1" x="936"/>
        <item m="1" x="1373"/>
        <item m="1" x="2045"/>
        <item m="1" x="2868"/>
        <item m="1" x="2130"/>
        <item m="1" x="2971"/>
        <item m="1" x="4039"/>
        <item m="1" x="5217"/>
        <item m="1" x="4113"/>
        <item m="1" x="5289"/>
        <item m="1" x="834"/>
        <item m="1" x="1234"/>
        <item m="1" x="5996"/>
        <item m="1" x="1925"/>
        <item m="1" x="2727"/>
        <item m="1" x="3817"/>
        <item m="1" x="4978"/>
        <item m="1" x="1311"/>
        <item m="1" x="1971"/>
        <item m="1" x="2812"/>
        <item m="1" x="3875"/>
        <item m="1" x="2869"/>
        <item m="1" x="3946"/>
        <item m="1" x="5142"/>
        <item m="1" x="5218"/>
        <item m="1" x="780"/>
        <item m="1" x="1169"/>
        <item m="1" x="1779"/>
        <item m="1" x="1832"/>
        <item m="1" x="2621"/>
        <item m="1" x="3622"/>
        <item m="1" x="3722"/>
        <item m="1" x="4890"/>
        <item m="1" x="534"/>
        <item m="1" x="701"/>
        <item m="1" x="1053"/>
        <item m="1" x="5618"/>
        <item m="1" x="1097"/>
        <item m="1" x="1648"/>
        <item m="1" x="2403"/>
        <item m="1" x="2490"/>
        <item m="1" x="3429"/>
        <item m="1" x="4578"/>
        <item m="1" x="517"/>
        <item m="1" x="640"/>
        <item m="1" x="4126"/>
        <item m="1" x="5312"/>
        <item m="1" x="982"/>
        <item m="1" x="1468"/>
        <item m="1" x="2229"/>
        <item m="1" x="3120"/>
        <item m="1" x="1952"/>
        <item m="1" x="2782"/>
        <item m="1" x="3836"/>
        <item m="1" x="5001"/>
        <item m="1" x="3876"/>
        <item m="1" x="5072"/>
        <item m="1" x="1012"/>
        <item m="1" x="1505"/>
        <item m="1" x="2292"/>
        <item m="1" x="3191"/>
        <item m="1" x="4372"/>
        <item m="1" x="5564"/>
        <item m="1" x="3917"/>
        <item m="1" x="5106"/>
        <item m="1" x="2598"/>
        <item m="1" x="3591"/>
        <item m="1" x="4776"/>
        <item m="1" x="5962"/>
        <item m="1" x="4848"/>
        <item m="1" x="6031"/>
        <item m="1" x="1620"/>
        <item m="1" x="2375"/>
        <item m="1" x="3324"/>
        <item m="1" x="3384"/>
        <item m="1" x="4544"/>
        <item m="1" x="5743"/>
        <item m="1" x="5811"/>
        <item m="1" x="665"/>
        <item m="1" x="954"/>
        <item m="1" x="1440"/>
        <item m="1" x="2148"/>
        <item m="1" x="1506"/>
        <item m="1" x="2194"/>
        <item m="1" x="3080"/>
        <item m="1" x="4199"/>
        <item m="1" x="3192"/>
        <item m="1" x="4282"/>
        <item m="1" x="5474"/>
        <item m="1" x="2336"/>
        <item m="1" x="3285"/>
        <item m="1" x="4403"/>
        <item m="1" x="4457"/>
        <item m="1" x="5663"/>
        <item m="1" x="1132"/>
        <item m="1" x="1698"/>
        <item m="1" x="2450"/>
        <item m="1" x="2533"/>
        <item m="1" x="3486"/>
        <item m="1" x="4633"/>
        <item m="1" x="4700"/>
        <item m="1" x="5876"/>
        <item m="1" x="693"/>
        <item m="1" x="1013"/>
        <item m="1" x="1507"/>
        <item m="1" x="1575"/>
        <item m="1" x="2293"/>
        <item m="1" x="3193"/>
        <item m="1" x="3272"/>
        <item m="1" x="4373"/>
        <item m="1" x="5565"/>
        <item m="1" x="633"/>
        <item m="1" x="3918"/>
        <item m="1" x="5107"/>
        <item m="1" x="1418"/>
        <item m="1" x="3017"/>
        <item m="1" x="2599"/>
        <item m="1" x="3592"/>
        <item m="1" x="4777"/>
        <item m="1" x="4849"/>
        <item m="1" x="6032"/>
        <item m="1" x="508"/>
        <item m="1" x="596"/>
        <item m="1" x="864"/>
        <item m="1" x="1287"/>
        <item m="1" x="5048"/>
        <item m="1" x="912"/>
        <item m="1" x="1336"/>
        <item m="1" x="2008"/>
        <item m="1" x="2101"/>
        <item m="1" x="2927"/>
        <item m="1" x="3995"/>
        <item m="1" x="493"/>
        <item m="1" x="559"/>
        <item m="1" x="3560"/>
        <item m="1" x="4724"/>
        <item m="1" x="5900"/>
        <item m="1" x="817"/>
        <item m="1" x="1207"/>
        <item m="1" x="5963"/>
        <item m="1" x="1892"/>
        <item m="1" x="2671"/>
        <item m="1" x="485"/>
        <item m="1" x="2337"/>
        <item m="1" x="3286"/>
        <item m="1" x="4404"/>
        <item m="1" x="738"/>
        <item m="1" x="4458"/>
        <item m="1" x="5664"/>
        <item m="1" x="1699"/>
        <item m="1" x="2230"/>
        <item m="1" x="3121"/>
        <item m="1" x="4229"/>
        <item m="1" x="4324"/>
        <item m="1" x="5516"/>
        <item m="1" x="937"/>
        <item m="1" x="1374"/>
        <item m="1" x="2046"/>
        <item m="1" x="2870"/>
        <item m="1" x="2131"/>
        <item m="1" x="2972"/>
        <item m="1" x="4040"/>
        <item m="1" x="5219"/>
        <item m="1" x="4114"/>
        <item m="1" x="5290"/>
        <item m="1" x="3040"/>
        <item m="1" x="4159"/>
        <item m="1" x="5365"/>
        <item m="1" x="5422"/>
        <item m="1" x="1312"/>
        <item m="1" x="1972"/>
        <item m="1" x="2813"/>
        <item m="1" x="3877"/>
        <item m="1" x="2871"/>
        <item m="1" x="3947"/>
        <item m="1" x="5143"/>
        <item m="1" x="5220"/>
        <item m="1" x="781"/>
        <item m="1" x="1170"/>
        <item m="1" x="1780"/>
        <item m="1" x="1833"/>
        <item m="1" x="2622"/>
        <item m="1" x="3623"/>
        <item m="1" x="3723"/>
        <item m="1" x="4891"/>
        <item m="1" x="535"/>
        <item m="1" x="702"/>
        <item m="1" x="1054"/>
        <item m="1" x="5619"/>
        <item m="1" x="1098"/>
        <item m="1" x="1649"/>
        <item m="1" x="2404"/>
        <item m="1" x="2491"/>
        <item m="1" x="3430"/>
        <item m="1" x="4579"/>
        <item m="1" x="518"/>
        <item m="1" x="641"/>
        <item m="1" x="4127"/>
        <item m="1" x="5313"/>
        <item m="1" x="983"/>
        <item m="1" x="1469"/>
        <item m="1" x="2231"/>
        <item m="1" x="3122"/>
        <item m="1" x="1133"/>
        <item m="1" x="1700"/>
        <item m="1" x="2451"/>
        <item m="1" x="2534"/>
        <item m="1" x="3487"/>
        <item m="1" x="4634"/>
        <item m="1" x="4701"/>
        <item m="1" x="5877"/>
        <item m="1" x="1014"/>
        <item m="1" x="1508"/>
        <item m="1" x="2294"/>
        <item m="1" x="3194"/>
        <item m="1" x="4374"/>
        <item m="1" x="5566"/>
        <item m="1" x="3919"/>
        <item m="1" x="5108"/>
        <item m="1" x="2600"/>
        <item m="1" x="3593"/>
        <item m="1" x="4778"/>
        <item m="1" x="4850"/>
        <item m="1" x="6033"/>
        <item m="1" x="1621"/>
        <item m="1" x="2376"/>
        <item m="1" x="3325"/>
        <item m="1" x="3385"/>
        <item m="1" x="4545"/>
        <item m="1" x="5744"/>
        <item m="1" x="5812"/>
        <item m="1" x="560"/>
        <item m="1" x="3561"/>
        <item m="1" x="4725"/>
        <item m="1" x="5901"/>
        <item m="1" x="1208"/>
        <item m="1" x="5964"/>
        <item m="1" x="2672"/>
        <item m="1" x="2338"/>
        <item m="1" x="3287"/>
        <item m="1" x="4405"/>
        <item m="1" x="4459"/>
        <item m="1" x="5665"/>
        <item m="1" x="2232"/>
        <item m="1" x="3123"/>
        <item m="1" x="4230"/>
        <item m="1" x="4325"/>
        <item m="1" x="5517"/>
        <item m="1" x="421"/>
        <item m="1" x="1375"/>
        <item m="1" x="2047"/>
        <item m="1" x="2872"/>
        <item m="1" x="2973"/>
        <item m="1" x="4041"/>
        <item m="1" x="5221"/>
        <item m="1" x="395"/>
        <item m="1" x="5291"/>
        <item m="1" x="1134"/>
        <item m="1" x="1701"/>
        <item m="1" x="2452"/>
        <item m="1" x="2535"/>
        <item m="1" x="3488"/>
        <item m="1" x="4635"/>
        <item m="1" x="4702"/>
        <item m="1" x="5878"/>
        <item m="1" x="2601"/>
        <item m="1" x="3594"/>
        <item m="1" x="4779"/>
        <item m="1" x="4851"/>
        <item m="1" x="6034"/>
        <item m="1" x="1622"/>
        <item m="1" x="2377"/>
        <item m="1" x="3326"/>
        <item m="1" x="3386"/>
        <item m="1" x="4546"/>
        <item m="1" x="5745"/>
        <item m="1" x="5813"/>
        <item m="1" x="666"/>
        <item m="1" x="955"/>
        <item m="1" x="1441"/>
        <item m="1" x="2149"/>
        <item m="1" x="1509"/>
        <item m="1" x="2195"/>
        <item m="1" x="3081"/>
        <item m="1" x="4200"/>
        <item m="1" x="3195"/>
        <item m="1" x="4283"/>
        <item m="1" x="5475"/>
        <item m="1" x="509"/>
        <item m="1" x="597"/>
        <item m="1" x="865"/>
        <item m="1" x="1288"/>
        <item m="1" x="5049"/>
        <item m="1" x="913"/>
        <item m="1" x="1337"/>
        <item m="1" x="2009"/>
        <item m="1" x="2102"/>
        <item m="1" x="2928"/>
        <item m="1" x="3996"/>
        <item m="1" x="494"/>
        <item m="1" x="561"/>
        <item m="1" x="3562"/>
        <item m="1" x="4726"/>
        <item m="1" x="5902"/>
        <item m="1" x="818"/>
        <item m="1" x="1209"/>
        <item m="1" x="5965"/>
        <item m="1" x="1893"/>
        <item m="1" x="2673"/>
        <item m="1" x="938"/>
        <item m="1" x="1376"/>
        <item m="1" x="2048"/>
        <item m="1" x="2873"/>
        <item m="1" x="2132"/>
        <item m="1" x="2974"/>
        <item m="1" x="4042"/>
        <item m="1" x="5222"/>
        <item m="1" x="4115"/>
        <item m="1" x="5292"/>
        <item m="1" x="835"/>
        <item m="1" x="1235"/>
        <item m="1" x="5997"/>
        <item m="1" x="1926"/>
        <item m="1" x="2728"/>
        <item m="1" x="3818"/>
        <item m="1" x="4979"/>
        <item m="1" x="749"/>
        <item m="1" x="4493"/>
        <item m="1" x="5693"/>
        <item m="1" x="1745"/>
        <item m="1" x="3527"/>
        <item m="1" x="3041"/>
        <item m="1" x="4160"/>
        <item m="1" x="5366"/>
        <item m="1" x="5423"/>
        <item m="1" x="1313"/>
        <item m="1" x="1973"/>
        <item m="1" x="2814"/>
        <item m="1" x="3878"/>
        <item m="1" x="2874"/>
        <item m="1" x="3948"/>
        <item m="1" x="5144"/>
        <item m="1" x="5223"/>
        <item m="1" x="519"/>
        <item m="1" x="642"/>
        <item m="1" x="4128"/>
        <item m="1" x="5314"/>
        <item m="1" x="984"/>
        <item m="1" x="1470"/>
        <item m="1" x="2233"/>
        <item m="1" x="3124"/>
        <item m="1" x="1953"/>
        <item m="1" x="2783"/>
        <item m="1" x="3837"/>
        <item m="1" x="5002"/>
        <item m="1" x="3879"/>
        <item m="1" x="5073"/>
        <item m="1" x="1894"/>
        <item m="1" x="2674"/>
        <item m="1" x="3669"/>
        <item m="1" x="3785"/>
        <item m="1" x="4941"/>
        <item m="1" x="1135"/>
        <item m="1" x="1702"/>
        <item m="1" x="2453"/>
        <item m="1" x="2536"/>
        <item m="1" x="3489"/>
        <item m="1" x="4636"/>
        <item m="1" x="4703"/>
        <item m="1" x="5879"/>
        <item m="1" x="1015"/>
        <item m="1" x="1510"/>
        <item m="1" x="2295"/>
        <item m="1" x="3196"/>
        <item m="1" x="4375"/>
        <item m="1" x="5567"/>
        <item m="1" x="1623"/>
        <item m="1" x="2378"/>
        <item m="1" x="3327"/>
        <item m="1" x="3387"/>
        <item m="1" x="4547"/>
        <item m="1" x="5746"/>
        <item m="1" x="5814"/>
        <item m="1" x="667"/>
        <item m="1" x="956"/>
        <item m="1" x="1442"/>
        <item m="1" x="2150"/>
        <item m="1" x="1511"/>
        <item m="1" x="2196"/>
        <item m="1" x="3082"/>
        <item m="1" x="4201"/>
        <item m="1" x="3197"/>
        <item m="1" x="4284"/>
        <item m="1" x="5476"/>
        <item m="1" x="598"/>
        <item m="1" x="866"/>
        <item m="1" x="1289"/>
        <item m="1" x="5050"/>
        <item m="1" x="1338"/>
        <item m="1" x="2010"/>
        <item m="1" x="2929"/>
        <item m="1" x="3997"/>
        <item m="1" x="562"/>
        <item m="1" x="3563"/>
        <item m="1" x="4727"/>
        <item m="1" x="5903"/>
        <item m="1" x="1210"/>
        <item m="1" x="5966"/>
        <item m="1" x="2675"/>
        <item m="1" x="2339"/>
        <item m="1" x="3288"/>
        <item m="1" x="4406"/>
        <item m="1" x="4460"/>
        <item m="1" x="5666"/>
        <item m="1" x="694"/>
        <item m="1" x="1016"/>
        <item m="1" x="1512"/>
        <item m="1" x="1576"/>
        <item m="1" x="2296"/>
        <item m="1" x="3198"/>
        <item m="1" x="3273"/>
        <item m="1" x="4376"/>
        <item m="1" x="5568"/>
        <item m="1" x="634"/>
        <item m="1" x="3920"/>
        <item m="1" x="5109"/>
        <item m="1" x="1419"/>
        <item m="1" x="3018"/>
        <item m="1" x="2602"/>
        <item m="1" x="3595"/>
        <item m="1" x="4780"/>
        <item m="1" x="4852"/>
        <item m="1" x="6035"/>
        <item m="1" x="1624"/>
        <item m="1" x="2379"/>
        <item m="1" x="3328"/>
        <item m="1" x="3388"/>
        <item m="1" x="4548"/>
        <item m="1" x="5747"/>
        <item m="1" x="5815"/>
        <item m="1" x="668"/>
        <item m="1" x="957"/>
        <item m="1" x="1443"/>
        <item m="1" x="2151"/>
        <item m="1" x="1513"/>
        <item m="1" x="2197"/>
        <item m="1" x="3083"/>
        <item m="1" x="4202"/>
        <item m="1" x="3199"/>
        <item m="1" x="4285"/>
        <item m="1" x="5477"/>
        <item m="1" x="486"/>
        <item m="1" x="2340"/>
        <item m="1" x="3289"/>
        <item m="1" x="4407"/>
        <item m="1" x="739"/>
        <item m="1" x="4461"/>
        <item m="1" x="5667"/>
        <item m="1" x="1703"/>
        <item m="1" x="2234"/>
        <item m="1" x="3125"/>
        <item m="1" x="4231"/>
        <item m="1" x="4326"/>
        <item m="1" x="5518"/>
        <item m="1" x="939"/>
        <item m="1" x="1377"/>
        <item m="1" x="2049"/>
        <item m="1" x="2875"/>
        <item m="1" x="2133"/>
        <item m="1" x="2975"/>
        <item m="1" x="4043"/>
        <item m="1" x="5224"/>
        <item m="1" x="4116"/>
        <item m="1" x="5293"/>
        <item m="1" x="836"/>
        <item m="1" x="1236"/>
        <item m="1" x="5998"/>
        <item m="1" x="1927"/>
        <item m="1" x="2729"/>
        <item m="1" x="3819"/>
        <item m="1" x="4980"/>
        <item m="1" x="750"/>
        <item m="1" x="4494"/>
        <item m="1" x="5694"/>
        <item m="1" x="1746"/>
        <item m="1" x="3528"/>
        <item m="1" x="782"/>
        <item m="1" x="1171"/>
        <item m="1" x="1781"/>
        <item m="1" x="1834"/>
        <item m="1" x="2623"/>
        <item m="1" x="3624"/>
        <item m="1" x="3724"/>
        <item m="1" x="4892"/>
        <item m="1" x="536"/>
        <item m="1" x="703"/>
        <item m="1" x="1055"/>
        <item m="1" x="5620"/>
        <item m="1" x="1099"/>
        <item m="1" x="1650"/>
        <item m="1" x="2405"/>
        <item m="1" x="2492"/>
        <item m="1" x="3431"/>
        <item m="1" x="4580"/>
        <item m="1" x="520"/>
        <item m="1" x="643"/>
        <item m="1" x="4129"/>
        <item m="1" x="5315"/>
        <item m="1" x="985"/>
        <item m="1" x="1471"/>
        <item m="1" x="2235"/>
        <item m="1" x="3126"/>
        <item m="1" x="1954"/>
        <item m="1" x="2784"/>
        <item m="1" x="3838"/>
        <item m="1" x="5003"/>
        <item m="1" x="3880"/>
        <item m="1" x="5074"/>
        <item m="1" x="1895"/>
        <item m="1" x="2676"/>
        <item m="1" x="3670"/>
        <item m="1" x="3786"/>
        <item m="1" x="4942"/>
        <item m="1" x="4377"/>
        <item m="1" x="3921"/>
        <item m="1" x="5110"/>
        <item m="1" x="2603"/>
        <item m="1" x="3596"/>
        <item m="1" x="4781"/>
        <item m="1" x="4853"/>
        <item m="1" x="6036"/>
        <item m="1" x="1625"/>
        <item m="1" x="2380"/>
        <item m="1" x="3329"/>
        <item m="1" x="3389"/>
        <item m="1" x="4549"/>
        <item m="1" x="5748"/>
        <item m="1" x="5816"/>
        <item m="1" x="669"/>
        <item m="1" x="958"/>
        <item m="1" x="1444"/>
        <item m="1" x="2152"/>
        <item m="1" x="1514"/>
        <item m="1" x="2198"/>
        <item m="1" x="3084"/>
        <item m="1" x="4203"/>
        <item m="1" x="3200"/>
        <item m="1" x="4286"/>
        <item m="1" x="5478"/>
        <item m="1" x="599"/>
        <item m="1" x="867"/>
        <item m="1" x="1290"/>
        <item m="1" x="5051"/>
        <item m="1" x="1339"/>
        <item m="1" x="2011"/>
        <item m="1" x="2930"/>
        <item m="1" x="3998"/>
        <item m="1" x="2236"/>
        <item m="1" x="3127"/>
        <item m="1" x="4232"/>
        <item m="1" x="4327"/>
        <item m="1" x="5519"/>
        <item m="1" x="422"/>
        <item m="1" x="1378"/>
        <item m="1" x="2050"/>
        <item m="1" x="2876"/>
        <item m="1" x="2976"/>
        <item m="1" x="4044"/>
        <item m="1" x="5225"/>
        <item m="1" x="396"/>
        <item m="1" x="5294"/>
        <item m="1" x="1136"/>
        <item m="1" x="1704"/>
        <item m="1" x="2454"/>
        <item m="1" x="2537"/>
        <item m="1" x="3490"/>
        <item m="1" x="4637"/>
        <item m="1" x="4704"/>
        <item m="1" x="5880"/>
        <item m="1" x="695"/>
        <item m="1" x="1017"/>
        <item m="1" x="1515"/>
        <item m="1" x="1577"/>
        <item m="1" x="2297"/>
        <item m="1" x="3201"/>
        <item m="1" x="3274"/>
        <item m="1" x="4378"/>
        <item m="1" x="5569"/>
        <item m="1" x="635"/>
        <item m="1" x="3922"/>
        <item m="1" x="5111"/>
        <item m="1" x="1420"/>
        <item m="1" x="3019"/>
        <item m="1" x="670"/>
        <item m="1" x="959"/>
        <item m="1" x="1445"/>
        <item m="1" x="2153"/>
        <item m="1" x="1516"/>
        <item m="1" x="2199"/>
        <item m="1" x="3085"/>
        <item m="1" x="4204"/>
        <item m="1" x="3202"/>
        <item m="1" x="4287"/>
        <item m="1" x="5479"/>
        <item m="1" x="510"/>
        <item m="1" x="600"/>
        <item m="1" x="868"/>
        <item m="1" x="1291"/>
        <item m="1" x="5052"/>
        <item m="1" x="914"/>
        <item m="1" x="1340"/>
        <item m="1" x="2012"/>
        <item m="1" x="2103"/>
        <item m="1" x="2931"/>
        <item m="1" x="3999"/>
        <item m="1" x="495"/>
        <item m="1" x="563"/>
        <item m="1" x="3564"/>
        <item m="1" x="4728"/>
        <item m="1" x="5904"/>
        <item m="1" x="819"/>
        <item m="1" x="1211"/>
        <item m="1" x="5967"/>
        <item m="1" x="1896"/>
        <item m="1" x="2677"/>
        <item m="1" x="487"/>
        <item m="1" x="2341"/>
        <item m="1" x="3290"/>
        <item m="1" x="4408"/>
        <item m="1" x="740"/>
        <item m="1" x="4462"/>
        <item m="1" x="5668"/>
        <item m="1" x="1705"/>
        <item m="1" x="2237"/>
        <item m="1" x="3128"/>
        <item m="1" x="4233"/>
        <item m="1" x="4328"/>
        <item m="1" x="5520"/>
        <item m="1" x="751"/>
        <item m="1" x="4495"/>
        <item m="1" x="5695"/>
        <item m="1" x="1747"/>
        <item m="1" x="3529"/>
        <item m="1" x="3042"/>
        <item m="1" x="4161"/>
        <item m="1" x="5367"/>
        <item m="1" x="5424"/>
        <item m="1" x="1314"/>
        <item m="1" x="1974"/>
        <item m="1" x="2815"/>
        <item m="1" x="3881"/>
        <item m="1" x="2877"/>
        <item m="1" x="3949"/>
        <item m="1" x="5145"/>
        <item m="1" x="5226"/>
        <item m="1" x="783"/>
        <item m="1" x="1172"/>
        <item m="1" x="1782"/>
        <item m="1" x="1835"/>
        <item m="1" x="2624"/>
        <item m="1" x="3625"/>
        <item m="1" x="3725"/>
        <item m="1" x="4893"/>
        <item m="1" x="537"/>
        <item m="1" x="704"/>
        <item m="1" x="1056"/>
        <item m="1" x="5621"/>
        <item m="1" x="1100"/>
        <item m="1" x="1651"/>
        <item m="1" x="2406"/>
        <item m="1" x="2493"/>
        <item m="1" x="3432"/>
        <item m="1" x="4581"/>
        <item m="1" x="1897"/>
        <item m="1" x="2678"/>
        <item m="1" x="3671"/>
        <item m="1" x="3787"/>
        <item m="1" x="4943"/>
        <item m="1" x="1137"/>
        <item m="1" x="1706"/>
        <item m="1" x="2455"/>
        <item m="1" x="2538"/>
        <item m="1" x="3491"/>
        <item m="1" x="4638"/>
        <item m="1" x="4705"/>
        <item m="1" x="5881"/>
        <item m="1" x="1018"/>
        <item m="1" x="1517"/>
        <item m="1" x="2298"/>
        <item m="1" x="3203"/>
        <item m="1" x="4379"/>
        <item m="1" x="5570"/>
        <item m="1" x="3923"/>
        <item m="1" x="5112"/>
        <item m="1" x="2604"/>
        <item m="1" x="3597"/>
        <item m="1" x="4782"/>
        <item m="1" x="4854"/>
        <item m="1" x="6037"/>
        <item m="1" x="601"/>
        <item m="1" x="869"/>
        <item m="1" x="1292"/>
        <item m="1" x="5053"/>
        <item m="1" x="1341"/>
        <item m="1" x="2013"/>
        <item m="1" x="2932"/>
        <item m="1" x="4000"/>
        <item m="1" x="564"/>
        <item m="1" x="3565"/>
        <item m="1" x="4729"/>
        <item m="1" x="5905"/>
        <item m="1" x="1212"/>
        <item m="1" x="5968"/>
        <item m="1" x="2679"/>
        <item m="1" x="2342"/>
        <item m="1" x="3291"/>
        <item m="1" x="4409"/>
        <item m="1" x="4463"/>
        <item m="1" x="5669"/>
        <item m="1" x="2238"/>
        <item m="1" x="3129"/>
        <item m="1" x="4234"/>
        <item m="1" x="4329"/>
        <item m="1" x="5521"/>
        <item m="1" x="423"/>
        <item m="1" x="1138"/>
        <item m="1" x="1707"/>
        <item m="1" x="2456"/>
        <item m="1" x="2539"/>
        <item m="1" x="3492"/>
        <item m="1" x="4639"/>
        <item m="1" x="4706"/>
        <item m="1" x="5882"/>
        <item m="1" x="2605"/>
        <item m="1" x="3598"/>
        <item m="1" x="4783"/>
        <item m="1" x="4855"/>
        <item m="1" x="6038"/>
        <item m="1" x="1626"/>
        <item m="1" x="2381"/>
        <item m="1" x="3330"/>
        <item m="1" x="3390"/>
        <item m="1" x="4550"/>
        <item m="1" x="5749"/>
        <item m="1" x="5817"/>
        <item m="1" x="671"/>
        <item m="1" x="960"/>
        <item m="1" x="1446"/>
        <item m="1" x="2154"/>
        <item m="1" x="1518"/>
        <item m="1" x="2200"/>
        <item m="1" x="3086"/>
        <item m="1" x="4205"/>
        <item m="1" x="3204"/>
        <item m="1" x="4288"/>
        <item m="1" x="5480"/>
        <item m="1" x="511"/>
        <item m="1" x="602"/>
        <item m="1" x="870"/>
        <item m="1" x="1293"/>
        <item m="1" x="5054"/>
        <item m="1" x="915"/>
        <item m="1" x="1342"/>
        <item m="1" x="2014"/>
        <item m="1" x="2104"/>
        <item m="1" x="2933"/>
        <item m="1" x="4001"/>
        <item m="1" x="496"/>
        <item m="1" x="565"/>
        <item m="1" x="3566"/>
        <item m="1" x="4730"/>
        <item m="1" x="5906"/>
        <item m="1" x="820"/>
        <item m="1" x="1213"/>
        <item m="1" x="5969"/>
        <item m="1" x="1898"/>
        <item m="1" x="2680"/>
        <item m="1" x="940"/>
        <item m="1" x="1379"/>
        <item m="1" x="2051"/>
        <item m="1" x="2878"/>
        <item m="1" x="2134"/>
        <item m="1" x="2977"/>
        <item m="1" x="4045"/>
        <item m="1" x="5227"/>
        <item m="1" x="4117"/>
        <item m="1" x="5295"/>
        <item m="1" x="837"/>
        <item m="1" x="1237"/>
        <item m="1" x="5999"/>
        <item m="1" x="1928"/>
        <item m="1" x="2730"/>
        <item m="1" x="3820"/>
        <item m="1" x="4981"/>
        <item m="1" x="752"/>
        <item m="1" x="4496"/>
        <item m="1" x="5696"/>
        <item m="1" x="1748"/>
        <item m="1" x="3530"/>
        <item m="1" x="3043"/>
        <item m="1" x="4162"/>
        <item m="1" x="5368"/>
        <item m="1" x="5425"/>
        <item m="1" x="1315"/>
        <item m="1" x="1975"/>
        <item m="1" x="2816"/>
        <item m="1" x="3882"/>
        <item m="1" x="2879"/>
        <item m="1" x="3950"/>
        <item m="1" x="5146"/>
        <item m="1" x="5228"/>
        <item m="1" x="521"/>
        <item m="1" x="644"/>
        <item m="1" x="4130"/>
        <item m="1" x="5316"/>
        <item m="1" x="986"/>
        <item m="1" x="1472"/>
        <item m="1" x="2239"/>
        <item m="1" x="3130"/>
        <item m="1" x="1955"/>
        <item m="1" x="2785"/>
        <item m="1" x="3839"/>
        <item m="1" x="5004"/>
        <item m="1" x="3883"/>
        <item m="1" x="5075"/>
        <item m="1" x="1899"/>
        <item m="1" x="2681"/>
        <item m="1" x="3672"/>
        <item m="1" x="3788"/>
        <item m="1" x="4944"/>
        <item m="1" x="1139"/>
        <item m="1" x="1708"/>
        <item m="1" x="2457"/>
        <item m="1" x="2540"/>
        <item m="1" x="3493"/>
        <item m="1" x="4640"/>
        <item m="1" x="4707"/>
        <item m="1" x="5883"/>
        <item m="1" x="1019"/>
        <item m="1" x="1519"/>
        <item m="1" x="2299"/>
        <item m="1" x="3205"/>
        <item m="1" x="4380"/>
        <item m="1" x="5571"/>
        <item m="1" x="1627"/>
        <item m="1" x="2382"/>
        <item m="1" x="3331"/>
        <item m="1" x="3391"/>
        <item m="1" x="4551"/>
        <item m="1" x="5750"/>
        <item m="1" x="5818"/>
        <item m="1" x="672"/>
        <item m="1" x="961"/>
        <item m="1" x="1447"/>
        <item m="1" x="2155"/>
        <item m="1" x="1520"/>
        <item m="1" x="2201"/>
        <item m="1" x="3087"/>
        <item m="1" x="4206"/>
        <item m="1" x="3206"/>
        <item m="1" x="4289"/>
        <item m="1" x="5481"/>
        <item m="1" x="603"/>
        <item m="1" x="871"/>
        <item m="1" x="1294"/>
        <item m="1" x="5055"/>
        <item m="1" x="1343"/>
        <item m="1" x="2015"/>
        <item m="1" x="2934"/>
        <item m="1" x="4002"/>
        <item m="1" x="566"/>
        <item m="1" x="3567"/>
        <item m="1" x="4731"/>
        <item m="1" x="5907"/>
        <item m="1" x="1214"/>
        <item m="1" x="5970"/>
        <item m="1" x="2682"/>
        <item m="1" x="2343"/>
        <item m="1" x="3292"/>
        <item m="1" x="4410"/>
        <item m="1" x="4464"/>
        <item m="1" x="5670"/>
        <item m="1" x="1140"/>
        <item m="1" x="1709"/>
        <item m="1" x="2458"/>
        <item m="1" x="2541"/>
        <item m="1" x="3494"/>
        <item m="1" x="4641"/>
        <item m="1" x="4708"/>
        <item m="1" x="5884"/>
        <item m="1" x="696"/>
        <item m="1" x="1020"/>
        <item m="1" x="1521"/>
        <item m="1" x="1578"/>
        <item m="1" x="2300"/>
        <item m="1" x="3207"/>
        <item m="1" x="3275"/>
        <item m="1" x="4381"/>
        <item m="1" x="5572"/>
        <item m="1" x="636"/>
        <item m="1" x="3924"/>
        <item m="1" x="5113"/>
        <item m="1" x="1421"/>
        <item m="1" x="3020"/>
        <item m="1" x="2606"/>
        <item m="1" x="3599"/>
        <item m="1" x="4784"/>
        <item m="1" x="4856"/>
        <item m="1" x="6039"/>
        <item m="1" x="1628"/>
        <item m="1" x="2383"/>
        <item m="1" x="3332"/>
        <item m="1" x="3392"/>
        <item m="1" x="4552"/>
        <item m="1" x="5751"/>
        <item m="1" x="5819"/>
        <item m="1" x="497"/>
        <item m="1" x="567"/>
        <item m="1" x="3568"/>
        <item m="1" x="4732"/>
        <item m="1" x="5908"/>
        <item m="1" x="821"/>
        <item m="1" x="1215"/>
        <item m="1" x="5971"/>
        <item m="1" x="1900"/>
        <item m="1" x="2683"/>
        <item m="1" x="488"/>
        <item m="1" x="2344"/>
        <item m="1" x="3293"/>
        <item m="1" x="4411"/>
        <item m="1" x="741"/>
        <item m="1" x="4465"/>
        <item m="1" x="5671"/>
        <item m="1" x="1710"/>
        <item m="1" x="2240"/>
        <item m="1" x="3131"/>
        <item m="1" x="4235"/>
        <item m="1" x="4330"/>
        <item m="1" x="5522"/>
        <item m="1" x="941"/>
        <item m="1" x="1380"/>
        <item m="1" x="2052"/>
        <item m="1" x="2880"/>
        <item m="1" x="2135"/>
        <item m="1" x="2978"/>
        <item m="1" x="4046"/>
        <item m="1" x="5229"/>
        <item m="1" x="4118"/>
        <item m="1" x="5296"/>
        <item m="1" x="838"/>
        <item m="1" x="1238"/>
        <item m="1" x="6000"/>
        <item m="1" x="1929"/>
        <item m="1" x="2731"/>
        <item m="1" x="3821"/>
        <item m="1" x="4982"/>
        <item m="1" x="1316"/>
        <item m="1" x="1976"/>
        <item m="1" x="2817"/>
        <item m="1" x="3884"/>
        <item m="1" x="2881"/>
        <item m="1" x="3951"/>
        <item m="1" x="5147"/>
        <item m="1" x="5230"/>
        <item m="1" x="784"/>
        <item m="1" x="1173"/>
        <item m="1" x="1783"/>
        <item m="1" x="1836"/>
        <item m="1" x="2625"/>
        <item m="1" x="3626"/>
        <item m="1" x="3726"/>
        <item m="1" x="4894"/>
        <item m="1" x="538"/>
        <item m="1" x="705"/>
        <item m="1" x="1057"/>
        <item m="1" x="5622"/>
        <item m="1" x="1101"/>
        <item m="1" x="1652"/>
        <item m="1" x="2407"/>
        <item m="1" x="2494"/>
        <item m="1" x="3433"/>
        <item m="1" x="4582"/>
        <item m="1" x="522"/>
        <item m="1" x="645"/>
        <item m="1" x="4131"/>
        <item m="1" x="5317"/>
        <item m="1" x="987"/>
        <item m="1" x="1473"/>
        <item m="1" x="2241"/>
        <item m="1" x="3132"/>
        <item m="1" x="1956"/>
        <item m="1" x="2786"/>
        <item m="1" x="3840"/>
        <item m="1" x="5005"/>
        <item m="1" x="3885"/>
        <item m="1" x="5076"/>
        <item m="1" x="1021"/>
        <item m="1" x="1522"/>
        <item m="1" x="2301"/>
        <item m="1" x="3208"/>
        <item m="1" x="4382"/>
        <item m="1" x="5573"/>
        <item m="1" x="3925"/>
        <item m="1" x="5114"/>
        <item m="1" x="2607"/>
        <item m="1" x="3600"/>
        <item m="1" x="4785"/>
        <item m="1" x="4857"/>
        <item m="1" x="6040"/>
        <item m="1" x="1629"/>
        <item m="1" x="2384"/>
        <item m="1" x="3333"/>
        <item m="1" x="3393"/>
        <item m="1" x="4553"/>
        <item m="1" x="5752"/>
        <item m="1" x="5820"/>
        <item m="1" x="673"/>
        <item m="1" x="962"/>
        <item m="1" x="1448"/>
        <item m="1" x="2156"/>
        <item m="1" x="1523"/>
        <item m="1" x="2202"/>
        <item m="1" x="3088"/>
        <item m="1" x="4207"/>
        <item m="1" x="3209"/>
        <item m="1" x="4290"/>
        <item m="1" x="5482"/>
        <item m="1" x="2345"/>
        <item m="1" x="3294"/>
        <item m="1" x="4412"/>
        <item m="1" x="4466"/>
        <item m="1" x="5672"/>
        <item m="1" x="2242"/>
        <item m="1" x="3133"/>
        <item m="1" x="4236"/>
        <item m="1" x="4331"/>
        <item m="1" x="5523"/>
        <item m="1" x="424"/>
        <item m="1" x="1381"/>
        <item m="1" x="2053"/>
        <item m="1" x="2882"/>
        <item m="1" x="2979"/>
        <item m="1" x="4047"/>
        <item m="1" x="5231"/>
        <item m="1" x="397"/>
        <item m="1" x="5297"/>
        <item m="1" x="1141"/>
        <item m="1" x="1711"/>
        <item m="1" x="2459"/>
        <item m="1" x="2542"/>
        <item m="1" x="3495"/>
        <item m="1" x="4642"/>
        <item m="1" x="4709"/>
        <item m="1" x="5885"/>
        <item m="1" x="697"/>
        <item m="1" x="1022"/>
        <item m="1" x="1524"/>
        <item m="1" x="1579"/>
        <item m="1" x="2302"/>
        <item m="1" x="3210"/>
        <item m="1" x="3276"/>
        <item m="1" x="4383"/>
        <item m="1" x="5574"/>
        <item m="1" x="1630"/>
        <item m="1" x="2385"/>
        <item m="1" x="3334"/>
        <item m="1" x="3394"/>
        <item m="1" x="4554"/>
        <item m="1" x="5753"/>
        <item m="1" x="5821"/>
        <item m="1" x="674"/>
        <item m="1" x="963"/>
        <item m="1" x="1449"/>
        <item m="1" x="2157"/>
        <item m="1" x="1525"/>
        <item m="1" x="2203"/>
        <item m="1" x="3089"/>
        <item m="1" x="4208"/>
        <item m="1" x="3211"/>
        <item m="1" x="4291"/>
        <item m="1" x="5483"/>
        <item m="1" x="512"/>
        <item m="1" x="604"/>
        <item m="1" x="872"/>
        <item m="1" x="1295"/>
        <item m="1" x="5056"/>
        <item m="1" x="916"/>
        <item m="1" x="1344"/>
        <item m="1" x="2016"/>
        <item m="1" x="2105"/>
        <item m="1" x="2935"/>
        <item m="1" x="4003"/>
        <item m="1" x="498"/>
        <item m="1" x="568"/>
        <item m="1" x="3569"/>
        <item m="1" x="4733"/>
        <item m="1" x="5909"/>
        <item m="1" x="822"/>
        <item m="1" x="1216"/>
        <item m="1" x="5972"/>
        <item m="1" x="1901"/>
        <item m="1" x="2684"/>
        <item m="1" x="489"/>
        <item m="1" x="2346"/>
        <item m="1" x="3295"/>
        <item m="1" x="4413"/>
        <item m="1" x="742"/>
        <item m="1" x="4467"/>
        <item m="1" x="5673"/>
        <item m="1" x="1712"/>
        <item m="1" x="839"/>
        <item m="1" x="1239"/>
        <item m="1" x="6001"/>
        <item m="1" x="1930"/>
        <item m="1" x="2732"/>
        <item m="1" x="3822"/>
        <item m="1" x="4983"/>
        <item m="1" x="753"/>
        <item m="1" x="4497"/>
        <item m="1" x="5697"/>
        <item m="1" x="1749"/>
        <item m="1" x="3531"/>
        <item m="1" x="3044"/>
        <item m="1" x="4163"/>
        <item m="1" x="5369"/>
        <item m="1" x="5426"/>
        <item m="1" x="1317"/>
        <item m="1" x="1977"/>
        <item m="1" x="2818"/>
        <item m="1" x="3886"/>
        <item m="1" x="2883"/>
        <item m="1" x="3952"/>
        <item m="1" x="5148"/>
        <item m="1" x="5232"/>
        <item m="1" x="785"/>
        <item m="1" x="1174"/>
        <item m="1" x="1784"/>
        <item m="1" x="1837"/>
        <item m="1" x="2626"/>
        <item m="1" x="3627"/>
        <item m="1" x="3727"/>
        <item m="1" x="4895"/>
        <item m="1" x="1957"/>
        <item m="1" x="2787"/>
        <item m="1" x="3841"/>
        <item m="1" x="5006"/>
        <item m="1" x="3887"/>
        <item m="1" x="5077"/>
        <item m="1" x="1902"/>
        <item m="1" x="2685"/>
        <item m="1" x="3673"/>
        <item m="1" x="3789"/>
        <item m="1" x="4945"/>
        <item m="1" x="1142"/>
        <item m="1" x="1713"/>
        <item m="1" x="2460"/>
        <item m="1" x="2543"/>
        <item m="1" x="3496"/>
        <item m="1" x="4643"/>
        <item m="1" x="4710"/>
        <item m="1" x="5886"/>
        <item m="1" x="1023"/>
        <item m="1" x="1526"/>
        <item m="1" x="2303"/>
        <item m="1" x="3212"/>
        <item m="1" x="4384"/>
        <item m="1" x="5575"/>
        <item m="1" x="3926"/>
        <item m="1" x="5115"/>
        <item m="1" x="675"/>
        <item m="1" x="964"/>
        <item m="1" x="1450"/>
        <item m="1" x="2158"/>
        <item m="1" x="1527"/>
        <item m="1" x="2204"/>
        <item m="1" x="3090"/>
        <item m="1" x="4209"/>
        <item m="1" x="3213"/>
        <item m="1" x="4292"/>
        <item m="1" x="5484"/>
        <item m="1" x="605"/>
        <item m="1" x="873"/>
        <item m="1" x="1296"/>
        <item m="1" x="5057"/>
        <item m="1" x="1345"/>
        <item m="1" x="2017"/>
        <item m="1" x="2936"/>
        <item m="1" x="4004"/>
        <item m="1" x="569"/>
        <item m="1" x="3570"/>
        <item m="1" x="4734"/>
        <item m="1" x="5910"/>
        <item m="1" x="1217"/>
        <item m="1" x="5973"/>
        <item m="1" x="2686"/>
        <item m="1" x="2347"/>
        <item m="1" x="3296"/>
        <item m="1" x="4414"/>
        <item m="1" x="4468"/>
        <item m="1" x="5674"/>
        <item m="1" x="2243"/>
        <item m="1" x="3134"/>
        <item m="1" x="4237"/>
        <item m="1" x="4332"/>
        <item m="1" x="5524"/>
        <item m="1" x="425"/>
        <item m="1" x="637"/>
        <item m="1" x="3927"/>
        <item m="1" x="5116"/>
        <item m="1" x="1422"/>
        <item m="1" x="3021"/>
        <item m="1" x="1814"/>
        <item m="1" x="2608"/>
        <item m="1" x="3601"/>
        <item m="1" x="4786"/>
        <item m="1" x="3674"/>
        <item m="1" x="4858"/>
        <item m="1" x="6041"/>
        <item m="1" x="1087"/>
        <item m="1" x="1631"/>
        <item m="1" x="2386"/>
        <item m="1" x="3335"/>
        <item m="1" x="2461"/>
        <item m="1" x="3395"/>
        <item m="1" x="4555"/>
        <item m="1" x="4644"/>
        <item m="1" x="5822"/>
        <item m="1" x="676"/>
        <item m="1" x="965"/>
        <item m="1" x="1451"/>
        <item m="1" x="1528"/>
        <item m="1" x="2205"/>
        <item m="1" x="3091"/>
        <item m="1" x="3214"/>
        <item m="1" x="4293"/>
        <item m="1" x="5485"/>
        <item m="1" x="513"/>
        <item m="1" x="606"/>
        <item m="1" x="874"/>
        <item m="1" x="5058"/>
        <item m="1" x="917"/>
        <item m="1" x="1346"/>
        <item m="1" x="2018"/>
        <item m="1" x="2106"/>
        <item m="1" x="2937"/>
        <item m="1" x="4005"/>
        <item m="1" x="1551"/>
        <item m="1" x="2244"/>
        <item m="1" x="3135"/>
        <item m="1" x="3247"/>
        <item m="1" x="4333"/>
        <item m="1" x="5525"/>
        <item m="1" x="5603"/>
        <item m="1" x="942"/>
        <item m="1" x="1382"/>
        <item m="1" x="2054"/>
        <item m="1" x="2136"/>
        <item m="1" x="2980"/>
        <item m="1" x="4048"/>
        <item m="1" x="4119"/>
        <item m="1" x="5298"/>
        <item m="1" x="840"/>
        <item m="1" x="1240"/>
        <item m="1" x="6002"/>
        <item m="1" x="1931"/>
        <item m="1" x="2733"/>
        <item m="1" x="3823"/>
        <item m="1" x="4984"/>
        <item m="1" x="3356"/>
        <item m="1" x="4498"/>
        <item m="1" x="5698"/>
        <item m="1" x="5775"/>
        <item m="1" x="2172"/>
        <item m="1" x="3045"/>
        <item m="1" x="4164"/>
        <item m="1" x="4238"/>
        <item m="1" x="5427"/>
        <item m="1" x="539"/>
        <item m="1" x="706"/>
        <item m="1" x="4441"/>
        <item m="1" x="5623"/>
        <item m="1" x="1102"/>
        <item m="1" x="1653"/>
        <item m="1" x="2495"/>
        <item m="1" x="3434"/>
        <item m="1" x="523"/>
        <item m="1" x="3028"/>
        <item m="1" x="4132"/>
        <item m="1" x="5318"/>
        <item m="1" x="988"/>
        <item m="1" x="5370"/>
        <item m="1" x="2245"/>
        <item m="1" x="1958"/>
        <item m="1" x="2788"/>
        <item m="1" x="3842"/>
        <item m="1" x="3888"/>
        <item m="1" x="5078"/>
        <item m="1" x="1275"/>
        <item m="1" x="1903"/>
        <item m="1" x="2687"/>
        <item m="1" x="3675"/>
        <item m="1" x="2773"/>
        <item m="1" x="3790"/>
        <item m="1" x="4946"/>
        <item m="1" x="5038"/>
        <item m="1" x="1143"/>
        <item m="1" x="1714"/>
        <item m="1" x="2544"/>
        <item m="1" x="3497"/>
        <item m="1" x="4711"/>
        <item m="1" x="5887"/>
        <item m="1" x="1815"/>
        <item m="1" x="2609"/>
        <item m="1" x="3602"/>
        <item m="1" x="4787"/>
        <item m="1" x="3676"/>
        <item m="1" x="4859"/>
        <item m="1" x="6042"/>
        <item m="1" x="1088"/>
        <item m="1" x="1632"/>
        <item m="1" x="2387"/>
        <item m="1" x="3336"/>
        <item m="1" x="2462"/>
        <item m="1" x="3396"/>
        <item m="1" x="4556"/>
        <item m="1" x="4645"/>
        <item m="1" x="5823"/>
        <item m="1" x="677"/>
        <item m="1" x="966"/>
        <item m="1" x="1452"/>
        <item m="1" x="1529"/>
        <item m="1" x="2206"/>
        <item m="1" x="3092"/>
        <item m="1" x="3215"/>
        <item m="1" x="4294"/>
        <item m="1" x="5486"/>
        <item m="1" x="607"/>
        <item m="1" x="875"/>
        <item m="1" x="5059"/>
        <item m="1" x="1347"/>
        <item m="1" x="2019"/>
        <item m="1" x="2938"/>
        <item m="1" x="4006"/>
        <item m="1" x="570"/>
        <item m="1" x="2566"/>
        <item m="1" x="3571"/>
        <item m="1" x="4735"/>
        <item m="1" x="5911"/>
        <item m="1" x="4788"/>
        <item m="1" x="5974"/>
        <item m="1" x="1383"/>
        <item m="1" x="2055"/>
        <item m="1" x="2981"/>
        <item m="1" x="4049"/>
        <item m="1" x="5299"/>
        <item m="1" x="769"/>
        <item m="1" x="1144"/>
        <item m="1" x="1715"/>
        <item m="1" x="1773"/>
        <item m="1" x="2545"/>
        <item m="1" x="3498"/>
        <item m="1" x="3555"/>
        <item m="1" x="4712"/>
        <item m="1" x="5888"/>
        <item m="1" x="698"/>
        <item m="1" x="1024"/>
        <item m="1" x="5406"/>
        <item m="1" x="1580"/>
        <item m="1" x="2304"/>
        <item m="1" x="3277"/>
        <item m="1" x="4385"/>
        <item m="1" x="638"/>
        <item m="1" x="3928"/>
        <item m="1" x="5117"/>
        <item m="1" x="1423"/>
        <item m="1" x="3022"/>
        <item m="1" x="1816"/>
        <item m="1" x="2610"/>
        <item m="1" x="3603"/>
        <item m="1" x="4789"/>
        <item m="1" x="3677"/>
        <item m="1" x="4860"/>
        <item m="1" x="6043"/>
        <item m="1" x="514"/>
        <item m="1" x="608"/>
        <item m="1" x="876"/>
        <item m="1" x="5060"/>
        <item m="1" x="918"/>
        <item m="1" x="1348"/>
        <item m="1" x="2020"/>
        <item m="1" x="2107"/>
        <item m="1" x="2939"/>
        <item m="1" x="4007"/>
        <item m="1" x="499"/>
        <item m="1" x="571"/>
        <item m="1" x="2567"/>
        <item m="1" x="3572"/>
        <item m="1" x="4736"/>
        <item m="1" x="5912"/>
        <item m="1" x="823"/>
        <item m="1" x="4790"/>
        <item m="1" x="5975"/>
        <item m="1" x="1904"/>
        <item m="1" x="1586"/>
        <item m="1" x="2348"/>
        <item m="1" x="3297"/>
        <item m="1" x="4415"/>
        <item m="1" x="3337"/>
        <item m="1" x="4469"/>
        <item m="1" x="5675"/>
        <item m="1" x="1552"/>
        <item m="1" x="2246"/>
        <item m="1" x="3136"/>
        <item m="1" x="3248"/>
        <item m="1" x="4334"/>
        <item m="1" x="5526"/>
        <item m="1" x="5604"/>
        <item m="1" x="943"/>
        <item m="1" x="1384"/>
        <item m="1" x="2056"/>
        <item m="1" x="2137"/>
        <item m="1" x="2982"/>
        <item m="1" x="4050"/>
        <item m="1" x="4120"/>
        <item m="1" x="5300"/>
        <item m="1" x="2173"/>
        <item m="1" x="3046"/>
        <item m="1" x="4165"/>
        <item m="1" x="4239"/>
        <item m="1" x="5428"/>
        <item m="1" x="1318"/>
        <item m="1" x="1978"/>
        <item m="1" x="2819"/>
        <item m="1" x="2884"/>
        <item m="1" x="3953"/>
        <item m="1" x="5149"/>
        <item m="1" x="5233"/>
        <item m="1" x="583"/>
        <item m="1" x="786"/>
        <item m="1" x="1175"/>
        <item m="1" x="1785"/>
        <item m="1" x="1241"/>
        <item m="1" x="1838"/>
        <item m="1" x="2627"/>
        <item m="1" x="3628"/>
        <item m="1" x="2734"/>
        <item m="1" x="3728"/>
        <item m="1" x="4896"/>
        <item m="1" x="540"/>
        <item m="1" x="707"/>
        <item m="1" x="4442"/>
        <item m="1" x="5624"/>
        <item m="1" x="1103"/>
        <item m="1" x="1654"/>
        <item m="1" x="2496"/>
        <item m="1" x="3435"/>
        <item m="1" x="524"/>
        <item m="1" x="3029"/>
        <item m="1" x="4133"/>
        <item m="1" x="5319"/>
        <item m="1" x="989"/>
        <item m="1" x="5371"/>
        <item m="1" x="2247"/>
        <item m="1" x="1145"/>
        <item m="1" x="1716"/>
        <item m="1" x="2546"/>
        <item m="1" x="3499"/>
        <item m="1" x="4713"/>
        <item m="1" x="5889"/>
        <item m="1" x="1025"/>
        <item m="1" x="5407"/>
        <item m="1" x="2305"/>
        <item m="1" x="4386"/>
        <item m="1" x="3929"/>
        <item m="1" x="5118"/>
        <item m="1" x="1817"/>
        <item m="1" x="2611"/>
        <item m="1" x="3604"/>
        <item m="1" x="4791"/>
        <item m="1" x="3678"/>
        <item m="1" x="4861"/>
        <item m="1" x="6044"/>
        <item m="1" x="1089"/>
        <item m="1" x="1633"/>
        <item m="1" x="2388"/>
        <item m="1" x="3338"/>
        <item m="1" x="2463"/>
        <item m="1" x="3397"/>
        <item m="1" x="4557"/>
        <item m="1" x="4646"/>
        <item m="1" x="5824"/>
        <item m="1" x="572"/>
        <item m="1" x="2568"/>
        <item m="1" x="3573"/>
        <item m="1" x="4737"/>
        <item m="1" x="5913"/>
        <item m="1" x="4792"/>
        <item m="1" x="5976"/>
        <item m="1" x="1587"/>
        <item m="1" x="2349"/>
        <item m="1" x="3298"/>
        <item m="1" x="4416"/>
        <item m="1" x="3339"/>
        <item m="1" x="4470"/>
        <item m="1" x="5676"/>
        <item m="1" x="5754"/>
        <item m="1" x="1553"/>
        <item m="1" x="2248"/>
        <item m="1" x="3137"/>
        <item m="1" x="3249"/>
        <item m="1" x="4335"/>
        <item m="1" x="5527"/>
        <item m="1" x="426"/>
        <item m="1" x="5605"/>
        <item m="1" x="770"/>
        <item m="1" x="1146"/>
        <item m="1" x="1717"/>
        <item m="1" x="1774"/>
        <item m="1" x="2547"/>
        <item m="1" x="3500"/>
        <item m="1" x="3556"/>
        <item m="1" x="4714"/>
        <item m="1" x="5890"/>
        <item m="1" x="699"/>
        <item m="1" x="1026"/>
        <item m="1" x="5408"/>
        <item m="1" x="1581"/>
        <item m="1" x="2306"/>
        <item m="1" x="3278"/>
        <item m="1" x="4387"/>
        <item m="1" x="1090"/>
        <item m="1" x="1634"/>
        <item m="1" x="2389"/>
        <item m="1" x="3340"/>
        <item m="1" x="2464"/>
        <item m="1" x="3398"/>
        <item m="1" x="4558"/>
        <item m="1" x="4647"/>
        <item m="1" x="5825"/>
        <item m="1" x="678"/>
        <item m="1" x="967"/>
        <item m="1" x="1453"/>
        <item m="1" x="1530"/>
        <item m="1" x="2207"/>
        <item m="1" x="3093"/>
        <item m="1" x="3216"/>
        <item m="1" x="4295"/>
        <item m="1" x="5487"/>
        <item m="1" x="515"/>
        <item m="1" x="609"/>
        <item m="1" x="877"/>
        <item m="1" x="5061"/>
        <item m="1" x="919"/>
        <item m="1" x="1349"/>
        <item m="1" x="2021"/>
        <item m="1" x="2108"/>
        <item m="1" x="2940"/>
        <item m="1" x="4008"/>
        <item m="1" x="500"/>
        <item m="1" x="573"/>
        <item m="1" x="2569"/>
        <item m="1" x="3574"/>
        <item m="1" x="4738"/>
        <item m="1" x="5914"/>
        <item m="1" x="824"/>
        <item m="1" x="4793"/>
        <item m="1" x="5977"/>
        <item m="1" x="1905"/>
        <item m="1" x="1588"/>
        <item m="1" x="2350"/>
        <item m="1" x="3299"/>
        <item m="1" x="4417"/>
        <item m="1" x="3341"/>
        <item m="1" x="4471"/>
        <item m="1" x="5677"/>
        <item m="1" x="841"/>
        <item m="1" x="1242"/>
        <item m="1" x="6003"/>
        <item m="1" x="1932"/>
        <item m="1" x="2735"/>
        <item m="1" x="3824"/>
        <item m="1" x="4985"/>
        <item m="1" x="3357"/>
        <item m="1" x="4499"/>
        <item m="1" x="5699"/>
        <item m="1" x="5776"/>
        <item m="1" x="2174"/>
        <item m="1" x="3047"/>
        <item m="1" x="4166"/>
        <item m="1" x="4240"/>
        <item m="1" x="5429"/>
        <item m="1" x="1319"/>
        <item m="1" x="1979"/>
        <item m="1" x="2820"/>
        <item m="1" x="2885"/>
        <item m="1" x="3954"/>
        <item m="1" x="5150"/>
        <item m="1" x="5234"/>
        <item m="1" x="584"/>
        <item m="1" x="787"/>
        <item m="1" x="1176"/>
        <item m="1" x="1786"/>
        <item m="1" x="1243"/>
        <item m="1" x="1839"/>
        <item m="1" x="2628"/>
        <item m="1" x="3629"/>
        <item m="1" x="2736"/>
        <item m="1" x="3729"/>
        <item m="1" x="4897"/>
        <item m="1" x="1959"/>
        <item m="1" x="2789"/>
        <item m="1" x="3843"/>
        <item m="1" x="3889"/>
        <item m="1" x="5079"/>
        <item m="1" x="1276"/>
        <item m="1" x="1906"/>
        <item m="1" x="2688"/>
        <item m="1" x="3679"/>
        <item m="1" x="2774"/>
        <item m="1" x="3791"/>
        <item m="1" x="4947"/>
        <item m="1" x="5039"/>
        <item m="1" x="1147"/>
        <item m="1" x="1718"/>
        <item m="1" x="2548"/>
        <item m="1" x="3501"/>
        <item m="1" x="4715"/>
        <item m="1" x="5891"/>
        <item m="1" x="1027"/>
        <item m="1" x="5409"/>
        <item m="1" x="2307"/>
        <item m="1" x="4388"/>
        <item m="1" x="3930"/>
        <item m="1" x="5119"/>
        <item m="1" x="1531"/>
        <item m="1" x="2208"/>
        <item m="1" x="3094"/>
        <item m="1" x="3217"/>
        <item m="1" x="4296"/>
        <item m="1" x="5488"/>
        <item m="1" x="610"/>
        <item m="1" x="878"/>
        <item m="1" x="5062"/>
        <item m="1" x="1350"/>
        <item m="1" x="2022"/>
        <item m="1" x="2941"/>
        <item m="1" x="4009"/>
        <item m="1" x="574"/>
        <item m="1" x="2570"/>
        <item m="1" x="3575"/>
        <item m="1" x="4739"/>
        <item m="1" x="5915"/>
        <item m="1" x="4794"/>
        <item m="1" x="5978"/>
        <item m="1" x="1589"/>
        <item m="1" x="2351"/>
        <item m="1" x="3300"/>
        <item m="1" x="4418"/>
        <item m="1" x="3342"/>
        <item m="1" x="4472"/>
        <item m="1" x="5678"/>
        <item m="1" x="5755"/>
        <item m="1" x="1554"/>
        <item m="1" x="2249"/>
        <item m="1" x="3138"/>
        <item m="1" x="3250"/>
        <item m="1" x="4336"/>
        <item m="1" x="5528"/>
        <item m="1" x="427"/>
        <item m="1" x="5606"/>
        <item m="1" x="1943"/>
        <item m="1" x="2756"/>
        <item m="1" x="3753"/>
        <item m="1" x="3844"/>
        <item m="1" x="5007"/>
        <item m="1" x="760"/>
        <item m="1" x="4522"/>
        <item m="1" x="5721"/>
        <item m="1" x="1764"/>
        <item m="1" x="3546"/>
        <item m="1" x="3059"/>
        <item m="1" x="4178"/>
        <item m="1" x="5385"/>
        <item m="1" x="5451"/>
        <item m="1" x="1989"/>
        <item m="1" x="2830"/>
        <item m="1" x="3899"/>
        <item m="1" x="3974"/>
        <item m="1" x="5170"/>
        <item m="1" x="798"/>
        <item m="1" x="1187"/>
        <item m="1" x="1797"/>
        <item m="1" x="2582"/>
        <item m="1" x="1859"/>
        <item m="1" x="2648"/>
        <item m="1" x="3649"/>
        <item m="1" x="4830"/>
        <item m="1" x="3754"/>
        <item m="1" x="4921"/>
        <item m="1" x="501"/>
        <item m="1" x="2790"/>
        <item m="1" x="3852"/>
        <item m="1" x="5023"/>
        <item m="1" x="903"/>
        <item m="1" x="5089"/>
        <item m="1" x="2076"/>
        <item m="1" x="2701"/>
        <item m="1" x="3698"/>
        <item m="1" x="4874"/>
        <item m="1" x="4960"/>
        <item m="1" x="1153"/>
        <item m="1" x="1729"/>
        <item m="1" x="2474"/>
        <item m="1" x="3408"/>
        <item m="1" x="2554"/>
        <item m="1" x="3511"/>
        <item m="1" x="4657"/>
        <item m="1" x="5835"/>
        <item m="1" x="4740"/>
        <item m="1" x="5916"/>
        <item m="1" x="1032"/>
        <item m="1" x="1541"/>
        <item m="1" x="2320"/>
        <item m="1" x="3235"/>
        <item m="1" x="4419"/>
        <item m="1" x="5588"/>
        <item m="1" x="927"/>
        <item m="1" x="5131"/>
        <item m="1" x="2121"/>
        <item m="1" x="4104"/>
        <item m="1" x="973"/>
        <item m="1" x="1459"/>
        <item m="1" x="2164"/>
        <item m="1" x="2218"/>
        <item m="1" x="3104"/>
        <item m="1" x="4219"/>
        <item m="1" x="4314"/>
        <item m="1" x="5506"/>
        <item m="1" x="617"/>
        <item m="1" x="885"/>
        <item m="1" x="1303"/>
        <item m="1" x="1362"/>
        <item m="1" x="2034"/>
        <item m="1" x="2858"/>
        <item m="1" x="2960"/>
        <item m="1" x="4028"/>
        <item m="1" x="5207"/>
        <item m="1" x="575"/>
        <item m="1" x="773"/>
        <item m="1" x="4748"/>
        <item m="1" x="5930"/>
        <item m="1" x="1224"/>
        <item m="1" x="1824"/>
        <item m="1" x="2702"/>
        <item m="1" x="3699"/>
        <item m="1" x="2352"/>
        <item m="1" x="3301"/>
        <item m="1" x="4427"/>
        <item m="1" x="5596"/>
        <item m="1" x="4477"/>
        <item m="1" x="5683"/>
        <item m="1" x="2271"/>
        <item m="1" x="3160"/>
        <item m="1" x="4262"/>
        <item m="1" x="4359"/>
        <item m="1" x="5551"/>
        <item m="1" x="433"/>
        <item m="1" x="4523"/>
        <item m="1" x="5722"/>
        <item m="1" x="3060"/>
        <item m="1" x="4179"/>
        <item m="1" x="5386"/>
        <item m="1" x="5452"/>
        <item m="1" x="1990"/>
        <item m="1" x="2831"/>
        <item m="1" x="3900"/>
        <item m="1" x="3975"/>
        <item m="1" x="5171"/>
        <item m="1" x="799"/>
        <item m="1" x="1188"/>
        <item m="1" x="1798"/>
        <item m="1" x="2583"/>
        <item m="1" x="1860"/>
        <item m="1" x="2649"/>
        <item m="1" x="3650"/>
        <item m="1" x="4831"/>
        <item m="1" x="3755"/>
        <item m="1" x="4922"/>
        <item m="1" x="718"/>
        <item m="1" x="1068"/>
        <item m="1" x="1601"/>
        <item m="1" x="5640"/>
        <item m="1" x="1676"/>
        <item m="1" x="2429"/>
        <item m="1" x="3465"/>
        <item m="1" x="4612"/>
        <item m="1" x="2703"/>
        <item m="1" x="3700"/>
        <item m="1" x="4875"/>
        <item m="1" x="4961"/>
        <item m="1" x="461"/>
        <item m="1" x="1730"/>
        <item m="1" x="2475"/>
        <item m="1" x="3409"/>
        <item m="1" x="3512"/>
        <item m="1" x="4658"/>
        <item m="1" x="5836"/>
        <item m="1" x="451"/>
        <item m="1" x="5917"/>
        <item m="1" x="1399"/>
        <item m="1" x="2077"/>
        <item m="1" x="2905"/>
        <item m="1" x="2998"/>
        <item m="1" x="4073"/>
        <item m="1" x="5254"/>
        <item m="1" x="5320"/>
        <item m="1" x="847"/>
        <item m="1" x="1259"/>
        <item m="1" x="1861"/>
        <item m="1" x="1944"/>
        <item m="1" x="2757"/>
        <item m="1" x="3756"/>
        <item m="1" x="3845"/>
        <item m="1" x="5008"/>
        <item m="1" x="761"/>
        <item m="1" x="4524"/>
        <item m="1" x="5723"/>
        <item m="1" x="1765"/>
        <item m="1" x="3547"/>
        <item m="1" x="800"/>
        <item m="1" x="1189"/>
        <item m="1" x="1799"/>
        <item m="1" x="2584"/>
        <item m="1" x="1862"/>
        <item m="1" x="2650"/>
        <item m="1" x="3651"/>
        <item m="1" x="4832"/>
        <item m="1" x="3757"/>
        <item m="1" x="4923"/>
        <item m="1" x="547"/>
        <item m="1" x="719"/>
        <item m="1" x="1069"/>
        <item m="1" x="1602"/>
        <item m="1" x="5641"/>
        <item m="1" x="1121"/>
        <item m="1" x="1677"/>
        <item m="1" x="2430"/>
        <item m="1" x="2522"/>
        <item m="1" x="3466"/>
        <item m="1" x="4613"/>
        <item m="1" x="525"/>
        <item m="1" x="646"/>
        <item m="1" x="4136"/>
        <item m="1" x="5337"/>
        <item m="1" x="1001"/>
        <item m="1" x="1485"/>
        <item m="1" x="2272"/>
        <item m="1" x="3161"/>
        <item m="1" x="502"/>
        <item m="1" x="2791"/>
        <item m="1" x="3853"/>
        <item m="1" x="5024"/>
        <item m="1" x="904"/>
        <item m="1" x="5090"/>
        <item m="1" x="2078"/>
        <item m="1" x="2704"/>
        <item m="1" x="3701"/>
        <item m="1" x="4876"/>
        <item m="1" x="4962"/>
        <item m="1" x="928"/>
        <item m="1" x="5132"/>
        <item m="1" x="2122"/>
        <item m="1" x="4105"/>
        <item m="1" x="3612"/>
        <item m="1" x="4801"/>
        <item m="1" x="5985"/>
        <item m="1" x="6057"/>
        <item m="1" x="1639"/>
        <item m="1" x="2394"/>
        <item m="1" x="3347"/>
        <item m="1" x="4478"/>
        <item m="1" x="3410"/>
        <item m="1" x="4568"/>
        <item m="1" x="5765"/>
        <item m="1" x="5837"/>
        <item m="1" x="974"/>
        <item m="1" x="1460"/>
        <item m="1" x="2165"/>
        <item m="1" x="2219"/>
        <item m="1" x="3105"/>
        <item m="1" x="4220"/>
        <item m="1" x="4315"/>
        <item m="1" x="5507"/>
        <item m="1" x="618"/>
        <item m="1" x="886"/>
        <item m="1" x="1304"/>
        <item m="1" x="1363"/>
        <item m="1" x="2035"/>
        <item m="1" x="2859"/>
        <item m="1" x="2961"/>
        <item m="1" x="4029"/>
        <item m="1" x="5208"/>
        <item m="1" x="2273"/>
        <item m="1" x="3162"/>
        <item m="1" x="4263"/>
        <item m="1" x="4360"/>
        <item m="1" x="5552"/>
        <item m="1" x="434"/>
        <item m="1" x="1400"/>
        <item m="1" x="2079"/>
        <item m="1" x="2906"/>
        <item m="1" x="2999"/>
        <item m="1" x="4074"/>
        <item m="1" x="5255"/>
        <item m="1" x="404"/>
        <item m="1" x="5321"/>
        <item m="1" x="1260"/>
        <item m="1" x="1863"/>
        <item m="1" x="2758"/>
        <item m="1" x="3758"/>
        <item m="1" x="5009"/>
        <item m="1" x="4525"/>
        <item m="1" x="5724"/>
        <item m="1" x="3061"/>
        <item m="1" x="4180"/>
        <item m="1" x="5387"/>
        <item m="1" x="5453"/>
        <item m="1" x="720"/>
        <item m="1" x="1070"/>
        <item m="1" x="1603"/>
        <item m="1" x="5642"/>
        <item m="1" x="1678"/>
        <item m="1" x="2431"/>
        <item m="1" x="3467"/>
        <item m="1" x="4614"/>
        <item m="1" x="647"/>
        <item m="1" x="4137"/>
        <item m="1" x="5338"/>
        <item m="1" x="1486"/>
        <item m="1" x="3163"/>
        <item m="1" x="1401"/>
        <item m="1" x="2080"/>
        <item m="1" x="2907"/>
        <item m="1" x="3000"/>
        <item m="1" x="4075"/>
        <item m="1" x="5256"/>
        <item m="1" x="5322"/>
        <item m="1" x="848"/>
        <item m="1" x="1261"/>
        <item m="1" x="1864"/>
        <item m="1" x="1945"/>
        <item m="1" x="2759"/>
        <item m="1" x="3759"/>
        <item m="1" x="3846"/>
        <item m="1" x="5010"/>
        <item m="1" x="762"/>
        <item m="1" x="4526"/>
        <item m="1" x="5725"/>
        <item m="1" x="1766"/>
        <item m="1" x="3548"/>
        <item m="1" x="801"/>
        <item m="1" x="1190"/>
        <item m="1" x="1800"/>
        <item m="1" x="2585"/>
        <item m="1" x="1865"/>
        <item m="1" x="2651"/>
        <item m="1" x="3652"/>
        <item m="1" x="4833"/>
        <item m="1" x="3760"/>
        <item m="1" x="4924"/>
        <item m="1" x="548"/>
        <item m="1" x="721"/>
        <item m="1" x="1071"/>
        <item m="1" x="1604"/>
        <item m="1" x="5643"/>
        <item m="1" x="1122"/>
        <item m="1" x="1679"/>
        <item m="1" x="2432"/>
        <item m="1" x="2523"/>
        <item m="1" x="3468"/>
        <item m="1" x="4615"/>
        <item m="1" x="526"/>
        <item m="1" x="648"/>
        <item m="1" x="4138"/>
        <item m="1" x="5339"/>
        <item m="1" x="1002"/>
        <item m="1" x="1487"/>
        <item m="1" x="2274"/>
        <item m="1" x="3164"/>
        <item m="1" x="503"/>
        <item m="1" x="2792"/>
        <item m="1" x="3854"/>
        <item m="1" x="5025"/>
        <item m="1" x="905"/>
        <item m="1" x="5091"/>
        <item m="1" x="2081"/>
        <item m="1" x="2705"/>
        <item m="1" x="3702"/>
        <item m="1" x="4877"/>
        <item m="1" x="4963"/>
        <item m="1" x="929"/>
        <item m="1" x="5133"/>
        <item m="1" x="2123"/>
        <item m="1" x="4106"/>
        <item m="1" x="3613"/>
        <item m="1" x="4802"/>
        <item m="1" x="5986"/>
        <item m="1" x="6058"/>
        <item m="1" x="1640"/>
        <item m="1" x="2395"/>
        <item m="1" x="3348"/>
        <item m="1" x="4479"/>
        <item m="1" x="3411"/>
        <item m="1" x="4569"/>
        <item m="1" x="5766"/>
        <item m="1" x="5838"/>
        <item m="1" x="975"/>
        <item m="1" x="1461"/>
        <item m="1" x="2166"/>
        <item m="1" x="2220"/>
        <item m="1" x="3106"/>
        <item m="1" x="4221"/>
        <item m="1" x="4316"/>
        <item m="1" x="5508"/>
        <item m="1" x="619"/>
        <item m="1" x="887"/>
        <item m="1" x="1305"/>
        <item m="1" x="1364"/>
        <item m="1" x="2036"/>
        <item m="1" x="2860"/>
        <item m="1" x="2962"/>
        <item m="1" x="4030"/>
        <item m="1" x="5209"/>
        <item m="1" x="2275"/>
        <item m="1" x="3165"/>
        <item m="1" x="4264"/>
        <item m="1" x="4361"/>
        <item m="1" x="5553"/>
        <item m="1" x="435"/>
        <item m="1" x="1402"/>
        <item m="1" x="2082"/>
        <item m="1" x="2908"/>
        <item m="1" x="3001"/>
        <item m="1" x="4076"/>
        <item m="1" x="5257"/>
        <item m="1" x="405"/>
        <item m="1" x="5323"/>
        <item m="1" x="1262"/>
        <item m="1" x="1866"/>
        <item m="1" x="2760"/>
        <item m="1" x="3761"/>
        <item m="1" x="5011"/>
        <item m="1" x="4527"/>
        <item m="1" x="5726"/>
        <item m="1" x="3062"/>
        <item m="1" x="4181"/>
        <item m="1" x="5388"/>
        <item m="1" x="5454"/>
        <item m="1" x="722"/>
        <item m="1" x="1072"/>
        <item m="1" x="1605"/>
        <item m="1" x="5644"/>
        <item m="1" x="1680"/>
        <item m="1" x="2433"/>
        <item m="1" x="3469"/>
        <item m="1" x="4616"/>
        <item m="1" x="649"/>
        <item m="1" x="4139"/>
        <item m="1" x="5340"/>
        <item m="1" x="1488"/>
        <item m="1" x="3166"/>
        <item m="1" x="2793"/>
        <item m="1" x="3855"/>
        <item m="1" x="5026"/>
        <item m="1" x="5092"/>
        <item m="1" x="2706"/>
        <item m="1" x="3703"/>
        <item m="1" x="4878"/>
        <item m="1" x="4964"/>
        <item m="1" x="462"/>
        <item m="1" x="1731"/>
        <item m="1" x="2476"/>
        <item m="1" x="3412"/>
        <item m="1" x="3513"/>
        <item m="1" x="4659"/>
        <item m="1" x="5839"/>
        <item m="1" x="452"/>
        <item m="1" x="5918"/>
        <item m="1" x="763"/>
        <item m="1" x="4528"/>
        <item m="1" x="5727"/>
        <item m="1" x="1767"/>
        <item m="1" x="3549"/>
        <item m="1" x="3063"/>
        <item m="1" x="4182"/>
        <item m="1" x="5389"/>
        <item m="1" x="5455"/>
        <item m="1" x="1991"/>
        <item m="1" x="2832"/>
        <item m="1" x="3901"/>
        <item m="1" x="3976"/>
        <item m="1" x="5172"/>
        <item m="1" x="802"/>
        <item m="1" x="1191"/>
        <item m="1" x="1801"/>
        <item m="1" x="2586"/>
        <item m="1" x="1867"/>
        <item m="1" x="2652"/>
        <item m="1" x="3653"/>
        <item m="1" x="4834"/>
        <item m="1" x="3762"/>
        <item m="1" x="4925"/>
        <item m="1" x="549"/>
        <item m="1" x="723"/>
        <item m="1" x="1073"/>
        <item m="1" x="1606"/>
        <item m="1" x="5645"/>
        <item m="1" x="1123"/>
        <item m="1" x="1681"/>
        <item m="1" x="2434"/>
        <item m="1" x="2524"/>
        <item m="1" x="3470"/>
        <item m="1" x="4617"/>
        <item m="1" x="2707"/>
        <item m="1" x="3704"/>
        <item m="1" x="4879"/>
        <item m="1" x="4965"/>
        <item m="1" x="1154"/>
        <item m="1" x="1732"/>
        <item m="1" x="2477"/>
        <item m="1" x="3413"/>
        <item m="1" x="2555"/>
        <item m="1" x="3514"/>
        <item m="1" x="4660"/>
        <item m="1" x="5840"/>
        <item m="1" x="4741"/>
        <item m="1" x="5919"/>
        <item m="1" x="1033"/>
        <item m="1" x="1542"/>
        <item m="1" x="2321"/>
        <item m="1" x="3236"/>
        <item m="1" x="4420"/>
        <item m="1" x="5589"/>
        <item m="1" x="930"/>
        <item m="1" x="5134"/>
        <item m="1" x="2124"/>
        <item m="1" x="4107"/>
        <item m="1" x="3614"/>
        <item m="1" x="4803"/>
        <item m="1" x="5987"/>
        <item m="1" x="6059"/>
        <item m="1" x="620"/>
        <item m="1" x="888"/>
        <item m="1" x="1306"/>
        <item m="1" x="1365"/>
        <item m="1" x="2037"/>
        <item m="1" x="2861"/>
        <item m="1" x="2963"/>
        <item m="1" x="4031"/>
        <item m="1" x="5210"/>
        <item m="1" x="576"/>
        <item m="1" x="774"/>
        <item m="1" x="4749"/>
        <item m="1" x="5931"/>
        <item m="1" x="1225"/>
        <item m="1" x="1825"/>
        <item m="1" x="2708"/>
        <item m="1" x="3705"/>
        <item m="1" x="2353"/>
        <item m="1" x="3302"/>
        <item m="1" x="4428"/>
        <item m="1" x="5597"/>
        <item m="1" x="4480"/>
        <item m="1" x="5684"/>
        <item m="1" x="2276"/>
        <item m="1" x="3167"/>
        <item m="1" x="4265"/>
        <item m="1" x="4362"/>
        <item m="1" x="5554"/>
        <item m="1" x="436"/>
        <item m="1" x="1403"/>
        <item m="1" x="2083"/>
        <item m="1" x="2909"/>
        <item m="1" x="3002"/>
        <item m="1" x="4077"/>
        <item m="1" x="5258"/>
        <item m="1" x="406"/>
        <item m="1" x="5324"/>
        <item m="1" x="3064"/>
        <item m="1" x="4183"/>
        <item m="1" x="5390"/>
        <item m="1" x="5456"/>
        <item m="1" x="1992"/>
        <item m="1" x="2833"/>
        <item m="1" x="3902"/>
        <item m="1" x="3977"/>
        <item m="1" x="5173"/>
        <item m="1" x="803"/>
        <item m="1" x="1192"/>
        <item m="1" x="1802"/>
        <item m="1" x="2587"/>
        <item m="1" x="1868"/>
        <item m="1" x="2653"/>
        <item m="1" x="3654"/>
        <item m="1" x="4835"/>
        <item m="1" x="3763"/>
        <item m="1" x="4926"/>
        <item m="1" x="724"/>
        <item m="1" x="1074"/>
        <item m="1" x="1607"/>
        <item m="1" x="5646"/>
        <item m="1" x="1682"/>
        <item m="1" x="2435"/>
        <item m="1" x="3471"/>
        <item m="1" x="4618"/>
        <item m="1" x="650"/>
        <item m="1" x="4140"/>
        <item m="1" x="5341"/>
        <item m="1" x="1489"/>
        <item m="1" x="3168"/>
        <item m="1" x="1404"/>
        <item m="1" x="2084"/>
        <item m="1" x="2910"/>
        <item m="1" x="3003"/>
        <item m="1" x="4078"/>
        <item m="1" x="5259"/>
        <item m="1" x="5325"/>
        <item m="1" x="849"/>
        <item m="1" x="1263"/>
        <item m="1" x="1869"/>
        <item m="1" x="1946"/>
        <item m="1" x="2761"/>
        <item m="1" x="3764"/>
        <item m="1" x="3847"/>
        <item m="1" x="5012"/>
        <item m="1" x="764"/>
        <item m="1" x="4529"/>
        <item m="1" x="5728"/>
        <item m="1" x="1768"/>
        <item m="1" x="3550"/>
        <item m="1" x="3065"/>
        <item m="1" x="4184"/>
        <item m="1" x="5391"/>
        <item m="1" x="5457"/>
        <item m="1" x="1993"/>
        <item m="1" x="2834"/>
        <item m="1" x="3903"/>
        <item m="1" x="3978"/>
        <item m="1" x="5174"/>
        <item m="1" x="527"/>
        <item m="1" x="651"/>
        <item m="1" x="4141"/>
        <item m="1" x="5342"/>
        <item m="1" x="1003"/>
        <item m="1" x="1490"/>
        <item m="1" x="2277"/>
        <item m="1" x="3169"/>
        <item m="1" x="504"/>
        <item m="1" x="2794"/>
        <item m="1" x="3856"/>
        <item m="1" x="5027"/>
        <item m="1" x="906"/>
        <item m="1" x="5093"/>
        <item m="1" x="2085"/>
        <item m="1" x="2709"/>
        <item m="1" x="3706"/>
        <item m="1" x="4880"/>
        <item m="1" x="4966"/>
        <item m="1" x="1155"/>
        <item m="1" x="1733"/>
        <item m="1" x="2478"/>
        <item m="1" x="3414"/>
        <item m="1" x="2556"/>
        <item m="1" x="3515"/>
        <item m="1" x="4661"/>
        <item m="1" x="5841"/>
        <item m="1" x="4742"/>
        <item m="1" x="5920"/>
        <item m="1" x="1034"/>
        <item m="1" x="1543"/>
        <item m="1" x="2322"/>
        <item m="1" x="3237"/>
        <item m="1" x="4421"/>
        <item m="1" x="5590"/>
        <item m="1" x="1641"/>
        <item m="1" x="2396"/>
        <item m="1" x="3349"/>
        <item m="1" x="4481"/>
        <item m="1" x="3415"/>
        <item m="1" x="4570"/>
        <item m="1" x="5767"/>
        <item m="1" x="5842"/>
        <item m="1" x="976"/>
        <item m="1" x="1462"/>
        <item m="1" x="2167"/>
        <item m="1" x="2221"/>
        <item m="1" x="3107"/>
        <item m="1" x="4222"/>
        <item m="1" x="4317"/>
        <item m="1" x="5509"/>
        <item m="1" x="621"/>
        <item m="1" x="889"/>
        <item m="1" x="1307"/>
        <item m="1" x="1366"/>
        <item m="1" x="2038"/>
        <item m="1" x="2862"/>
        <item m="1" x="2964"/>
        <item m="1" x="4032"/>
        <item m="1" x="5211"/>
        <item m="1" x="577"/>
        <item m="1" x="775"/>
        <item m="1" x="4750"/>
        <item m="1" x="5932"/>
        <item m="1" x="1226"/>
        <item m="1" x="1826"/>
        <item m="1" x="2710"/>
        <item m="1" x="3707"/>
        <item m="1" x="2354"/>
        <item m="1" x="3303"/>
        <item m="1" x="4429"/>
        <item m="1" x="5598"/>
        <item m="1" x="4482"/>
        <item m="1" x="5685"/>
        <item m="1" x="1264"/>
        <item m="1" x="1870"/>
        <item m="1" x="2762"/>
        <item m="1" x="3765"/>
        <item m="1" x="5013"/>
        <item m="1" x="4530"/>
        <item m="1" x="5729"/>
        <item m="1" x="3066"/>
        <item m="1" x="4185"/>
        <item m="1" x="5392"/>
        <item m="1" x="5458"/>
        <item m="1" x="1994"/>
        <item m="1" x="2835"/>
        <item m="1" x="3904"/>
        <item m="1" x="3979"/>
        <item m="1" x="5175"/>
        <item m="1" x="804"/>
        <item m="1" x="1193"/>
        <item m="1" x="1803"/>
        <item m="1" x="2588"/>
        <item m="1" x="1871"/>
        <item m="1" x="2654"/>
        <item m="1" x="3655"/>
        <item m="1" x="4836"/>
        <item m="1" x="3766"/>
        <item m="1" x="4927"/>
        <item m="1" x="2795"/>
        <item m="1" x="3857"/>
        <item m="1" x="5028"/>
        <item m="1" x="5094"/>
        <item m="1" x="2711"/>
        <item m="1" x="3708"/>
        <item m="1" x="4881"/>
        <item m="1" x="4967"/>
        <item m="1" x="463"/>
        <item m="1" x="1734"/>
        <item m="1" x="2479"/>
        <item m="1" x="3416"/>
        <item m="1" x="3516"/>
        <item m="1" x="4662"/>
        <item m="1" x="5843"/>
        <item m="1" x="453"/>
        <item m="1" x="5921"/>
        <item m="1" x="1405"/>
        <item m="1" x="2086"/>
        <item m="1" x="2911"/>
        <item m="1" x="3004"/>
        <item m="1" x="4079"/>
        <item m="1" x="5260"/>
        <item m="1" x="5326"/>
        <item m="1" x="850"/>
        <item m="1" x="1265"/>
        <item m="1" x="1872"/>
        <item m="1" x="1947"/>
        <item m="1" x="2763"/>
        <item m="1" x="3767"/>
        <item m="1" x="3848"/>
        <item m="1" x="5014"/>
        <item m="1" x="1995"/>
        <item m="1" x="2836"/>
        <item m="1" x="3905"/>
        <item m="1" x="3980"/>
        <item m="1" x="5176"/>
        <item m="1" x="805"/>
        <item m="1" x="1194"/>
        <item m="1" x="1804"/>
        <item m="1" x="2589"/>
        <item m="1" x="1873"/>
        <item m="1" x="2655"/>
        <item m="1" x="3656"/>
        <item m="1" x="4837"/>
        <item m="1" x="3768"/>
        <item m="1" x="4928"/>
        <item m="1" x="550"/>
        <item m="1" x="725"/>
        <item m="1" x="1075"/>
        <item m="1" x="1608"/>
        <item m="1" x="1124"/>
        <item m="1" x="1683"/>
        <item m="1" x="2436"/>
        <item m="1" x="2525"/>
        <item m="1" x="3472"/>
        <item m="1" x="4619"/>
        <item m="1" x="528"/>
        <item m="1" x="652"/>
        <item m="1" x="4142"/>
        <item m="1" x="5343"/>
        <item m="1" x="1004"/>
        <item m="1" x="1491"/>
        <item m="1" x="2278"/>
        <item m="1" x="3170"/>
        <item m="1" x="505"/>
        <item m="1" x="2796"/>
        <item m="1" x="3858"/>
        <item m="1" x="5029"/>
        <item m="1" x="907"/>
        <item m="1" x="5095"/>
        <item m="1" x="2087"/>
        <item m="1" x="1035"/>
        <item m="1" x="1544"/>
        <item m="1" x="2323"/>
        <item m="1" x="3238"/>
        <item m="1" x="4422"/>
        <item m="1" x="5591"/>
        <item m="1" x="931"/>
        <item m="1" x="5135"/>
        <item m="1" x="2125"/>
        <item m="1" x="4108"/>
        <item m="1" x="3615"/>
        <item m="1" x="4804"/>
        <item m="1" x="5988"/>
        <item m="1" x="6060"/>
        <item m="1" x="1642"/>
        <item m="1" x="2397"/>
        <item m="1" x="3350"/>
        <item m="1" x="4483"/>
        <item m="1" x="3417"/>
        <item m="1" x="4571"/>
        <item m="1" x="5768"/>
        <item m="1" x="5844"/>
        <item m="1" x="977"/>
        <item m="1" x="1463"/>
        <item m="1" x="2168"/>
        <item m="1" x="2222"/>
        <item m="1" x="3108"/>
        <item m="1" x="4223"/>
        <item m="1" x="4318"/>
        <item m="1" x="5510"/>
        <item m="1" x="2355"/>
        <item m="1" x="3304"/>
        <item m="1" x="4430"/>
        <item m="1" x="5599"/>
        <item m="1" x="4484"/>
        <item m="1" x="5686"/>
        <item m="1" x="2279"/>
        <item m="1" x="3171"/>
        <item m="1" x="4266"/>
        <item m="1" x="4363"/>
        <item m="1" x="5555"/>
        <item m="1" x="437"/>
        <item m="1" x="1406"/>
        <item m="1" x="2088"/>
        <item m="1" x="2912"/>
        <item m="1" x="3005"/>
        <item m="1" x="4080"/>
        <item m="1" x="5261"/>
        <item m="1" x="407"/>
        <item m="1" x="5327"/>
        <item m="1" x="1266"/>
        <item m="1" x="1874"/>
        <item m="1" x="2764"/>
        <item m="1" x="3769"/>
        <item m="1" x="5015"/>
        <item m="1" x="4531"/>
        <item m="1" x="5730"/>
        <item m="1" x="806"/>
        <item m="1" x="1195"/>
        <item m="1" x="1805"/>
        <item m="1" x="2590"/>
        <item m="1" x="1875"/>
        <item m="1" x="2656"/>
        <item m="1" x="3657"/>
        <item m="1" x="4838"/>
        <item m="1" x="3770"/>
        <item m="1" x="4929"/>
        <item m="1" x="726"/>
        <item m="1" x="1076"/>
        <item m="1" x="1609"/>
        <item m="1" x="1684"/>
        <item m="1" x="2437"/>
        <item m="1" x="3473"/>
        <item m="1" x="4620"/>
        <item m="1" x="653"/>
        <item m="1" x="4143"/>
        <item m="1" x="5344"/>
        <item m="1" x="1492"/>
        <item m="1" x="3172"/>
        <item m="1" x="2797"/>
        <item m="1" x="3859"/>
        <item m="1" x="5030"/>
        <item m="1" x="5096"/>
        <item m="1" x="2712"/>
        <item m="1" x="3709"/>
        <item m="1" x="4882"/>
        <item m="1" x="4968"/>
        <item m="1" x="464"/>
        <item m="1" x="765"/>
        <item m="1" x="4532"/>
        <item m="1" x="5731"/>
        <item m="1" x="1769"/>
        <item m="1" x="3551"/>
        <item m="1" x="3067"/>
        <item m="1" x="4186"/>
        <item m="1" x="5393"/>
        <item m="1" x="5459"/>
        <item m="1" x="1996"/>
        <item m="1" x="2837"/>
        <item m="1" x="3906"/>
        <item m="1" x="3981"/>
        <item m="1" x="5177"/>
        <item m="1" x="807"/>
        <item m="1" x="1196"/>
        <item m="1" x="1806"/>
        <item m="1" x="2591"/>
        <item m="1" x="1876"/>
        <item m="1" x="2657"/>
        <item m="1" x="3658"/>
        <item m="1" x="4839"/>
        <item m="1" x="3771"/>
        <item m="1" x="4930"/>
        <item m="1" x="551"/>
        <item m="1" x="727"/>
        <item m="1" x="1077"/>
        <item m="1" x="1610"/>
        <item m="1" x="5647"/>
        <item m="1" x="1125"/>
        <item m="1" x="1685"/>
        <item m="1" x="2438"/>
        <item m="1" x="2526"/>
        <item m="1" x="3474"/>
        <item m="1" x="4621"/>
        <item m="1" x="2713"/>
        <item m="1" x="3710"/>
        <item m="1" x="4883"/>
        <item m="1" x="4969"/>
        <item m="1" x="1156"/>
        <item m="1" x="1735"/>
        <item m="1" x="2480"/>
        <item m="1" x="3418"/>
        <item m="1" x="2557"/>
        <item m="1" x="3517"/>
        <item m="1" x="4663"/>
        <item m="1" x="5845"/>
        <item m="1" x="4743"/>
        <item m="1" x="5922"/>
        <item m="1" x="1036"/>
        <item m="1" x="1545"/>
        <item m="1" x="2324"/>
        <item m="1" x="3239"/>
        <item m="1" x="4423"/>
        <item m="1" x="5592"/>
        <item m="1" x="932"/>
        <item m="1" x="5136"/>
        <item m="1" x="2126"/>
        <item m="1" x="4109"/>
        <item m="1" x="3616"/>
        <item m="1" x="4805"/>
        <item m="1" x="5989"/>
        <item m="1" x="6061"/>
        <item m="1" x="622"/>
        <item m="1" x="890"/>
        <item m="1" x="1308"/>
        <item m="1" x="1367"/>
        <item m="1" x="2039"/>
        <item m="1" x="2863"/>
        <item m="1" x="2965"/>
        <item m="1" x="4033"/>
        <item m="1" x="5212"/>
        <item m="1" x="578"/>
        <item m="1" x="776"/>
        <item m="1" x="4751"/>
        <item m="1" x="5933"/>
        <item m="1" x="1227"/>
        <item m="1" x="1827"/>
        <item m="1" x="2714"/>
        <item m="1" x="3711"/>
        <item m="1" x="2356"/>
        <item m="1" x="3305"/>
        <item m="1" x="4431"/>
        <item m="1" x="5600"/>
        <item m="1" x="4485"/>
        <item m="1" x="5687"/>
        <item m="1" x="2280"/>
        <item m="1" x="3173"/>
        <item m="1" x="4267"/>
        <item m="1" x="4364"/>
        <item m="1" x="5556"/>
        <item m="1" x="438"/>
        <item m="1" x="1407"/>
        <item m="1" x="2089"/>
        <item m="1" x="2913"/>
        <item m="1" x="3006"/>
        <item m="1" x="4081"/>
        <item m="1" x="5262"/>
        <item m="1" x="408"/>
        <item m="1" x="5328"/>
        <item m="1" x="3068"/>
        <item m="1" x="4187"/>
        <item m="1" x="5394"/>
        <item m="1" x="5460"/>
        <item m="1" x="1997"/>
        <item m="1" x="2838"/>
        <item m="1" x="3907"/>
        <item m="1" x="3982"/>
        <item m="1" x="5178"/>
        <item m="1" x="808"/>
        <item m="1" x="1197"/>
        <item m="1" x="1807"/>
        <item m="1" x="2592"/>
        <item m="1" x="1877"/>
        <item m="1" x="2658"/>
        <item m="1" x="3659"/>
        <item m="1" x="4840"/>
        <item m="1" x="3772"/>
        <item m="1" x="4931"/>
        <item m="1" x="728"/>
        <item m="1" x="1078"/>
        <item m="1" x="1611"/>
        <item m="1" x="5648"/>
        <item m="1" x="1686"/>
        <item m="1" x="2439"/>
        <item m="1" x="3475"/>
        <item m="1" x="4622"/>
        <item m="1" x="654"/>
        <item m="1" x="4144"/>
        <item m="1" x="5345"/>
        <item m="1" x="1493"/>
        <item m="1" x="3174"/>
        <item m="1" x="1736"/>
        <item m="1" x="2481"/>
        <item m="1" x="3419"/>
        <item m="1" x="3518"/>
        <item m="1" x="4664"/>
        <item m="1" x="5846"/>
        <item m="1" x="454"/>
        <item m="1" x="5923"/>
        <item m="1" x="1408"/>
        <item m="1" x="2090"/>
        <item m="1" x="2914"/>
        <item m="1" x="3007"/>
        <item m="1" x="4082"/>
        <item m="1" x="5263"/>
        <item m="1" x="5329"/>
        <item m="1" x="851"/>
        <item m="1" x="1267"/>
        <item m="1" x="1878"/>
        <item m="1" x="1948"/>
        <item m="1" x="2765"/>
        <item m="1" x="3773"/>
        <item m="1" x="3849"/>
        <item m="1" x="5016"/>
        <item m="1" x="766"/>
        <item m="1" x="4533"/>
        <item m="1" x="5732"/>
        <item m="1" x="1770"/>
        <item m="1" x="3552"/>
        <item m="1" x="3069"/>
        <item m="1" x="4188"/>
        <item m="1" x="5395"/>
        <item m="1" x="5461"/>
        <item m="1" x="552"/>
        <item m="1" x="729"/>
        <item m="1" x="1079"/>
        <item m="1" x="1612"/>
        <item m="1" x="5649"/>
        <item m="1" x="1126"/>
        <item m="1" x="1687"/>
        <item m="1" x="2440"/>
        <item m="1" x="2527"/>
        <item m="1" x="3476"/>
        <item m="1" x="4623"/>
        <item m="1" x="529"/>
        <item m="1" x="655"/>
        <item m="1" x="4145"/>
        <item m="1" x="5346"/>
        <item m="1" x="1005"/>
        <item m="1" x="1494"/>
        <item m="1" x="2281"/>
        <item m="1" x="3175"/>
        <item m="1" x="506"/>
        <item m="1" x="2798"/>
        <item m="1" x="3860"/>
        <item m="1" x="5031"/>
        <item m="1" x="908"/>
        <item m="1" x="5097"/>
        <item m="1" x="2091"/>
        <item m="1" x="2715"/>
        <item m="1" x="3712"/>
        <item m="1" x="4884"/>
        <item m="1" x="4970"/>
        <item m="1" x="1157"/>
        <item m="1" x="1737"/>
        <item m="1" x="2482"/>
        <item m="1" x="3420"/>
        <item m="1" x="2558"/>
        <item m="1" x="3519"/>
        <item m="1" x="4665"/>
        <item m="1" x="5847"/>
        <item m="1" x="4744"/>
        <item m="1" x="5924"/>
        <item m="1" x="3617"/>
        <item m="1" x="4806"/>
        <item m="1" x="5990"/>
        <item m="1" x="1643"/>
        <item m="1" x="2398"/>
        <item m="1" x="3351"/>
        <item m="1" x="4486"/>
        <item m="1" x="3421"/>
        <item m="1" x="4572"/>
        <item m="1" x="5769"/>
        <item m="1" x="5848"/>
        <item m="1" x="978"/>
        <item m="1" x="1464"/>
        <item m="1" x="2169"/>
        <item m="1" x="2223"/>
        <item m="1" x="3109"/>
        <item m="1" x="4224"/>
        <item m="1" x="4319"/>
        <item m="1" x="5511"/>
        <item m="1" x="623"/>
        <item m="1" x="891"/>
        <item m="1" x="1309"/>
        <item m="1" x="1368"/>
        <item m="1" x="2040"/>
        <item m="1" x="2864"/>
        <item m="1" x="2966"/>
        <item m="1" x="4034"/>
        <item m="1" x="5213"/>
        <item m="1" x="579"/>
        <item m="1" x="777"/>
        <item m="1" x="4752"/>
        <item m="1" x="5934"/>
        <item m="1" x="1228"/>
        <item m="1" x="1828"/>
        <item m="1" x="2716"/>
        <item m="1" x="3713"/>
        <item m="1" x="1409"/>
        <item m="1" x="2092"/>
        <item m="1" x="2915"/>
        <item m="1" x="3008"/>
        <item m="1" x="4083"/>
        <item m="1" x="5264"/>
        <item m="1" x="409"/>
        <item m="1" x="5330"/>
        <item m="1" x="1268"/>
        <item m="1" x="1879"/>
        <item m="1" x="2766"/>
        <item m="1" x="3774"/>
        <item m="1" x="5017"/>
        <item m="1" x="4534"/>
        <item m="1" x="5733"/>
        <item m="1" x="3070"/>
        <item m="1" x="4189"/>
        <item m="1" x="5396"/>
        <item m="1" x="5462"/>
        <item m="1" x="1998"/>
        <item m="1" x="2839"/>
        <item m="1" x="3908"/>
        <item m="1" x="3983"/>
        <item m="1" x="5179"/>
        <item m="1" x="656"/>
        <item m="1" x="4146"/>
        <item m="1" x="5347"/>
        <item m="1" x="1495"/>
        <item m="1" x="3176"/>
        <item m="1" x="2799"/>
        <item m="1" x="3861"/>
        <item m="1" x="5032"/>
        <item m="1" x="5098"/>
        <item m="1" x="2717"/>
        <item m="1" x="3714"/>
        <item m="1" x="4885"/>
        <item m="1" x="4971"/>
        <item m="1" x="465"/>
        <item m="1" x="1738"/>
        <item m="1" x="2483"/>
        <item m="1" x="3422"/>
        <item m="1" x="3520"/>
        <item m="1" x="4666"/>
        <item m="1" x="5849"/>
        <item m="1" x="455"/>
        <item m="1" x="5925"/>
        <item m="1" x="1410"/>
        <item m="1" x="2093"/>
        <item m="1" x="2916"/>
        <item m="1" x="3009"/>
        <item m="1" x="4084"/>
        <item m="1" x="5265"/>
        <item m="1" x="5331"/>
        <item m="1" x="3071"/>
        <item m="1" x="4190"/>
        <item m="1" x="5397"/>
        <item m="1" x="5463"/>
        <item m="1" x="1999"/>
        <item m="1" x="2840"/>
        <item m="1" x="3909"/>
        <item m="1" x="3984"/>
        <item m="1" x="5180"/>
        <item m="1" x="809"/>
        <item m="1" x="1198"/>
        <item m="1" x="1808"/>
        <item m="1" x="2593"/>
        <item m="1" x="1880"/>
        <item m="1" x="2659"/>
        <item m="1" x="3660"/>
        <item m="1" x="4841"/>
        <item m="1" x="3775"/>
        <item m="1" x="4932"/>
        <item m="1" x="553"/>
        <item m="1" x="730"/>
        <item m="1" x="1080"/>
        <item m="1" x="1613"/>
        <item m="1" x="5650"/>
        <item m="1" x="1127"/>
        <item m="1" x="1688"/>
        <item m="1" x="2441"/>
        <item m="1" x="2528"/>
        <item m="1" x="3477"/>
        <item m="1" x="4624"/>
        <item m="1" x="530"/>
        <item m="1" x="657"/>
        <item m="1" x="4147"/>
        <item m="1" x="5348"/>
        <item m="1" x="1006"/>
        <item m="1" x="1496"/>
        <item m="1" x="2282"/>
        <item m="1" x="3177"/>
        <item m="1" x="1158"/>
        <item m="1" x="1739"/>
        <item m="1" x="2484"/>
        <item m="1" x="3423"/>
        <item m="1" x="2559"/>
        <item m="1" x="3521"/>
        <item m="1" x="4667"/>
        <item m="1" x="5850"/>
        <item m="1" x="4745"/>
        <item m="1" x="5926"/>
        <item m="1" x="1037"/>
        <item m="1" x="1546"/>
        <item m="1" x="2325"/>
        <item m="1" x="3240"/>
        <item m="1" x="4424"/>
        <item m="1" x="5593"/>
        <item m="1" x="933"/>
        <item m="1" x="5137"/>
        <item m="1" x="2127"/>
        <item m="1" x="4110"/>
        <item m="1" x="3618"/>
        <item m="1" x="4807"/>
        <item m="1" x="5991"/>
        <item m="1" x="1644"/>
        <item m="1" x="2399"/>
        <item m="1" x="3352"/>
        <item m="1" x="4487"/>
        <item m="1" x="3424"/>
        <item m="1" x="4573"/>
        <item m="1" x="5770"/>
        <item m="1" x="5851"/>
        <item m="1" x="580"/>
        <item m="1" x="778"/>
        <item m="1" x="4753"/>
        <item m="1" x="5935"/>
        <item m="1" x="1229"/>
        <item m="1" x="1829"/>
        <item m="1" x="2718"/>
        <item m="1" x="3715"/>
        <item m="1" x="2357"/>
        <item m="1" x="3306"/>
        <item m="1" x="4432"/>
        <item m="1" x="5601"/>
        <item m="1" x="4488"/>
        <item m="1" x="5688"/>
        <item m="1" x="2283"/>
        <item m="1" x="3178"/>
        <item m="1" x="4268"/>
        <item m="1" x="4365"/>
        <item m="1" x="5557"/>
        <item m="1" x="439"/>
        <item m="1" x="1411"/>
        <item m="1" x="2094"/>
        <item m="1" x="2917"/>
        <item m="1" x="3010"/>
        <item m="1" x="4085"/>
        <item m="1" x="5266"/>
        <item m="1" x="410"/>
        <item m="1" x="5332"/>
        <item m="1" x="1269"/>
        <item m="1" x="1881"/>
        <item m="1" x="2767"/>
        <item m="1" x="3776"/>
        <item m="1" x="5018"/>
        <item m="1" x="2000"/>
        <item m="1" x="2841"/>
        <item m="1" x="3910"/>
        <item m="1" x="3985"/>
        <item m="1" x="5181"/>
        <item m="1" x="810"/>
        <item m="1" x="1199"/>
        <item m="1" x="1809"/>
        <item m="1" x="2594"/>
        <item m="1" x="1882"/>
        <item m="1" x="2660"/>
        <item m="1" x="3661"/>
        <item m="1" x="4842"/>
        <item m="1" x="3777"/>
        <item m="1" x="4933"/>
        <item m="1" x="731"/>
        <item m="1" x="1081"/>
        <item m="1" x="1614"/>
        <item m="1" x="5651"/>
        <item m="1" x="1689"/>
        <item m="1" x="2442"/>
        <item m="1" x="3478"/>
        <item m="1" x="4625"/>
        <item m="1" x="658"/>
        <item m="1" x="4148"/>
        <item m="1" x="5349"/>
        <item m="1" x="1497"/>
        <item m="1" x="3179"/>
        <item m="1" x="2800"/>
        <item m="1" x="3862"/>
        <item m="1" x="5033"/>
        <item m="1" x="5099"/>
        <item m="1" x="852"/>
        <item m="1" x="1270"/>
        <item m="1" x="6023"/>
        <item m="1" x="1949"/>
        <item m="1" x="2768"/>
        <item m="1" x="3850"/>
        <item m="1" x="5019"/>
        <item m="1" x="767"/>
        <item m="1" x="4535"/>
        <item m="1" x="5734"/>
        <item m="1" x="1771"/>
        <item m="1" x="3553"/>
        <item m="1" x="2186"/>
        <item m="1" x="3072"/>
        <item m="1" x="4191"/>
        <item m="1" x="5398"/>
        <item m="1" x="4269"/>
        <item m="1" x="5464"/>
        <item m="1" x="1329"/>
        <item m="1" x="2001"/>
        <item m="1" x="2842"/>
        <item m="1" x="2918"/>
        <item m="1" x="3986"/>
        <item m="1" x="5182"/>
        <item m="1" x="5267"/>
        <item m="1" x="811"/>
        <item m="1" x="1200"/>
        <item m="1" x="1810"/>
        <item m="1" x="1883"/>
        <item m="1" x="2661"/>
        <item m="1" x="3662"/>
        <item m="1" x="3778"/>
        <item m="1" x="4934"/>
        <item m="1" x="1960"/>
        <item m="1" x="2801"/>
        <item m="1" x="3863"/>
        <item m="1" x="5034"/>
        <item m="1" x="3911"/>
        <item m="1" x="5100"/>
        <item m="1" x="1919"/>
        <item m="1" x="2719"/>
        <item m="1" x="3716"/>
        <item m="1" x="3811"/>
        <item m="1" x="4972"/>
        <item m="1" x="1159"/>
        <item m="1" x="1740"/>
        <item m="1" x="2485"/>
        <item m="1" x="2560"/>
        <item m="1" x="3522"/>
        <item m="1" x="4668"/>
        <item m="1" x="4746"/>
        <item m="1" x="5927"/>
        <item m="1" x="1038"/>
        <item m="1" x="1547"/>
        <item m="1" x="2326"/>
        <item m="1" x="3241"/>
        <item m="1" x="4425"/>
        <item m="1" x="5594"/>
        <item m="1" x="3942"/>
        <item m="1" x="5138"/>
        <item m="1" x="684"/>
        <item m="1" x="979"/>
        <item m="1" x="1465"/>
        <item m="1" x="2170"/>
        <item m="1" x="1548"/>
        <item m="1" x="2224"/>
        <item m="1" x="3110"/>
        <item m="1" x="4225"/>
        <item m="1" x="3242"/>
        <item m="1" x="4320"/>
        <item m="1" x="5512"/>
        <item m="1" x="624"/>
        <item m="1" x="892"/>
        <item m="1" x="5069"/>
        <item m="1" x="1369"/>
        <item m="1" x="2041"/>
        <item m="1" x="2967"/>
        <item m="1" x="4035"/>
        <item m="1" x="581"/>
        <item m="1" x="3576"/>
        <item m="1" x="4754"/>
        <item m="1" x="5936"/>
        <item m="1" x="1230"/>
        <item m="1" x="5992"/>
        <item m="1" x="2720"/>
        <item m="1" x="2358"/>
        <item m="1" x="3307"/>
        <item m="1" x="4433"/>
        <item m="1" x="4489"/>
        <item m="1" x="5689"/>
        <item m="1" x="1570"/>
        <item m="1" x="2284"/>
        <item m="1" x="3180"/>
        <item m="1" x="4270"/>
        <item m="1" x="3267"/>
        <item m="1" x="4366"/>
        <item m="1" x="5558"/>
        <item m="1" x="440"/>
        <item m="1" x="5635"/>
        <item m="1" x="4536"/>
        <item m="1" x="5735"/>
        <item m="1" x="2187"/>
        <item m="1" x="3073"/>
        <item m="1" x="4192"/>
        <item m="1" x="5399"/>
        <item m="1" x="4271"/>
        <item m="1" x="5465"/>
        <item m="1" x="1330"/>
        <item m="1" x="2002"/>
        <item m="1" x="2843"/>
        <item m="1" x="2919"/>
        <item m="1" x="3987"/>
        <item m="1" x="5183"/>
        <item m="1" x="5268"/>
        <item m="1" x="812"/>
        <item m="1" x="1201"/>
        <item m="1" x="1811"/>
        <item m="1" x="1884"/>
        <item m="1" x="2662"/>
        <item m="1" x="3663"/>
        <item m="1" x="3779"/>
        <item m="1" x="4935"/>
        <item m="1" x="732"/>
        <item m="1" x="1082"/>
        <item m="1" x="5652"/>
        <item m="1" x="1690"/>
        <item m="1" x="2443"/>
        <item m="1" x="3479"/>
        <item m="1" x="4626"/>
        <item m="1" x="1920"/>
        <item m="1" x="2721"/>
        <item m="1" x="3717"/>
        <item m="1" x="3812"/>
        <item m="1" x="4973"/>
        <item m="1" x="466"/>
        <item m="1" x="1741"/>
        <item m="1" x="2486"/>
        <item m="1" x="3523"/>
        <item m="1" x="4669"/>
        <item m="1" x="5928"/>
        <item m="1" x="948"/>
        <item m="1" x="1412"/>
        <item m="1" x="2095"/>
        <item m="1" x="2142"/>
        <item m="1" x="3011"/>
        <item m="1" x="4086"/>
        <item m="1" x="4134"/>
        <item m="1" x="5333"/>
        <item m="1" x="853"/>
        <item m="1" x="1271"/>
        <item m="1" x="6024"/>
        <item m="1" x="1950"/>
        <item m="1" x="2769"/>
        <item m="1" x="3851"/>
        <item m="1" x="5020"/>
        <item m="1" x="768"/>
        <item m="1" x="4537"/>
        <item m="1" x="5736"/>
        <item m="1" x="1772"/>
        <item m="1" x="3554"/>
        <item m="1" x="813"/>
        <item m="1" x="1202"/>
        <item m="1" x="1812"/>
        <item m="1" x="1885"/>
        <item m="1" x="2663"/>
        <item m="1" x="3664"/>
        <item m="1" x="3780"/>
        <item m="1" x="4936"/>
        <item m="1" x="554"/>
        <item m="1" x="733"/>
        <item m="1" x="1083"/>
        <item m="1" x="5653"/>
        <item m="1" x="1128"/>
        <item m="1" x="1691"/>
        <item m="1" x="2444"/>
        <item m="1" x="2529"/>
        <item m="1" x="3480"/>
        <item m="1" x="4627"/>
        <item m="1" x="531"/>
        <item m="1" x="659"/>
        <item m="1" x="3030"/>
        <item m="1" x="4149"/>
        <item m="1" x="5350"/>
        <item m="1" x="1007"/>
        <item m="1" x="5400"/>
        <item m="1" x="2285"/>
        <item m="1" x="1961"/>
        <item m="1" x="2802"/>
        <item m="1" x="3864"/>
        <item m="1" x="5035"/>
        <item m="1" x="3912"/>
        <item m="1" x="5101"/>
        <item m="1" x="1921"/>
        <item m="1" x="2722"/>
        <item m="1" x="3718"/>
        <item m="1" x="3813"/>
        <item m="1" x="4974"/>
        <item m="1" x="3943"/>
        <item m="1" x="5139"/>
        <item m="1" x="2618"/>
        <item m="1" x="3619"/>
        <item m="1" x="4808"/>
        <item m="1" x="4886"/>
        <item m="1" x="1645"/>
        <item m="1" x="2400"/>
        <item m="1" x="3353"/>
        <item m="1" x="3425"/>
        <item m="1" x="4574"/>
        <item m="1" x="5771"/>
        <item m="1" x="5852"/>
        <item m="1" x="685"/>
        <item m="1" x="980"/>
        <item m="1" x="1466"/>
        <item m="1" x="2171"/>
        <item m="1" x="1549"/>
        <item m="1" x="2225"/>
        <item m="1" x="3111"/>
        <item m="1" x="4226"/>
        <item m="1" x="3243"/>
        <item m="1" x="4321"/>
        <item m="1" x="5513"/>
        <item m="1" x="625"/>
        <item m="1" x="893"/>
        <item m="1" x="5070"/>
        <item m="1" x="1370"/>
        <item m="1" x="2042"/>
        <item m="1" x="2968"/>
        <item m="1" x="4036"/>
        <item m="1" x="1571"/>
        <item m="1" x="2286"/>
        <item m="1" x="3181"/>
        <item m="1" x="4272"/>
        <item m="1" x="3268"/>
        <item m="1" x="4367"/>
        <item m="1" x="5559"/>
        <item m="1" x="441"/>
        <item m="1" x="5636"/>
        <item m="1" x="1413"/>
        <item m="1" x="2096"/>
        <item m="1" x="3012"/>
        <item m="1" x="4087"/>
        <item m="1" x="411"/>
        <item m="1" x="5334"/>
        <item m="1" x="1272"/>
        <item m="1" x="6025"/>
        <item m="1" x="2770"/>
        <item m="1" x="5021"/>
        <item m="1" x="4538"/>
        <item m="1" x="5737"/>
        <item m="1" x="2188"/>
        <item m="1" x="3074"/>
        <item m="1" x="4193"/>
        <item m="1" x="5401"/>
        <item m="1" x="4273"/>
        <item m="1" x="5466"/>
        <item m="1" x="734"/>
        <item m="1" x="1084"/>
        <item m="1" x="5654"/>
        <item m="1" x="1692"/>
        <item m="1" x="2445"/>
        <item m="1" x="3481"/>
        <item m="1" x="4628"/>
        <item m="1" x="660"/>
        <item m="1" x="3031"/>
        <item m="1" x="4150"/>
        <item m="1" x="5351"/>
        <item m="1" x="5402"/>
        <item m="1" x="6278"/>
        <item m="1" x="6762"/>
        <item m="1" x="7185"/>
        <item h="1" m="1" x="7513"/>
        <item h="1" m="1" x="7763"/>
        <item h="1" m="1" x="3182"/>
        <item h="1" m="1" x="4274"/>
        <item h="1" m="1" x="5467"/>
        <item h="1" m="1" x="6313"/>
        <item h="1" m="1" x="592"/>
        <item h="1" m="1" x="860"/>
        <item h="1" m="1" x="1283"/>
        <item m="1" x="1962"/>
        <item m="1" x="2803"/>
        <item m="1" x="3865"/>
        <item m="1" x="5036"/>
        <item h="1" m="1" x="6120"/>
        <item h="1" m="1" x="6617"/>
        <item h="1" m="1" x="7056"/>
        <item h="1" m="1" x="1331"/>
        <item h="1" m="1" x="2003"/>
        <item h="1" m="1" x="2844"/>
        <item m="1" x="3913"/>
        <item m="1" x="5102"/>
        <item m="1" x="6149"/>
        <item h="1" m="1" x="6646"/>
        <item h="1" m="1" x="7085"/>
        <item h="1" m="1" x="7437"/>
        <item h="1" m="1" x="7707"/>
        <item h="1" m="1" x="2920"/>
        <item h="1" m="1" x="3988"/>
        <item h="1" m="1" x="5184"/>
        <item m="1" x="6183"/>
        <item m="1" x="1922"/>
        <item m="1" x="2723"/>
        <item m="1" x="3719"/>
        <item h="1" m="1" x="4887"/>
        <item h="1" m="1" x="6062"/>
        <item h="1" m="1" x="6567"/>
        <item h="1" m="1" x="7021"/>
        <item m="1" x="7397"/>
        <item m="1" x="7678"/>
        <item m="1" x="7871"/>
        <item m="1" x="3814"/>
        <item m="1" x="4975"/>
        <item m="1" x="6103"/>
        <item h="1" m="1" x="6600"/>
        <item h="1" m="1" x="7045"/>
        <item h="1" m="1" x="7420"/>
        <item h="1" m="1" x="7701"/>
        <item m="1" x="7894"/>
        <item h="1" m="1" x="7996"/>
        <item m="1" x="467"/>
        <item m="1" x="6134"/>
        <item m="1" x="6631"/>
        <item m="1" x="7070"/>
        <item h="1" m="1" x="7426"/>
        <item m="1" x="949"/>
        <item m="1" x="1414"/>
        <item m="1" x="2097"/>
        <item h="1" m="1" x="2921"/>
        <item h="1" m="1" x="3989"/>
        <item h="1" m="1" x="5185"/>
        <item h="1" m="1" x="6184"/>
        <item m="1" x="6680"/>
        <item m="1" x="7119"/>
        <item m="1" x="7470"/>
        <item m="1" x="2143"/>
        <item m="1" x="3013"/>
        <item m="1" x="4088"/>
        <item h="1" m="1" x="5269"/>
        <item h="1" m="1" x="6225"/>
        <item h="1" m="1" x="6710"/>
        <item h="1" m="1" x="7145"/>
        <item m="1" x="7496"/>
        <item m="1" x="7754"/>
        <item m="1" x="7922"/>
        <item m="1" x="4135"/>
        <item m="1" x="5335"/>
        <item m="1" x="6251"/>
        <item h="1" m="1" x="6735"/>
        <item h="1" m="1" x="691"/>
        <item h="1" m="1" x="1008"/>
        <item h="1" m="1" x="1498"/>
        <item m="1" x="2189"/>
        <item m="1" x="3075"/>
        <item m="1" x="4194"/>
        <item m="1" x="5403"/>
        <item h="1" m="1" x="6279"/>
        <item h="1" m="1" x="6763"/>
        <item h="1" m="1" x="7186"/>
        <item h="1" m="1" x="1572"/>
        <item h="1" m="1" x="2287"/>
        <item h="1" m="1" x="3183"/>
        <item m="1" x="4275"/>
        <item m="1" x="5468"/>
        <item m="1" x="6314"/>
        <item m="1" x="6797"/>
        <item h="1" m="1" x="7220"/>
        <item h="1" m="1" x="7548"/>
        <item h="1" m="1" x="7786"/>
        <item h="1" m="1" x="3269"/>
        <item h="1" m="1" x="4368"/>
        <item h="1" m="1" x="5560"/>
        <item m="1" x="6358"/>
        <item h="1" m="1" x="631"/>
        <item h="1" m="1" x="909"/>
        <item m="1" x="1332"/>
        <item m="1" x="2004"/>
        <item m="1" x="2845"/>
        <item h="1" m="1" x="3914"/>
        <item h="1" m="1" x="5103"/>
        <item h="1" m="1" x="6150"/>
        <item h="1" m="1" x="6647"/>
        <item m="1" x="7086"/>
        <item h="1" m="1" x="1415"/>
        <item h="1" m="1" x="2098"/>
        <item m="1" x="2922"/>
        <item m="1" x="3990"/>
        <item m="1" x="5186"/>
        <item h="1" m="1" x="6185"/>
        <item h="1" m="1" x="6681"/>
        <item h="1" m="1" x="7120"/>
        <item h="1" m="1" x="7471"/>
        <item m="1" x="7729"/>
        <item h="1" m="1" x="3014"/>
        <item h="1" m="1" x="4089"/>
        <item m="1" x="5270"/>
        <item m="1" x="6226"/>
        <item h="1" m="1" x="591"/>
        <item m="1" x="814"/>
        <item m="1" x="1203"/>
        <item m="1" x="1813"/>
        <item h="1" m="1" x="2595"/>
        <item h="1" m="1" x="3588"/>
        <item h="1" m="1" x="4770"/>
        <item h="1" m="1" x="5956"/>
        <item m="1" x="6525"/>
        <item m="1" x="6979"/>
        <item h="1" m="1" x="1273"/>
        <item m="1" x="1886"/>
        <item m="1" x="2664"/>
        <item m="1" x="3665"/>
        <item h="1" m="1" x="4843"/>
        <item h="1" m="1" x="6026"/>
        <item h="1" m="1" x="6552"/>
        <item h="1" m="1" x="7006"/>
        <item m="1" x="7382"/>
        <item m="1" x="7663"/>
        <item h="1" m="1" x="2771"/>
        <item m="1" x="3781"/>
        <item m="1" x="4937"/>
        <item m="1" x="6088"/>
        <item m="1" x="555"/>
        <item m="1" x="735"/>
        <item m="1" x="1085"/>
        <item h="1" m="1" x="1615"/>
        <item h="1" m="1" x="2370"/>
        <item h="1" m="1" x="3319"/>
        <item h="1" m="1" x="4453"/>
        <item m="1" x="5655"/>
        <item m="1" x="6396"/>
        <item m="1" x="6866"/>
        <item m="1" x="1129"/>
        <item m="1" x="1693"/>
        <item m="1" x="2446"/>
        <item h="1" m="1" x="3379"/>
        <item h="1" m="1" x="4539"/>
        <item h="1" m="1" x="5738"/>
        <item h="1" m="1" x="6433"/>
        <item m="1" x="6903"/>
        <item m="1" x="7301"/>
        <item m="1" x="7603"/>
        <item m="1" x="2530"/>
        <item m="1" x="3482"/>
        <item m="1" x="4629"/>
        <item h="1" m="1" x="5806"/>
        <item m="1" x="532"/>
        <item m="1" x="661"/>
        <item h="1" m="1" x="950"/>
        <item h="1" m="1" x="1436"/>
        <item h="1" m="1" x="2144"/>
        <item m="1" x="3032"/>
        <item m="1" x="4151"/>
        <item m="1" x="5352"/>
        <item m="1" x="6253"/>
        <item h="1" m="1" x="6737"/>
        <item m="1" x="1009"/>
        <item h="1" m="1" x="1499"/>
        <item h="1" m="1" x="2190"/>
        <item h="1" m="1" x="3076"/>
        <item h="1" m="1" x="4195"/>
        <item m="1" x="5404"/>
        <item m="1" x="6280"/>
        <item m="1" x="6764"/>
        <item m="1" x="7187"/>
        <item h="1" m="1" x="7514"/>
        <item m="1" x="2288"/>
        <item h="1" m="1" x="3184"/>
        <item h="1" m="1" x="4276"/>
        <item h="1" m="1" x="5469"/>
        <item m="1" x="1160"/>
        <item m="1" x="1742"/>
        <item m="1" x="2487"/>
        <item h="1" m="1" x="3426"/>
        <item h="1" m="1" x="4575"/>
        <item h="1" m="1" x="5772"/>
        <item h="1" m="1" x="6444"/>
        <item m="1" x="6914"/>
        <item m="1" x="7312"/>
        <item m="1" x="7614"/>
        <item m="1" x="2561"/>
        <item m="1" x="3524"/>
        <item m="1" x="4670"/>
        <item h="1" m="1" x="5853"/>
        <item h="1" m="1" x="6479"/>
        <item h="1" m="1" x="6940"/>
        <item h="1" m="1" x="7338"/>
        <item m="1" x="7640"/>
        <item m="1" x="7851"/>
        <item h="1" m="1" x="7976"/>
        <item m="1" x="4747"/>
        <item m="1" x="5929"/>
        <item m="1" x="6505"/>
        <item h="1" m="1" x="6959"/>
        <item m="1" x="1039"/>
        <item m="1" x="1550"/>
        <item h="1" m="1" x="2226"/>
        <item h="1" m="1" x="3112"/>
        <item h="1" m="1" x="4227"/>
        <item h="1" m="1" x="5419"/>
        <item m="1" x="6291"/>
        <item m="1" x="6775"/>
        <item m="1" x="7198"/>
        <item h="1" m="1" x="7525"/>
        <item m="1" x="2327"/>
        <item m="1" x="3244"/>
        <item h="1" m="1" x="4322"/>
        <item h="1" m="1" x="5514"/>
        <item h="1" m="1" x="6335"/>
        <item h="1" m="1" x="6811"/>
        <item m="1" x="7234"/>
        <item m="1" x="7562"/>
        <item m="1" x="7800"/>
        <item h="1" m="1" x="7945"/>
        <item m="1" x="4426"/>
        <item m="1" x="5595"/>
        <item h="1" m="1" x="6372"/>
        <item h="1" m="1" x="6842"/>
        <item h="1" m="1" x="934"/>
        <item h="1" m="1" x="1371"/>
        <item h="1" m="1" x="2043"/>
        <item h="1" m="1" x="2865"/>
        <item m="1" x="3944"/>
        <item m="1" x="5140"/>
        <item m="1" x="6163"/>
        <item m="1" x="6660"/>
        <item h="1" m="1" x="7099"/>
        <item h="1" m="1" x="7450"/>
        <item h="1" m="1" x="2128"/>
        <item h="1" m="1" x="2969"/>
        <item h="1" m="1" x="4037"/>
        <item h="1" m="1" x="5214"/>
        <item m="1" x="6206"/>
        <item m="1" x="6695"/>
        <item m="1" x="7134"/>
        <item m="1" x="7485"/>
        <item h="1" m="1" x="7743"/>
        <item h="1" m="1" x="7911"/>
        <item h="1" m="1" x="4111"/>
        <item h="1" m="1" x="5287"/>
        <item h="1" m="1" x="6240"/>
        <item h="1" m="1" x="6724"/>
        <item h="1" m="1" x="832"/>
        <item h="1" m="1" x="1231"/>
        <item h="1" m="1" x="1830"/>
        <item m="1" x="2619"/>
        <item m="1" x="3620"/>
        <item m="1" x="4809"/>
        <item h="1" m="1" x="5993"/>
        <item h="1" m="1" x="6532"/>
        <item h="1" m="1" x="6986"/>
        <item h="1" m="1" x="7362"/>
        <item h="1" m="1" x="1923"/>
        <item h="1" m="1" x="2724"/>
        <item h="1" m="1" x="3720"/>
        <item m="1" x="4888"/>
        <item m="1" x="6063"/>
        <item m="1" x="6568"/>
        <item h="1" m="1" x="7022"/>
        <item h="1" m="1" x="7398"/>
        <item h="1" m="1" x="7679"/>
        <item h="1" m="1" x="7872"/>
        <item h="1" m="1" x="3815"/>
        <item h="1" m="1" x="4976"/>
        <item h="1" m="1" x="6104"/>
        <item m="1" x="6601"/>
        <item h="1" m="1" x="747"/>
        <item h="1" m="1" x="1095"/>
        <item m="1" x="1646"/>
        <item m="1" x="2401"/>
        <item m="1" x="3354"/>
        <item h="1" m="1" x="4490"/>
        <item h="1" m="1" x="5690"/>
        <item h="1" m="1" x="6410"/>
        <item h="1" m="1" x="6880"/>
        <item m="1" x="7278"/>
        <item h="1" m="1" x="1743"/>
        <item h="1" m="1" x="2488"/>
        <item m="1" x="3427"/>
        <item m="1" x="4576"/>
        <item m="1" x="5773"/>
        <item h="1" m="1" x="6445"/>
        <item h="1" m="1" x="6915"/>
        <item h="1" m="1" x="7313"/>
        <item h="1" m="1" x="7615"/>
        <item m="1" x="7830"/>
        <item h="1" m="1" x="3525"/>
        <item h="1" m="1" x="4671"/>
        <item m="1" x="5854"/>
        <item m="1" x="6480"/>
        <item m="1" x="582"/>
        <item h="1" m="1" x="779"/>
        <item h="1" m="1" x="1168"/>
        <item h="1" m="1" x="1775"/>
        <item h="1" m="1" x="2571"/>
        <item m="1" x="3577"/>
        <item m="1" x="4755"/>
        <item m="1" x="5937"/>
        <item h="1" m="1" x="6506"/>
        <item h="1" m="1" x="6960"/>
        <item m="1" x="1232"/>
        <item h="1" m="1" x="1831"/>
        <item h="1" m="1" x="2620"/>
        <item h="1" m="1" x="3621"/>
        <item h="1" m="1" x="4810"/>
        <item m="1" x="5994"/>
        <item m="1" x="6533"/>
        <item m="1" x="6987"/>
        <item h="1" m="1" x="7363"/>
        <item h="1" m="1" x="7649"/>
        <item m="1" x="2725"/>
        <item h="1" m="1" x="3721"/>
        <item h="1" m="1" x="4889"/>
        <item h="1" m="1" x="6064"/>
        <item h="1" m="1" x="533"/>
        <item h="1" m="1" x="700"/>
        <item h="1" m="1" x="1052"/>
        <item h="1" m="1" x="1590"/>
        <item m="1" x="2359"/>
        <item m="1" x="3308"/>
        <item m="1" x="4434"/>
        <item h="1" m="1" x="5602"/>
        <item h="1" m="1" x="6373"/>
        <item h="1" m="1" x="6843"/>
        <item h="1" m="1" x="1096"/>
        <item h="1" m="1" x="1647"/>
        <item h="1" m="1" x="2402"/>
        <item h="1" m="1" x="3355"/>
        <item m="1" x="4491"/>
        <item m="1" x="5691"/>
        <item m="1" x="6411"/>
        <item h="1" m="1" x="6881"/>
        <item h="1" m="1" x="7279"/>
        <item h="1" m="1" x="7587"/>
        <item h="1" m="1" x="2489"/>
        <item h="1" m="1" x="3428"/>
        <item h="1" m="1" x="4577"/>
        <item h="1" m="1" x="5774"/>
        <item m="1" x="1573"/>
        <item m="1" x="2289"/>
        <item m="1" x="3185"/>
        <item m="1" x="4277"/>
        <item h="1" m="1" x="5470"/>
        <item h="1" m="1" x="6315"/>
        <item h="1" m="1" x="6798"/>
        <item h="1" m="1" x="7221"/>
        <item m="1" x="7549"/>
        <item m="1" x="7787"/>
        <item m="1" x="3270"/>
        <item m="1" x="4369"/>
        <item m="1" x="5561"/>
        <item m="1" x="6359"/>
        <item h="1" m="1" x="6829"/>
        <item h="1" m="1" x="7246"/>
        <item h="1" m="1" x="7574"/>
        <item h="1" m="1" x="7812"/>
        <item h="1" m="1" x="7957"/>
        <item m="1" x="442"/>
        <item m="1" x="5637"/>
        <item m="1" x="6395"/>
        <item m="1" x="6865"/>
        <item m="1" x="7264"/>
        <item m="1" x="1416"/>
        <item m="1" x="2099"/>
        <item h="1" m="1" x="2923"/>
        <item h="1" m="1" x="3991"/>
        <item h="1" m="1" x="5187"/>
        <item h="1" m="1" x="6186"/>
        <item m="1" x="6682"/>
        <item m="1" x="7121"/>
        <item m="1" x="7472"/>
        <item m="1" x="7730"/>
        <item m="1" x="3015"/>
        <item m="1" x="4090"/>
        <item h="1" m="1" x="5271"/>
        <item h="1" m="1" x="6227"/>
        <item h="1" m="1" x="6711"/>
        <item h="1" m="1" x="7146"/>
        <item m="1" x="7497"/>
        <item m="1" x="7755"/>
        <item h="1" m="1" x="7923"/>
        <item m="1" x="412"/>
        <item m="1" x="5336"/>
        <item m="1" x="6252"/>
        <item h="1" m="1" x="6736"/>
        <item h="1" m="1" x="7159"/>
        <item m="1" x="1274"/>
        <item h="1" m="1" x="1887"/>
        <item h="1" m="1" x="2665"/>
        <item h="1" m="1" x="3666"/>
        <item h="1" m="1" x="4844"/>
        <item m="1" x="6027"/>
        <item m="1" x="6553"/>
        <item m="1" x="7007"/>
        <item h="1" m="1" x="7383"/>
        <item h="1" m="1" x="7664"/>
        <item m="1" x="2772"/>
        <item h="1" m="1" x="3782"/>
        <item h="1" m="1" x="4938"/>
        <item h="1" m="1" x="6089"/>
        <item h="1" m="1" x="6587"/>
        <item m="1" x="7037"/>
        <item m="1" x="7413"/>
        <item m="1" x="7694"/>
        <item h="1" m="1" x="7887"/>
        <item h="1" m="1" x="7989"/>
        <item m="1" x="5022"/>
        <item h="1" m="1" x="6119"/>
        <item h="1" m="1" x="6616"/>
        <item h="1" m="1" x="7055"/>
        <item m="1" x="7355"/>
        <item m="1" x="1888"/>
        <item m="1" x="2666"/>
        <item m="1" x="3667"/>
        <item h="1" m="1" x="4845"/>
        <item h="1" m="1" x="6028"/>
        <item h="1" m="1" x="6554"/>
        <item h="1" m="1" x="7008"/>
        <item m="1" x="7384"/>
        <item m="1" x="7665"/>
        <item m="1" x="7864"/>
        <item m="1" x="3783"/>
        <item m="1" x="4939"/>
        <item m="1" x="6090"/>
        <item h="1" m="1" x="6588"/>
        <item m="1" x="736"/>
        <item m="1" x="1086"/>
        <item h="1" m="1" x="1616"/>
        <item h="1" m="1" x="2371"/>
        <item h="1" m="1" x="3320"/>
        <item h="1" m="1" x="4454"/>
        <item m="1" x="5656"/>
        <item m="1" x="6397"/>
        <item m="1" x="6867"/>
        <item h="1" m="1" x="7265"/>
        <item m="1" x="1694"/>
        <item m="1" x="2447"/>
        <item h="1" m="1" x="3380"/>
        <item h="1" m="1" x="4540"/>
        <item h="1" m="1" x="5739"/>
        <item h="1" m="1" x="6434"/>
        <item m="1" x="6904"/>
        <item m="1" x="7302"/>
        <item m="1" x="7604"/>
        <item h="1" m="1" x="7825"/>
        <item m="1" x="3483"/>
        <item m="1" x="4630"/>
        <item h="1" m="1" x="5807"/>
        <item h="1" m="1" x="6469"/>
        <item m="1" x="662"/>
        <item h="1" m="1" x="951"/>
        <item h="1" m="1" x="1437"/>
        <item h="1" m="1" x="2145"/>
        <item m="1" x="3033"/>
        <item m="1" x="4152"/>
        <item m="1" x="5353"/>
        <item m="1" x="6254"/>
        <item h="1" m="1" x="6738"/>
        <item h="1" m="1" x="7160"/>
        <item h="1" m="1" x="1500"/>
        <item h="1" m="1" x="2191"/>
        <item h="1" m="1" x="3077"/>
        <item h="1" m="1" x="4196"/>
        <item m="1" x="5405"/>
        <item m="1" x="6281"/>
        <item m="1" x="6765"/>
        <item m="1" x="7188"/>
        <item h="1" m="1" x="7515"/>
        <item h="1" m="1" x="7764"/>
        <item h="1" m="1" x="3186"/>
        <item h="1" m="1" x="4278"/>
        <item h="1" m="1" x="5471"/>
        <item h="1" m="1" x="6316"/>
        <item h="1" m="1" x="593"/>
        <item h="1" m="1" x="861"/>
        <item h="1" m="1" x="1284"/>
        <item m="1" x="1963"/>
        <item m="1" x="2804"/>
        <item m="1" x="3866"/>
        <item m="1" x="5037"/>
        <item h="1" m="1" x="6121"/>
        <item h="1" m="1" x="6618"/>
        <item h="1" m="1" x="7057"/>
        <item h="1" m="1" x="1333"/>
        <item h="1" m="1" x="2005"/>
        <item h="1" m="1" x="2846"/>
        <item m="1" x="3915"/>
        <item m="1" x="5104"/>
        <item m="1" x="6151"/>
        <item h="1" m="1" x="6648"/>
        <item h="1" m="1" x="7087"/>
        <item h="1" m="1" x="7438"/>
        <item h="1" m="1" x="7708"/>
        <item h="1" m="1" x="2924"/>
        <item h="1" m="1" x="3992"/>
        <item h="1" m="1" x="5188"/>
        <item m="1" x="6187"/>
        <item m="1" x="7526"/>
        <item m="1" x="2328"/>
        <item m="1" x="3251"/>
        <item m="1" x="4337"/>
        <item h="1" m="1" x="5529"/>
        <item h="1" m="1" x="6336"/>
        <item h="1" m="1" x="6812"/>
        <item h="1" m="1" x="7235"/>
        <item m="1" x="7563"/>
        <item m="1" x="7801"/>
        <item h="1" m="1" x="7946"/>
        <item m="1" x="4435"/>
        <item m="1" x="5607"/>
        <item m="1" x="6374"/>
        <item h="1" m="1" x="6844"/>
        <item m="1" x="944"/>
        <item h="1" m="1" x="1385"/>
        <item h="1" m="1" x="2057"/>
        <item h="1" m="1" x="2886"/>
        <item h="1" m="1" x="3955"/>
        <item m="1" x="5151"/>
        <item m="1" x="6164"/>
        <item m="1" x="6661"/>
        <item m="1" x="7100"/>
        <item h="1" m="1" x="7451"/>
        <item m="1" x="2138"/>
        <item h="1" m="1" x="2983"/>
        <item h="1" m="1" x="4051"/>
        <item h="1" m="1" x="5235"/>
        <item h="1" m="1" x="6207"/>
        <item m="1" x="6696"/>
        <item m="1" x="7135"/>
        <item m="1" x="7486"/>
        <item m="1" x="7744"/>
        <item h="1" m="1" x="7912"/>
        <item m="1" x="4121"/>
        <item h="1" m="1" x="5301"/>
        <item h="1" m="1" x="6241"/>
        <item h="1" m="1" x="6725"/>
        <item h="1" m="1" x="842"/>
        <item h="1" m="1" x="1244"/>
        <item h="1" m="1" x="1840"/>
        <item h="1" m="1" x="2629"/>
        <item m="1" x="3630"/>
        <item m="1" x="4811"/>
        <item m="1" x="6004"/>
        <item h="1" m="1" x="6534"/>
        <item h="1" m="1" x="6988"/>
        <item h="1" m="1" x="7364"/>
        <item h="1" m="1" x="1933"/>
        <item h="1" m="1" x="2737"/>
        <item h="1" m="1" x="3730"/>
        <item h="1" m="1" x="4898"/>
        <item m="1" x="6065"/>
        <item m="1" x="6569"/>
        <item m="1" x="7023"/>
        <item h="1" m="1" x="7399"/>
        <item h="1" m="1" x="7680"/>
        <item h="1" m="1" x="7873"/>
        <item h="1" m="1" x="3825"/>
        <item h="1" m="1" x="4986"/>
        <item h="1" m="1" x="6105"/>
        <item h="1" m="1" x="6602"/>
        <item h="1" m="1" x="754"/>
        <item h="1" m="1" x="1104"/>
        <item h="1" m="1" x="1655"/>
        <item m="1" x="2408"/>
        <item m="1" x="3358"/>
        <item m="1" x="4500"/>
        <item h="1" m="1" x="5700"/>
        <item h="1" m="1" x="6412"/>
        <item h="1" m="1" x="6882"/>
        <item h="1" m="1" x="7280"/>
        <item h="1" m="1" x="1750"/>
        <item h="1" m="1" x="2497"/>
        <item h="1" m="1" x="3436"/>
        <item m="1" x="4583"/>
        <item m="1" x="5777"/>
        <item m="1" x="6446"/>
        <item h="1" m="1" x="6916"/>
        <item h="1" m="1" x="7314"/>
        <item h="1" m="1" x="7616"/>
        <item h="1" m="1" x="7831"/>
        <item h="1" m="1" x="3532"/>
        <item h="1" m="1" x="4679"/>
        <item h="1" m="1" x="5855"/>
        <item m="1" x="6481"/>
        <item m="1" x="585"/>
        <item m="1" x="788"/>
        <item h="1" m="1" x="1177"/>
        <item h="1" m="1" x="1787"/>
        <item h="1" m="1" x="2572"/>
        <item h="1" m="1" x="3578"/>
        <item m="1" x="4760"/>
        <item m="1" x="5946"/>
        <item m="1" x="6515"/>
        <item m="1" x="6969"/>
        <item m="1" x="1245"/>
        <item m="1" x="1841"/>
        <item h="1" m="1" x="2630"/>
        <item h="1" m="1" x="3631"/>
        <item h="1" m="1" x="4812"/>
        <item h="1" m="1" x="6005"/>
        <item m="1" x="6535"/>
        <item m="1" x="6989"/>
        <item m="1" x="7365"/>
        <item h="1" m="1" x="7650"/>
        <item m="1" x="2738"/>
        <item m="1" x="3731"/>
        <item h="1" m="1" x="4899"/>
        <item h="1" m="1" x="6066"/>
        <item m="1" x="541"/>
        <item h="1" m="1" x="708"/>
        <item h="1" m="1" x="1058"/>
        <item h="1" m="1" x="1591"/>
        <item h="1" m="1" x="2360"/>
        <item m="1" x="3309"/>
        <item m="1" x="4443"/>
        <item m="1" x="5625"/>
        <item h="1" m="1" x="6385"/>
        <item h="1" m="1" x="6855"/>
        <item m="1" x="1105"/>
        <item h="1" m="1" x="1656"/>
        <item h="1" m="1" x="2409"/>
        <item h="1" m="1" x="3359"/>
        <item h="1" m="1" x="4501"/>
        <item m="1" x="5701"/>
        <item m="1" x="6413"/>
        <item m="1" x="6883"/>
        <item h="1" m="1" x="7281"/>
        <item h="1" m="1" x="7588"/>
        <item m="1" x="2498"/>
        <item h="1" m="1" x="3437"/>
        <item h="1" m="1" x="4584"/>
        <item h="1" m="1" x="5778"/>
        <item h="1" m="1" x="1582"/>
        <item h="1" m="1" x="2308"/>
        <item m="1" x="3218"/>
        <item m="1" x="4297"/>
        <item m="1" x="5489"/>
        <item h="1" m="1" x="6317"/>
        <item h="1" m="1" x="6799"/>
        <item h="1" m="1" x="7222"/>
        <item h="1" m="1" x="7550"/>
        <item m="1" x="7788"/>
        <item h="1" m="1" x="3279"/>
        <item h="1" m="1" x="4389"/>
        <item m="1" x="5576"/>
        <item m="1" x="6360"/>
        <item m="1" x="6830"/>
        <item h="1" m="1" x="7247"/>
        <item h="1" m="1" x="7575"/>
        <item h="1" m="1" x="7813"/>
        <item h="1" m="1" x="7958"/>
        <item m="1" x="443"/>
        <item h="1" m="1" x="5657"/>
        <item h="1" m="1" x="6398"/>
        <item m="1" x="6868"/>
        <item m="1" x="7266"/>
        <item m="1" x="1424"/>
        <item m="1" x="2109"/>
        <item m="1" x="2942"/>
        <item m="1" x="4010"/>
        <item h="1" m="1" x="5189"/>
        <item h="1" m="1" x="6188"/>
        <item h="1" m="1" x="6683"/>
        <item h="1" m="1" x="7122"/>
        <item m="1" x="7473"/>
        <item m="1" x="7731"/>
        <item m="1" x="3023"/>
        <item m="1" x="4092"/>
        <item m="1" x="5272"/>
        <item m="1" x="6228"/>
        <item h="1" m="1" x="6712"/>
        <item h="1" m="1" x="7147"/>
        <item h="1" m="1" x="7498"/>
        <item h="1" m="1" x="7756"/>
        <item h="1" m="1" x="7924"/>
        <item m="1" x="413"/>
        <item m="1" x="5354"/>
        <item m="1" x="6255"/>
        <item m="1" x="6739"/>
        <item m="1" x="7161"/>
        <item m="1" x="1277"/>
        <item m="1" x="1907"/>
        <item h="1" m="1" x="2689"/>
        <item h="1" m="1" x="3680"/>
        <item h="1" m="1" x="4862"/>
        <item h="1" m="1" x="6045"/>
        <item m="1" x="6555"/>
        <item m="1" x="7009"/>
        <item m="1" x="7385"/>
        <item m="1" x="7666"/>
        <item m="1" x="2775"/>
        <item m="1" x="3792"/>
        <item h="1" m="1" x="4948"/>
        <item h="1" m="1" x="6091"/>
        <item h="1" m="1" x="6589"/>
        <item h="1" m="1" x="7038"/>
        <item m="1" x="7414"/>
        <item m="1" x="7695"/>
        <item m="1" x="7888"/>
        <item h="1" m="1" x="7990"/>
        <item m="1" x="5040"/>
        <item m="1" x="6122"/>
        <item h="1" m="1" x="6619"/>
        <item h="1" m="1" x="7058"/>
        <item h="1" m="1" x="920"/>
        <item h="1" m="1" x="1351"/>
        <item m="1" x="2023"/>
        <item m="1" x="2847"/>
        <item m="1" x="3931"/>
        <item m="1" x="5120"/>
        <item h="1" m="1" x="6152"/>
        <item h="1" m="1" x="6649"/>
        <item h="1" m="1" x="7088"/>
        <item h="1" m="1" x="7439"/>
        <item h="1" m="1" x="2110"/>
        <item h="1" m="1" x="2943"/>
        <item m="1" x="4011"/>
        <item m="1" x="5190"/>
        <item m="1" x="6189"/>
        <item m="1" x="6684"/>
        <item h="1" m="1" x="7123"/>
        <item h="1" m="1" x="7474"/>
        <item h="1" m="1" x="7732"/>
        <item h="1" m="1" x="7904"/>
        <item h="1" m="1" x="4093"/>
        <item h="1" m="1" x="5273"/>
        <item m="1" x="6229"/>
        <item m="1" x="6713"/>
        <item h="1" m="1" x="825"/>
        <item m="1" x="1218"/>
        <item m="1" x="1818"/>
        <item m="1" x="2612"/>
        <item h="1" m="1" x="3605"/>
        <item h="1" m="1" x="4795"/>
        <item h="1" m="1" x="5979"/>
        <item h="1" m="1" x="6526"/>
        <item m="1" x="6980"/>
        <item m="1" x="7356"/>
        <item h="1" m="1" x="1908"/>
        <item m="1" x="2690"/>
        <item m="1" x="3681"/>
        <item m="1" x="4863"/>
        <item h="1" m="1" x="6046"/>
        <item h="1" m="1" x="6556"/>
        <item h="1" m="1" x="7010"/>
        <item h="1" m="1" x="7386"/>
        <item m="1" x="7667"/>
        <item m="1" x="7865"/>
        <item h="1" m="1" x="3793"/>
        <item m="1" x="4949"/>
        <item m="1" x="6092"/>
        <item m="1" x="6590"/>
        <item m="1" x="743"/>
        <item m="1" x="1091"/>
        <item m="1" x="1635"/>
        <item h="1" m="1" x="2390"/>
        <item h="1" m="1" x="3343"/>
        <item h="1" m="1" x="4473"/>
        <item h="1" m="1" x="5679"/>
        <item m="1" x="6406"/>
        <item m="1" x="6876"/>
        <item m="1" x="7274"/>
        <item m="1" x="1719"/>
        <item m="1" x="2465"/>
        <item m="1" x="3399"/>
        <item h="1" m="1" x="4559"/>
        <item h="1" m="1" x="5756"/>
        <item h="1" m="1" x="6435"/>
        <item h="1" m="1" x="6905"/>
        <item m="1" x="7303"/>
        <item m="1" x="7605"/>
        <item m="1" x="7826"/>
        <item m="1" x="3502"/>
        <item m="1" x="4648"/>
        <item m="1" x="5826"/>
        <item h="1" m="1" x="6470"/>
        <item m="1" x="679"/>
        <item m="1" x="968"/>
        <item h="1" m="1" x="1454"/>
        <item h="1" m="1" x="2159"/>
        <item h="1" m="1" x="3034"/>
        <item h="1" m="1" x="4153"/>
        <item m="1" x="5359"/>
        <item m="1" x="6262"/>
        <item m="1" x="6746"/>
        <item h="1" m="1" x="7169"/>
        <item m="1" x="1532"/>
        <item m="1" x="2209"/>
        <item h="1" m="1" x="3095"/>
        <item h="1" m="1" x="4210"/>
        <item h="1" m="1" x="5410"/>
        <item h="1" m="1" x="6282"/>
        <item m="1" x="6766"/>
        <item m="1" x="7189"/>
        <item m="1" x="7516"/>
        <item h="1" m="1" x="7765"/>
        <item m="1" x="3219"/>
        <item m="1" x="4298"/>
        <item h="1" m="1" x="5490"/>
        <item h="1" m="1" x="6318"/>
        <item h="1" m="1" x="611"/>
        <item h="1" m="1" x="879"/>
        <item h="1" m="1" x="1297"/>
        <item h="1" m="1" x="1964"/>
        <item m="1" x="2805"/>
        <item m="1" x="3867"/>
        <item m="1" x="5063"/>
        <item m="1" x="6128"/>
        <item h="1" m="1" x="6625"/>
        <item h="1" m="1" x="7064"/>
        <item h="1" m="1" x="1352"/>
        <item h="1" m="1" x="2024"/>
        <item h="1" m="1" x="2848"/>
        <item h="1" m="1" x="3932"/>
        <item m="1" x="5121"/>
        <item m="1" x="6153"/>
        <item m="1" x="6650"/>
        <item m="1" x="7089"/>
        <item h="1" m="1" x="7440"/>
        <item h="1" m="1" x="7709"/>
        <item h="1" m="1" x="2944"/>
        <item h="1" m="1" x="4012"/>
        <item h="1" m="1" x="5191"/>
        <item h="1" m="1" x="6190"/>
        <item m="1" x="1555"/>
        <item m="1" x="2250"/>
        <item h="1" m="1" x="3139"/>
        <item h="1" m="1" x="4241"/>
        <item h="1" m="1" x="5430"/>
        <item h="1" m="1" x="6292"/>
        <item m="1" x="6776"/>
        <item m="1" x="7199"/>
        <item m="1" x="7527"/>
        <item h="1" m="1" x="7770"/>
        <item m="1" x="3252"/>
        <item m="1" x="4338"/>
        <item h="1" m="1" x="5530"/>
        <item h="1" m="1" x="6337"/>
        <item h="1" m="1" x="6813"/>
        <item h="1" m="1" x="7236"/>
        <item m="1" x="7564"/>
        <item m="1" x="7802"/>
        <item h="1" m="1" x="7947"/>
        <item h="1" m="1" x="428"/>
        <item m="1" x="5608"/>
        <item m="1" x="6375"/>
        <item h="1" m="1" x="6845"/>
        <item h="1" m="1" x="7255"/>
        <item h="1" m="1" x="1386"/>
        <item h="1" m="1" x="2058"/>
        <item h="1" m="1" x="2887"/>
        <item h="1" m="1" x="3956"/>
        <item m="1" x="5152"/>
        <item m="1" x="6165"/>
        <item m="1" x="6662"/>
        <item m="1" x="7101"/>
        <item h="1" m="1" x="7452"/>
        <item h="1" m="1" x="7715"/>
        <item h="1" m="1" x="2984"/>
        <item h="1" m="1" x="4052"/>
        <item h="1" m="1" x="5236"/>
        <item h="1" m="1" x="6208"/>
        <item m="1" x="6697"/>
        <item m="1" x="7136"/>
        <item m="1" x="7487"/>
        <item m="1" x="7745"/>
        <item h="1" m="1" x="7913"/>
        <item h="1" m="1" x="398"/>
        <item h="1" m="1" x="5302"/>
        <item h="1" m="1" x="6242"/>
        <item h="1" m="1" x="6726"/>
        <item h="1" m="1" x="7154"/>
        <item h="1" m="1" x="1246"/>
        <item h="1" m="1" x="1842"/>
        <item h="1" m="1" x="2631"/>
        <item m="1" x="3632"/>
        <item m="1" x="4813"/>
        <item m="1" x="6006"/>
        <item h="1" m="1" x="6536"/>
        <item h="1" m="1" x="6990"/>
        <item h="1" m="1" x="7366"/>
        <item h="1" m="1" x="7651"/>
        <item h="1" m="1" x="2739"/>
        <item h="1" m="1" x="3732"/>
        <item h="1" m="1" x="4900"/>
        <item m="1" x="6067"/>
        <item m="1" x="6570"/>
        <item m="1" x="7024"/>
        <item h="1" m="1" x="7400"/>
        <item h="1" m="1" x="7681"/>
        <item h="1" m="1" x="7874"/>
        <item h="1" m="1" x="7985"/>
        <item h="1" m="1" x="4987"/>
        <item h="1" m="1" x="6106"/>
        <item h="1" m="1" x="6603"/>
        <item m="1" x="7046"/>
        <item h="1" m="1" x="1106"/>
        <item h="1" m="1" x="1657"/>
        <item m="1" x="2410"/>
        <item m="1" x="3360"/>
        <item m="1" x="4502"/>
        <item h="1" m="1" x="5702"/>
        <item h="1" m="1" x="6414"/>
        <item h="1" m="1" x="6884"/>
        <item h="1" m="1" x="7282"/>
        <item m="1" x="7589"/>
        <item h="1" m="1" x="2499"/>
        <item h="1" m="1" x="3438"/>
        <item m="1" x="4585"/>
        <item m="1" x="5779"/>
        <item m="1" x="6447"/>
        <item h="1" m="1" x="6917"/>
        <item h="1" m="1" x="7315"/>
        <item h="1" m="1" x="7617"/>
        <item h="1" m="1" x="7832"/>
        <item h="1" m="1" x="7966"/>
        <item h="1" m="1" x="4680"/>
        <item h="1" m="1" x="5856"/>
        <item m="1" x="6482"/>
        <item m="1" x="6941"/>
        <item m="1" x="990"/>
        <item m="1" x="1474"/>
        <item m="1" x="2175"/>
        <item m="1" x="3048"/>
        <item h="1" m="1" x="4167"/>
        <item h="1" m="1" x="5372"/>
        <item h="1" m="1" x="6267"/>
        <item h="1" m="1" x="6751"/>
        <item m="1" x="7174"/>
        <item m="1" x="7507"/>
        <item m="1" x="2251"/>
        <item m="1" x="3140"/>
        <item m="1" x="4242"/>
        <item m="1" x="5431"/>
        <item h="1" m="1" x="6293"/>
        <item h="1" m="1" x="6777"/>
        <item h="1" m="1" x="7200"/>
        <item h="1" m="1" x="7528"/>
        <item m="1" x="7771"/>
        <item h="1" m="1" x="7931"/>
        <item m="1" x="4339"/>
        <item m="1" x="5531"/>
        <item m="1" x="6338"/>
        <item m="1" x="6814"/>
        <item h="1" m="1" x="709"/>
        <item h="1" m="1" x="1059"/>
        <item h="1" m="1" x="1592"/>
        <item h="1" m="1" x="2361"/>
        <item m="1" x="3310"/>
        <item m="1" x="4444"/>
        <item m="1" x="5626"/>
        <item h="1" m="1" x="6386"/>
        <item h="1" m="1" x="6856"/>
        <item h="1" m="1" x="7260"/>
        <item h="1" m="1" x="1658"/>
        <item h="1" m="1" x="2411"/>
        <item h="1" m="1" x="3361"/>
        <item h="1" m="1" x="4503"/>
        <item m="1" x="5703"/>
        <item m="1" x="6415"/>
        <item m="1" x="6885"/>
        <item h="1" m="1" x="7283"/>
        <item h="1" m="1" x="7590"/>
        <item h="1" m="1" x="7821"/>
        <item h="1" m="1" x="3439"/>
        <item h="1" m="1" x="4586"/>
        <item h="1" m="1" x="5780"/>
        <item h="1" m="1" x="6448"/>
        <item h="1" m="1" x="2309"/>
        <item m="1" x="3220"/>
        <item m="1" x="4299"/>
        <item m="1" x="5491"/>
        <item h="1" m="1" x="6319"/>
        <item h="1" m="1" x="6800"/>
        <item h="1" m="1" x="7223"/>
        <item h="1" m="1" x="7551"/>
        <item m="1" x="7789"/>
        <item h="1" m="1" x="7937"/>
        <item h="1" m="1" x="4390"/>
        <item m="1" x="5577"/>
        <item m="1" x="6361"/>
        <item m="1" x="6831"/>
        <item h="1" m="1" x="7248"/>
        <item h="1" m="1" x="7576"/>
        <item h="1" m="1" x="7814"/>
        <item h="1" m="1" x="7959"/>
        <item m="1" x="444"/>
        <item m="1" x="478"/>
        <item h="1" m="1" x="6399"/>
        <item m="1" x="6869"/>
        <item m="1" x="7267"/>
        <item m="1" x="7583"/>
        <item m="1" x="2111"/>
        <item m="1" x="2945"/>
        <item m="1" x="4013"/>
        <item h="1" m="1" x="5192"/>
        <item h="1" m="1" x="6191"/>
        <item h="1" m="1" x="6685"/>
        <item h="1" m="1" x="7124"/>
        <item m="1" x="7475"/>
        <item m="1" x="7733"/>
        <item m="1" x="7905"/>
        <item m="1" x="4094"/>
        <item m="1" x="5274"/>
        <item m="1" x="6230"/>
        <item h="1" m="1" x="6714"/>
        <item h="1" m="1" x="7148"/>
        <item h="1" m="1" x="7499"/>
        <item h="1" m="1" x="7757"/>
        <item h="1" m="1" x="7925"/>
        <item m="1" x="414"/>
        <item m="1" x="476"/>
        <item m="1" x="6256"/>
        <item m="1" x="6740"/>
        <item m="1" x="7162"/>
        <item h="1" m="1" x="7505"/>
        <item h="1" m="1" x="1161"/>
        <item m="1" x="1751"/>
        <item m="1" x="2500"/>
        <item m="1" x="3440"/>
        <item h="1" m="1" x="4587"/>
        <item h="1" m="1" x="5781"/>
        <item h="1" m="1" x="6449"/>
        <item h="1" m="1" x="6918"/>
        <item m="1" x="7316"/>
        <item m="1" x="7618"/>
        <item h="1" m="1" x="2562"/>
        <item m="1" x="3533"/>
        <item m="1" x="4681"/>
        <item m="1" x="5857"/>
        <item h="1" m="1" x="6483"/>
        <item h="1" m="1" x="6942"/>
        <item h="1" m="1" x="7339"/>
        <item h="1" m="1" x="7641"/>
        <item m="1" x="7852"/>
        <item h="1" m="1" x="7977"/>
        <item h="1" m="1" x="4756"/>
        <item m="1" x="5938"/>
        <item m="1" x="6507"/>
        <item m="1" x="6961"/>
        <item m="1" x="1040"/>
        <item m="1" x="1556"/>
        <item m="1" x="2252"/>
        <item h="1" m="1" x="3141"/>
        <item h="1" m="1" x="4243"/>
        <item h="1" m="1" x="5432"/>
        <item h="1" m="1" x="6294"/>
        <item m="1" x="6778"/>
        <item m="1" x="7201"/>
        <item m="1" x="7529"/>
        <item m="1" x="2329"/>
        <item m="1" x="3253"/>
        <item m="1" x="4340"/>
        <item h="1" m="1" x="5532"/>
        <item h="1" m="1" x="6339"/>
        <item h="1" m="1" x="6815"/>
        <item h="1" m="1" x="7237"/>
        <item m="1" x="7565"/>
        <item m="1" x="7803"/>
        <item h="1" m="1" x="7948"/>
        <item m="1" x="4436"/>
        <item m="1" x="5609"/>
        <item m="1" x="6376"/>
        <item h="1" m="1" x="6846"/>
        <item h="1" m="1" x="755"/>
        <item h="1" m="1" x="1107"/>
        <item h="1" m="1" x="1659"/>
        <item m="1" x="2412"/>
        <item m="1" x="3362"/>
        <item m="1" x="4504"/>
        <item h="1" m="1" x="5704"/>
        <item h="1" m="1" x="6416"/>
        <item h="1" m="1" x="6886"/>
        <item h="1" m="1" x="7284"/>
        <item h="1" m="1" x="1752"/>
        <item h="1" m="1" x="2501"/>
        <item h="1" m="1" x="3441"/>
        <item m="1" x="4588"/>
        <item m="1" x="5782"/>
        <item m="1" x="6450"/>
        <item h="1" m="1" x="6919"/>
        <item h="1" m="1" x="7317"/>
        <item h="1" m="1" x="7619"/>
        <item h="1" m="1" x="7833"/>
        <item h="1" m="1" x="3534"/>
        <item h="1" m="1" x="4682"/>
        <item h="1" m="1" x="5858"/>
        <item m="1" x="6484"/>
        <item h="1" m="1" x="686"/>
        <item m="1" x="991"/>
        <item m="1" x="1475"/>
        <item m="1" x="2176"/>
        <item m="1" x="3049"/>
        <item h="1" m="1" x="4168"/>
        <item h="1" m="1" x="5373"/>
        <item h="1" m="1" x="6268"/>
        <item h="1" m="1" x="6752"/>
        <item m="1" x="7175"/>
        <item h="1" m="1" x="1557"/>
        <item m="1" x="2253"/>
        <item m="1" x="3142"/>
        <item m="1" x="4244"/>
        <item m="1" x="5433"/>
        <item h="1" m="1" x="6295"/>
        <item h="1" m="1" x="6779"/>
        <item h="1" m="1" x="7202"/>
        <item h="1" m="1" x="7530"/>
        <item m="1" x="7772"/>
        <item h="1" m="1" x="3254"/>
        <item m="1" x="4341"/>
        <item m="1" x="5533"/>
        <item m="1" x="6340"/>
        <item m="1" x="626"/>
        <item m="1" x="894"/>
        <item m="1" x="1320"/>
        <item h="1" m="1" x="1980"/>
        <item h="1" m="1" x="2821"/>
        <item h="1" m="1" x="3890"/>
        <item h="1" m="1" x="5080"/>
        <item m="1" x="6140"/>
        <item m="1" x="6637"/>
        <item m="1" x="7076"/>
        <item m="1" x="1387"/>
        <item m="1" x="2059"/>
        <item m="1" x="2888"/>
        <item h="1" m="1" x="3957"/>
        <item h="1" m="1" x="5153"/>
        <item h="1" m="1" x="6166"/>
        <item h="1" m="1" x="6663"/>
        <item m="1" x="7102"/>
        <item m="1" x="7453"/>
        <item m="1" x="7716"/>
        <item m="1" x="2985"/>
        <item m="1" x="4053"/>
        <item m="1" x="5237"/>
        <item h="1" m="1" x="6209"/>
        <item m="1" x="586"/>
        <item m="1" x="789"/>
        <item h="1" m="1" x="1178"/>
        <item h="1" m="1" x="1788"/>
        <item h="1" m="1" x="2573"/>
        <item h="1" m="1" x="3579"/>
        <item m="1" x="4761"/>
        <item m="1" x="5947"/>
        <item m="1" x="6516"/>
        <item m="1" x="6970"/>
        <item m="1" x="1247"/>
        <item m="1" x="1843"/>
        <item h="1" m="1" x="2632"/>
        <item h="1" m="1" x="3633"/>
        <item h="1" m="1" x="4814"/>
        <item h="1" m="1" x="6007"/>
        <item m="1" x="6537"/>
        <item m="1" x="6991"/>
        <item m="1" x="7367"/>
        <item h="1" m="1" x="7652"/>
        <item m="1" x="2740"/>
        <item m="1" x="3733"/>
        <item h="1" m="1" x="4901"/>
        <item h="1" m="1" x="6068"/>
        <item m="1" x="542"/>
        <item h="1" m="1" x="710"/>
        <item h="1" m="1" x="1060"/>
        <item h="1" m="1" x="1593"/>
        <item h="1" m="1" x="2362"/>
        <item m="1" x="3311"/>
        <item m="1" x="4445"/>
        <item m="1" x="5627"/>
        <item h="1" m="1" x="6387"/>
        <item h="1" m="1" x="6857"/>
        <item m="1" x="1108"/>
        <item h="1" m="1" x="1660"/>
        <item h="1" m="1" x="2413"/>
        <item h="1" m="1" x="3363"/>
        <item h="1" m="1" x="4505"/>
        <item m="1" x="5705"/>
        <item m="1" x="6417"/>
        <item m="1" x="6887"/>
        <item h="1" m="1" x="7285"/>
        <item h="1" m="1" x="7591"/>
        <item m="1" x="2502"/>
        <item h="1" m="1" x="3442"/>
        <item h="1" m="1" x="4589"/>
        <item h="1" m="1" x="5783"/>
        <item m="1" x="1278"/>
        <item m="1" x="1909"/>
        <item h="1" m="1" x="2691"/>
        <item h="1" m="1" x="3682"/>
        <item h="1" m="1" x="4864"/>
        <item h="1" m="1" x="6047"/>
        <item m="1" x="6557"/>
        <item m="1" x="7011"/>
        <item m="1" x="7387"/>
        <item m="1" x="7668"/>
        <item m="1" x="2776"/>
        <item m="1" x="3794"/>
        <item h="1" m="1" x="4950"/>
        <item h="1" m="1" x="6093"/>
        <item h="1" m="1" x="6591"/>
        <item h="1" m="1" x="7039"/>
        <item m="1" x="7415"/>
        <item m="1" x="7696"/>
        <item m="1" x="7889"/>
        <item h="1" m="1" x="7991"/>
        <item m="1" x="5041"/>
        <item m="1" x="6123"/>
        <item h="1" m="1" x="6620"/>
        <item h="1" m="1" x="7059"/>
        <item m="1" x="1148"/>
        <item h="1" m="1" x="1720"/>
        <item h="1" m="1" x="2466"/>
        <item h="1" m="1" x="3400"/>
        <item h="1" m="1" x="4560"/>
        <item m="1" x="5757"/>
        <item m="1" x="6436"/>
        <item m="1" x="6906"/>
        <item h="1" m="1" x="7304"/>
        <item h="1" m="1" x="7606"/>
        <item m="1" x="2549"/>
        <item h="1" m="1" x="3503"/>
        <item h="1" m="1" x="4649"/>
        <item h="1" m="1" x="5827"/>
        <item h="1" m="1" x="6471"/>
        <item m="1" x="6935"/>
        <item m="1" x="7333"/>
        <item m="1" x="7635"/>
        <item h="1" m="1" x="7846"/>
        <item h="1" m="1" x="7971"/>
        <item m="1" x="4716"/>
        <item h="1" m="1" x="5892"/>
        <item h="1" m="1" x="6500"/>
        <item h="1" m="1" x="6954"/>
        <item h="1" m="1" x="1028"/>
        <item h="1" m="1" x="1533"/>
        <item h="1" m="1" x="2210"/>
        <item h="1" m="1" x="3096"/>
        <item m="1" x="4211"/>
        <item m="1" x="5411"/>
        <item m="1" x="6283"/>
        <item h="1" m="1" x="6767"/>
        <item h="1" m="1" x="7190"/>
        <item h="1" m="1" x="7517"/>
        <item h="1" m="1" x="2310"/>
        <item h="1" m="1" x="3221"/>
        <item h="1" m="1" x="4300"/>
        <item h="1" m="1" x="5492"/>
        <item m="1" x="6320"/>
        <item m="1" x="6801"/>
        <item m="1" x="7224"/>
        <item h="1" m="1" x="7552"/>
        <item h="1" m="1" x="7790"/>
        <item h="1" m="1" x="7938"/>
        <item h="1" m="1" x="4391"/>
        <item h="1" m="1" x="5578"/>
        <item h="1" m="1" x="6362"/>
        <item h="1" m="1" x="6832"/>
        <item h="1" m="1" x="921"/>
        <item h="1" m="1" x="1353"/>
        <item m="1" x="2025"/>
        <item m="1" x="2849"/>
        <item m="1" x="3933"/>
        <item m="1" x="5122"/>
        <item h="1" m="1" x="6154"/>
        <item h="1" m="1" x="6651"/>
        <item h="1" m="1" x="7090"/>
        <item h="1" m="1" x="7441"/>
        <item h="1" m="1" x="2112"/>
        <item h="1" m="1" x="2946"/>
        <item m="1" x="4014"/>
        <item m="1" x="5193"/>
        <item m="1" x="6192"/>
        <item m="1" x="6686"/>
        <item h="1" m="1" x="7125"/>
        <item h="1" m="1" x="7476"/>
        <item h="1" m="1" x="7734"/>
        <item h="1" m="1" x="7906"/>
        <item h="1" m="1" x="4095"/>
        <item h="1" m="1" x="5275"/>
        <item m="1" x="6231"/>
        <item m="1" x="6715"/>
        <item h="1" m="1" x="826"/>
        <item m="1" x="1219"/>
        <item m="1" x="1819"/>
        <item m="1" x="2613"/>
        <item h="1" m="1" x="3606"/>
        <item h="1" m="1" x="4796"/>
        <item h="1" m="1" x="5980"/>
        <item h="1" m="1" x="6527"/>
        <item m="1" x="6981"/>
        <item m="1" x="7357"/>
        <item h="1" m="1" x="1910"/>
        <item m="1" x="2692"/>
        <item m="1" x="3683"/>
        <item m="1" x="4865"/>
        <item h="1" m="1" x="6048"/>
        <item h="1" m="1" x="6558"/>
        <item h="1" m="1" x="7012"/>
        <item h="1" m="1" x="7388"/>
        <item m="1" x="7669"/>
        <item m="1" x="7866"/>
        <item h="1" m="1" x="3795"/>
        <item m="1" x="4951"/>
        <item m="1" x="6094"/>
        <item m="1" x="6592"/>
        <item h="1" m="1" x="612"/>
        <item h="1" m="1" x="880"/>
        <item h="1" m="1" x="1298"/>
        <item h="1" m="1" x="1965"/>
        <item m="1" x="2806"/>
        <item m="1" x="3868"/>
        <item m="1" x="5064"/>
        <item m="1" x="6129"/>
        <item h="1" m="1" x="6626"/>
        <item h="1" m="1" x="7065"/>
        <item h="1" m="1" x="1354"/>
        <item h="1" m="1" x="2026"/>
        <item h="1" m="1" x="2850"/>
        <item h="1" m="1" x="3934"/>
        <item m="1" x="5123"/>
        <item m="1" x="6155"/>
        <item m="1" x="6652"/>
        <item m="1" x="7091"/>
        <item h="1" m="1" x="7442"/>
        <item h="1" m="1" x="7710"/>
        <item h="1" m="1" x="2947"/>
        <item h="1" m="1" x="4015"/>
        <item h="1" m="1" x="5194"/>
        <item h="1" m="1" x="6193"/>
        <item h="1" m="1" x="1934"/>
        <item m="1" x="2741"/>
        <item m="1" x="3734"/>
        <item m="1" x="4902"/>
        <item h="1" m="1" x="6069"/>
        <item h="1" m="1" x="6571"/>
        <item h="1" m="1" x="7025"/>
        <item h="1" m="1" x="7401"/>
        <item m="1" x="7682"/>
        <item m="1" x="7875"/>
        <item h="1" m="1" x="3826"/>
        <item m="1" x="4988"/>
        <item m="1" x="6107"/>
        <item m="1" x="6604"/>
        <item h="1" m="1" x="7047"/>
        <item h="1" m="1" x="7421"/>
        <item h="1" m="1" x="7702"/>
        <item h="1" m="1" x="7895"/>
        <item h="1" m="1" x="7997"/>
        <item m="1" x="471"/>
        <item h="1" m="1" x="6135"/>
        <item m="1" x="6632"/>
        <item m="1" x="7071"/>
        <item m="1" x="7427"/>
        <item m="1" x="1753"/>
        <item m="1" x="2503"/>
        <item m="1" x="3443"/>
        <item h="1" m="1" x="4590"/>
        <item h="1" m="1" x="5784"/>
        <item h="1" m="1" x="6451"/>
        <item h="1" m="1" x="6920"/>
        <item m="1" x="7318"/>
        <item m="1" x="7620"/>
        <item m="1" x="7834"/>
        <item m="1" x="3535"/>
        <item m="1" x="4683"/>
        <item m="1" x="5859"/>
        <item h="1" m="1" x="6485"/>
        <item h="1" m="1" x="6943"/>
        <item h="1" m="1" x="7340"/>
        <item h="1" m="1" x="7642"/>
        <item m="1" x="7853"/>
        <item h="1" m="1" x="7978"/>
        <item m="1" x="456"/>
        <item m="1" x="5939"/>
        <item m="1" x="6508"/>
        <item m="1" x="6962"/>
        <item h="1" m="1" x="7347"/>
        <item m="1" x="1558"/>
        <item m="1" x="2254"/>
        <item h="1" m="1" x="3143"/>
        <item h="1" m="1" x="4245"/>
        <item h="1" m="1" x="5434"/>
        <item h="1" m="1" x="6296"/>
        <item m="1" x="6780"/>
        <item m="1" x="7203"/>
        <item m="1" x="7531"/>
        <item h="1" m="1" x="7773"/>
        <item m="1" x="3255"/>
        <item m="1" x="4342"/>
        <item h="1" m="1" x="5534"/>
        <item h="1" m="1" x="6341"/>
        <item h="1" m="1" x="6816"/>
        <item h="1" m="1" x="7238"/>
        <item m="1" x="7566"/>
        <item m="1" x="7804"/>
        <item h="1" m="1" x="7949"/>
        <item h="1" m="1" x="429"/>
        <item m="1" x="5610"/>
        <item m="1" x="6377"/>
        <item h="1" m="1" x="6847"/>
        <item h="1" m="1" x="7256"/>
        <item h="1" m="1" x="1388"/>
        <item h="1" m="1" x="2060"/>
        <item h="1" m="1" x="2889"/>
        <item h="1" m="1" x="3958"/>
        <item m="1" x="5154"/>
        <item m="1" x="6167"/>
        <item m="1" x="6664"/>
        <item m="1" x="7103"/>
        <item h="1" m="1" x="7454"/>
        <item h="1" m="1" x="7717"/>
        <item h="1" m="1" x="2986"/>
        <item h="1" m="1" x="4054"/>
        <item h="1" m="1" x="5238"/>
        <item h="1" m="1" x="6210"/>
        <item m="1" x="6698"/>
        <item m="1" x="7137"/>
        <item m="1" x="7488"/>
        <item m="1" x="7746"/>
        <item h="1" m="1" x="7914"/>
        <item h="1" m="1" x="399"/>
        <item h="1" m="1" x="5303"/>
        <item h="1" m="1" x="6243"/>
        <item h="1" m="1" x="6727"/>
        <item h="1" m="1" x="7155"/>
        <item m="1" x="992"/>
        <item m="1" x="1476"/>
        <item m="1" x="2177"/>
        <item m="1" x="3050"/>
        <item h="1" m="1" x="4169"/>
        <item h="1" m="1" x="5374"/>
        <item h="1" m="1" x="6269"/>
        <item h="1" m="1" x="6753"/>
        <item m="1" x="7176"/>
        <item m="1" x="7508"/>
        <item m="1" x="2255"/>
        <item m="1" x="3144"/>
        <item m="1" x="4246"/>
        <item m="1" x="5435"/>
        <item h="1" m="1" x="6297"/>
        <item h="1" m="1" x="6781"/>
        <item h="1" m="1" x="7204"/>
        <item h="1" m="1" x="7532"/>
        <item m="1" x="7774"/>
        <item h="1" m="1" x="7932"/>
        <item m="1" x="4343"/>
        <item m="1" x="5535"/>
        <item m="1" x="6342"/>
        <item m="1" x="6817"/>
        <item m="1" x="895"/>
        <item m="1" x="1321"/>
        <item h="1" m="1" x="1981"/>
        <item h="1" m="1" x="2822"/>
        <item h="1" m="1" x="3891"/>
        <item h="1" m="1" x="5081"/>
        <item m="1" x="6141"/>
        <item m="1" x="6638"/>
        <item m="1" x="7077"/>
        <item m="1" x="7432"/>
        <item m="1" x="2061"/>
        <item m="1" x="2890"/>
        <item h="1" m="1" x="3959"/>
        <item h="1" m="1" x="5155"/>
        <item h="1" m="1" x="6168"/>
        <item h="1" m="1" x="6665"/>
        <item m="1" x="7104"/>
        <item m="1" x="7455"/>
        <item m="1" x="7718"/>
        <item m="1" x="7900"/>
        <item m="1" x="4055"/>
        <item m="1" x="5239"/>
        <item h="1" m="1" x="6211"/>
        <item h="1" m="1" x="6699"/>
        <item m="1" x="790"/>
        <item h="1" m="1" x="1179"/>
        <item h="1" m="1" x="1789"/>
        <item h="1" m="1" x="2574"/>
        <item h="1" m="1" x="3580"/>
        <item m="1" x="4762"/>
        <item m="1" x="5948"/>
        <item m="1" x="6517"/>
        <item m="1" x="6971"/>
        <item h="1" m="1" x="7351"/>
        <item m="1" x="1844"/>
        <item h="1" m="1" x="2633"/>
        <item h="1" m="1" x="3634"/>
        <item h="1" m="1" x="4815"/>
        <item h="1" m="1" x="6008"/>
        <item m="1" x="6538"/>
        <item m="1" x="6992"/>
        <item m="1" x="7368"/>
        <item h="1" m="1" x="7653"/>
        <item h="1" m="1" x="7860"/>
        <item m="1" x="3735"/>
        <item h="1" m="1" x="4903"/>
        <item h="1" m="1" x="6070"/>
        <item h="1" m="1" x="6572"/>
        <item h="1" m="1" x="1162"/>
        <item m="1" x="1754"/>
        <item m="1" x="2504"/>
        <item m="1" x="3444"/>
        <item h="1" m="1" x="4591"/>
        <item h="1" m="1" x="5785"/>
        <item h="1" m="1" x="6452"/>
        <item h="1" m="1" x="6921"/>
        <item m="1" x="7319"/>
        <item m="1" x="7621"/>
        <item h="1" m="1" x="2563"/>
        <item m="1" x="3536"/>
        <item m="1" x="4684"/>
        <item m="1" x="5860"/>
        <item h="1" m="1" x="6486"/>
        <item h="1" m="1" x="6944"/>
        <item h="1" m="1" x="7341"/>
        <item h="1" m="1" x="7643"/>
        <item m="1" x="7854"/>
        <item h="1" m="1" x="7979"/>
        <item h="1" m="1" x="4757"/>
        <item m="1" x="5940"/>
        <item m="1" x="6509"/>
        <item m="1" x="6963"/>
        <item m="1" x="1041"/>
        <item m="1" x="1559"/>
        <item m="1" x="2256"/>
        <item h="1" m="1" x="3145"/>
        <item h="1" m="1" x="4247"/>
        <item h="1" m="1" x="5436"/>
        <item h="1" m="1" x="6298"/>
        <item m="1" x="6782"/>
        <item m="1" x="7205"/>
        <item m="1" x="7533"/>
        <item m="1" x="2330"/>
        <item m="1" x="3256"/>
        <item m="1" x="4344"/>
        <item h="1" m="1" x="5536"/>
        <item h="1" m="1" x="6343"/>
        <item h="1" m="1" x="6818"/>
        <item h="1" m="1" x="7239"/>
        <item m="1" x="7567"/>
        <item m="1" x="7805"/>
        <item h="1" m="1" x="7950"/>
        <item m="1" x="4437"/>
        <item m="1" x="5611"/>
        <item m="1" x="6378"/>
        <item h="1" m="1" x="6848"/>
        <item h="1" m="1" x="756"/>
        <item h="1" m="1" x="1109"/>
        <item h="1" m="1" x="1661"/>
        <item m="1" x="2414"/>
        <item m="1" x="3364"/>
        <item m="1" x="4506"/>
        <item h="1" m="1" x="5706"/>
        <item h="1" m="1" x="6418"/>
        <item h="1" m="1" x="6888"/>
        <item h="1" m="1" x="7286"/>
        <item h="1" m="1" x="1755"/>
        <item h="1" m="1" x="2505"/>
        <item h="1" m="1" x="3445"/>
        <item m="1" x="4592"/>
        <item m="1" x="5786"/>
        <item m="1" x="6453"/>
        <item h="1" m="1" x="6922"/>
        <item h="1" m="1" x="7320"/>
        <item h="1" m="1" x="7622"/>
        <item h="1" m="1" x="7835"/>
        <item h="1" m="1" x="3537"/>
        <item h="1" m="1" x="4685"/>
        <item h="1" m="1" x="5861"/>
        <item m="1" x="6487"/>
        <item h="1" m="1" x="687"/>
        <item m="1" x="993"/>
        <item m="1" x="1477"/>
        <item m="1" x="2178"/>
        <item m="1" x="3051"/>
        <item h="1" m="1" x="4170"/>
        <item h="1" m="1" x="5375"/>
        <item h="1" m="1" x="6270"/>
        <item h="1" m="1" x="6754"/>
        <item m="1" x="7177"/>
        <item h="1" m="1" x="1560"/>
        <item m="1" x="2257"/>
        <item m="1" x="3146"/>
        <item m="1" x="4248"/>
        <item m="1" x="5437"/>
        <item h="1" m="1" x="6299"/>
        <item h="1" m="1" x="6783"/>
        <item h="1" m="1" x="7206"/>
        <item h="1" m="1" x="7534"/>
        <item m="1" x="7775"/>
        <item h="1" m="1" x="3257"/>
        <item m="1" x="4345"/>
        <item m="1" x="5537"/>
        <item m="1" x="6344"/>
        <item m="1" x="627"/>
        <item m="1" x="896"/>
        <item m="1" x="1322"/>
        <item h="1" m="1" x="1982"/>
        <item h="1" m="1" x="2823"/>
        <item h="1" m="1" x="3892"/>
        <item h="1" m="1" x="5082"/>
        <item m="1" x="6142"/>
        <item m="1" x="6639"/>
        <item m="1" x="7078"/>
        <item m="1" x="1389"/>
        <item m="1" x="2062"/>
        <item m="1" x="2891"/>
        <item h="1" m="1" x="3960"/>
        <item h="1" m="1" x="5156"/>
        <item h="1" m="1" x="6169"/>
        <item h="1" m="1" x="6666"/>
        <item m="1" x="7105"/>
        <item m="1" x="7456"/>
        <item m="1" x="7719"/>
        <item m="1" x="2987"/>
        <item m="1" x="4056"/>
        <item m="1" x="5240"/>
        <item h="1" m="1" x="6212"/>
        <item m="1" x="587"/>
        <item m="1" x="791"/>
        <item h="1" m="1" x="1180"/>
        <item h="1" m="1" x="1790"/>
        <item h="1" m="1" x="2575"/>
        <item h="1" m="1" x="3581"/>
        <item m="1" x="4763"/>
        <item m="1" x="5949"/>
        <item m="1" x="6518"/>
        <item m="1" x="6972"/>
        <item m="1" x="1248"/>
        <item m="1" x="1845"/>
        <item h="1" m="1" x="2634"/>
        <item h="1" m="1" x="3635"/>
        <item h="1" m="1" x="4816"/>
        <item h="1" m="1" x="6009"/>
        <item m="1" x="6539"/>
        <item m="1" x="6993"/>
        <item m="1" x="7369"/>
        <item h="1" m="1" x="7654"/>
        <item m="1" x="2742"/>
        <item m="1" x="3736"/>
        <item h="1" m="1" x="4904"/>
        <item h="1" m="1" x="6071"/>
        <item m="1" x="543"/>
        <item h="1" m="1" x="711"/>
        <item h="1" m="1" x="1061"/>
        <item h="1" m="1" x="1594"/>
        <item h="1" m="1" x="2363"/>
        <item m="1" x="3312"/>
        <item m="1" x="4446"/>
        <item m="1" x="5628"/>
        <item h="1" m="1" x="6388"/>
        <item h="1" m="1" x="6858"/>
        <item m="1" x="1110"/>
        <item h="1" m="1" x="1662"/>
        <item h="1" m="1" x="2415"/>
        <item h="1" m="1" x="3365"/>
        <item h="1" m="1" x="4507"/>
        <item m="1" x="5707"/>
        <item m="1" x="6419"/>
        <item m="1" x="6889"/>
        <item h="1" m="1" x="7287"/>
        <item h="1" m="1" x="7592"/>
        <item m="1" x="2506"/>
        <item h="1" m="1" x="3446"/>
        <item h="1" m="1" x="4593"/>
        <item h="1" m="1" x="5787"/>
        <item m="1" x="7163"/>
        <item m="1" x="1279"/>
        <item m="1" x="1911"/>
        <item h="1" m="1" x="2693"/>
        <item h="1" m="1" x="3684"/>
        <item h="1" m="1" x="4866"/>
        <item h="1" m="1" x="6049"/>
        <item m="1" x="6559"/>
        <item m="1" x="7013"/>
        <item m="1" x="7389"/>
        <item m="1" x="7670"/>
        <item m="1" x="2777"/>
        <item m="1" x="3796"/>
        <item h="1" m="1" x="4952"/>
        <item h="1" m="1" x="6095"/>
        <item h="1" m="1" x="6593"/>
        <item h="1" m="1" x="7040"/>
        <item m="1" x="7416"/>
        <item m="1" x="7697"/>
        <item m="1" x="7890"/>
        <item h="1" m="1" x="7992"/>
        <item m="1" x="5042"/>
        <item m="1" x="6124"/>
        <item h="1" m="1" x="6621"/>
        <item h="1" m="1" x="7060"/>
        <item m="1" x="1149"/>
        <item h="1" m="1" x="1721"/>
        <item h="1" m="1" x="2467"/>
        <item h="1" m="1" x="3401"/>
        <item h="1" m="1" x="4561"/>
        <item m="1" x="5758"/>
        <item m="1" x="6437"/>
        <item m="1" x="6907"/>
        <item h="1" m="1" x="7305"/>
        <item h="1" m="1" x="7607"/>
        <item m="1" x="2550"/>
        <item h="1" m="1" x="3504"/>
        <item h="1" m="1" x="4650"/>
        <item h="1" m="1" x="5828"/>
        <item h="1" m="1" x="6472"/>
        <item m="1" x="6936"/>
        <item m="1" x="7334"/>
        <item m="1" x="7636"/>
        <item h="1" m="1" x="7847"/>
        <item h="1" m="1" x="7972"/>
        <item m="1" x="4717"/>
        <item h="1" m="1" x="5893"/>
        <item h="1" m="1" x="6501"/>
        <item h="1" m="1" x="6955"/>
        <item h="1" m="1" x="1029"/>
        <item h="1" m="1" x="1534"/>
        <item h="1" m="1" x="2211"/>
        <item h="1" m="1" x="3097"/>
        <item m="1" x="4212"/>
        <item m="1" x="5412"/>
        <item m="1" x="6284"/>
        <item h="1" m="1" x="6768"/>
        <item h="1" m="1" x="7191"/>
        <item h="1" m="1" x="7518"/>
        <item h="1" m="1" x="2311"/>
        <item h="1" m="1" x="3222"/>
        <item h="1" m="1" x="4301"/>
        <item h="1" m="1" x="5493"/>
        <item m="1" x="6321"/>
        <item m="1" x="6802"/>
        <item m="1" x="7225"/>
        <item h="1" m="1" x="7553"/>
        <item h="1" m="1" x="7791"/>
        <item h="1" m="1" x="7939"/>
        <item h="1" m="1" x="4392"/>
        <item h="1" m="1" x="5579"/>
        <item h="1" m="1" x="6363"/>
        <item h="1" m="1" x="6833"/>
        <item h="1" m="1" x="922"/>
        <item h="1" m="1" x="1355"/>
        <item m="1" x="2027"/>
        <item m="1" x="2851"/>
        <item m="1" x="3935"/>
        <item m="1" x="5124"/>
        <item h="1" m="1" x="6156"/>
        <item h="1" m="1" x="6653"/>
        <item h="1" m="1" x="7092"/>
        <item h="1" m="1" x="7443"/>
        <item h="1" m="1" x="2113"/>
        <item h="1" m="1" x="2948"/>
        <item m="1" x="4016"/>
        <item m="1" x="5195"/>
        <item m="1" x="6194"/>
        <item m="1" x="6687"/>
        <item h="1" m="1" x="7126"/>
        <item h="1" m="1" x="7477"/>
        <item h="1" m="1" x="7735"/>
        <item h="1" m="1" x="7907"/>
        <item h="1" m="1" x="4096"/>
        <item h="1" m="1" x="5276"/>
        <item m="1" x="6232"/>
        <item m="1" x="6716"/>
        <item h="1" m="1" x="827"/>
        <item m="1" x="1220"/>
        <item m="1" x="1820"/>
        <item m="1" x="2614"/>
        <item h="1" m="1" x="3607"/>
        <item h="1" m="1" x="4797"/>
        <item h="1" m="1" x="5981"/>
        <item h="1" m="1" x="6528"/>
        <item m="1" x="6982"/>
        <item m="1" x="7358"/>
        <item h="1" m="1" x="1912"/>
        <item m="1" x="2694"/>
        <item m="1" x="3685"/>
        <item m="1" x="4867"/>
        <item h="1" m="1" x="6050"/>
        <item h="1" m="1" x="6560"/>
        <item h="1" m="1" x="7014"/>
        <item h="1" m="1" x="7390"/>
        <item m="1" x="7671"/>
        <item m="1" x="7867"/>
        <item h="1" m="1" x="3797"/>
        <item m="1" x="4953"/>
        <item m="1" x="6096"/>
        <item h="1" m="1" x="6322"/>
        <item h="1" m="1" x="613"/>
        <item h="1" m="1" x="881"/>
        <item h="1" m="1" x="1299"/>
        <item h="1" m="1" x="1966"/>
        <item m="1" x="2807"/>
        <item m="1" x="3869"/>
        <item m="1" x="5065"/>
        <item m="1" x="6130"/>
        <item h="1" m="1" x="6627"/>
        <item h="1" m="1" x="7066"/>
        <item h="1" m="1" x="1356"/>
        <item h="1" m="1" x="2028"/>
        <item h="1" m="1" x="2852"/>
        <item h="1" m="1" x="3936"/>
        <item m="1" x="5125"/>
        <item m="1" x="6157"/>
        <item m="1" x="6654"/>
        <item m="1" x="7093"/>
        <item h="1" m="1" x="7444"/>
        <item h="1" m="1" x="7711"/>
        <item h="1" m="1" x="2949"/>
        <item h="1" m="1" x="4017"/>
        <item h="1" m="1" x="5196"/>
        <item h="1" m="1" x="6195"/>
        <item h="1" m="1" x="1935"/>
        <item m="1" x="2743"/>
        <item m="1" x="3737"/>
        <item m="1" x="4905"/>
        <item h="1" m="1" x="6072"/>
        <item h="1" m="1" x="6573"/>
        <item h="1" m="1" x="7026"/>
        <item h="1" m="1" x="7402"/>
        <item m="1" x="7683"/>
        <item m="1" x="7876"/>
        <item h="1" m="1" x="3827"/>
        <item m="1" x="4989"/>
        <item m="1" x="6108"/>
        <item m="1" x="6605"/>
        <item h="1" m="1" x="7048"/>
        <item h="1" m="1" x="7422"/>
        <item h="1" m="1" x="7703"/>
        <item h="1" m="1" x="7896"/>
        <item h="1" m="1" x="7998"/>
        <item m="1" x="472"/>
        <item h="1" m="1" x="6136"/>
        <item m="1" x="6633"/>
        <item m="1" x="7072"/>
        <item m="1" x="7428"/>
        <item m="1" x="1756"/>
        <item m="1" x="2507"/>
        <item m="1" x="3447"/>
        <item h="1" m="1" x="4594"/>
        <item h="1" m="1" x="5788"/>
        <item h="1" m="1" x="6454"/>
        <item h="1" m="1" x="6923"/>
        <item m="1" x="7321"/>
        <item m="1" x="7623"/>
        <item m="1" x="7836"/>
        <item m="1" x="3538"/>
        <item m="1" x="4686"/>
        <item m="1" x="5862"/>
        <item h="1" m="1" x="6488"/>
        <item h="1" m="1" x="6945"/>
        <item h="1" m="1" x="7342"/>
        <item h="1" m="1" x="7644"/>
        <item m="1" x="7855"/>
        <item h="1" m="1" x="7980"/>
        <item m="1" x="457"/>
        <item m="1" x="5941"/>
        <item m="1" x="6510"/>
        <item m="1" x="6964"/>
        <item h="1" m="1" x="7348"/>
        <item m="1" x="1561"/>
        <item m="1" x="2258"/>
        <item h="1" m="1" x="3147"/>
        <item h="1" m="1" x="4249"/>
        <item h="1" m="1" x="5438"/>
        <item h="1" m="1" x="6300"/>
        <item m="1" x="6784"/>
        <item m="1" x="7207"/>
        <item m="1" x="7535"/>
        <item h="1" m="1" x="7776"/>
        <item m="1" x="3258"/>
        <item m="1" x="4346"/>
        <item h="1" m="1" x="5538"/>
        <item h="1" m="1" x="6345"/>
        <item h="1" m="1" x="6819"/>
        <item h="1" m="1" x="7240"/>
        <item m="1" x="7568"/>
        <item m="1" x="7806"/>
        <item h="1" m="1" x="7951"/>
        <item h="1" m="1" x="430"/>
        <item m="1" x="5612"/>
        <item m="1" x="6379"/>
        <item h="1" m="1" x="6849"/>
        <item h="1" m="1" x="7257"/>
        <item h="1" m="1" x="1390"/>
        <item h="1" m="1" x="2063"/>
        <item h="1" m="1" x="2892"/>
        <item h="1" m="1" x="3961"/>
        <item m="1" x="5157"/>
        <item m="1" x="6170"/>
        <item m="1" x="6667"/>
        <item m="1" x="7106"/>
        <item h="1" m="1" x="7457"/>
        <item h="1" m="1" x="7720"/>
        <item h="1" m="1" x="2988"/>
        <item h="1" m="1" x="4057"/>
        <item h="1" m="1" x="5241"/>
        <item h="1" m="1" x="6213"/>
        <item m="1" x="6700"/>
        <item m="1" x="7138"/>
        <item m="1" x="7489"/>
        <item m="1" x="7747"/>
        <item h="1" m="1" x="7915"/>
        <item h="1" m="1" x="400"/>
        <item h="1" m="1" x="5304"/>
        <item h="1" m="1" x="6244"/>
        <item h="1" m="1" x="6728"/>
        <item m="1" x="994"/>
        <item m="1" x="1478"/>
        <item m="1" x="2179"/>
        <item m="1" x="3052"/>
        <item h="1" m="1" x="4171"/>
        <item h="1" m="1" x="5376"/>
        <item h="1" m="1" x="6271"/>
        <item h="1" m="1" x="6755"/>
        <item m="1" x="7178"/>
        <item m="1" x="7509"/>
        <item m="1" x="2259"/>
        <item m="1" x="3148"/>
        <item m="1" x="4250"/>
        <item m="1" x="5439"/>
        <item h="1" m="1" x="6301"/>
        <item h="1" m="1" x="6785"/>
        <item h="1" m="1" x="7208"/>
        <item h="1" m="1" x="7536"/>
        <item m="1" x="7777"/>
        <item h="1" m="1" x="7933"/>
        <item m="1" x="4347"/>
        <item m="1" x="5539"/>
        <item m="1" x="6346"/>
        <item m="1" x="6820"/>
        <item m="1" x="897"/>
        <item m="1" x="1323"/>
        <item h="1" m="1" x="1983"/>
        <item h="1" m="1" x="2824"/>
        <item h="1" m="1" x="3893"/>
        <item h="1" m="1" x="5083"/>
        <item m="1" x="6143"/>
        <item m="1" x="6640"/>
        <item m="1" x="7079"/>
        <item m="1" x="7433"/>
        <item m="1" x="2064"/>
        <item m="1" x="2893"/>
        <item h="1" m="1" x="3962"/>
        <item h="1" m="1" x="5158"/>
        <item h="1" m="1" x="6171"/>
        <item h="1" m="1" x="6668"/>
        <item m="1" x="7107"/>
        <item m="1" x="7458"/>
        <item m="1" x="7721"/>
        <item m="1" x="7901"/>
        <item m="1" x="4058"/>
        <item m="1" x="5242"/>
        <item h="1" m="1" x="6214"/>
        <item h="1" m="1" x="6701"/>
        <item m="1" x="792"/>
        <item h="1" m="1" x="1181"/>
        <item h="1" m="1" x="1791"/>
        <item h="1" m="1" x="2576"/>
        <item h="1" m="1" x="3582"/>
        <item m="1" x="4764"/>
        <item m="1" x="5950"/>
        <item m="1" x="6519"/>
        <item m="1" x="6973"/>
        <item h="1" m="1" x="7352"/>
        <item m="1" x="1846"/>
        <item h="1" m="1" x="2635"/>
        <item h="1" m="1" x="3636"/>
        <item h="1" m="1" x="4817"/>
        <item h="1" m="1" x="6010"/>
        <item m="1" x="6540"/>
        <item m="1" x="6994"/>
        <item m="1" x="7370"/>
        <item h="1" m="1" x="7655"/>
        <item h="1" m="1" x="7861"/>
        <item m="1" x="3738"/>
        <item h="1" m="1" x="4906"/>
        <item h="1" m="1" x="6073"/>
        <item h="1" m="1" x="6574"/>
        <item h="1" m="1" x="712"/>
        <item h="1" m="1" x="1062"/>
        <item h="1" m="1" x="1595"/>
        <item h="1" m="1" x="2364"/>
        <item m="1" x="3313"/>
        <item m="1" x="4447"/>
        <item m="1" x="5629"/>
        <item h="1" m="1" x="6389"/>
        <item h="1" m="1" x="6859"/>
        <item h="1" m="1" x="7261"/>
        <item h="1" m="1" x="1663"/>
        <item h="1" m="1" x="2416"/>
        <item h="1" m="1" x="3366"/>
        <item h="1" m="1" x="4508"/>
        <item m="1" x="5708"/>
        <item m="1" x="6420"/>
        <item m="1" x="6890"/>
        <item h="1" m="1" x="7288"/>
        <item h="1" m="1" x="7593"/>
        <item h="1" m="1" x="7822"/>
        <item h="1" m="1" x="3448"/>
        <item h="1" m="1" x="4595"/>
        <item h="1" m="1" x="5789"/>
        <item h="1" m="1" x="6455"/>
        <item h="1" m="1" x="2312"/>
        <item m="1" x="3223"/>
        <item m="1" x="4302"/>
        <item m="1" x="5494"/>
        <item h="1" m="1" x="6323"/>
        <item h="1" m="1" x="6803"/>
        <item h="1" m="1" x="7226"/>
        <item h="1" m="1" x="7554"/>
        <item m="1" x="7792"/>
        <item h="1" m="1" x="7940"/>
        <item h="1" m="1" x="4393"/>
        <item m="1" x="5580"/>
        <item m="1" x="6364"/>
        <item m="1" x="6834"/>
        <item h="1" m="1" x="7249"/>
        <item h="1" m="1" x="7577"/>
        <item h="1" m="1" x="7815"/>
        <item h="1" m="1" x="7960"/>
        <item m="1" x="445"/>
        <item m="1" x="479"/>
        <item h="1" m="1" x="6400"/>
        <item m="1" x="6870"/>
        <item m="1" x="7268"/>
        <item m="1" x="7584"/>
        <item m="1" x="1042"/>
        <item m="1" x="1562"/>
        <item m="1" x="2260"/>
        <item h="1" m="1" x="3149"/>
        <item h="1" m="1" x="4251"/>
        <item h="1" m="1" x="5440"/>
        <item h="1" m="1" x="6302"/>
        <item m="1" x="6786"/>
        <item m="1" x="7209"/>
        <item m="1" x="7537"/>
        <item m="1" x="2331"/>
        <item m="1" x="3259"/>
        <item m="1" x="4348"/>
        <item h="1" m="1" x="5540"/>
        <item h="1" m="1" x="6347"/>
        <item h="1" m="1" x="6821"/>
        <item h="1" m="1" x="7241"/>
        <item m="1" x="7569"/>
        <item m="1" x="7807"/>
        <item h="1" m="1" x="7952"/>
        <item m="1" x="4438"/>
        <item m="1" x="5613"/>
        <item m="1" x="6380"/>
        <item h="1" m="1" x="6850"/>
        <item m="1" x="945"/>
        <item h="1" m="1" x="1391"/>
        <item h="1" m="1" x="2065"/>
        <item h="1" m="1" x="2894"/>
        <item h="1" m="1" x="3963"/>
        <item m="1" x="5159"/>
        <item m="1" x="6172"/>
        <item m="1" x="6669"/>
        <item m="1" x="7108"/>
        <item h="1" m="1" x="7459"/>
        <item m="1" x="2139"/>
        <item h="1" m="1" x="2989"/>
        <item h="1" m="1" x="4059"/>
        <item h="1" m="1" x="5243"/>
        <item h="1" m="1" x="6215"/>
        <item m="1" x="6702"/>
        <item m="1" x="7139"/>
        <item m="1" x="7490"/>
        <item m="1" x="7748"/>
        <item h="1" m="1" x="7916"/>
        <item m="1" x="4122"/>
        <item h="1" m="1" x="5305"/>
        <item h="1" m="1" x="6245"/>
        <item h="1" m="1" x="6729"/>
        <item h="1" m="1" x="843"/>
        <item h="1" m="1" x="1249"/>
        <item h="1" m="1" x="1847"/>
        <item h="1" m="1" x="2636"/>
        <item m="1" x="3637"/>
        <item m="1" x="4818"/>
        <item m="1" x="6011"/>
        <item h="1" m="1" x="6541"/>
        <item h="1" m="1" x="6995"/>
        <item h="1" m="1" x="7371"/>
        <item h="1" m="1" x="1936"/>
        <item h="1" m="1" x="2744"/>
        <item h="1" m="1" x="3739"/>
        <item h="1" m="1" x="4907"/>
        <item m="1" x="6074"/>
        <item m="1" x="6575"/>
        <item m="1" x="7027"/>
        <item h="1" m="1" x="7403"/>
        <item h="1" m="1" x="7684"/>
        <item h="1" m="1" x="7877"/>
        <item h="1" m="1" x="3828"/>
        <item h="1" m="1" x="4990"/>
        <item h="1" m="1" x="6109"/>
        <item h="1" m="1" x="6606"/>
        <item h="1" m="1" x="757"/>
        <item h="1" m="1" x="1111"/>
        <item h="1" m="1" x="1664"/>
        <item m="1" x="2417"/>
        <item m="1" x="3367"/>
        <item m="1" x="4509"/>
        <item h="1" m="1" x="5709"/>
        <item h="1" m="1" x="6421"/>
        <item h="1" m="1" x="6891"/>
        <item h="1" m="1" x="7289"/>
        <item h="1" m="1" x="1757"/>
        <item h="1" m="1" x="2508"/>
        <item h="1" m="1" x="3449"/>
        <item m="1" x="4596"/>
        <item m="1" x="5790"/>
        <item m="1" x="6456"/>
        <item h="1" m="1" x="6924"/>
        <item h="1" m="1" x="7322"/>
        <item h="1" m="1" x="7624"/>
        <item h="1" m="1" x="7837"/>
        <item h="1" m="1" x="3539"/>
        <item h="1" m="1" x="4687"/>
        <item h="1" m="1" x="5863"/>
        <item m="1" x="6489"/>
        <item h="1" m="1" x="688"/>
        <item m="1" x="995"/>
        <item m="1" x="1479"/>
        <item m="1" x="2180"/>
        <item m="1" x="3053"/>
        <item h="1" m="1" x="4172"/>
        <item h="1" m="1" x="5377"/>
        <item h="1" m="1" x="6272"/>
        <item h="1" m="1" x="6756"/>
        <item m="1" x="7179"/>
        <item h="1" m="1" x="1563"/>
        <item m="1" x="2261"/>
        <item m="1" x="3150"/>
        <item m="1" x="4252"/>
        <item m="1" x="5441"/>
        <item h="1" m="1" x="6303"/>
        <item h="1" m="1" x="6787"/>
        <item h="1" m="1" x="7210"/>
        <item h="1" m="1" x="7538"/>
        <item m="1" x="7778"/>
        <item h="1" m="1" x="3260"/>
        <item m="1" x="4349"/>
        <item m="1" x="5541"/>
        <item m="1" x="6348"/>
        <item m="1" x="544"/>
        <item h="1" m="1" x="713"/>
        <item h="1" m="1" x="1063"/>
        <item h="1" m="1" x="1596"/>
        <item h="1" m="1" x="2365"/>
        <item m="1" x="3314"/>
        <item m="1" x="4448"/>
        <item m="1" x="5630"/>
        <item h="1" m="1" x="6390"/>
        <item h="1" m="1" x="6860"/>
        <item m="1" x="1112"/>
        <item h="1" m="1" x="1665"/>
        <item h="1" m="1" x="2418"/>
        <item h="1" m="1" x="3368"/>
        <item h="1" m="1" x="4510"/>
        <item m="1" x="5710"/>
        <item m="1" x="6422"/>
        <item m="1" x="6892"/>
        <item h="1" m="1" x="7290"/>
        <item h="1" m="1" x="7594"/>
        <item m="1" x="2509"/>
        <item h="1" m="1" x="3450"/>
        <item h="1" m="1" x="4597"/>
        <item h="1" m="1" x="5791"/>
        <item h="1" m="1" x="1583"/>
        <item h="1" m="1" x="2313"/>
        <item m="1" x="3224"/>
        <item m="1" x="4303"/>
        <item m="1" x="5495"/>
        <item h="1" m="1" x="6324"/>
        <item h="1" m="1" x="6804"/>
        <item h="1" m="1" x="7227"/>
        <item h="1" m="1" x="7555"/>
        <item m="1" x="7793"/>
        <item h="1" m="1" x="3280"/>
        <item h="1" m="1" x="4394"/>
        <item m="1" x="5581"/>
        <item m="1" x="6365"/>
        <item m="1" x="6835"/>
        <item h="1" m="1" x="7250"/>
        <item h="1" m="1" x="7578"/>
        <item h="1" m="1" x="7816"/>
        <item h="1" m="1" x="7961"/>
        <item m="1" x="446"/>
        <item h="1" m="1" x="5658"/>
        <item h="1" m="1" x="6401"/>
        <item m="1" x="6871"/>
        <item m="1" x="7269"/>
        <item m="1" x="1425"/>
        <item m="1" x="2114"/>
        <item m="1" x="2950"/>
        <item m="1" x="4018"/>
        <item h="1" m="1" x="5197"/>
        <item h="1" m="1" x="6196"/>
        <item h="1" m="1" x="6688"/>
        <item h="1" m="1" x="7127"/>
        <item m="1" x="7478"/>
        <item m="1" x="7736"/>
        <item m="1" x="3024"/>
        <item m="1" x="4097"/>
        <item m="1" x="5277"/>
        <item m="1" x="6233"/>
        <item h="1" m="1" x="6717"/>
        <item h="1" m="1" x="7149"/>
        <item h="1" m="1" x="7500"/>
        <item h="1" m="1" x="7758"/>
        <item h="1" m="1" x="7926"/>
        <item m="1" x="415"/>
        <item m="1" x="5355"/>
        <item m="1" x="6257"/>
        <item m="1" x="6741"/>
        <item m="1" x="7164"/>
        <item m="1" x="1280"/>
        <item m="1" x="1913"/>
        <item h="1" m="1" x="2695"/>
        <item h="1" m="1" x="3686"/>
        <item h="1" m="1" x="4868"/>
        <item h="1" m="1" x="6051"/>
        <item m="1" x="6561"/>
        <item m="1" x="7015"/>
        <item m="1" x="7391"/>
        <item m="1" x="7672"/>
        <item m="1" x="2778"/>
        <item m="1" x="3798"/>
        <item h="1" m="1" x="4954"/>
        <item h="1" m="1" x="6097"/>
        <item h="1" m="1" x="6594"/>
        <item h="1" m="1" x="7041"/>
        <item m="1" x="7417"/>
        <item m="1" x="7698"/>
        <item m="1" x="7891"/>
        <item h="1" m="1" x="7993"/>
        <item m="1" x="5043"/>
        <item m="1" x="6125"/>
        <item h="1" m="1" x="6622"/>
        <item h="1" m="1" x="7061"/>
        <item m="1" x="1150"/>
        <item h="1" m="1" x="1722"/>
        <item h="1" m="1" x="2468"/>
        <item h="1" m="1" x="3402"/>
        <item h="1" m="1" x="4562"/>
        <item m="1" x="5759"/>
        <item m="1" x="6438"/>
        <item m="1" x="6908"/>
        <item h="1" m="1" x="7306"/>
        <item h="1" m="1" x="7608"/>
        <item m="1" x="2551"/>
        <item h="1" m="1" x="3505"/>
        <item h="1" m="1" x="4651"/>
        <item h="1" m="1" x="5829"/>
        <item h="1" m="1" x="6473"/>
        <item m="1" x="6937"/>
        <item m="1" x="7335"/>
        <item m="1" x="7637"/>
        <item h="1" m="1" x="7848"/>
        <item h="1" m="1" x="7973"/>
        <item m="1" x="4718"/>
        <item h="1" m="1" x="5894"/>
        <item h="1" m="1" x="6502"/>
        <item h="1" m="1" x="6956"/>
        <item h="1" m="1" x="828"/>
        <item m="1" x="1221"/>
        <item m="1" x="1821"/>
        <item m="1" x="2615"/>
        <item h="1" m="1" x="3608"/>
        <item h="1" m="1" x="4798"/>
        <item h="1" m="1" x="5982"/>
        <item h="1" m="1" x="6529"/>
        <item m="1" x="6983"/>
        <item m="1" x="7359"/>
        <item h="1" m="1" x="1914"/>
        <item m="1" x="2696"/>
        <item m="1" x="3687"/>
        <item m="1" x="4869"/>
        <item h="1" m="1" x="6052"/>
        <item h="1" m="1" x="6562"/>
        <item h="1" m="1" x="7016"/>
        <item h="1" m="1" x="7392"/>
        <item m="1" x="7673"/>
        <item m="1" x="7868"/>
        <item h="1" m="1" x="3799"/>
        <item m="1" x="4955"/>
        <item m="1" x="6098"/>
        <item m="1" x="6595"/>
        <item m="1" x="744"/>
        <item m="1" x="1092"/>
        <item m="1" x="1636"/>
        <item h="1" m="1" x="2391"/>
        <item h="1" m="1" x="3344"/>
        <item h="1" m="1" x="4474"/>
        <item h="1" m="1" x="5680"/>
        <item m="1" x="6407"/>
        <item m="1" x="6877"/>
        <item m="1" x="7275"/>
        <item m="1" x="1723"/>
        <item m="1" x="2469"/>
        <item m="1" x="3403"/>
        <item h="1" m="1" x="4563"/>
        <item h="1" m="1" x="5760"/>
        <item h="1" m="1" x="6439"/>
        <item h="1" m="1" x="6909"/>
        <item m="1" x="7307"/>
        <item m="1" x="7609"/>
        <item m="1" x="7827"/>
        <item m="1" x="3506"/>
        <item m="1" x="4652"/>
        <item m="1" x="5830"/>
        <item h="1" m="1" x="6474"/>
        <item m="1" x="680"/>
        <item m="1" x="969"/>
        <item h="1" m="1" x="1455"/>
        <item h="1" m="1" x="2160"/>
        <item h="1" m="1" x="3035"/>
        <item h="1" m="1" x="4154"/>
        <item m="1" x="5360"/>
        <item m="1" x="6263"/>
        <item m="1" x="6747"/>
        <item h="1" m="1" x="7170"/>
        <item m="1" x="1535"/>
        <item m="1" x="2212"/>
        <item h="1" m="1" x="3098"/>
        <item h="1" m="1" x="4213"/>
        <item h="1" m="1" x="5413"/>
        <item h="1" m="1" x="6285"/>
        <item m="1" x="6769"/>
        <item m="1" x="7192"/>
        <item m="1" x="7519"/>
        <item h="1" m="1" x="7766"/>
        <item m="1" x="3225"/>
        <item m="1" x="4304"/>
        <item h="1" m="1" x="5496"/>
        <item h="1" m="1" x="6325"/>
        <item h="1" m="1" x="614"/>
        <item h="1" m="1" x="882"/>
        <item h="1" m="1" x="1300"/>
        <item h="1" m="1" x="1967"/>
        <item m="1" x="2808"/>
        <item m="1" x="3870"/>
        <item m="1" x="5066"/>
        <item m="1" x="6131"/>
        <item h="1" m="1" x="6628"/>
        <item h="1" m="1" x="7067"/>
        <item h="1" m="1" x="1357"/>
        <item h="1" m="1" x="2029"/>
        <item h="1" m="1" x="2853"/>
        <item h="1" m="1" x="3937"/>
        <item m="1" x="5126"/>
        <item m="1" x="6158"/>
        <item m="1" x="6655"/>
        <item m="1" x="7094"/>
        <item h="1" m="1" x="7445"/>
        <item h="1" m="1" x="7712"/>
        <item h="1" m="1" x="2951"/>
        <item h="1" m="1" x="4019"/>
        <item h="1" m="1" x="5198"/>
        <item h="1" m="1" x="6197"/>
        <item h="1" m="1" x="1937"/>
        <item m="1" x="2745"/>
        <item m="1" x="3740"/>
        <item m="1" x="4908"/>
        <item h="1" m="1" x="6075"/>
        <item h="1" m="1" x="6576"/>
        <item h="1" m="1" x="7028"/>
        <item h="1" m="1" x="7404"/>
        <item m="1" x="7685"/>
        <item m="1" x="7878"/>
        <item h="1" m="1" x="3829"/>
        <item m="1" x="4991"/>
        <item m="1" x="6110"/>
        <item m="1" x="6607"/>
        <item h="1" m="1" x="7049"/>
        <item h="1" m="1" x="7423"/>
        <item h="1" m="1" x="7704"/>
        <item h="1" m="1" x="7897"/>
        <item h="1" m="1" x="7999"/>
        <item m="1" x="473"/>
        <item h="1" m="1" x="6137"/>
        <item m="1" x="6634"/>
        <item m="1" x="7073"/>
        <item m="1" x="7429"/>
        <item h="1" m="1" x="1392"/>
        <item h="1" m="1" x="2066"/>
        <item h="1" m="1" x="2895"/>
        <item h="1" m="1" x="3964"/>
        <item m="1" x="5160"/>
        <item m="1" x="6173"/>
        <item m="1" x="6670"/>
        <item m="1" x="7109"/>
        <item h="1" m="1" x="7460"/>
        <item h="1" m="1" x="7722"/>
        <item h="1" m="1" x="2990"/>
        <item h="1" m="1" x="4060"/>
        <item h="1" m="1" x="5244"/>
        <item h="1" m="1" x="6216"/>
        <item m="1" x="6703"/>
        <item m="1" x="7140"/>
        <item m="1" x="7491"/>
        <item m="1" x="7749"/>
        <item h="1" m="1" x="7917"/>
        <item h="1" m="1" x="401"/>
        <item h="1" m="1" x="5306"/>
        <item h="1" m="1" x="6246"/>
        <item h="1" m="1" x="6730"/>
        <item h="1" m="1" x="7156"/>
        <item h="1" m="1" x="1250"/>
        <item h="1" m="1" x="1848"/>
        <item h="1" m="1" x="2637"/>
        <item m="1" x="3638"/>
        <item m="1" x="4819"/>
        <item m="1" x="6012"/>
        <item h="1" m="1" x="6542"/>
        <item h="1" m="1" x="6996"/>
        <item h="1" m="1" x="7372"/>
        <item h="1" m="1" x="7656"/>
        <item h="1" m="1" x="2746"/>
        <item h="1" m="1" x="3741"/>
        <item h="1" m="1" x="4909"/>
        <item m="1" x="6076"/>
        <item m="1" x="6577"/>
        <item m="1" x="7029"/>
        <item h="1" m="1" x="7405"/>
        <item h="1" m="1" x="7686"/>
        <item h="1" m="1" x="7879"/>
        <item h="1" m="1" x="7986"/>
        <item h="1" m="1" x="4992"/>
        <item h="1" m="1" x="6111"/>
        <item h="1" m="1" x="6608"/>
        <item m="1" x="7050"/>
        <item h="1" m="1" x="1113"/>
        <item h="1" m="1" x="1666"/>
        <item m="1" x="2419"/>
        <item m="1" x="3369"/>
        <item m="1" x="4511"/>
        <item h="1" m="1" x="5711"/>
        <item h="1" m="1" x="6423"/>
        <item h="1" m="1" x="6893"/>
        <item h="1" m="1" x="7291"/>
        <item m="1" x="7595"/>
        <item h="1" m="1" x="2510"/>
        <item h="1" m="1" x="3451"/>
        <item m="1" x="4598"/>
        <item m="1" x="5792"/>
        <item m="1" x="6457"/>
        <item h="1" m="1" x="6925"/>
        <item h="1" m="1" x="7323"/>
        <item h="1" m="1" x="7625"/>
        <item h="1" m="1" x="7838"/>
        <item h="1" m="1" x="7967"/>
        <item h="1" m="1" x="4688"/>
        <item h="1" m="1" x="5864"/>
        <item m="1" x="6490"/>
        <item m="1" x="6946"/>
        <item m="1" x="996"/>
        <item m="1" x="1480"/>
        <item m="1" x="2181"/>
        <item m="1" x="3054"/>
        <item h="1" m="1" x="4173"/>
        <item h="1" m="1" x="5378"/>
        <item h="1" m="1" x="6273"/>
        <item h="1" m="1" x="6757"/>
        <item m="1" x="7180"/>
        <item m="1" x="7510"/>
        <item m="1" x="2262"/>
        <item m="1" x="3151"/>
        <item m="1" x="4253"/>
        <item m="1" x="5442"/>
        <item h="1" m="1" x="6304"/>
        <item h="1" m="1" x="6788"/>
        <item h="1" m="1" x="7211"/>
        <item h="1" m="1" x="7539"/>
        <item m="1" x="7779"/>
        <item h="1" m="1" x="7934"/>
        <item m="1" x="4350"/>
        <item m="1" x="5542"/>
        <item m="1" x="6349"/>
        <item m="1" x="6822"/>
        <item m="1" x="898"/>
        <item m="1" x="1324"/>
        <item h="1" m="1" x="1984"/>
        <item h="1" m="1" x="2825"/>
        <item h="1" m="1" x="3894"/>
        <item h="1" m="1" x="5084"/>
        <item m="1" x="6144"/>
        <item m="1" x="6641"/>
        <item m="1" x="7080"/>
        <item m="1" x="7434"/>
        <item m="1" x="2067"/>
        <item m="1" x="2896"/>
        <item h="1" m="1" x="3965"/>
        <item h="1" m="1" x="5161"/>
        <item h="1" m="1" x="6174"/>
        <item h="1" m="1" x="6671"/>
        <item m="1" x="7110"/>
        <item m="1" x="7461"/>
        <item m="1" x="7723"/>
        <item m="1" x="7902"/>
        <item m="1" x="4061"/>
        <item m="1" x="5245"/>
        <item h="1" m="1" x="6217"/>
        <item h="1" m="1" x="6704"/>
        <item h="1" m="1" x="2314"/>
        <item m="1" x="3226"/>
        <item m="1" x="4305"/>
        <item m="1" x="5497"/>
        <item h="1" m="1" x="6326"/>
        <item h="1" m="1" x="6805"/>
        <item h="1" m="1" x="7228"/>
        <item h="1" m="1" x="7556"/>
        <item m="1" x="7794"/>
        <item h="1" m="1" x="7941"/>
        <item h="1" m="1" x="4395"/>
        <item m="1" x="5582"/>
        <item m="1" x="6366"/>
        <item m="1" x="6836"/>
        <item h="1" m="1" x="7251"/>
        <item h="1" m="1" x="7579"/>
        <item h="1" m="1" x="7817"/>
        <item h="1" m="1" x="7962"/>
        <item m="1" x="447"/>
        <item m="1" x="480"/>
        <item h="1" m="1" x="6402"/>
        <item m="1" x="6872"/>
        <item m="1" x="7270"/>
        <item m="1" x="7585"/>
        <item h="1" m="1" x="1163"/>
        <item m="1" x="1758"/>
        <item m="1" x="2511"/>
        <item m="1" x="3452"/>
        <item h="1" m="1" x="4599"/>
        <item h="1" m="1" x="5793"/>
        <item h="1" m="1" x="6458"/>
        <item h="1" m="1" x="6926"/>
        <item m="1" x="7324"/>
        <item m="1" x="7626"/>
        <item h="1" m="1" x="2564"/>
        <item m="1" x="3540"/>
        <item m="1" x="4689"/>
        <item m="1" x="5865"/>
        <item h="1" m="1" x="6491"/>
        <item h="1" m="1" x="6947"/>
        <item h="1" m="1" x="7343"/>
        <item h="1" m="1" x="7645"/>
        <item m="1" x="7856"/>
        <item h="1" m="1" x="7981"/>
        <item h="1" m="1" x="4758"/>
        <item m="1" x="5942"/>
        <item m="1" x="6511"/>
        <item m="1" x="6965"/>
        <item m="1" x="1043"/>
        <item m="1" x="1564"/>
        <item m="1" x="2263"/>
        <item h="1" m="1" x="3152"/>
        <item h="1" m="1" x="4254"/>
        <item h="1" m="1" x="5443"/>
        <item h="1" m="1" x="6305"/>
        <item m="1" x="6789"/>
        <item m="1" x="7212"/>
        <item m="1" x="7540"/>
        <item m="1" x="2332"/>
        <item m="1" x="3261"/>
        <item m="1" x="4351"/>
        <item h="1" m="1" x="5543"/>
        <item h="1" m="1" x="6350"/>
        <item h="1" m="1" x="6823"/>
        <item h="1" m="1" x="7242"/>
        <item m="1" x="7570"/>
        <item m="1" x="7808"/>
        <item h="1" m="1" x="7953"/>
        <item m="1" x="4439"/>
        <item m="1" x="5614"/>
        <item m="1" x="6381"/>
        <item h="1" m="1" x="6851"/>
        <item m="1" x="946"/>
        <item h="1" m="1" x="1393"/>
        <item h="1" m="1" x="2068"/>
        <item h="1" m="1" x="2897"/>
        <item h="1" m="1" x="3966"/>
        <item m="1" x="5162"/>
        <item m="1" x="6175"/>
        <item m="1" x="6672"/>
        <item m="1" x="7111"/>
        <item h="1" m="1" x="7462"/>
        <item m="1" x="2140"/>
        <item h="1" m="1" x="2991"/>
        <item h="1" m="1" x="4062"/>
        <item h="1" m="1" x="5246"/>
        <item h="1" m="1" x="6218"/>
        <item m="1" x="6705"/>
        <item m="1" x="7141"/>
        <item m="1" x="7492"/>
        <item m="1" x="7750"/>
        <item h="1" m="1" x="7918"/>
        <item m="1" x="4123"/>
        <item h="1" m="1" x="5307"/>
        <item h="1" m="1" x="6247"/>
        <item h="1" m="1" x="6731"/>
        <item h="1" m="1" x="844"/>
        <item h="1" m="1" x="1251"/>
        <item h="1" m="1" x="1849"/>
        <item h="1" m="1" x="2638"/>
        <item m="1" x="3639"/>
        <item m="1" x="4820"/>
        <item m="1" x="6013"/>
        <item h="1" m="1" x="6543"/>
        <item h="1" m="1" x="6997"/>
        <item h="1" m="1" x="7373"/>
        <item h="1" m="1" x="1938"/>
        <item h="1" m="1" x="2747"/>
        <item h="1" m="1" x="3742"/>
        <item h="1" m="1" x="4910"/>
        <item m="1" x="6077"/>
        <item m="1" x="6578"/>
        <item m="1" x="7030"/>
        <item h="1" m="1" x="7406"/>
        <item h="1" m="1" x="7687"/>
        <item h="1" m="1" x="7880"/>
        <item h="1" m="1" x="3830"/>
        <item h="1" m="1" x="4993"/>
        <item h="1" m="1" x="6112"/>
        <item h="1" m="1" x="6609"/>
        <item m="1" x="628"/>
        <item m="1" x="899"/>
        <item m="1" x="1325"/>
        <item h="1" m="1" x="1985"/>
        <item h="1" m="1" x="2826"/>
        <item h="1" m="1" x="3895"/>
        <item h="1" m="1" x="5085"/>
        <item m="1" x="6145"/>
        <item m="1" x="6642"/>
        <item m="1" x="7081"/>
        <item m="1" x="1394"/>
        <item m="1" x="2069"/>
        <item m="1" x="2898"/>
        <item h="1" m="1" x="3967"/>
        <item h="1" m="1" x="5163"/>
        <item h="1" m="1" x="6176"/>
        <item h="1" m="1" x="6673"/>
        <item m="1" x="7112"/>
        <item m="1" x="7463"/>
        <item m="1" x="7724"/>
        <item m="1" x="2992"/>
        <item m="1" x="4063"/>
        <item m="1" x="5247"/>
        <item h="1" m="1" x="6219"/>
        <item m="1" x="588"/>
        <item m="1" x="793"/>
        <item h="1" m="1" x="1182"/>
        <item h="1" m="1" x="1792"/>
        <item h="1" m="1" x="2577"/>
        <item h="1" m="1" x="3583"/>
        <item m="1" x="4765"/>
        <item m="1" x="5951"/>
        <item m="1" x="6520"/>
        <item m="1" x="6974"/>
        <item m="1" x="1252"/>
        <item m="1" x="1850"/>
        <item h="1" m="1" x="2639"/>
        <item h="1" m="1" x="3640"/>
        <item h="1" m="1" x="4821"/>
        <item h="1" m="1" x="6014"/>
        <item m="1" x="6544"/>
        <item m="1" x="6998"/>
        <item m="1" x="7374"/>
        <item h="1" m="1" x="7657"/>
        <item m="1" x="2748"/>
        <item m="1" x="3743"/>
        <item h="1" m="1" x="4911"/>
        <item h="1" m="1" x="6078"/>
        <item m="1" x="545"/>
        <item h="1" m="1" x="714"/>
        <item h="1" m="1" x="1064"/>
        <item h="1" m="1" x="1597"/>
        <item h="1" m="1" x="2366"/>
        <item m="1" x="3315"/>
        <item m="1" x="4449"/>
        <item m="1" x="5631"/>
        <item h="1" m="1" x="6391"/>
        <item h="1" m="1" x="6861"/>
        <item m="1" x="1114"/>
        <item h="1" m="1" x="1667"/>
        <item h="1" m="1" x="2420"/>
        <item h="1" m="1" x="3370"/>
        <item h="1" m="1" x="4512"/>
        <item m="1" x="5712"/>
        <item m="1" x="6424"/>
        <item m="1" x="6894"/>
        <item h="1" m="1" x="7292"/>
        <item h="1" m="1" x="7596"/>
        <item m="1" x="2512"/>
        <item h="1" m="1" x="3453"/>
        <item h="1" m="1" x="4600"/>
        <item h="1" m="1" x="5794"/>
        <item h="1" m="1" x="1584"/>
        <item h="1" m="1" x="2315"/>
        <item m="1" x="3227"/>
        <item m="1" x="4306"/>
        <item m="1" x="5498"/>
        <item h="1" m="1" x="6327"/>
        <item h="1" m="1" x="6806"/>
        <item h="1" m="1" x="7229"/>
        <item h="1" m="1" x="7557"/>
        <item m="1" x="7795"/>
        <item h="1" m="1" x="3281"/>
        <item h="1" m="1" x="4396"/>
        <item m="1" x="5583"/>
        <item m="1" x="6367"/>
        <item m="1" x="6837"/>
        <item h="1" m="1" x="7252"/>
        <item h="1" m="1" x="7580"/>
        <item h="1" m="1" x="7818"/>
        <item h="1" m="1" x="7963"/>
        <item m="1" x="448"/>
        <item h="1" m="1" x="5659"/>
        <item h="1" m="1" x="6403"/>
        <item m="1" x="6873"/>
        <item m="1" x="7271"/>
        <item m="1" x="1426"/>
        <item m="1" x="2115"/>
        <item m="1" x="2952"/>
        <item m="1" x="4020"/>
        <item h="1" m="1" x="5199"/>
        <item h="1" m="1" x="6198"/>
        <item h="1" m="1" x="6689"/>
        <item h="1" m="1" x="7128"/>
        <item m="1" x="7479"/>
        <item m="1" x="7737"/>
        <item m="1" x="3025"/>
        <item m="1" x="4098"/>
        <item m="1" x="5278"/>
        <item m="1" x="6234"/>
        <item h="1" m="1" x="6718"/>
        <item h="1" m="1" x="7150"/>
        <item h="1" m="1" x="7501"/>
        <item h="1" m="1" x="7759"/>
        <item h="1" m="1" x="7927"/>
        <item m="1" x="416"/>
        <item m="1" x="5356"/>
        <item m="1" x="6258"/>
        <item m="1" x="6742"/>
        <item m="1" x="7165"/>
        <item h="1" m="1" x="1030"/>
        <item h="1" m="1" x="1536"/>
        <item h="1" m="1" x="2213"/>
        <item h="1" m="1" x="3099"/>
        <item m="1" x="4214"/>
        <item m="1" x="5414"/>
        <item m="1" x="6286"/>
        <item h="1" m="1" x="6770"/>
        <item h="1" m="1" x="7193"/>
        <item h="1" m="1" x="7520"/>
        <item h="1" m="1" x="2316"/>
        <item h="1" m="1" x="3228"/>
        <item h="1" m="1" x="4307"/>
        <item h="1" m="1" x="5499"/>
        <item m="1" x="6328"/>
        <item m="1" x="6807"/>
        <item m="1" x="7230"/>
        <item h="1" m="1" x="7558"/>
        <item h="1" m="1" x="7796"/>
        <item h="1" m="1" x="7942"/>
        <item h="1" m="1" x="4397"/>
        <item h="1" m="1" x="5584"/>
        <item h="1" m="1" x="6368"/>
        <item h="1" m="1" x="6838"/>
        <item h="1" m="1" x="923"/>
        <item h="1" m="1" x="1358"/>
        <item m="1" x="2030"/>
        <item m="1" x="2854"/>
        <item m="1" x="3938"/>
        <item m="1" x="5127"/>
        <item h="1" m="1" x="6159"/>
        <item h="1" m="1" x="6656"/>
        <item h="1" m="1" x="7095"/>
        <item h="1" m="1" x="7446"/>
        <item h="1" m="1" x="2116"/>
        <item h="1" m="1" x="2953"/>
        <item m="1" x="4021"/>
        <item m="1" x="5200"/>
        <item m="1" x="6199"/>
        <item m="1" x="6690"/>
        <item h="1" m="1" x="7129"/>
        <item h="1" m="1" x="7480"/>
        <item h="1" m="1" x="7738"/>
        <item h="1" m="1" x="7908"/>
        <item h="1" m="1" x="4099"/>
        <item h="1" m="1" x="5279"/>
        <item m="1" x="6235"/>
        <item m="1" x="6719"/>
        <item h="1" m="1" x="829"/>
        <item m="1" x="1222"/>
        <item m="1" x="1822"/>
        <item m="1" x="2616"/>
        <item h="1" m="1" x="3609"/>
        <item h="1" m="1" x="4799"/>
        <item h="1" m="1" x="5983"/>
        <item h="1" m="1" x="6530"/>
        <item m="1" x="6984"/>
        <item m="1" x="7360"/>
        <item h="1" m="1" x="1915"/>
        <item m="1" x="2697"/>
        <item m="1" x="3688"/>
        <item m="1" x="4870"/>
        <item h="1" m="1" x="6053"/>
        <item h="1" m="1" x="6563"/>
        <item h="1" m="1" x="7017"/>
        <item h="1" m="1" x="7393"/>
        <item m="1" x="7674"/>
        <item m="1" x="7869"/>
        <item h="1" m="1" x="3800"/>
        <item m="1" x="4956"/>
        <item m="1" x="6099"/>
        <item m="1" x="6596"/>
        <item m="1" x="745"/>
        <item m="1" x="1093"/>
        <item m="1" x="1637"/>
        <item h="1" m="1" x="2392"/>
        <item h="1" m="1" x="3345"/>
        <item h="1" m="1" x="4475"/>
        <item h="1" m="1" x="5681"/>
        <item m="1" x="6408"/>
        <item m="1" x="6878"/>
        <item m="1" x="7276"/>
        <item m="1" x="1724"/>
        <item m="1" x="2470"/>
        <item m="1" x="3404"/>
        <item h="1" m="1" x="4564"/>
        <item h="1" m="1" x="5761"/>
        <item h="1" m="1" x="6440"/>
        <item h="1" m="1" x="6910"/>
        <item m="1" x="7308"/>
        <item m="1" x="7610"/>
        <item m="1" x="7828"/>
        <item m="1" x="3507"/>
        <item m="1" x="4653"/>
        <item m="1" x="5831"/>
        <item h="1" m="1" x="6475"/>
        <item m="1" x="681"/>
        <item m="1" x="970"/>
        <item h="1" m="1" x="1456"/>
        <item h="1" m="1" x="2161"/>
        <item h="1" m="1" x="3036"/>
        <item h="1" m="1" x="4155"/>
        <item m="1" x="5361"/>
        <item m="1" x="6264"/>
        <item m="1" x="6748"/>
        <item h="1" m="1" x="7171"/>
        <item m="1" x="1537"/>
        <item m="1" x="2214"/>
        <item h="1" m="1" x="3100"/>
        <item h="1" m="1" x="4215"/>
        <item h="1" m="1" x="5415"/>
        <item h="1" m="1" x="6287"/>
        <item m="1" x="6771"/>
        <item m="1" x="7194"/>
        <item m="1" x="7521"/>
        <item h="1" m="1" x="7767"/>
        <item m="1" x="3229"/>
        <item m="1" x="4308"/>
        <item h="1" m="1" x="5500"/>
        <item h="1" m="1" x="6329"/>
        <item m="1" x="1759"/>
        <item m="1" x="2513"/>
        <item m="1" x="3454"/>
        <item h="1" m="1" x="4601"/>
        <item h="1" m="1" x="5795"/>
        <item h="1" m="1" x="6459"/>
        <item h="1" m="1" x="6927"/>
        <item m="1" x="7325"/>
        <item m="1" x="7627"/>
        <item m="1" x="7839"/>
        <item m="1" x="3541"/>
        <item m="1" x="4690"/>
        <item m="1" x="5866"/>
        <item h="1" m="1" x="6492"/>
        <item h="1" m="1" x="6948"/>
        <item h="1" m="1" x="7344"/>
        <item h="1" m="1" x="7646"/>
        <item m="1" x="7857"/>
        <item h="1" m="1" x="7982"/>
        <item m="1" x="458"/>
        <item m="1" x="5943"/>
        <item m="1" x="6512"/>
        <item m="1" x="6966"/>
        <item h="1" m="1" x="7349"/>
        <item m="1" x="1565"/>
        <item m="1" x="2264"/>
        <item h="1" m="1" x="3153"/>
        <item h="1" m="1" x="4255"/>
        <item h="1" m="1" x="5444"/>
        <item h="1" m="1" x="6306"/>
        <item m="1" x="6790"/>
        <item m="1" x="7213"/>
        <item m="1" x="7541"/>
        <item h="1" m="1" x="7780"/>
        <item m="1" x="3262"/>
        <item m="1" x="4352"/>
        <item h="1" m="1" x="5544"/>
        <item h="1" m="1" x="6351"/>
        <item h="1" m="1" x="6824"/>
        <item h="1" m="1" x="7243"/>
        <item m="1" x="7571"/>
        <item m="1" x="7809"/>
        <item h="1" m="1" x="7954"/>
        <item h="1" m="1" x="431"/>
        <item m="1" x="5615"/>
        <item m="1" x="6382"/>
        <item h="1" m="1" x="6852"/>
        <item h="1" m="1" x="7258"/>
        <item h="1" m="1" x="1395"/>
        <item h="1" m="1" x="2070"/>
        <item h="1" m="1" x="2899"/>
        <item h="1" m="1" x="3968"/>
        <item m="1" x="5164"/>
        <item m="1" x="6177"/>
        <item m="1" x="6674"/>
        <item m="1" x="7113"/>
        <item h="1" m="1" x="7464"/>
        <item h="1" m="1" x="7725"/>
        <item h="1" m="1" x="2993"/>
        <item h="1" m="1" x="4064"/>
        <item h="1" m="1" x="5248"/>
        <item h="1" m="1" x="6220"/>
        <item m="1" x="6706"/>
        <item m="1" x="7142"/>
        <item m="1" x="7493"/>
        <item m="1" x="7751"/>
        <item h="1" m="1" x="7919"/>
        <item h="1" m="1" x="402"/>
        <item h="1" m="1" x="5308"/>
        <item h="1" m="1" x="6248"/>
        <item h="1" m="1" x="6732"/>
        <item h="1" m="1" x="7157"/>
        <item h="1" m="1" x="1253"/>
        <item h="1" m="1" x="1851"/>
        <item h="1" m="1" x="2640"/>
        <item m="1" x="3641"/>
        <item m="1" x="4822"/>
        <item m="1" x="6015"/>
        <item h="1" m="1" x="6545"/>
        <item h="1" m="1" x="6999"/>
        <item h="1" m="1" x="7375"/>
        <item h="1" m="1" x="7658"/>
        <item h="1" m="1" x="2749"/>
        <item h="1" m="1" x="3744"/>
        <item h="1" m="1" x="4912"/>
        <item m="1" x="6079"/>
        <item m="1" x="6579"/>
        <item m="1" x="7031"/>
        <item h="1" m="1" x="7407"/>
        <item h="1" m="1" x="7688"/>
        <item h="1" m="1" x="7881"/>
        <item h="1" m="1" x="7987"/>
        <item h="1" m="1" x="4994"/>
        <item h="1" m="1" x="6113"/>
        <item h="1" m="1" x="6610"/>
        <item m="1" x="7051"/>
        <item h="1" m="1" x="1115"/>
        <item h="1" m="1" x="1668"/>
        <item m="1" x="2421"/>
        <item m="1" x="3371"/>
        <item m="1" x="4513"/>
        <item h="1" m="1" x="5713"/>
        <item h="1" m="1" x="6425"/>
        <item h="1" m="1" x="6895"/>
        <item h="1" m="1" x="7293"/>
        <item m="1" x="7597"/>
        <item h="1" m="1" x="2514"/>
        <item h="1" m="1" x="3455"/>
        <item m="1" x="4602"/>
        <item m="1" x="5796"/>
        <item m="1" x="6460"/>
        <item h="1" m="1" x="6928"/>
        <item h="1" m="1" x="7326"/>
        <item h="1" m="1" x="7628"/>
        <item h="1" m="1" x="7840"/>
        <item h="1" m="1" x="7968"/>
        <item h="1" m="1" x="4691"/>
        <item h="1" m="1" x="5867"/>
        <item m="1" x="6493"/>
        <item m="1" x="6949"/>
        <item m="1" x="794"/>
        <item h="1" m="1" x="1183"/>
        <item h="1" m="1" x="1793"/>
        <item h="1" m="1" x="2578"/>
        <item h="1" m="1" x="3584"/>
        <item m="1" x="4766"/>
        <item m="1" x="5952"/>
        <item m="1" x="6521"/>
        <item m="1" x="6975"/>
        <item h="1" m="1" x="7353"/>
        <item m="1" x="1852"/>
        <item h="1" m="1" x="2641"/>
        <item h="1" m="1" x="3642"/>
        <item h="1" m="1" x="4823"/>
        <item h="1" m="1" x="6016"/>
        <item m="1" x="6546"/>
        <item m="1" x="7000"/>
        <item m="1" x="7376"/>
        <item h="1" m="1" x="7659"/>
        <item h="1" m="1" x="7862"/>
        <item m="1" x="3745"/>
        <item h="1" m="1" x="4913"/>
        <item h="1" m="1" x="6080"/>
        <item h="1" m="1" x="6580"/>
        <item h="1" m="1" x="715"/>
        <item h="1" m="1" x="1065"/>
        <item h="1" m="1" x="1598"/>
        <item h="1" m="1" x="2367"/>
        <item m="1" x="3316"/>
        <item m="1" x="4450"/>
        <item m="1" x="5632"/>
        <item h="1" m="1" x="6392"/>
        <item h="1" m="1" x="6862"/>
        <item h="1" m="1" x="7262"/>
        <item h="1" m="1" x="1669"/>
        <item h="1" m="1" x="2422"/>
        <item h="1" m="1" x="3372"/>
        <item h="1" m="1" x="4514"/>
        <item m="1" x="5714"/>
        <item m="1" x="6426"/>
        <item m="1" x="6896"/>
        <item h="1" m="1" x="7294"/>
        <item h="1" m="1" x="7598"/>
        <item h="1" m="1" x="7823"/>
        <item h="1" m="1" x="3456"/>
        <item h="1" m="1" x="4603"/>
        <item h="1" m="1" x="5797"/>
        <item h="1" m="1" x="6461"/>
        <item h="1" m="1" x="2317"/>
        <item m="1" x="3230"/>
        <item m="1" x="4309"/>
        <item m="1" x="5501"/>
        <item h="1" m="1" x="6330"/>
        <item h="1" m="1" x="6808"/>
        <item h="1" m="1" x="7231"/>
        <item h="1" m="1" x="7559"/>
        <item m="1" x="7797"/>
        <item h="1" m="1" x="7943"/>
        <item h="1" m="1" x="4398"/>
        <item m="1" x="5585"/>
        <item m="1" x="6369"/>
        <item m="1" x="6839"/>
        <item h="1" m="1" x="7253"/>
        <item h="1" m="1" x="7581"/>
        <item h="1" m="1" x="7819"/>
        <item h="1" m="1" x="7964"/>
        <item m="1" x="449"/>
        <item m="1" x="481"/>
        <item h="1" m="1" x="6404"/>
        <item m="1" x="6874"/>
        <item m="1" x="7272"/>
        <item m="1" x="7586"/>
        <item m="1" x="2117"/>
        <item m="1" x="2954"/>
        <item m="1" x="4022"/>
        <item h="1" m="1" x="5201"/>
        <item h="1" m="1" x="6200"/>
        <item h="1" m="1" x="6691"/>
        <item h="1" m="1" x="7130"/>
        <item m="1" x="7481"/>
        <item m="1" x="7739"/>
        <item m="1" x="7909"/>
        <item m="1" x="4100"/>
        <item m="1" x="5280"/>
        <item m="1" x="6236"/>
        <item h="1" m="1" x="6720"/>
        <item h="1" m="1" x="7151"/>
        <item h="1" m="1" x="7502"/>
        <item h="1" m="1" x="7760"/>
        <item h="1" m="1" x="7928"/>
        <item m="1" x="417"/>
        <item m="1" x="477"/>
        <item m="1" x="6259"/>
        <item m="1" x="6743"/>
        <item m="1" x="7166"/>
        <item h="1" m="1" x="7506"/>
        <item h="1" m="1" x="1164"/>
        <item m="1" x="1760"/>
        <item m="1" x="2515"/>
        <item m="1" x="3457"/>
        <item h="1" m="1" x="4604"/>
        <item h="1" m="1" x="5798"/>
        <item h="1" m="1" x="6462"/>
        <item h="1" m="1" x="6929"/>
        <item m="1" x="7327"/>
        <item m="1" x="7629"/>
        <item h="1" m="1" x="2565"/>
        <item m="1" x="3542"/>
        <item m="1" x="4692"/>
        <item m="1" x="5868"/>
        <item h="1" m="1" x="6494"/>
        <item h="1" m="1" x="6950"/>
        <item h="1" m="1" x="7345"/>
        <item h="1" m="1" x="7647"/>
        <item m="1" x="7858"/>
        <item h="1" m="1" x="7983"/>
        <item h="1" m="1" x="4759"/>
        <item m="1" x="5944"/>
        <item m="1" x="6513"/>
        <item m="1" x="6967"/>
        <item h="1" m="1" x="845"/>
        <item h="1" m="1" x="1254"/>
        <item h="1" m="1" x="1853"/>
        <item h="1" m="1" x="2642"/>
        <item m="1" x="3643"/>
        <item m="1" x="4824"/>
        <item m="1" x="6017"/>
        <item h="1" m="1" x="6547"/>
        <item h="1" m="1" x="7001"/>
        <item h="1" m="1" x="7377"/>
        <item h="1" m="1" x="1939"/>
        <item h="1" m="1" x="2750"/>
        <item h="1" m="1" x="3746"/>
        <item h="1" m="1" x="4914"/>
        <item m="1" x="6081"/>
        <item m="1" x="6581"/>
        <item m="1" x="7032"/>
        <item h="1" m="1" x="7408"/>
        <item h="1" m="1" x="7689"/>
        <item h="1" m="1" x="7882"/>
        <item h="1" m="1" x="3831"/>
        <item h="1" m="1" x="4995"/>
        <item h="1" m="1" x="6114"/>
        <item h="1" m="1" x="6611"/>
        <item h="1" m="1" x="758"/>
        <item h="1" m="1" x="1116"/>
        <item h="1" m="1" x="1670"/>
        <item m="1" x="2423"/>
        <item m="1" x="3373"/>
        <item m="1" x="4515"/>
        <item h="1" m="1" x="5715"/>
        <item h="1" m="1" x="6427"/>
        <item h="1" m="1" x="6897"/>
        <item h="1" m="1" x="7295"/>
        <item h="1" m="1" x="1761"/>
        <item h="1" m="1" x="2516"/>
        <item h="1" m="1" x="3458"/>
        <item m="1" x="4605"/>
        <item m="1" x="5799"/>
        <item m="1" x="6463"/>
        <item h="1" m="1" x="6930"/>
        <item h="1" m="1" x="7328"/>
        <item h="1" m="1" x="7630"/>
        <item h="1" m="1" x="7841"/>
        <item h="1" m="1" x="3543"/>
        <item h="1" m="1" x="4693"/>
        <item h="1" m="1" x="5869"/>
        <item m="1" x="6495"/>
        <item h="1" m="1" x="689"/>
        <item m="1" x="997"/>
        <item m="1" x="1481"/>
        <item m="1" x="2182"/>
        <item m="1" x="3055"/>
        <item h="1" m="1" x="4174"/>
        <item h="1" m="1" x="5379"/>
        <item h="1" m="1" x="6274"/>
        <item h="1" m="1" x="6758"/>
        <item m="1" x="7181"/>
        <item h="1" m="1" x="1566"/>
        <item m="1" x="2265"/>
        <item m="1" x="3154"/>
        <item m="1" x="4256"/>
        <item m="1" x="5445"/>
        <item h="1" m="1" x="6307"/>
        <item h="1" m="1" x="6791"/>
        <item h="1" m="1" x="7214"/>
        <item h="1" m="1" x="7542"/>
        <item m="1" x="7781"/>
        <item h="1" m="1" x="3263"/>
        <item m="1" x="4353"/>
        <item m="1" x="5545"/>
        <item m="1" x="6352"/>
        <item m="1" x="629"/>
        <item m="1" x="900"/>
        <item m="1" x="1326"/>
        <item h="1" m="1" x="1986"/>
        <item h="1" m="1" x="2827"/>
        <item h="1" m="1" x="3896"/>
        <item h="1" m="1" x="5086"/>
        <item m="1" x="6146"/>
        <item m="1" x="6643"/>
        <item m="1" x="7082"/>
        <item m="1" x="1396"/>
        <item m="1" x="2071"/>
        <item m="1" x="2900"/>
        <item h="1" m="1" x="3969"/>
        <item h="1" m="1" x="5165"/>
        <item h="1" m="1" x="6178"/>
        <item h="1" m="1" x="6675"/>
        <item m="1" x="7114"/>
        <item m="1" x="7465"/>
        <item m="1" x="7726"/>
        <item m="1" x="2994"/>
        <item m="1" x="4065"/>
        <item m="1" x="5249"/>
        <item h="1" m="1" x="6221"/>
        <item m="1" x="589"/>
        <item m="1" x="795"/>
        <item h="1" m="1" x="1184"/>
        <item h="1" m="1" x="1794"/>
        <item h="1" m="1" x="2579"/>
        <item h="1" m="1" x="3585"/>
        <item m="1" x="4767"/>
        <item m="1" x="5953"/>
        <item m="1" x="6522"/>
        <item m="1" x="6976"/>
        <item m="1" x="1255"/>
        <item m="1" x="1854"/>
        <item h="1" m="1" x="2643"/>
        <item h="1" m="1" x="3644"/>
        <item h="1" m="1" x="4825"/>
        <item h="1" m="1" x="6018"/>
        <item m="1" x="6548"/>
        <item m="1" x="7002"/>
        <item m="1" x="7378"/>
        <item h="1" m="1" x="7660"/>
        <item m="1" x="2751"/>
        <item m="1" x="3747"/>
        <item h="1" m="1" x="4915"/>
        <item h="1" m="1" x="6082"/>
        <item m="1" x="1427"/>
        <item m="1" x="2118"/>
        <item m="1" x="2955"/>
        <item m="1" x="4023"/>
        <item h="1" m="1" x="5202"/>
        <item h="1" m="1" x="6201"/>
        <item h="1" m="1" x="6692"/>
        <item h="1" m="1" x="7131"/>
        <item m="1" x="7482"/>
        <item m="1" x="7740"/>
        <item m="1" x="3026"/>
        <item m="1" x="4101"/>
        <item m="1" x="5281"/>
        <item m="1" x="6237"/>
        <item h="1" m="1" x="6721"/>
        <item h="1" m="1" x="7152"/>
        <item h="1" m="1" x="7503"/>
        <item h="1" m="1" x="7761"/>
        <item h="1" m="1" x="7929"/>
        <item m="1" x="418"/>
        <item m="1" x="5357"/>
        <item m="1" x="6260"/>
        <item m="1" x="6744"/>
        <item m="1" x="7167"/>
        <item m="1" x="1281"/>
        <item m="1" x="1916"/>
        <item h="1" m="1" x="2698"/>
        <item h="1" m="1" x="3689"/>
        <item h="1" m="1" x="4871"/>
        <item h="1" m="1" x="6054"/>
        <item m="1" x="6564"/>
        <item m="1" x="7018"/>
        <item m="1" x="7394"/>
        <item m="1" x="7675"/>
        <item m="1" x="2779"/>
        <item m="1" x="3801"/>
        <item h="1" m="1" x="4957"/>
        <item h="1" m="1" x="6100"/>
        <item h="1" m="1" x="6597"/>
        <item h="1" m="1" x="7042"/>
        <item m="1" x="7418"/>
        <item m="1" x="7699"/>
        <item m="1" x="7892"/>
        <item h="1" m="1" x="7994"/>
        <item m="1" x="5044"/>
        <item m="1" x="6126"/>
        <item h="1" m="1" x="6623"/>
        <item h="1" m="1" x="7062"/>
        <item m="1" x="1151"/>
        <item h="1" m="1" x="1725"/>
        <item h="1" m="1" x="2471"/>
        <item h="1" m="1" x="3405"/>
        <item h="1" m="1" x="4565"/>
        <item m="1" x="5762"/>
        <item m="1" x="6441"/>
        <item m="1" x="6911"/>
        <item h="1" m="1" x="7309"/>
        <item h="1" m="1" x="7611"/>
        <item m="1" x="2552"/>
        <item h="1" m="1" x="3508"/>
        <item h="1" m="1" x="4654"/>
        <item h="1" m="1" x="5832"/>
        <item h="1" m="1" x="6476"/>
        <item m="1" x="6938"/>
        <item m="1" x="7336"/>
        <item m="1" x="7638"/>
        <item h="1" m="1" x="7849"/>
        <item h="1" m="1" x="7974"/>
        <item m="1" x="4719"/>
        <item h="1" m="1" x="5895"/>
        <item h="1" m="1" x="6503"/>
        <item h="1" m="1" x="6957"/>
        <item h="1" m="1" x="1031"/>
        <item h="1" m="1" x="1538"/>
        <item h="1" m="1" x="2215"/>
        <item h="1" m="1" x="3101"/>
        <item m="1" x="4216"/>
        <item m="1" x="5416"/>
        <item m="1" x="6288"/>
        <item h="1" m="1" x="6772"/>
        <item h="1" m="1" x="7195"/>
        <item h="1" m="1" x="7522"/>
        <item h="1" m="1" x="2318"/>
        <item h="1" m="1" x="3231"/>
        <item h="1" m="1" x="4310"/>
        <item h="1" m="1" x="5502"/>
        <item m="1" x="6331"/>
        <item m="1" x="6809"/>
        <item m="1" x="7232"/>
        <item h="1" m="1" x="7560"/>
        <item h="1" m="1" x="7798"/>
        <item h="1" m="1" x="7944"/>
        <item h="1" m="1" x="4399"/>
        <item h="1" m="1" x="5586"/>
        <item h="1" m="1" x="6370"/>
        <item h="1" m="1" x="6840"/>
        <item h="1" m="1" x="924"/>
        <item h="1" m="1" x="1359"/>
        <item m="1" x="2031"/>
        <item m="1" x="2855"/>
        <item m="1" x="3939"/>
        <item m="1" x="5128"/>
        <item h="1" m="1" x="6160"/>
        <item h="1" m="1" x="6657"/>
        <item h="1" m="1" x="7096"/>
        <item h="1" m="1" x="7447"/>
        <item h="1" m="1" x="2119"/>
        <item h="1" m="1" x="2956"/>
        <item m="1" x="4024"/>
        <item m="1" x="5203"/>
        <item m="1" x="6202"/>
        <item m="1" x="6693"/>
        <item h="1" m="1" x="7132"/>
        <item h="1" m="1" x="7483"/>
        <item h="1" m="1" x="7741"/>
        <item h="1" m="1" x="7910"/>
        <item h="1" m="1" x="4102"/>
        <item h="1" m="1" x="5282"/>
        <item m="1" x="6238"/>
        <item m="1" x="6722"/>
        <item m="1" x="682"/>
        <item m="1" x="971"/>
        <item h="1" m="1" x="1457"/>
        <item h="1" m="1" x="2162"/>
        <item h="1" m="1" x="3037"/>
        <item h="1" m="1" x="4156"/>
        <item m="1" x="5362"/>
        <item m="1" x="6265"/>
        <item m="1" x="6749"/>
        <item h="1" m="1" x="7172"/>
        <item m="1" x="1539"/>
        <item m="1" x="2216"/>
        <item h="1" m="1" x="3102"/>
        <item h="1" m="1" x="4217"/>
        <item h="1" m="1" x="5417"/>
        <item h="1" m="1" x="6289"/>
        <item m="1" x="6773"/>
        <item m="1" x="7196"/>
        <item m="1" x="7523"/>
        <item h="1" m="1" x="7768"/>
        <item m="1" x="3232"/>
        <item m="1" x="4311"/>
        <item h="1" m="1" x="5503"/>
        <item h="1" m="1" x="6332"/>
        <item h="1" m="1" x="615"/>
        <item h="1" m="1" x="883"/>
        <item h="1" m="1" x="1301"/>
        <item h="1" m="1" x="1968"/>
        <item m="1" x="2809"/>
        <item m="1" x="3871"/>
        <item m="1" x="5067"/>
        <item m="1" x="6132"/>
        <item h="1" m="1" x="6629"/>
        <item h="1" m="1" x="7068"/>
        <item h="1" m="1" x="1360"/>
        <item h="1" m="1" x="2032"/>
        <item h="1" m="1" x="2856"/>
        <item h="1" m="1" x="3940"/>
        <item m="1" x="5129"/>
        <item m="1" x="6161"/>
        <item m="1" x="6658"/>
        <item m="1" x="7097"/>
        <item h="1" m="1" x="7448"/>
        <item h="1" m="1" x="7713"/>
        <item h="1" m="1" x="2957"/>
        <item h="1" m="1" x="4025"/>
        <item h="1" m="1" x="5204"/>
        <item h="1" m="1" x="6203"/>
        <item h="1" m="1" x="1940"/>
        <item m="1" x="2752"/>
        <item m="1" x="3748"/>
        <item m="1" x="4916"/>
        <item h="1" m="1" x="6083"/>
        <item h="1" m="1" x="6582"/>
        <item h="1" m="1" x="7033"/>
        <item h="1" m="1" x="7409"/>
        <item m="1" x="7690"/>
        <item m="1" x="7883"/>
        <item h="1" m="1" x="3832"/>
        <item m="1" x="4996"/>
        <item m="1" x="6115"/>
        <item m="1" x="6612"/>
        <item h="1" m="1" x="7052"/>
        <item h="1" m="1" x="7424"/>
        <item h="1" m="1" x="7705"/>
        <item h="1" m="1" x="7898"/>
        <item m="1" x="474"/>
        <item h="1" m="1" x="6138"/>
        <item m="1" x="6635"/>
        <item m="1" x="7074"/>
        <item m="1" x="7430"/>
        <item m="1" x="1762"/>
        <item m="1" x="2517"/>
        <item m="1" x="3459"/>
        <item h="1" m="1" x="4606"/>
        <item h="1" m="1" x="5800"/>
        <item h="1" m="1" x="6464"/>
        <item h="1" m="1" x="6931"/>
        <item m="1" x="7329"/>
        <item m="1" x="7631"/>
        <item m="1" x="7842"/>
        <item m="1" x="3544"/>
        <item m="1" x="4694"/>
        <item m="1" x="5870"/>
        <item h="1" m="1" x="6496"/>
        <item h="1" m="1" x="6951"/>
        <item h="1" m="1" x="7346"/>
        <item h="1" m="1" x="7648"/>
        <item m="1" x="7859"/>
        <item h="1" m="1" x="7984"/>
        <item m="1" x="459"/>
        <item m="1" x="5945"/>
        <item m="1" x="6514"/>
        <item m="1" x="6968"/>
        <item h="1" m="1" x="7350"/>
        <item m="1" x="1567"/>
        <item m="1" x="2266"/>
        <item h="1" m="1" x="3155"/>
        <item h="1" m="1" x="4257"/>
        <item h="1" m="1" x="5446"/>
        <item h="1" m="1" x="6308"/>
        <item m="1" x="6792"/>
        <item m="1" x="7215"/>
        <item m="1" x="7543"/>
        <item h="1" m="1" x="7782"/>
        <item h="1" m="1" x="3264"/>
        <item m="1" x="4354"/>
        <item h="1" m="1" x="5546"/>
        <item h="1" m="1" x="6353"/>
        <item h="1" m="1" x="6825"/>
        <item h="1" m="1" x="7244"/>
        <item m="1" x="7572"/>
        <item m="1" x="7810"/>
        <item h="1" m="1" x="7955"/>
        <item h="1" m="1" x="432"/>
        <item m="1" x="5616"/>
        <item m="1" x="6383"/>
        <item h="1" m="1" x="6853"/>
        <item h="1" m="1" x="7259"/>
        <item h="1" m="1" x="1117"/>
        <item h="1" m="1" x="1671"/>
        <item m="1" x="2424"/>
        <item m="1" x="3374"/>
        <item m="1" x="4516"/>
        <item h="1" m="1" x="5716"/>
        <item h="1" m="1" x="6428"/>
        <item h="1" m="1" x="6898"/>
        <item h="1" m="1" x="7296"/>
        <item m="1" x="7599"/>
        <item h="1" m="1" x="2518"/>
        <item h="1" m="1" x="3460"/>
        <item m="1" x="4607"/>
        <item m="1" x="5801"/>
        <item m="1" x="6465"/>
        <item h="1" m="1" x="6932"/>
        <item h="1" m="1" x="7330"/>
        <item h="1" m="1" x="7632"/>
        <item h="1" m="1" x="7843"/>
        <item h="1" m="1" x="7969"/>
        <item h="1" m="1" x="4695"/>
        <item h="1" m="1" x="5871"/>
        <item m="1" x="6497"/>
        <item m="1" x="6952"/>
        <item m="1" x="998"/>
        <item m="1" x="1482"/>
        <item m="1" x="2183"/>
        <item m="1" x="3056"/>
        <item h="1" m="1" x="4175"/>
        <item h="1" m="1" x="5380"/>
        <item h="1" m="1" x="6275"/>
        <item h="1" m="1" x="6759"/>
        <item m="1" x="7182"/>
        <item m="1" x="7511"/>
        <item m="1" x="2267"/>
        <item m="1" x="3156"/>
        <item m="1" x="4258"/>
        <item m="1" x="5447"/>
        <item h="1" m="1" x="6309"/>
        <item h="1" m="1" x="6793"/>
        <item h="1" m="1" x="7216"/>
        <item h="1" m="1" x="7544"/>
        <item m="1" x="7783"/>
        <item h="1" m="1" x="7935"/>
        <item m="1" x="4355"/>
        <item m="1" x="5547"/>
        <item m="1" x="6354"/>
        <item m="1" x="6826"/>
        <item m="1" x="901"/>
        <item m="1" x="1327"/>
        <item h="1" m="1" x="1987"/>
        <item h="1" m="1" x="2828"/>
        <item h="1" m="1" x="3897"/>
        <item h="1" m="1" x="5087"/>
        <item m="1" x="6147"/>
        <item m="1" x="6644"/>
        <item m="1" x="7083"/>
        <item m="1" x="7435"/>
        <item m="1" x="2072"/>
        <item m="1" x="2901"/>
        <item h="1" m="1" x="3970"/>
        <item h="1" m="1" x="5166"/>
        <item h="1" m="1" x="6179"/>
        <item h="1" m="1" x="6676"/>
        <item m="1" x="7115"/>
        <item m="1" x="7466"/>
        <item m="1" x="7727"/>
        <item m="1" x="7903"/>
        <item m="1" x="4066"/>
        <item m="1" x="5250"/>
        <item h="1" m="1" x="6222"/>
        <item h="1" m="1" x="6707"/>
        <item m="1" x="796"/>
        <item h="1" m="1" x="1185"/>
        <item h="1" m="1" x="1795"/>
        <item h="1" m="1" x="2580"/>
        <item h="1" m="1" x="3586"/>
        <item m="1" x="4768"/>
        <item m="1" x="5954"/>
        <item m="1" x="6523"/>
        <item m="1" x="6977"/>
        <item h="1" m="1" x="7354"/>
        <item m="1" x="1855"/>
        <item h="1" m="1" x="2644"/>
        <item h="1" m="1" x="3645"/>
        <item h="1" m="1" x="4826"/>
        <item h="1" m="1" x="6019"/>
        <item m="1" x="6549"/>
        <item m="1" x="7003"/>
        <item m="1" x="7379"/>
        <item h="1" m="1" x="7661"/>
        <item h="1" m="1" x="7863"/>
        <item m="1" x="3749"/>
        <item h="1" m="1" x="4917"/>
        <item h="1" m="1" x="6084"/>
        <item h="1" m="1" x="6583"/>
        <item h="1" m="1" x="716"/>
        <item h="1" m="1" x="1066"/>
        <item h="1" m="1" x="1599"/>
        <item h="1" m="1" x="2368"/>
        <item m="1" x="3317"/>
        <item m="1" x="4451"/>
        <item m="1" x="5633"/>
        <item h="1" m="1" x="6393"/>
        <item h="1" m="1" x="6863"/>
        <item h="1" m="1" x="7263"/>
        <item h="1" m="1" x="1672"/>
        <item h="1" m="1" x="2425"/>
        <item h="1" m="1" x="3375"/>
        <item h="1" m="1" x="4517"/>
        <item m="1" x="5717"/>
        <item m="1" x="6429"/>
        <item m="1" x="6899"/>
        <item h="1" m="1" x="7297"/>
        <item h="1" m="1" x="7600"/>
        <item h="1" m="1" x="7824"/>
        <item h="1" m="1" x="3461"/>
        <item h="1" m="1" x="4608"/>
        <item h="1" m="1" x="5802"/>
        <item h="1" m="1" x="6466"/>
        <item m="1" x="1044"/>
        <item m="1" x="1568"/>
        <item m="1" x="2268"/>
        <item h="1" m="1" x="3157"/>
        <item h="1" m="1" x="4259"/>
        <item h="1" m="1" x="5448"/>
        <item h="1" m="1" x="6310"/>
        <item m="1" x="6794"/>
        <item m="1" x="7217"/>
        <item m="1" x="7545"/>
        <item m="1" x="2333"/>
        <item m="1" x="3265"/>
        <item m="1" x="4356"/>
        <item h="1" m="1" x="5548"/>
        <item h="1" m="1" x="6355"/>
        <item h="1" m="1" x="6827"/>
        <item h="1" m="1" x="7245"/>
        <item m="1" x="7573"/>
        <item m="1" x="7811"/>
        <item h="1" m="1" x="7956"/>
        <item m="1" x="4440"/>
        <item m="1" x="5617"/>
        <item m="1" x="6384"/>
        <item h="1" m="1" x="6854"/>
        <item m="1" x="947"/>
        <item h="1" m="1" x="1397"/>
        <item h="1" m="1" x="2073"/>
        <item h="1" m="1" x="2902"/>
        <item h="1" m="1" x="3971"/>
        <item m="1" x="5167"/>
        <item m="1" x="6180"/>
        <item m="1" x="6677"/>
        <item m="1" x="7116"/>
        <item h="1" m="1" x="7467"/>
        <item m="1" x="2141"/>
        <item h="1" m="1" x="2995"/>
        <item h="1" m="1" x="4067"/>
        <item h="1" m="1" x="5251"/>
        <item h="1" m="1" x="6223"/>
        <item m="1" x="6708"/>
        <item m="1" x="7143"/>
        <item m="1" x="7494"/>
        <item m="1" x="7752"/>
        <item h="1" m="1" x="7920"/>
        <item m="1" x="4124"/>
        <item h="1" m="1" x="5309"/>
        <item h="1" m="1" x="6249"/>
        <item h="1" m="1" x="6733"/>
        <item h="1" m="1" x="846"/>
        <item h="1" m="1" x="1256"/>
        <item h="1" m="1" x="1856"/>
        <item h="1" m="1" x="2645"/>
        <item m="1" x="3646"/>
        <item m="1" x="4827"/>
        <item m="1" x="6020"/>
        <item h="1" m="1" x="6550"/>
        <item h="1" m="1" x="7004"/>
        <item h="1" m="1" x="7380"/>
        <item h="1" m="1" x="1941"/>
        <item h="1" m="1" x="2753"/>
        <item h="1" m="1" x="3750"/>
        <item h="1" m="1" x="4918"/>
        <item m="1" x="6085"/>
        <item m="1" x="6584"/>
        <item m="1" x="7034"/>
        <item h="1" m="1" x="7410"/>
        <item h="1" m="1" x="7691"/>
        <item h="1" m="1" x="7884"/>
        <item h="1" m="1" x="3833"/>
        <item h="1" m="1" x="4997"/>
        <item h="1" m="1" x="6116"/>
        <item h="1" m="1" x="6613"/>
        <item h="1" m="1" x="759"/>
        <item h="1" m="1" x="1118"/>
        <item h="1" m="1" x="1673"/>
        <item m="1" x="2426"/>
        <item m="1" x="3376"/>
        <item m="1" x="4518"/>
        <item h="1" m="1" x="5718"/>
        <item h="1" m="1" x="6430"/>
        <item h="1" m="1" x="6900"/>
        <item h="1" m="1" x="7298"/>
        <item h="1" m="1" x="1763"/>
        <item h="1" m="1" x="2519"/>
        <item h="1" m="1" x="3462"/>
        <item m="1" x="4609"/>
        <item m="1" x="5803"/>
        <item m="1" x="6467"/>
        <item h="1" m="1" x="6933"/>
        <item h="1" m="1" x="7331"/>
        <item h="1" m="1" x="7633"/>
        <item h="1" m="1" x="7844"/>
        <item h="1" m="1" x="3545"/>
        <item h="1" m="1" x="4696"/>
        <item h="1" m="1" x="5872"/>
        <item m="1" x="6498"/>
        <item h="1" m="1" x="690"/>
        <item m="1" x="999"/>
        <item m="1" x="1483"/>
        <item m="1" x="2184"/>
        <item m="1" x="3057"/>
        <item h="1" m="1" x="4176"/>
        <item h="1" m="1" x="5381"/>
        <item h="1" m="1" x="6276"/>
        <item h="1" m="1" x="6760"/>
        <item m="1" x="7183"/>
        <item h="1" m="1" x="1569"/>
        <item m="1" x="2269"/>
        <item m="1" x="3158"/>
        <item m="1" x="4260"/>
        <item m="1" x="5449"/>
        <item h="1" m="1" x="6311"/>
        <item h="1" m="1" x="6795"/>
        <item h="1" m="1" x="7218"/>
        <item h="1" m="1" x="7546"/>
        <item m="1" x="7784"/>
        <item h="1" m="1" x="3266"/>
        <item m="1" x="4357"/>
        <item m="1" x="5549"/>
        <item m="1" x="6356"/>
        <item m="1" x="546"/>
        <item h="1" m="1" x="717"/>
        <item h="1" m="1" x="1067"/>
        <item h="1" m="1" x="1600"/>
        <item h="1" m="1" x="2369"/>
        <item m="1" x="3318"/>
        <item m="1" x="4452"/>
        <item m="1" x="5634"/>
        <item h="1" m="1" x="6394"/>
        <item h="1" m="1" x="6864"/>
        <item m="1" x="1119"/>
        <item h="1" m="1" x="1674"/>
        <item h="1" m="1" x="2427"/>
        <item h="1" m="1" x="3377"/>
        <item h="1" m="1" x="4519"/>
        <item m="1" x="5719"/>
        <item m="1" x="6431"/>
        <item m="1" x="6901"/>
        <item h="1" m="1" x="7299"/>
        <item h="1" m="1" x="7601"/>
        <item m="1" x="2520"/>
        <item h="1" m="1" x="3463"/>
        <item h="1" m="1" x="4610"/>
        <item h="1" m="1" x="5804"/>
        <item h="1" m="1" x="1585"/>
        <item h="1" m="1" x="2319"/>
        <item m="1" x="3233"/>
        <item m="1" x="4312"/>
        <item m="1" x="5504"/>
        <item h="1" m="1" x="6333"/>
        <item h="1" m="1" x="6810"/>
        <item h="1" m="1" x="7233"/>
        <item h="1" m="1" x="7561"/>
        <item m="1" x="7799"/>
        <item h="1" m="1" x="3282"/>
        <item h="1" m="1" x="4400"/>
        <item m="1" x="5587"/>
        <item m="1" x="6371"/>
        <item m="1" x="6841"/>
        <item h="1" m="1" x="7254"/>
        <item h="1" m="1" x="7582"/>
        <item h="1" m="1" x="7820"/>
        <item h="1" m="1" x="7965"/>
        <item m="1" x="450"/>
        <item h="1" m="1" x="5660"/>
        <item h="1" m="1" x="6405"/>
        <item m="1" x="6875"/>
        <item m="1" x="7273"/>
        <item m="1" x="1428"/>
        <item m="1" x="2120"/>
        <item m="1" x="2958"/>
        <item m="1" x="4026"/>
        <item h="1" m="1" x="5205"/>
        <item h="1" m="1" x="6204"/>
        <item h="1" m="1" x="6694"/>
        <item h="1" m="1" x="7133"/>
        <item m="1" x="7484"/>
        <item m="1" x="7742"/>
        <item m="1" x="3027"/>
        <item m="1" x="4103"/>
        <item m="1" x="5283"/>
        <item m="1" x="6239"/>
        <item h="1" m="1" x="6723"/>
        <item h="1" m="1" x="7153"/>
        <item h="1" m="1" x="7504"/>
        <item h="1" m="1" x="7762"/>
        <item h="1" m="1" x="7930"/>
        <item m="1" x="419"/>
        <item m="1" x="5358"/>
        <item m="1" x="6261"/>
        <item m="1" x="6745"/>
        <item m="1" x="7168"/>
        <item m="1" x="1282"/>
        <item m="1" x="1917"/>
        <item h="1" m="1" x="2699"/>
        <item h="1" m="1" x="3690"/>
        <item h="1" m="1" x="4872"/>
        <item h="1" m="1" x="6055"/>
        <item m="1" x="6565"/>
        <item m="1" x="7019"/>
        <item m="1" x="7395"/>
        <item m="1" x="7676"/>
        <item m="1" x="2780"/>
        <item m="1" x="3802"/>
        <item h="1" m="1" x="4958"/>
        <item h="1" m="1" x="6101"/>
        <item h="1" m="1" x="6598"/>
        <item h="1" m="1" x="7043"/>
        <item m="1" x="7419"/>
        <item m="1" x="7700"/>
        <item m="1" x="7893"/>
        <item h="1" m="1" x="7995"/>
        <item m="1" x="5045"/>
        <item m="1" x="6127"/>
        <item h="1" m="1" x="6624"/>
        <item h="1" m="1" x="7063"/>
        <item m="1" x="1152"/>
        <item h="1" m="1" x="1726"/>
        <item h="1" m="1" x="2472"/>
        <item h="1" m="1" x="3406"/>
        <item h="1" m="1" x="4566"/>
        <item m="1" x="5763"/>
        <item m="1" x="6442"/>
        <item m="1" x="6912"/>
        <item h="1" m="1" x="7310"/>
        <item h="1" m="1" x="7612"/>
        <item m="1" x="2553"/>
        <item h="1" m="1" x="3509"/>
        <item h="1" m="1" x="4655"/>
        <item h="1" m="1" x="5833"/>
        <item h="1" m="1" x="6477"/>
        <item m="1" x="6939"/>
        <item m="1" x="7337"/>
        <item m="1" x="7639"/>
        <item h="1" m="1" x="7850"/>
        <item h="1" m="1" x="7975"/>
        <item m="1" x="4720"/>
        <item h="1" m="1" x="5896"/>
        <item h="1" m="1" x="6504"/>
        <item h="1" m="1" x="6958"/>
        <item h="1" m="1" x="830"/>
        <item m="1" x="1223"/>
        <item m="1" x="1823"/>
        <item m="1" x="2617"/>
        <item h="1" m="1" x="3610"/>
        <item h="1" m="1" x="4800"/>
        <item h="1" m="1" x="5984"/>
        <item h="1" m="1" x="6531"/>
        <item m="1" x="6985"/>
        <item m="1" x="7361"/>
        <item h="1" m="1" x="1918"/>
        <item m="1" x="2700"/>
        <item m="1" x="3691"/>
        <item m="1" x="4873"/>
        <item h="1" m="1" x="6056"/>
        <item h="1" m="1" x="6566"/>
        <item h="1" m="1" x="7020"/>
        <item h="1" m="1" x="7396"/>
        <item m="1" x="7677"/>
        <item m="1" x="7870"/>
        <item h="1" m="1" x="3803"/>
        <item m="1" x="4959"/>
        <item m="1" x="6102"/>
        <item m="1" x="6599"/>
        <item m="1" x="746"/>
        <item m="1" x="1094"/>
        <item m="1" x="1638"/>
        <item h="1" m="1" x="2393"/>
        <item h="1" m="1" x="3346"/>
        <item h="1" m="1" x="4476"/>
        <item h="1" m="1" x="5682"/>
        <item m="1" x="6409"/>
        <item m="1" x="6879"/>
        <item m="1" x="7277"/>
        <item m="1" x="1727"/>
        <item m="1" x="2473"/>
        <item m="1" x="3407"/>
        <item h="1" m="1" x="4567"/>
        <item h="1" m="1" x="5764"/>
        <item h="1" m="1" x="6443"/>
        <item h="1" m="1" x="6913"/>
        <item m="1" x="7311"/>
        <item m="1" x="7613"/>
        <item m="1" x="7829"/>
        <item m="1" x="3510"/>
        <item m="1" x="4656"/>
        <item m="1" x="5834"/>
        <item h="1" m="1" x="6478"/>
        <item m="1" x="683"/>
        <item m="1" x="972"/>
        <item h="1" m="1" x="1458"/>
        <item h="1" m="1" x="2163"/>
        <item h="1" m="1" x="3038"/>
        <item h="1" m="1" x="4157"/>
        <item m="1" x="5363"/>
        <item m="1" x="6266"/>
        <item m="1" x="6750"/>
        <item h="1" m="1" x="7173"/>
        <item m="1" x="1540"/>
        <item m="1" x="2217"/>
        <item h="1" m="1" x="3103"/>
        <item h="1" m="1" x="4218"/>
        <item h="1" m="1" x="5418"/>
        <item h="1" m="1" x="6290"/>
        <item m="1" x="6774"/>
        <item m="1" x="7197"/>
        <item m="1" x="7524"/>
        <item h="1" m="1" x="7769"/>
        <item m="1" x="3234"/>
        <item m="1" x="4313"/>
        <item h="1" m="1" x="5505"/>
        <item h="1" m="1" x="6334"/>
        <item h="1" m="1" x="616"/>
        <item h="1" m="1" x="884"/>
        <item h="1" m="1" x="1302"/>
        <item h="1" m="1" x="1969"/>
        <item m="1" x="2810"/>
        <item m="1" x="3872"/>
        <item m="1" x="5068"/>
        <item m="1" x="6133"/>
        <item h="1" m="1" x="6630"/>
        <item h="1" m="1" x="7069"/>
        <item h="1" m="1" x="1361"/>
        <item h="1" m="1" x="2033"/>
        <item h="1" m="1" x="2857"/>
        <item h="1" m="1" x="3941"/>
        <item m="1" x="5130"/>
        <item m="1" x="6162"/>
        <item m="1" x="6659"/>
        <item m="1" x="7098"/>
        <item h="1" m="1" x="7449"/>
        <item h="1" m="1" x="7714"/>
        <item h="1" m="1" x="2959"/>
        <item h="1" m="1" x="4027"/>
        <item h="1" m="1" x="5206"/>
        <item h="1" m="1" x="6205"/>
        <item h="1" m="1" x="1942"/>
        <item m="1" x="2754"/>
        <item m="1" x="3751"/>
        <item m="1" x="4919"/>
        <item h="1" m="1" x="6086"/>
        <item h="1" m="1" x="6585"/>
        <item h="1" m="1" x="7035"/>
        <item h="1" m="1" x="7411"/>
        <item m="1" x="7692"/>
        <item m="1" x="7885"/>
        <item h="1" m="1" x="3834"/>
        <item m="1" x="4998"/>
        <item m="1" x="6117"/>
        <item m="1" x="6614"/>
        <item h="1" m="1" x="7053"/>
        <item h="1" m="1" x="7425"/>
        <item h="1" m="1" x="7706"/>
        <item h="1" m="1" x="7899"/>
        <item m="1" x="475"/>
        <item h="1" m="1" x="6139"/>
        <item m="1" x="6636"/>
        <item m="1" x="7075"/>
        <item m="1" x="7431"/>
        <item h="1" m="1" x="1398"/>
        <item h="1" m="1" x="2074"/>
        <item h="1" m="1" x="2903"/>
        <item h="1" m="1" x="3972"/>
        <item m="1" x="5168"/>
        <item m="1" x="6181"/>
        <item m="1" x="6678"/>
        <item m="1" x="7117"/>
        <item h="1" m="1" x="7468"/>
        <item h="1" m="1" x="7728"/>
        <item h="1" m="1" x="2996"/>
        <item h="1" m="1" x="4068"/>
        <item h="1" m="1" x="5252"/>
        <item h="1" m="1" x="6224"/>
        <item m="1" x="6709"/>
        <item m="1" x="7144"/>
        <item m="1" x="7495"/>
        <item m="1" x="7753"/>
        <item h="1" m="1" x="7921"/>
        <item h="1" m="1" x="403"/>
        <item h="1" m="1" x="5310"/>
        <item h="1" m="1" x="6250"/>
        <item h="1" m="1" x="6734"/>
        <item h="1" m="1" x="7158"/>
        <item h="1" m="1" x="1257"/>
        <item h="1" m="1" x="1857"/>
        <item h="1" m="1" x="2646"/>
        <item m="1" x="3647"/>
        <item m="1" x="4828"/>
        <item m="1" x="6021"/>
        <item h="1" m="1" x="6551"/>
        <item h="1" m="1" x="7005"/>
        <item h="1" m="1" x="7381"/>
        <item h="1" m="1" x="7662"/>
        <item h="1" m="1" x="2755"/>
        <item h="1" m="1" x="3752"/>
        <item h="1" m="1" x="4920"/>
        <item m="1" x="6087"/>
        <item m="1" x="6586"/>
        <item m="1" x="7036"/>
        <item h="1" m="1" x="7412"/>
        <item h="1" m="1" x="7693"/>
        <item h="1" m="1" x="7886"/>
        <item h="1" m="1" x="7988"/>
        <item h="1" m="1" x="4999"/>
        <item h="1" m="1" x="6118"/>
        <item h="1" m="1" x="6615"/>
        <item m="1" x="7054"/>
        <item h="1" m="1" x="1120"/>
        <item h="1" m="1" x="1675"/>
        <item m="1" x="2428"/>
        <item m="1" x="3378"/>
        <item m="1" x="4520"/>
        <item h="1" m="1" x="5720"/>
        <item h="1" m="1" x="6432"/>
        <item h="1" m="1" x="6902"/>
        <item h="1" m="1" x="7300"/>
        <item m="1" x="7602"/>
        <item h="1" m="1" x="2521"/>
        <item h="1" m="1" x="3464"/>
        <item m="1" x="4611"/>
        <item m="1" x="5805"/>
        <item m="1" x="6468"/>
        <item h="1" m="1" x="6934"/>
        <item h="1" m="1" x="7332"/>
        <item h="1" m="1" x="7634"/>
        <item h="1" m="1" x="7845"/>
        <item h="1" m="1" x="7970"/>
        <item h="1" m="1" x="4697"/>
        <item m="1" x="5873"/>
        <item m="1" x="6499"/>
        <item m="1" x="6953"/>
        <item m="1" x="1000"/>
        <item m="1" x="1484"/>
        <item m="1" x="2185"/>
        <item m="1" x="3058"/>
        <item m="1" x="4177"/>
        <item m="1" x="5382"/>
        <item m="1" x="6277"/>
        <item m="1" x="6761"/>
        <item m="1" x="7184"/>
        <item m="1" x="7512"/>
        <item m="1" x="2270"/>
        <item m="1" x="3159"/>
        <item m="1" x="4261"/>
        <item m="1" x="5450"/>
        <item m="1" x="6312"/>
        <item m="1" x="6796"/>
        <item m="1" x="7219"/>
        <item m="1" x="7547"/>
        <item m="1" x="7785"/>
        <item h="1" m="1" x="7936"/>
        <item m="1" x="4358"/>
        <item m="1" x="5550"/>
        <item m="1" x="6357"/>
        <item m="1" x="6828"/>
        <item m="1" x="902"/>
        <item m="1" x="1328"/>
        <item h="1" m="1" x="1988"/>
        <item h="1" m="1" x="2829"/>
        <item h="1" m="1" x="3898"/>
        <item h="1" m="1" x="5088"/>
        <item m="1" x="6148"/>
        <item h="1" m="1" x="6645"/>
        <item h="1" m="1" x="7084"/>
        <item h="1" m="1" x="7436"/>
        <item h="1" m="1" x="2075"/>
        <item h="1" m="1" x="2904"/>
        <item h="1" m="1" x="3973"/>
        <item h="1" m="1" x="5169"/>
        <item h="1" m="1" x="6182"/>
        <item h="1" m="1" x="6679"/>
        <item h="1" m="1" x="7118"/>
        <item h="1" m="1" x="7469"/>
        <item h="1" m="1" x="4069"/>
        <item h="1" m="1" x="5253"/>
        <item h="1" m="1" x="590"/>
        <item h="1" m="1" x="797"/>
        <item h="1" m="1" x="1186"/>
        <item h="1" m="1" x="1796"/>
        <item h="1" m="1" x="2581"/>
        <item h="1" m="1" x="3587"/>
        <item h="1" m="1" x="4769"/>
        <item h="1" m="1" x="5955"/>
        <item h="1" m="1" x="6524"/>
        <item h="1" m="1" x="6978"/>
        <item h="1" m="1" x="1258"/>
        <item h="1" m="1" x="1858"/>
        <item h="1" m="1" x="2647"/>
        <item h="1" m="1" x="3648"/>
        <item h="1" m="1" x="4829"/>
        <item h="1" m="1" x="6022"/>
        <item h="1" x="375"/>
        <item h="1" x="376"/>
        <item h="1" x="377"/>
        <item h="1" x="378"/>
        <item h="1" x="379"/>
        <item h="1" x="380"/>
        <item h="1" x="381"/>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304"/>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283"/>
        <item h="1" x="284"/>
        <item h="1" x="285"/>
        <item h="1" x="286"/>
        <item h="1" x="287"/>
        <item h="1" x="288"/>
        <item h="1" x="289"/>
        <item h="1" x="290"/>
        <item h="1" x="291"/>
        <item h="1" x="292"/>
        <item h="1" x="293"/>
        <item h="1" x="294"/>
        <item h="1" x="295"/>
        <item h="1" x="296"/>
        <item h="1" x="297"/>
        <item h="1" x="298"/>
        <item h="1" x="299"/>
        <item h="1" x="306"/>
        <item h="1" x="307"/>
        <item x="308"/>
        <item x="309"/>
        <item x="310"/>
        <item x="311"/>
        <item x="312"/>
        <item x="313"/>
        <item x="314"/>
        <item x="315"/>
        <item x="316"/>
        <item x="317"/>
        <item x="318"/>
        <item x="319"/>
        <item x="320"/>
        <item x="321"/>
        <item x="322"/>
        <item x="323"/>
        <item x="324"/>
        <item x="325"/>
        <item x="326"/>
        <item x="113"/>
        <item x="114"/>
        <item x="115"/>
        <item x="116"/>
        <item x="117"/>
        <item x="118"/>
        <item x="119"/>
        <item x="120"/>
        <item x="121"/>
        <item x="122"/>
        <item x="123"/>
        <item x="124"/>
        <item x="125"/>
        <item x="126"/>
        <item x="127"/>
        <item x="128"/>
        <item x="129"/>
        <item x="130"/>
        <item x="131"/>
        <item x="132"/>
        <item x="133"/>
        <item x="134"/>
        <item x="135"/>
        <item x="136"/>
        <item x="137"/>
        <item x="138"/>
        <item x="222"/>
        <item x="223"/>
        <item x="224"/>
        <item x="225"/>
        <item x="226"/>
        <item x="227"/>
        <item x="228"/>
        <item x="229"/>
        <item x="230"/>
        <item x="231"/>
        <item x="232"/>
        <item x="233"/>
        <item x="234"/>
        <item x="235"/>
        <item x="236"/>
        <item x="237"/>
        <item x="238"/>
        <item x="239"/>
        <item x="240"/>
        <item x="241"/>
        <item x="242"/>
        <item x="243"/>
        <item x="244"/>
        <item x="245"/>
        <item x="24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4"/>
        <item x="365"/>
        <item x="366"/>
        <item x="367"/>
        <item x="368"/>
        <item x="369"/>
        <item x="370"/>
        <item x="371"/>
        <item x="372"/>
        <item x="373"/>
        <item x="374"/>
        <item x="305"/>
        <item x="60"/>
        <item x="61"/>
        <item x="62"/>
        <item x="63"/>
        <item x="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5"/>
        <item x="66"/>
        <item x="67"/>
        <item h="1" x="68"/>
        <item h="1" x="69"/>
        <item h="1" x="70"/>
        <item h="1" x="71"/>
        <item h="1" x="72"/>
        <item h="1" x="73"/>
        <item h="1" x="74"/>
        <item h="1" x="75"/>
        <item h="1" x="76"/>
        <item h="1" x="77"/>
        <item h="1" x="78"/>
        <item h="1" x="79"/>
        <item h="1" x="80"/>
        <item h="1" x="81"/>
        <item h="1" x="82"/>
        <item h="1" x="83"/>
        <item h="1" x="84"/>
        <item h="1" x="85"/>
        <item h="1" x="86"/>
        <item h="1" x="87"/>
        <item h="1" x="88"/>
        <item h="1" x="302"/>
        <item h="1" x="303"/>
        <item h="1" x="361"/>
        <item h="1" x="362"/>
        <item h="1" x="363"/>
        <item h="1" x="382"/>
        <item h="1" x="383"/>
        <item h="1" x="384"/>
        <item h="1" x="385"/>
        <item h="1" x="386"/>
        <item h="1" x="387"/>
        <item h="1" x="388"/>
        <item h="1" x="389"/>
        <item h="1" x="390"/>
        <item h="1" x="391"/>
        <item h="1" x="392"/>
        <item h="1" x="393"/>
        <item h="1" m="1" x="630"/>
        <item h="1" m="1" x="2997"/>
        <item h="1" m="1" x="5420"/>
        <item h="1" m="1" x="490"/>
        <item h="1" m="1" x="771"/>
        <item h="1" m="1" x="1728"/>
        <item h="1" x="89"/>
        <item h="1" x="300"/>
        <item h="1" x="301"/>
        <item m="1" x="772"/>
        <item h="1" m="1" x="3611"/>
        <item h="1" m="1" x="7044"/>
        <item h="1" m="1" x="394"/>
        <item m="1" x="831"/>
        <item h="1" m="1" x="420"/>
        <item h="1" m="1" x="910"/>
        <item h="1" m="1" x="4091"/>
        <item h="1" m="1" x="1045"/>
        <item h="1" m="1" x="4521"/>
        <item h="1" m="1" x="460"/>
        <item t="default"/>
      </items>
    </pivotField>
    <pivotField showAll="0" defaultSubtotal="0"/>
    <pivotField showAll="0">
      <items count="5">
        <item m="1" x="2"/>
        <item x="1"/>
        <item x="0"/>
        <item m="1" x="3"/>
        <item t="default"/>
      </items>
    </pivotField>
    <pivotField showAll="0"/>
    <pivotField dataField="1" showAll="0"/>
    <pivotField dataField="1" showAll="0"/>
    <pivotField dataField="1" showAll="0"/>
    <pivotField showAll="0"/>
    <pivotField showAll="0"/>
    <pivotField showAll="0"/>
    <pivotField showAll="0"/>
    <pivotField showAll="0"/>
    <pivotField showAll="0"/>
  </pivotFields>
  <rowFields count="1">
    <field x="9"/>
  </rowFields>
  <rowItems count="185">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t="grand">
      <x/>
    </i>
  </rowItems>
  <colFields count="1">
    <field x="-2"/>
  </colFields>
  <colItems count="3">
    <i>
      <x/>
    </i>
    <i i="1">
      <x v="1"/>
    </i>
    <i i="2">
      <x v="2"/>
    </i>
  </colItems>
  <dataFields count="3">
    <dataField name="Average of ACTUALTRS" fld="13" subtotal="average" baseField="8" baseItem="16074" numFmtId="164"/>
    <dataField name="Average of PREDICTEDTRS" fld="14" subtotal="average" baseField="8" baseItem="16074" numFmtId="164"/>
    <dataField name="Average of ERRORTRS" fld="15" subtotal="average" baseField="8" baseItem="16074" numFmtId="164"/>
  </dataFields>
  <chartFormats count="3">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2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4" firstHeaderRow="0" firstDataRow="1" firstDataCol="1"/>
  <pivotFields count="22">
    <pivotField showAll="0">
      <items count="794">
        <item m="1" x="380"/>
        <item m="1" x="178"/>
        <item x="15"/>
        <item m="1" x="356"/>
        <item m="1" x="692"/>
        <item m="1" x="267"/>
        <item m="1" x="334"/>
        <item m="1" x="721"/>
        <item m="1" x="114"/>
        <item m="1" x="476"/>
        <item m="1" x="562"/>
        <item m="1" x="739"/>
        <item m="1" x="750"/>
        <item m="1" x="766"/>
        <item m="1" x="293"/>
        <item m="1" x="560"/>
        <item m="1" x="223"/>
        <item m="1" x="395"/>
        <item m="1" x="435"/>
        <item m="1" x="290"/>
        <item m="1" x="582"/>
        <item m="1" x="568"/>
        <item m="1" x="745"/>
        <item m="1" x="80"/>
        <item m="1" x="256"/>
        <item m="1" x="392"/>
        <item m="1" x="500"/>
        <item m="1" x="688"/>
        <item m="1" x="761"/>
        <item m="1" x="490"/>
        <item m="1" x="532"/>
        <item m="1" x="28"/>
        <item m="1" x="104"/>
        <item m="1" x="183"/>
        <item m="1" x="564"/>
        <item x="12"/>
        <item m="1" x="265"/>
        <item m="1" x="309"/>
        <item m="1" x="529"/>
        <item m="1" x="452"/>
        <item m="1" x="79"/>
        <item m="1" x="390"/>
        <item m="1" x="262"/>
        <item m="1" x="633"/>
        <item m="1" x="642"/>
        <item m="1" x="286"/>
        <item m="1" x="659"/>
        <item m="1" x="682"/>
        <item m="1" x="237"/>
        <item m="1" x="307"/>
        <item m="1" x="464"/>
        <item m="1" x="511"/>
        <item m="1" x="769"/>
        <item m="1" x="55"/>
        <item m="1" x="778"/>
        <item m="1" x="412"/>
        <item m="1" x="144"/>
        <item m="1" x="167"/>
        <item m="1" x="727"/>
        <item m="1" x="88"/>
        <item m="1" x="235"/>
        <item m="1" x="585"/>
        <item m="1" x="605"/>
        <item m="1" x="72"/>
        <item m="1" x="112"/>
        <item m="1" x="232"/>
        <item m="1" x="326"/>
        <item m="1" x="596"/>
        <item m="1" x="792"/>
        <item m="1" x="48"/>
        <item m="1" x="247"/>
        <item m="1" x="317"/>
        <item m="1" x="368"/>
        <item m="1" x="482"/>
        <item m="1" x="548"/>
        <item m="1" x="165"/>
        <item m="1" x="204"/>
        <item m="1" x="292"/>
        <item m="1" x="195"/>
        <item m="1" x="445"/>
        <item m="1" x="616"/>
        <item m="1" x="764"/>
        <item m="1" x="495"/>
        <item m="1" x="570"/>
        <item m="1" x="273"/>
        <item m="1" x="453"/>
        <item m="1" x="521"/>
        <item m="1" x="152"/>
        <item m="1" x="93"/>
        <item m="1" x="291"/>
        <item m="1" x="316"/>
        <item m="1" x="338"/>
        <item m="1" x="470"/>
        <item m="1" x="569"/>
        <item m="1" x="270"/>
        <item m="1" x="451"/>
        <item m="1" x="639"/>
        <item m="1" x="690"/>
        <item m="1" x="202"/>
        <item m="1" x="628"/>
        <item m="1" x="787"/>
        <item m="1" x="67"/>
        <item m="1" x="201"/>
        <item m="1" x="383"/>
        <item m="1" x="534"/>
        <item m="1" x="722"/>
        <item m="1" x="423"/>
        <item m="1" x="607"/>
        <item m="1" x="45"/>
        <item m="1" x="137"/>
        <item m="1" x="211"/>
        <item m="1" x="243"/>
        <item m="1" x="51"/>
        <item m="1" x="335"/>
        <item m="1" x="279"/>
        <item m="1" x="352"/>
        <item m="1" x="373"/>
        <item m="1" x="306"/>
        <item m="1" x="149"/>
        <item m="1" x="626"/>
        <item m="1" x="638"/>
        <item m="1" x="647"/>
        <item m="1" x="287"/>
        <item m="1" x="457"/>
        <item m="1" x="266"/>
        <item m="1" x="405"/>
        <item m="1" x="479"/>
        <item m="1" x="106"/>
        <item m="1" x="401"/>
        <item m="1" x="491"/>
        <item m="1" x="555"/>
        <item m="1" x="254"/>
        <item m="1" x="772"/>
        <item m="1" x="783"/>
        <item m="1" x="135"/>
        <item m="1" x="514"/>
        <item m="1" x="580"/>
        <item m="1" x="313"/>
        <item m="1" x="646"/>
        <item m="1" x="215"/>
        <item m="1" x="27"/>
        <item m="1" x="328"/>
        <item m="1" x="421"/>
        <item m="1" x="148"/>
        <item m="1" x="543"/>
        <item m="1" x="253"/>
        <item m="1" x="644"/>
        <item m="1" x="89"/>
        <item m="1" x="612"/>
        <item m="1" x="635"/>
        <item m="1" x="661"/>
        <item m="1" x="708"/>
        <item m="1" x="283"/>
        <item m="1" x="382"/>
        <item m="1" x="40"/>
        <item m="1" x="182"/>
        <item m="1" x="264"/>
        <item m="1" x="207"/>
        <item m="1" x="26"/>
        <item m="1" x="419"/>
        <item m="1" x="751"/>
        <item m="1" x="191"/>
        <item m="1" x="330"/>
        <item m="1" x="39"/>
        <item m="1" x="357"/>
        <item m="1" x="78"/>
        <item m="1" x="418"/>
        <item m="1" x="512"/>
        <item m="1" x="339"/>
        <item m="1" x="378"/>
        <item x="3"/>
        <item m="1" x="553"/>
        <item m="1" x="263"/>
        <item m="1" x="643"/>
        <item m="1" x="683"/>
        <item m="1" x="617"/>
        <item m="1" x="438"/>
        <item m="1" x="526"/>
        <item m="1" x="210"/>
        <item m="1" x="484"/>
        <item m="1" x="609"/>
        <item x="18"/>
        <item m="1" x="138"/>
        <item m="1" x="38"/>
        <item m="1" x="341"/>
        <item m="1" x="132"/>
        <item m="1" x="622"/>
        <item m="1" x="108"/>
        <item m="1" x="680"/>
        <item x="0"/>
        <item m="1" x="389"/>
        <item m="1" x="440"/>
        <item m="1" x="475"/>
        <item m="1" x="102"/>
        <item m="1" x="519"/>
        <item m="1" x="550"/>
        <item m="1" x="99"/>
        <item m="1" x="608"/>
        <item m="1" x="620"/>
        <item m="1" x="572"/>
        <item m="1" x="670"/>
        <item m="1" x="679"/>
        <item m="1" x="779"/>
        <item m="1" x="37"/>
        <item m="1" x="439"/>
        <item m="1" x="725"/>
        <item m="1" x="509"/>
        <item m="1" x="82"/>
        <item m="1" x="190"/>
        <item m="1" x="656"/>
        <item m="1" x="296"/>
        <item m="1" x="320"/>
        <item m="1" x="695"/>
        <item m="1" x="327"/>
        <item m="1" x="245"/>
        <item m="1" x="343"/>
        <item m="1" x="387"/>
        <item m="1" x="768"/>
        <item x="13"/>
        <item m="1" x="485"/>
        <item m="1" x="518"/>
        <item m="1" x="208"/>
        <item m="1" x="677"/>
        <item m="1" x="52"/>
        <item m="1" x="128"/>
        <item m="1" x="62"/>
        <item m="1" x="233"/>
        <item m="1" x="606"/>
        <item m="1" x="153"/>
        <item m="1" x="249"/>
        <item m="1" x="667"/>
        <item m="1" x="557"/>
        <item m="1" x="603"/>
        <item m="1" x="653"/>
        <item m="1" x="702"/>
        <item m="1" x="752"/>
        <item m="1" x="199"/>
        <item m="1" x="50"/>
        <item m="1" x="627"/>
        <item m="1" x="73"/>
        <item m="1" x="301"/>
        <item m="1" x="323"/>
        <item m="1" x="362"/>
        <item m="1" x="177"/>
        <item m="1" x="374"/>
        <item m="1" x="743"/>
        <item m="1" x="762"/>
        <item m="1" x="206"/>
        <item m="1" x="719"/>
        <item m="1" x="406"/>
        <item x="21"/>
        <item m="1" x="44"/>
        <item m="1" x="618"/>
        <item m="1" x="260"/>
        <item m="1" x="246"/>
        <item m="1" x="294"/>
        <item m="1" x="480"/>
        <item m="1" x="119"/>
        <item m="1" x="594"/>
        <item m="1" x="358"/>
        <item m="1" x="533"/>
        <item m="1" x="171"/>
        <item m="1" x="545"/>
        <item m="1" x="386"/>
        <item m="1" x="255"/>
        <item m="1" x="447"/>
        <item m="1" x="461"/>
        <item m="1" x="648"/>
        <item m="1" x="85"/>
        <item m="1" x="288"/>
        <item m="1" x="310"/>
        <item m="1" x="696"/>
        <item m="1" x="143"/>
        <item m="1" x="711"/>
        <item m="1" x="524"/>
        <item m="1" x="372"/>
        <item m="1" x="515"/>
        <item m="1" x="575"/>
        <item m="1" x="672"/>
        <item m="1" x="248"/>
        <item x="4"/>
        <item m="1" x="58"/>
        <item m="1" x="95"/>
        <item m="1" x="714"/>
        <item m="1" x="170"/>
        <item m="1" x="736"/>
        <item m="1" x="185"/>
        <item m="1" x="556"/>
        <item m="1" x="531"/>
        <item m="1" x="776"/>
        <item m="1" x="554"/>
        <item m="1" x="636"/>
        <item m="1" x="71"/>
        <item m="1" x="437"/>
        <item m="1" x="472"/>
        <item m="1" x="516"/>
        <item m="1" x="350"/>
        <item m="1" x="541"/>
        <item m="1" x="175"/>
        <item m="1" x="584"/>
        <item x="14"/>
        <item m="1" x="784"/>
        <item m="1" x="595"/>
        <item m="1" x="43"/>
        <item m="1" x="275"/>
        <item m="1" x="230"/>
        <item m="1" x="281"/>
        <item m="1" x="654"/>
        <item m="1" x="305"/>
        <item m="1" x="675"/>
        <item m="1" x="379"/>
        <item m="1" x="197"/>
        <item m="1" x="340"/>
        <item m="1" x="384"/>
        <item x="20"/>
        <item m="1" x="581"/>
        <item m="1" x="791"/>
        <item m="1" x="227"/>
        <item m="1" x="625"/>
        <item m="1" x="277"/>
        <item m="1" x="663"/>
        <item m="1" x="300"/>
        <item m="1" x="483"/>
        <item m="1" x="686"/>
        <item m="1" x="155"/>
        <item m="1" x="361"/>
        <item m="1" x="549"/>
        <item m="1" x="187"/>
        <item m="1" x="760"/>
        <item m="1" x="573"/>
        <item m="1" x="29"/>
        <item m="1" x="771"/>
        <item m="1" x="57"/>
        <item m="1" x="404"/>
        <item m="1" x="668"/>
        <item m="1" x="105"/>
        <item m="1" x="116"/>
        <item m="1" x="497"/>
        <item m="1" x="325"/>
        <item m="1" x="354"/>
        <item m="1" x="629"/>
        <item m="1" x="184"/>
        <item m="1" x="159"/>
        <item m="1" x="775"/>
        <item m="1" x="219"/>
        <item m="1" x="610"/>
        <item m="1" x="662"/>
        <item m="1" x="47"/>
        <item m="1" x="100"/>
        <item x="22"/>
        <item m="1" x="586"/>
        <item m="1" x="685"/>
        <item m="1" x="349"/>
        <item m="1" x="720"/>
        <item m="1" x="539"/>
        <item m="1" x="125"/>
        <item m="1" x="742"/>
        <item m="1" x="139"/>
        <item m="1" x="782"/>
        <item m="1" x="259"/>
        <item m="1" x="640"/>
        <item m="1" x="115"/>
        <item m="1" x="134"/>
        <item m="1" x="465"/>
        <item m="1" x="652"/>
        <item m="1" x="522"/>
        <item m="1" x="726"/>
        <item m="1" x="747"/>
        <item m="1" x="565"/>
        <item m="1" x="765"/>
        <item m="1" x="773"/>
        <item m="1" x="220"/>
        <item m="1" x="790"/>
        <item m="1" x="34"/>
        <item m="1" x="63"/>
        <item m="1" x="69"/>
        <item m="1" x="459"/>
        <item m="1" x="645"/>
        <item m="1" x="239"/>
        <item m="1" x="709"/>
        <item m="1" x="348"/>
        <item m="1" x="186"/>
        <item m="1" x="214"/>
        <item m="1" x="41"/>
        <item m="1" x="56"/>
        <item m="1" x="455"/>
        <item m="1" x="280"/>
        <item m="1" x="468"/>
        <item m="1" x="429"/>
        <item m="1" x="478"/>
        <item m="1" x="147"/>
        <item m="1" x="488"/>
        <item m="1" x="724"/>
        <item m="1" x="242"/>
        <item m="1" x="158"/>
        <item m="1" x="446"/>
        <item m="1" x="734"/>
        <item m="1" x="129"/>
        <item m="1" x="252"/>
        <item m="1" x="473"/>
        <item m="1" x="684"/>
        <item m="1" x="506"/>
        <item m="1" x="332"/>
        <item m="1" x="205"/>
        <item m="1" x="164"/>
        <item m="1" x="538"/>
        <item m="1" x="571"/>
        <item m="1" x="213"/>
        <item x="17"/>
        <item m="1" x="694"/>
        <item m="1" x="420"/>
        <item m="1" x="631"/>
        <item m="1" x="274"/>
        <item m="1" x="454"/>
        <item m="1" x="133"/>
        <item x="7"/>
        <item m="1" x="487"/>
        <item m="1" x="169"/>
        <item m="1" x="194"/>
        <item m="1" x="396"/>
        <item m="1" x="579"/>
        <item m="1" x="723"/>
        <item m="1" x="417"/>
        <item m="1" x="241"/>
        <item m="1" x="634"/>
        <item m="1" x="458"/>
        <item m="1" x="598"/>
        <item m="1" x="660"/>
        <item m="1" x="299"/>
        <item m="1" x="110"/>
        <item m="1" x="322"/>
        <item m="1" x="505"/>
        <item m="1" x="285"/>
        <item m="1" x="97"/>
        <item m="1" x="154"/>
        <item m="1" x="494"/>
        <item m="1" x="537"/>
        <item m="1" x="122"/>
        <item m="1" x="758"/>
        <item m="1" x="203"/>
        <item m="1" x="583"/>
        <item m="1" x="467"/>
        <item m="1" x="666"/>
        <item m="1" x="103"/>
        <item m="1" x="602"/>
        <item m="1" x="651"/>
        <item m="1" x="131"/>
        <item m="1" x="181"/>
        <item m="1" x="192"/>
        <item m="1" x="577"/>
        <item m="1" x="70"/>
        <item m="1" x="127"/>
        <item m="1" x="601"/>
        <item m="1" x="504"/>
        <item m="1" x="140"/>
        <item m="1" x="346"/>
        <item m="1" x="481"/>
        <item m="1" x="718"/>
        <item m="1" x="107"/>
        <item m="1" x="163"/>
        <item m="1" x="729"/>
        <item m="1" x="547"/>
        <item m="1" x="229"/>
        <item m="1" x="430"/>
        <item m="1" x="64"/>
        <item m="1" x="271"/>
        <item m="1" x="94"/>
        <item m="1" x="513"/>
        <item m="1" x="700"/>
        <item m="1" x="528"/>
        <item m="1" x="312"/>
        <item m="1" x="364"/>
        <item m="1" x="130"/>
        <item m="1" x="226"/>
        <item m="1" x="376"/>
        <item m="1" x="416"/>
        <item m="1" x="600"/>
        <item m="1" x="240"/>
        <item m="1" x="250"/>
        <item m="1" x="308"/>
        <item x="10"/>
        <item m="1" x="123"/>
        <item m="1" x="345"/>
        <item m="1" x="717"/>
        <item m="1" x="120"/>
        <item m="1" x="740"/>
        <item m="1" x="559"/>
        <item m="1" x="212"/>
        <item m="1" x="402"/>
        <item m="1" x="415"/>
        <item m="1" x="630"/>
        <item m="1" x="737"/>
        <item m="1" x="53"/>
        <item m="1" x="777"/>
        <item m="1" x="527"/>
        <item m="1" x="552"/>
        <item m="1" x="83"/>
        <item m="1" x="563"/>
        <item m="1" x="394"/>
        <item m="1" x="788"/>
        <item m="1" x="225"/>
        <item m="1" x="599"/>
        <item m="1" x="746"/>
        <item m="1" x="623"/>
        <item m="1" x="503"/>
        <item m="1" x="716"/>
        <item m="1" x="536"/>
        <item m="1" x="370"/>
        <item m="1" x="117"/>
        <item m="1" x="25"/>
        <item m="1" x="228"/>
        <item m="1" x="753"/>
        <item m="1" x="200"/>
        <item m="1" x="426"/>
        <item m="1" x="257"/>
        <item m="1" x="24"/>
        <item m="1" x="76"/>
        <item m="1" x="530"/>
        <item m="1" x="314"/>
        <item m="1" x="650"/>
        <item m="1" x="699"/>
        <item m="1" x="713"/>
        <item m="1" x="542"/>
        <item m="1" x="732"/>
        <item m="1" x="166"/>
        <item m="1" x="218"/>
        <item m="1" x="443"/>
        <item m="1" x="658"/>
        <item m="1" x="574"/>
        <item m="1" x="671"/>
        <item x="8"/>
        <item m="1" x="681"/>
        <item m="1" x="502"/>
        <item m="1" x="329"/>
        <item m="1" x="756"/>
        <item m="1" x="715"/>
        <item m="1" x="413"/>
        <item m="1" x="449"/>
        <item m="1" x="75"/>
        <item m="1" x="463"/>
        <item m="1" x="304"/>
        <item m="1" x="486"/>
        <item m="1" x="113"/>
        <item m="1" x="689"/>
        <item m="1" x="510"/>
        <item m="1" x="336"/>
        <item m="1" x="179"/>
        <item m="1" x="508"/>
        <item m="1" x="156"/>
        <item m="1" x="209"/>
        <item m="1" x="32"/>
        <item m="1" x="621"/>
        <item m="1" x="60"/>
        <item m="1" x="442"/>
        <item m="1" x="68"/>
        <item m="1" x="284"/>
        <item m="1" x="344"/>
        <item m="1" x="360"/>
        <item m="1" x="388"/>
        <item m="1" x="489"/>
        <item m="1" x="54"/>
        <item m="1" x="448"/>
        <item m="1" x="748"/>
        <item m="1" x="303"/>
        <item m="1" x="698"/>
        <item m="1" x="525"/>
        <item m="1" x="311"/>
        <item m="1" x="351"/>
        <item m="1" x="216"/>
        <item m="1" x="176"/>
        <item m="1" x="261"/>
        <item m="1" x="121"/>
        <item m="1" x="641"/>
        <item m="1" x="705"/>
        <item m="1" x="150"/>
        <item m="1" x="173"/>
        <item m="1" x="369"/>
        <item m="1" x="755"/>
        <item x="5"/>
        <item m="1" x="591"/>
        <item m="1" x="701"/>
        <item m="1" x="36"/>
        <item m="1" x="90"/>
        <item m="1" x="49"/>
        <item m="1" x="712"/>
        <item m="1" x="189"/>
        <item m="1" x="561"/>
        <item m="1" x="393"/>
        <item m="1" x="407"/>
        <item m="1" x="424"/>
        <item m="1" x="59"/>
        <item x="11"/>
        <item m="1" x="96"/>
        <item m="1" x="282"/>
        <item m="1" x="359"/>
        <item m="1" x="546"/>
        <item m="1" x="754"/>
        <item m="1" x="767"/>
        <item m="1" x="400"/>
        <item m="1" x="590"/>
        <item m="1" x="244"/>
        <item m="1" x="614"/>
        <item x="23"/>
        <item m="1" x="613"/>
        <item m="1" x="101"/>
        <item m="1" x="157"/>
        <item m="1" x="731"/>
        <item m="1" x="188"/>
        <item m="1" x="786"/>
        <item x="1"/>
        <item m="1" x="31"/>
        <item m="1" x="234"/>
        <item m="1" x="619"/>
        <item m="1" x="81"/>
        <item m="1" x="431"/>
        <item m="1" x="342"/>
        <item m="1" x="523"/>
        <item m="1" x="161"/>
        <item m="1" x="738"/>
        <item m="1" x="399"/>
        <item m="1" x="353"/>
        <item m="1" x="146"/>
        <item m="1" x="168"/>
        <item m="1" x="649"/>
        <item m="1" x="87"/>
        <item m="1" x="193"/>
        <item m="1" x="637"/>
        <item m="1" x="665"/>
        <item m="1" x="302"/>
        <item m="1" x="377"/>
        <item m="1" x="578"/>
        <item m="1" x="588"/>
        <item m="1" x="324"/>
        <item m="1" x="697"/>
        <item m="1" x="425"/>
        <item m="1" x="517"/>
        <item m="1" x="611"/>
        <item m="1" x="789"/>
        <item m="1" x="251"/>
        <item m="1" x="436"/>
        <item m="1" x="444"/>
        <item x="19"/>
        <item x="2"/>
        <item m="1" x="375"/>
        <item m="1" x="624"/>
        <item m="1" x="744"/>
        <item m="1" x="471"/>
        <item m="1" x="321"/>
        <item m="1" x="597"/>
        <item m="1" x="141"/>
        <item m="1" x="331"/>
        <item m="1" x="347"/>
        <item m="1" x="757"/>
        <item m="1" x="295"/>
        <item m="1" x="381"/>
        <item m="1" x="403"/>
        <item m="1" x="493"/>
        <item m="1" x="780"/>
        <item m="1" x="222"/>
        <item m="1" x="501"/>
        <item m="1" x="693"/>
        <item m="1" x="704"/>
        <item m="1" x="160"/>
        <item m="1" x="258"/>
        <item m="1" x="65"/>
        <item m="1" x="172"/>
        <item m="1" x="272"/>
        <item m="1" x="427"/>
        <item m="1" x="466"/>
        <item m="1" x="366"/>
        <item m="1" x="385"/>
        <item m="1" x="411"/>
        <item m="1" x="520"/>
        <item m="1" x="589"/>
        <item m="1" x="365"/>
        <item m="1" x="278"/>
        <item m="1" x="462"/>
        <item m="1" x="86"/>
        <item m="1" x="474"/>
        <item m="1" x="763"/>
        <item m="1" x="409"/>
        <item x="9"/>
        <item m="1" x="434"/>
        <item m="1" x="730"/>
        <item m="1" x="298"/>
        <item m="1" x="391"/>
        <item m="1" x="124"/>
        <item m="1" x="604"/>
        <item m="1" x="151"/>
        <item m="1" x="432"/>
        <item m="1" x="162"/>
        <item m="1" x="678"/>
        <item m="1" x="706"/>
        <item m="1" x="728"/>
        <item m="1" x="759"/>
        <item m="1" x="781"/>
        <item m="1" x="42"/>
        <item m="1" x="66"/>
        <item m="1" x="174"/>
        <item m="1" x="741"/>
        <item m="1" x="535"/>
        <item m="1" x="669"/>
        <item m="1" x="770"/>
        <item m="1" x="676"/>
        <item m="1" x="118"/>
        <item m="1" x="221"/>
        <item m="1" x="319"/>
        <item m="1" x="499"/>
        <item m="1" x="77"/>
        <item m="1" x="355"/>
        <item m="1" x="450"/>
        <item m="1" x="477"/>
        <item m="1" x="398"/>
        <item m="1" x="315"/>
        <item m="1" x="410"/>
        <item m="1" x="496"/>
        <item m="1" x="691"/>
        <item m="1" x="363"/>
        <item m="1" x="84"/>
        <item m="1" x="33"/>
        <item m="1" x="111"/>
        <item m="1" x="142"/>
        <item m="1" x="238"/>
        <item m="1" x="710"/>
        <item m="1" x="433"/>
        <item m="1" x="507"/>
        <item x="6"/>
        <item m="1" x="61"/>
        <item m="1" x="540"/>
        <item x="16"/>
        <item m="1" x="109"/>
        <item m="1" x="785"/>
        <item m="1" x="231"/>
        <item m="1" x="422"/>
        <item m="1" x="441"/>
        <item m="1" x="469"/>
        <item m="1" x="655"/>
        <item m="1" x="492"/>
        <item m="1" x="318"/>
        <item m="1" x="703"/>
        <item m="1" x="428"/>
        <item m="1" x="92"/>
        <item m="1" x="198"/>
        <item m="1" x="567"/>
        <item m="1" x="74"/>
        <item m="1" x="673"/>
        <item m="1" x="774"/>
        <item m="1" x="35"/>
        <item m="1" x="145"/>
        <item m="1" x="337"/>
        <item m="1" x="733"/>
        <item m="1" x="180"/>
        <item m="1" x="460"/>
        <item m="1" x="551"/>
        <item m="1" x="664"/>
        <item m="1" x="576"/>
        <item m="1" x="408"/>
        <item m="1" x="587"/>
        <item m="1" x="687"/>
        <item m="1" x="98"/>
        <item m="1" x="126"/>
        <item m="1" x="224"/>
        <item m="1" x="217"/>
        <item m="1" x="236"/>
        <item m="1" x="46"/>
        <item m="1" x="333"/>
        <item m="1" x="371"/>
        <item m="1" x="456"/>
        <item m="1" x="276"/>
        <item m="1" x="297"/>
        <item m="1" x="657"/>
        <item m="1" x="30"/>
        <item m="1" x="707"/>
        <item m="1" x="632"/>
        <item m="1" x="558"/>
        <item m="1" x="674"/>
        <item m="1" x="414"/>
        <item m="1" x="498"/>
        <item m="1" x="593"/>
        <item m="1" x="136"/>
        <item m="1" x="544"/>
        <item m="1" x="592"/>
        <item m="1" x="615"/>
        <item m="1" x="269"/>
        <item m="1" x="367"/>
        <item m="1" x="749"/>
        <item m="1" x="91"/>
        <item m="1" x="196"/>
        <item m="1" x="268"/>
        <item m="1" x="289"/>
        <item m="1" x="566"/>
        <item m="1" x="735"/>
        <item m="1" x="397"/>
        <item t="default"/>
      </items>
    </pivotField>
    <pivotField showAll="0">
      <items count="669">
        <item m="1" x="199"/>
        <item m="1" x="145"/>
        <item m="1" x="316"/>
        <item m="1" x="59"/>
        <item m="1" x="397"/>
        <item m="1" x="623"/>
        <item m="1" x="124"/>
        <item m="1" x="651"/>
        <item m="1" x="317"/>
        <item m="1" x="121"/>
        <item m="1" x="94"/>
        <item m="1" x="264"/>
        <item m="1" x="294"/>
        <item m="1" x="381"/>
        <item m="1" x="528"/>
        <item m="1" x="31"/>
        <item m="1" x="227"/>
        <item m="1" x="585"/>
        <item m="1" x="148"/>
        <item m="1" x="476"/>
        <item m="1" x="592"/>
        <item m="1" x="130"/>
        <item m="1" x="284"/>
        <item m="1" x="271"/>
        <item m="1" x="68"/>
        <item m="1" x="114"/>
        <item m="1" x="213"/>
        <item m="1" x="282"/>
        <item m="1" x="493"/>
        <item m="1" x="56"/>
        <item m="1" x="319"/>
        <item m="1" x="560"/>
        <item m="1" x="208"/>
        <item m="1" x="325"/>
        <item m="1" x="407"/>
        <item m="1" x="425"/>
        <item m="1" x="490"/>
        <item m="1" x="649"/>
        <item m="1" x="99"/>
        <item m="1" x="299"/>
        <item m="1" x="442"/>
        <item m="1" x="639"/>
        <item m="1" x="218"/>
        <item m="1" x="547"/>
        <item m="1" x="163"/>
        <item m="1" x="184"/>
        <item x="6"/>
        <item m="1" x="348"/>
        <item m="1" x="604"/>
        <item m="1" x="638"/>
        <item m="1" x="63"/>
        <item m="1" x="206"/>
        <item m="1" x="241"/>
        <item m="1" x="373"/>
        <item m="1" x="505"/>
        <item m="1" x="559"/>
        <item m="1" x="429"/>
        <item m="1" x="454"/>
        <item m="1" x="486"/>
        <item m="1" x="518"/>
        <item m="1" x="529"/>
        <item m="1" x="558"/>
        <item m="1" x="601"/>
        <item m="1" x="616"/>
        <item m="1" x="73"/>
        <item m="1" x="84"/>
        <item m="1" x="170"/>
        <item m="1" x="310"/>
        <item m="1" x="355"/>
        <item m="1" x="60"/>
        <item m="1" x="105"/>
        <item m="1" x="204"/>
        <item m="1" x="216"/>
        <item m="1" x="544"/>
        <item m="1" x="624"/>
        <item m="1" x="71"/>
        <item m="1" x="161"/>
        <item m="1" x="203"/>
        <item x="13"/>
        <item m="1" x="477"/>
        <item m="1" x="215"/>
        <item m="1" x="292"/>
        <item m="1" x="159"/>
        <item m="1" x="499"/>
        <item m="1" x="543"/>
        <item m="1" x="553"/>
        <item m="1" x="247"/>
        <item m="1" x="574"/>
        <item m="1" x="614"/>
        <item m="1" x="361"/>
        <item x="1"/>
        <item m="1" x="27"/>
        <item m="1" x="47"/>
        <item m="1" x="402"/>
        <item m="1" x="237"/>
        <item m="1" x="39"/>
        <item m="1" x="451"/>
        <item m="1" x="536"/>
        <item m="1" x="245"/>
        <item x="22"/>
        <item m="1" x="307"/>
        <item m="1" x="342"/>
        <item m="1" x="393"/>
        <item m="1" x="418"/>
        <item m="1" x="91"/>
        <item m="1" x="511"/>
        <item m="1" x="514"/>
        <item m="1" x="562"/>
        <item m="1" x="573"/>
        <item m="1" x="572"/>
        <item x="4"/>
        <item m="1" x="611"/>
        <item m="1" x="322"/>
        <item m="1" x="368"/>
        <item m="1" x="57"/>
        <item m="1" x="410"/>
        <item m="1" x="128"/>
        <item m="1" x="582"/>
        <item m="1" x="646"/>
        <item m="1" x="367"/>
        <item m="1" x="66"/>
        <item m="1" x="101"/>
        <item m="1" x="113"/>
        <item m="1" x="447"/>
        <item m="1" x="494"/>
        <item m="1" x="177"/>
        <item m="1" x="212"/>
        <item m="1" x="633"/>
        <item m="1" x="339"/>
        <item m="1" x="523"/>
        <item m="1" x="211"/>
        <item m="1" x="539"/>
        <item m="1" x="550"/>
        <item m="1" x="609"/>
        <item m="1" x="320"/>
        <item m="1" x="630"/>
        <item m="1" x="643"/>
        <item m="1" x="376"/>
        <item m="1" x="136"/>
        <item m="1" x="196"/>
        <item m="1" x="580"/>
        <item m="1" x="598"/>
        <item m="1" x="286"/>
        <item m="1" x="303"/>
        <item m="1" x="318"/>
        <item m="1" x="358"/>
        <item m="1" x="25"/>
        <item m="1" x="388"/>
        <item m="1" x="408"/>
        <item m="1" x="110"/>
        <item m="1" x="123"/>
        <item m="1" x="459"/>
        <item m="1" x="223"/>
        <item m="1" x="549"/>
        <item m="1" x="279"/>
        <item m="1" x="608"/>
        <item m="1" x="302"/>
        <item x="14"/>
        <item m="1" x="444"/>
        <item m="1" x="466"/>
        <item m="1" x="301"/>
        <item m="1" x="629"/>
        <item x="21"/>
        <item m="1" x="87"/>
        <item m="1" x="154"/>
        <item m="1" x="234"/>
        <item m="1" x="256"/>
        <item m="1" x="579"/>
        <item m="1" x="619"/>
        <item m="1" x="351"/>
        <item m="1" x="126"/>
        <item m="1" x="176"/>
        <item m="1" x="243"/>
        <item m="1" x="607"/>
        <item m="1" x="139"/>
        <item m="1" x="337"/>
        <item m="1" x="641"/>
        <item m="1" x="356"/>
        <item m="1" x="516"/>
        <item m="1" x="202"/>
        <item m="1" x="465"/>
        <item m="1" x="481"/>
        <item m="1" x="489"/>
        <item m="1" x="509"/>
        <item m="1" x="194"/>
        <item m="1" x="548"/>
        <item m="1" x="83"/>
        <item m="1" x="255"/>
        <item m="1" x="422"/>
        <item m="1" x="588"/>
        <item m="1" x="438"/>
        <item x="12"/>
        <item m="1" x="300"/>
        <item m="1" x="472"/>
        <item m="1" x="160"/>
        <item m="1" x="500"/>
        <item m="1" x="35"/>
        <item m="1" x="386"/>
        <item m="1" x="54"/>
        <item m="1" x="226"/>
        <item m="1" x="554"/>
        <item m="1" x="248"/>
        <item m="1" x="97"/>
        <item m="1" x="273"/>
        <item m="1" x="432"/>
        <item m="1" x="122"/>
        <item m="1" x="622"/>
        <item m="1" x="152"/>
        <item m="1" x="344"/>
        <item m="1" x="521"/>
        <item m="1" x="50"/>
        <item m="1" x="396"/>
        <item m="1" x="82"/>
        <item m="1" x="421"/>
        <item m="1" x="578"/>
        <item m="1" x="267"/>
        <item m="1" x="596"/>
        <item m="1" x="115"/>
        <item m="1" x="606"/>
        <item m="1" x="470"/>
        <item m="1" x="138"/>
        <item m="1" x="475"/>
        <item x="23"/>
        <item m="1" x="201"/>
        <item m="1" x="225"/>
        <item m="1" x="246"/>
        <item m="1" x="413"/>
        <item m="1" x="424"/>
        <item m="1" x="431"/>
        <item m="1" x="109"/>
        <item m="1" x="323"/>
        <item m="1" x="329"/>
        <item m="1" x="165"/>
        <item m="1" x="507"/>
        <item m="1" x="653"/>
        <item m="1" x="193"/>
        <item m="1" x="41"/>
        <item m="1" x="48"/>
        <item m="1" x="219"/>
        <item m="1" x="242"/>
        <item m="1" x="570"/>
        <item m="1" x="266"/>
        <item m="1" x="132"/>
        <item m="1" x="350"/>
        <item m="1" x="189"/>
        <item m="1" x="384"/>
        <item m="1" x="542"/>
        <item x="15"/>
        <item m="1" x="238"/>
        <item m="1" x="260"/>
        <item m="1" x="96"/>
        <item m="1" x="591"/>
        <item m="1" x="290"/>
        <item m="1" x="480"/>
        <item m="1" x="370"/>
        <item m="1" x="531"/>
        <item m="1" x="58"/>
        <item m="1" x="233"/>
        <item m="1" x="569"/>
        <item m="1" x="92"/>
        <item m="1" x="265"/>
        <item m="1" x="453"/>
        <item m="1" x="298"/>
        <item m="1" x="461"/>
        <item m="1" x="349"/>
        <item m="1" x="169"/>
        <item m="1" x="180"/>
        <item m="1" x="364"/>
        <item m="1" x="526"/>
        <item m="1" x="541"/>
        <item m="1" x="53"/>
        <item m="1" x="405"/>
        <item m="1" x="75"/>
        <item m="1" x="86"/>
        <item m="1" x="583"/>
        <item m="1" x="441"/>
        <item m="1" x="289"/>
        <item m="1" x="135"/>
        <item m="1" x="343"/>
        <item m="1" x="174"/>
        <item m="1" x="378"/>
        <item m="1" x="530"/>
        <item m="1" x="40"/>
        <item m="1" x="546"/>
        <item m="1" x="420"/>
        <item m="1" x="587"/>
        <item m="1" x="452"/>
        <item m="1" x="605"/>
        <item m="1" x="129"/>
        <item m="1" x="658"/>
        <item m="1" x="33"/>
        <item x="7"/>
        <item m="1" x="214"/>
        <item m="1" x="540"/>
        <item m="1" x="404"/>
        <item m="1" x="563"/>
        <item m="1" x="74"/>
        <item m="1" x="272"/>
        <item m="1" x="599"/>
        <item m="1" x="513"/>
        <item m="1" x="665"/>
        <item m="1" x="377"/>
        <item x="11"/>
        <item m="1" x="46"/>
        <item m="1" x="232"/>
        <item m="1" x="419"/>
        <item m="1" x="437"/>
        <item m="1" x="450"/>
        <item m="1" x="618"/>
        <item m="1" x="313"/>
        <item m="1" x="626"/>
        <item m="1" x="474"/>
        <item m="1" x="496"/>
        <item m="1" x="657"/>
        <item m="1" x="179"/>
        <item m="1" x="363"/>
        <item m="1" x="85"/>
        <item m="1" x="95"/>
        <item m="1" x="125"/>
        <item m="1" x="328"/>
        <item m="1" x="151"/>
        <item m="1" x="341"/>
        <item m="1" x="506"/>
        <item m="1" x="664"/>
        <item m="1" x="519"/>
        <item m="1" x="392"/>
        <item m="1" x="231"/>
        <item m="1" x="254"/>
        <item m="1" x="417"/>
        <item m="1" x="90"/>
        <item m="1" x="427"/>
        <item m="1" x="102"/>
        <item m="1" x="285"/>
        <item m="1" x="312"/>
        <item m="1" x="157"/>
        <item m="1" x="178"/>
        <item m="1" x="552"/>
        <item m="1" x="236"/>
        <item m="1" x="259"/>
        <item m="1" x="270"/>
        <item m="1" x="288"/>
        <item x="19"/>
        <item m="1" x="134"/>
        <item m="1" x="634"/>
        <item m="1" x="150"/>
        <item m="1" x="173"/>
        <item m="1" x="369"/>
        <item m="1" x="230"/>
        <item m="1" x="568"/>
        <item m="1" x="577"/>
        <item x="9"/>
        <item m="1" x="449"/>
        <item m="1" x="311"/>
        <item m="1" x="469"/>
        <item m="1" x="625"/>
        <item m="1" x="156"/>
        <item m="1" x="495"/>
        <item m="1" x="168"/>
        <item m="1" x="258"/>
        <item m="1" x="430"/>
        <item m="1" x="283"/>
        <item m="1" x="120"/>
        <item m="1" x="455"/>
        <item m="1" x="610"/>
        <item m="1" x="503"/>
        <item m="1" x="652"/>
        <item m="1" x="172"/>
        <item m="1" x="183"/>
        <item m="1" x="26"/>
        <item m="1" x="192"/>
        <item m="1" x="401"/>
        <item m="1" x="67"/>
        <item m="1" x="239"/>
        <item m="1" x="80"/>
        <item m="1" x="436"/>
        <item m="1" x="595"/>
        <item m="1" x="448"/>
        <item m="1" x="602"/>
        <item m="1" x="460"/>
        <item m="1" x="468"/>
        <item m="1" x="667"/>
        <item m="1" x="525"/>
        <item m="1" x="198"/>
        <item m="1" x="551"/>
        <item m="1" x="423"/>
        <item m="1" x="107"/>
        <item m="1" x="621"/>
        <item m="1" x="340"/>
        <item m="1" x="537"/>
        <item m="1" x="545"/>
        <item m="1" x="228"/>
        <item m="1" x="79"/>
        <item m="1" x="253"/>
        <item m="1" x="575"/>
        <item m="1" x="593"/>
        <item x="3"/>
        <item m="1" x="524"/>
        <item m="1" x="43"/>
        <item m="1" x="399"/>
        <item m="1" x="61"/>
        <item m="1" x="581"/>
        <item m="1" x="464"/>
        <item m="1" x="321"/>
        <item m="1" x="484"/>
        <item m="1" x="644"/>
        <item m="1" x="390"/>
        <item m="1" x="45"/>
        <item m="1" x="217"/>
        <item m="1" x="557"/>
        <item m="1" x="567"/>
        <item m="1" x="252"/>
        <item m="1" x="88"/>
        <item m="1" x="100"/>
        <item m="1" x="275"/>
        <item m="1" x="434"/>
        <item m="1" x="111"/>
        <item m="1" x="467"/>
        <item m="1" x="636"/>
        <item m="1" x="346"/>
        <item m="1" x="510"/>
        <item m="1" x="187"/>
        <item m="1" x="32"/>
        <item m="1" x="380"/>
        <item m="1" x="209"/>
        <item m="1" x="561"/>
        <item m="1" x="93"/>
        <item m="1" x="269"/>
        <item m="1" x="280"/>
        <item m="1" x="440"/>
        <item m="1" x="118"/>
        <item m="1" x="304"/>
        <item m="1" x="463"/>
        <item m="1" x="642"/>
        <item m="1" x="512"/>
        <item m="1" x="661"/>
        <item m="1" x="181"/>
        <item m="1" x="527"/>
        <item m="1" x="37"/>
        <item m="1" x="262"/>
        <item m="1" x="586"/>
        <item m="1" x="445"/>
        <item m="1" x="333"/>
        <item m="1" x="155"/>
        <item m="1" x="167"/>
        <item m="1" x="354"/>
        <item m="1" x="538"/>
        <item m="1" x="51"/>
        <item m="1" x="439"/>
        <item m="1" x="133"/>
        <item m="1" x="140"/>
        <item m="1" x="326"/>
        <item m="1" x="149"/>
        <item m="1" x="357"/>
        <item m="1" x="191"/>
        <item m="1" x="205"/>
        <item m="1" x="555"/>
        <item m="1" x="251"/>
        <item m="1" x="415"/>
        <item m="1" x="261"/>
        <item m="1" x="433"/>
        <item m="1" x="458"/>
        <item m="1" x="127"/>
        <item m="1" x="632"/>
        <item m="1" x="332"/>
        <item m="1" x="647"/>
        <item m="1" x="522"/>
        <item m="1" x="30"/>
        <item m="1" x="195"/>
        <item m="1" x="379"/>
        <item m="1" x="222"/>
        <item m="1" x="411"/>
        <item m="1" x="104"/>
        <item m="1" x="478"/>
        <item m="1" x="366"/>
        <item m="1" x="517"/>
        <item m="1" x="387"/>
        <item m="1" x="250"/>
        <item m="1" x="443"/>
        <item m="1" x="600"/>
        <item m="1" x="309"/>
        <item m="1" x="331"/>
        <item m="1" x="482"/>
        <item m="1" x="492"/>
        <item m="1" x="186"/>
        <item m="1" x="221"/>
        <item m="1" x="257"/>
        <item m="1" x="117"/>
        <item m="1" x="162"/>
        <item m="1" x="365"/>
        <item m="1" x="374"/>
        <item m="1" x="65"/>
        <item m="1" x="153"/>
        <item m="1" x="491"/>
        <item m="1" x="666"/>
        <item m="1" x="185"/>
        <item m="1" x="42"/>
        <item m="1" x="207"/>
        <item m="1" x="220"/>
        <item m="1" x="70"/>
        <item m="1" x="268"/>
        <item m="1" x="628"/>
        <item m="1" x="650"/>
        <item m="1" x="190"/>
        <item m="1" x="36"/>
        <item m="1" x="297"/>
        <item m="1" x="64"/>
        <item m="1" x="334"/>
        <item m="1" x="565"/>
        <item m="1" x="77"/>
        <item m="1" x="648"/>
        <item m="1" x="274"/>
        <item m="1" x="457"/>
        <item m="1" x="44"/>
        <item m="1" x="473"/>
        <item m="1" x="244"/>
        <item m="1" x="345"/>
        <item m="1" x="412"/>
        <item m="1" x="166"/>
        <item m="1" x="655"/>
        <item m="1" x="108"/>
        <item m="1" x="29"/>
        <item m="1" x="306"/>
        <item m="1" x="142"/>
        <item m="1" x="69"/>
        <item m="1" x="487"/>
        <item m="1" x="352"/>
        <item m="1" x="504"/>
        <item m="1" x="360"/>
        <item m="1" x="663"/>
        <item m="1" x="103"/>
        <item m="1" x="38"/>
        <item m="1" x="229"/>
        <item m="1" x="240"/>
        <item m="1" x="409"/>
        <item m="1" x="640"/>
        <item m="1" x="576"/>
        <item m="1" x="89"/>
        <item m="1" x="263"/>
        <item m="1" x="660"/>
        <item m="1" x="277"/>
        <item m="1" x="515"/>
        <item m="1" x="24"/>
        <item m="1" x="603"/>
        <item m="1" x="296"/>
        <item x="10"/>
        <item x="8"/>
        <item m="1" x="406"/>
        <item m="1" x="76"/>
        <item m="1" x="249"/>
        <item m="1" x="347"/>
        <item m="1" x="414"/>
        <item m="1" x="98"/>
        <item m="1" x="291"/>
        <item m="1" x="383"/>
        <item m="1" x="52"/>
        <item m="1" x="400"/>
        <item m="1" x="62"/>
        <item m="1" x="144"/>
        <item m="1" x="330"/>
        <item m="1" x="508"/>
        <item m="1" x="654"/>
        <item m="1" x="590"/>
        <item m="1" x="28"/>
        <item m="1" x="534"/>
        <item m="1" x="141"/>
        <item m="1" x="327"/>
        <item m="1" x="479"/>
        <item x="5"/>
        <item m="1" x="502"/>
        <item m="1" x="171"/>
        <item m="1" x="182"/>
        <item x="18"/>
        <item m="1" x="597"/>
        <item m="1" x="116"/>
        <item m="1" x="462"/>
        <item m="1" x="471"/>
        <item m="1" x="627"/>
        <item m="1" x="336"/>
        <item m="1" x="416"/>
        <item m="1" x="498"/>
        <item m="1" x="435"/>
        <item m="1" x="594"/>
        <item m="1" x="446"/>
        <item m="1" x="295"/>
        <item m="1" x="617"/>
        <item x="2"/>
        <item x="20"/>
        <item x="16"/>
        <item m="1" x="324"/>
        <item m="1" x="483"/>
        <item m="1" x="564"/>
        <item m="1" x="637"/>
        <item m="1" x="656"/>
        <item m="1" x="188"/>
        <item m="1" x="372"/>
        <item m="1" x="197"/>
        <item m="1" x="382"/>
        <item m="1" x="613"/>
        <item m="1" x="143"/>
        <item m="1" x="235"/>
        <item m="1" x="403"/>
        <item m="1" x="488"/>
        <item m="1" x="353"/>
        <item m="1" x="175"/>
        <item m="1" x="589"/>
        <item m="1" x="106"/>
        <item m="1" x="520"/>
        <item m="1" x="119"/>
        <item m="1" x="287"/>
        <item m="1" x="533"/>
        <item m="1" x="394"/>
        <item m="1" x="49"/>
        <item m="1" x="485"/>
        <item m="1" x="645"/>
        <item m="1" x="501"/>
        <item m="1" x="359"/>
        <item m="1" x="428"/>
        <item m="1" x="662"/>
        <item m="1" x="278"/>
        <item m="1" x="391"/>
        <item m="1" x="315"/>
        <item m="1" x="335"/>
        <item m="1" x="78"/>
        <item m="1" x="659"/>
        <item m="1" x="276"/>
        <item m="1" x="112"/>
        <item m="1" x="34"/>
        <item m="1" x="200"/>
        <item m="1" x="293"/>
        <item m="1" x="385"/>
        <item m="1" x="615"/>
        <item m="1" x="137"/>
        <item m="1" x="146"/>
        <item m="1" x="584"/>
        <item m="1" x="362"/>
        <item m="1" x="371"/>
        <item m="1" x="456"/>
        <item m="1" x="535"/>
        <item m="1" x="612"/>
        <item m="1" x="210"/>
        <item m="1" x="308"/>
        <item m="1" x="224"/>
        <item m="1" x="398"/>
        <item m="1" x="631"/>
        <item m="1" x="635"/>
        <item m="1" x="72"/>
        <item m="1" x="571"/>
        <item m="1" x="164"/>
        <item m="1" x="281"/>
        <item m="1" x="532"/>
        <item m="1" x="305"/>
        <item m="1" x="620"/>
        <item x="0"/>
        <item m="1" x="395"/>
        <item m="1" x="338"/>
        <item m="1" x="81"/>
        <item m="1" x="375"/>
        <item m="1" x="389"/>
        <item m="1" x="131"/>
        <item m="1" x="314"/>
        <item m="1" x="55"/>
        <item m="1" x="556"/>
        <item m="1" x="147"/>
        <item m="1" x="566"/>
        <item m="1" x="158"/>
        <item m="1" x="497"/>
        <item x="17"/>
        <item m="1" x="426"/>
        <item t="default"/>
      </items>
    </pivotField>
    <pivotField showAll="0">
      <items count="89">
        <item x="0"/>
        <item m="1" x="51"/>
        <item m="1" x="23"/>
        <item m="1" x="53"/>
        <item m="1" x="83"/>
        <item m="1" x="11"/>
        <item m="1" x="25"/>
        <item m="1" x="37"/>
        <item m="1" x="55"/>
        <item m="1" x="64"/>
        <item m="1" x="71"/>
        <item m="1" x="76"/>
        <item m="1" x="85"/>
        <item m="1" x="4"/>
        <item m="1" x="12"/>
        <item m="1" x="19"/>
        <item m="1" x="26"/>
        <item m="1" x="28"/>
        <item m="1" x="30"/>
        <item m="1" x="34"/>
        <item m="1" x="39"/>
        <item m="1" x="43"/>
        <item m="1" x="47"/>
        <item m="1" x="52"/>
        <item m="1" x="58"/>
        <item m="1" x="62"/>
        <item m="1" x="67"/>
        <item m="1" x="69"/>
        <item m="1" x="73"/>
        <item m="1" x="74"/>
        <item m="1" x="78"/>
        <item m="1" x="81"/>
        <item m="1" x="86"/>
        <item m="1" x="42"/>
        <item m="1" x="2"/>
        <item m="1" x="45"/>
        <item m="1" x="6"/>
        <item m="1" x="49"/>
        <item m="1" x="9"/>
        <item m="1" x="56"/>
        <item m="1" x="14"/>
        <item m="1" x="60"/>
        <item m="1" x="17"/>
        <item m="1" x="65"/>
        <item m="1" x="21"/>
        <item m="1" x="68"/>
        <item m="1" x="24"/>
        <item m="1" x="72"/>
        <item m="1" x="77"/>
        <item m="1" x="32"/>
        <item m="1" x="80"/>
        <item m="1" x="36"/>
        <item m="1" x="41"/>
        <item m="1" x="1"/>
        <item m="1" x="44"/>
        <item m="1" x="5"/>
        <item m="1" x="48"/>
        <item m="1" x="8"/>
        <item m="1" x="54"/>
        <item m="1" x="13"/>
        <item m="1" x="59"/>
        <item m="1" x="33"/>
        <item m="1" x="16"/>
        <item m="1" x="82"/>
        <item m="1" x="63"/>
        <item m="1" x="38"/>
        <item m="1" x="20"/>
        <item m="1" x="87"/>
        <item m="1" x="3"/>
        <item m="1" x="70"/>
        <item m="1" x="46"/>
        <item m="1" x="27"/>
        <item m="1" x="7"/>
        <item m="1" x="50"/>
        <item m="1" x="29"/>
        <item m="1" x="10"/>
        <item m="1" x="75"/>
        <item m="1" x="57"/>
        <item m="1" x="31"/>
        <item m="1" x="15"/>
        <item m="1" x="79"/>
        <item m="1" x="61"/>
        <item m="1" x="35"/>
        <item m="1" x="18"/>
        <item m="1" x="84"/>
        <item m="1" x="66"/>
        <item m="1" x="40"/>
        <item m="1" x="22"/>
        <item t="default"/>
      </items>
    </pivotField>
    <pivotField showAll="0">
      <items count="40">
        <item m="1" x="1"/>
        <item m="1" x="18"/>
        <item m="1" x="21"/>
        <item m="1" x="33"/>
        <item m="1" x="15"/>
        <item m="1" x="31"/>
        <item m="1" x="2"/>
        <item m="1" x="12"/>
        <item m="1" x="20"/>
        <item m="1" x="28"/>
        <item m="1" x="26"/>
        <item m="1" x="22"/>
        <item m="1" x="27"/>
        <item m="1" x="23"/>
        <item m="1" x="34"/>
        <item m="1" x="30"/>
        <item m="1" x="7"/>
        <item m="1" x="24"/>
        <item m="1" x="4"/>
        <item m="1" x="13"/>
        <item m="1" x="5"/>
        <item m="1" x="25"/>
        <item m="1" x="8"/>
        <item m="1" x="35"/>
        <item m="1" x="37"/>
        <item m="1" x="11"/>
        <item m="1" x="32"/>
        <item m="1" x="6"/>
        <item x="0"/>
        <item m="1" x="19"/>
        <item m="1" x="14"/>
        <item m="1" x="36"/>
        <item m="1" x="38"/>
        <item m="1" x="3"/>
        <item m="1" x="16"/>
        <item m="1" x="17"/>
        <item m="1" x="9"/>
        <item m="1" x="10"/>
        <item m="1" x="29"/>
        <item t="default"/>
      </items>
    </pivotField>
    <pivotField showAll="0"/>
    <pivotField showAll="0" defaultSubtotal="0">
      <items count="332">
        <item m="1" x="271"/>
        <item m="1" x="6"/>
        <item m="1" x="277"/>
        <item m="1" x="159"/>
        <item m="1" x="178"/>
        <item m="1" x="86"/>
        <item m="1" x="160"/>
        <item m="1" x="110"/>
        <item m="1" x="184"/>
        <item m="1" x="305"/>
        <item m="1" x="163"/>
        <item m="1" x="148"/>
        <item m="1" x="106"/>
        <item m="1" x="179"/>
        <item m="1" x="50"/>
        <item m="1" x="228"/>
        <item m="1" x="41"/>
        <item m="1" x="7"/>
        <item m="1" x="139"/>
        <item m="1" x="37"/>
        <item m="1" x="111"/>
        <item m="1" x="236"/>
        <item m="1" x="123"/>
        <item m="1" x="256"/>
        <item m="1" x="167"/>
        <item m="1" x="272"/>
        <item m="1" x="189"/>
        <item m="1" x="257"/>
        <item m="1" x="62"/>
        <item m="1" x="295"/>
        <item m="1" x="124"/>
        <item m="1" x="245"/>
        <item m="1" x="87"/>
        <item m="1" x="314"/>
        <item m="1" x="42"/>
        <item m="1" x="252"/>
        <item m="1" x="319"/>
        <item m="1" x="320"/>
        <item m="1" x="149"/>
        <item m="1" x="17"/>
        <item m="1" x="91"/>
        <item m="1" x="190"/>
        <item m="1" x="198"/>
        <item m="1" x="324"/>
        <item m="1" x="248"/>
        <item m="1" x="315"/>
        <item m="1" x="316"/>
        <item m="1" x="55"/>
        <item m="1" x="131"/>
        <item m="1" x="253"/>
        <item m="1" x="150"/>
        <item m="1" x="43"/>
        <item m="1" x="116"/>
        <item m="1" x="135"/>
        <item m="1" x="69"/>
        <item m="1" x="92"/>
        <item m="1" x="207"/>
        <item m="1" x="265"/>
        <item m="1" x="2"/>
        <item m="1" x="151"/>
        <item m="1" x="25"/>
        <item m="1" x="125"/>
        <item m="1" x="194"/>
        <item m="1" x="211"/>
        <item m="1" x="273"/>
        <item m="1" x="132"/>
        <item m="1" x="199"/>
        <item m="1" x="260"/>
        <item m="1" x="67"/>
        <item m="1" x="70"/>
        <item m="1" x="143"/>
        <item m="1" x="18"/>
        <item m="1" x="93"/>
        <item m="1" x="266"/>
        <item m="1" x="72"/>
        <item m="1" x="284"/>
        <item m="1" x="26"/>
        <item m="1" x="223"/>
        <item m="1" x="296"/>
        <item m="1" x="325"/>
        <item m="1" x="317"/>
        <item m="1" x="254"/>
        <item m="1" x="58"/>
        <item m="1" x="200"/>
        <item m="1" x="13"/>
        <item m="1" x="88"/>
        <item m="1" x="203"/>
        <item m="1" x="144"/>
        <item m="1" x="215"/>
        <item m="1" x="94"/>
        <item m="1" x="95"/>
        <item m="1" x="117"/>
        <item m="1" x="191"/>
        <item m="1" x="274"/>
        <item m="1" x="8"/>
        <item m="1" x="79"/>
        <item m="1" x="96"/>
        <item m="1" x="164"/>
        <item m="1" x="231"/>
        <item m="1" x="168"/>
        <item m="1" x="237"/>
        <item m="1" x="68"/>
        <item m="1" x="185"/>
        <item m="1" x="142"/>
        <item m="1" x="212"/>
        <item m="1" x="328"/>
        <item m="1" x="285"/>
        <item m="1" x="169"/>
        <item m="1" x="133"/>
        <item m="1" x="186"/>
        <item m="1" x="249"/>
        <item m="1" x="255"/>
        <item m="1" x="80"/>
        <item m="1" x="136"/>
        <item m="1" x="19"/>
        <item m="1" x="224"/>
        <item m="1" x="286"/>
        <item m="1" x="170"/>
        <item m="1" x="238"/>
        <item m="1" x="126"/>
        <item m="1" x="32"/>
        <item m="1" x="107"/>
        <item m="1" x="14"/>
        <item m="1" x="73"/>
        <item m="1" x="287"/>
        <item m="1" x="27"/>
        <item m="1" x="195"/>
        <item m="1" x="15"/>
        <item m="1" x="20"/>
        <item m="1" x="192"/>
        <item m="1" x="59"/>
        <item m="1" x="208"/>
        <item m="1" x="218"/>
        <item m="1" x="275"/>
        <item m="1" x="9"/>
        <item m="1" x="81"/>
        <item m="1" x="33"/>
        <item m="1" x="219"/>
        <item m="1" x="288"/>
        <item m="1" x="28"/>
        <item m="1" x="171"/>
        <item m="1" x="239"/>
        <item m="1" x="46"/>
        <item m="1" x="127"/>
        <item m="1" x="51"/>
        <item m="1" x="118"/>
        <item m="1" x="10"/>
        <item m="1" x="229"/>
        <item m="1" x="161"/>
        <item m="1" x="300"/>
        <item m="1" x="38"/>
        <item m="1" x="112"/>
        <item m="1" x="240"/>
        <item m="1" x="306"/>
        <item m="1" x="196"/>
        <item m="1" x="258"/>
        <item m="1" x="261"/>
        <item m="1" x="326"/>
        <item m="1" x="137"/>
        <item m="1" x="204"/>
        <item m="1" x="278"/>
        <item m="1" x="113"/>
        <item m="1" x="21"/>
        <item m="1" x="232"/>
        <item m="1" x="303"/>
        <item m="1" x="44"/>
        <item m="1" x="193"/>
        <item m="1" x="289"/>
        <item m="1" x="165"/>
        <item m="1" x="233"/>
        <item m="1" x="47"/>
        <item m="1" x="128"/>
        <item m="1" x="60"/>
        <item m="1" x="281"/>
        <item m="1" x="22"/>
        <item m="1" x="97"/>
        <item m="1" x="166"/>
        <item m="1" x="262"/>
        <item m="1" x="250"/>
        <item m="1" x="140"/>
        <item m="1" x="71"/>
        <item m="1" x="145"/>
        <item m="1" x="216"/>
        <item m="1" x="282"/>
        <item m="1" x="23"/>
        <item m="1" x="98"/>
        <item m="1" x="74"/>
        <item m="1" x="152"/>
        <item m="1" x="220"/>
        <item m="1" x="290"/>
        <item m="1" x="29"/>
        <item m="1" x="101"/>
        <item m="1" x="172"/>
        <item m="1" x="241"/>
        <item m="1" x="307"/>
        <item m="1" x="82"/>
        <item m="1" x="225"/>
        <item m="1" x="297"/>
        <item m="1" x="34"/>
        <item m="1" x="180"/>
        <item m="1" x="246"/>
        <item m="1" x="52"/>
        <item m="1" x="173"/>
        <item m="1" x="308"/>
        <item m="1" x="129"/>
        <item m="1" x="259"/>
        <item m="1" x="283"/>
        <item m="1" x="63"/>
        <item m="1" x="322"/>
        <item m="1" x="64"/>
        <item m="1" x="213"/>
        <item m="1" x="279"/>
        <item m="1" x="119"/>
        <item m="1" x="321"/>
        <item m="1" x="323"/>
        <item m="1" x="201"/>
        <item m="1" x="327"/>
        <item m="1" x="309"/>
        <item m="1" x="48"/>
        <item m="1" x="130"/>
        <item m="1" x="174"/>
        <item m="1" x="310"/>
        <item m="1" x="181"/>
        <item m="1" x="65"/>
        <item m="1" x="99"/>
        <item m="1" x="120"/>
        <item m="1" x="102"/>
        <item m="1" x="242"/>
        <item m="1" x="138"/>
        <item m="1" x="205"/>
        <item m="1" x="263"/>
        <item m="1" x="329"/>
        <item m="1" x="121"/>
        <item m="1" x="267"/>
        <item m="1" x="3"/>
        <item m="1" x="75"/>
        <item m="1" x="268"/>
        <item m="1" x="4"/>
        <item m="1" x="76"/>
        <item m="1" x="153"/>
        <item m="1" x="155"/>
        <item m="1" x="298"/>
        <item m="1" x="39"/>
        <item m="1" x="56"/>
        <item m="1" x="234"/>
        <item m="1" x="154"/>
        <item m="1" x="221"/>
        <item m="1" x="291"/>
        <item m="1" x="30"/>
        <item m="1" x="156"/>
        <item m="1" x="226"/>
        <item m="1" x="299"/>
        <item m="1" x="35"/>
        <item m="1" x="276"/>
        <item m="1" x="292"/>
        <item m="1" x="175"/>
        <item m="1" x="243"/>
        <item m="1" x="157"/>
        <item m="1" x="227"/>
        <item m="1" x="103"/>
        <item m="1" x="176"/>
        <item m="1" x="66"/>
        <item m="1" x="182"/>
        <item m="1" x="247"/>
        <item m="1" x="313"/>
        <item m="1" x="53"/>
        <item m="1" x="61"/>
        <item m="1" x="209"/>
        <item m="1" x="77"/>
        <item m="1" x="108"/>
        <item m="1" x="269"/>
        <item m="1" x="57"/>
        <item m="1" x="206"/>
        <item m="1" x="264"/>
        <item m="1" x="330"/>
        <item m="1" x="141"/>
        <item m="1" x="210"/>
        <item m="1" x="270"/>
        <item m="1" x="5"/>
        <item m="1" x="78"/>
        <item m="1" x="222"/>
        <item m="1" x="293"/>
        <item m="1" x="31"/>
        <item m="1" x="104"/>
        <item m="1" x="11"/>
        <item m="1" x="83"/>
        <item m="1" x="100"/>
        <item m="1" x="235"/>
        <item m="1" x="304"/>
        <item m="1" x="45"/>
        <item m="1" x="122"/>
        <item m="1" x="16"/>
        <item m="1" x="89"/>
        <item m="1" x="301"/>
        <item m="1" x="40"/>
        <item m="1" x="146"/>
        <item m="1" x="244"/>
        <item m="1" x="311"/>
        <item m="1" x="49"/>
        <item m="1" x="214"/>
        <item m="1" x="280"/>
        <item m="1" x="90"/>
        <item m="1" x="162"/>
        <item m="1" x="294"/>
        <item m="1" x="105"/>
        <item m="1" x="177"/>
        <item m="1" x="197"/>
        <item m="1" x="36"/>
        <item m="1" x="109"/>
        <item m="1" x="183"/>
        <item m="1" x="12"/>
        <item m="1" x="84"/>
        <item m="1" x="331"/>
        <item m="1" x="147"/>
        <item m="1" x="217"/>
        <item m="1" x="312"/>
        <item m="1" x="85"/>
        <item m="1" x="158"/>
        <item m="1" x="114"/>
        <item m="1" x="187"/>
        <item m="1" x="251"/>
        <item m="1" x="318"/>
        <item m="1" x="54"/>
        <item m="1" x="134"/>
        <item m="1" x="202"/>
        <item x="0"/>
        <item x="1"/>
        <item m="1" x="230"/>
        <item m="1" x="302"/>
        <item m="1" x="115"/>
        <item m="1" x="188"/>
        <item m="1" x="24"/>
      </items>
    </pivotField>
    <pivotField showAll="0"/>
    <pivotField showAll="0"/>
    <pivotField axis="axisRow" showAll="0" defaultSubtotal="0">
      <items count="2">
        <item sd="0" x="0"/>
        <item sd="0" x="1"/>
      </items>
    </pivotField>
    <pivotField axis="axisRow" showAll="0" sortType="ascending">
      <items count="8001">
        <item m="1" x="854"/>
        <item m="1" x="855"/>
        <item m="1" x="856"/>
        <item m="1" x="857"/>
        <item m="1" x="858"/>
        <item m="1" x="859"/>
        <item m="1" x="4771"/>
        <item m="1" x="4772"/>
        <item m="1" x="4773"/>
        <item m="1" x="1046"/>
        <item m="1" x="1047"/>
        <item m="1" x="1048"/>
        <item m="1" x="1049"/>
        <item m="1" x="1050"/>
        <item m="1" x="1051"/>
        <item m="1" x="5383"/>
        <item m="1" x="5384"/>
        <item m="1" x="3113"/>
        <item m="1" x="3114"/>
        <item m="1" x="3115"/>
        <item m="1" x="1165"/>
        <item m="1" x="4070"/>
        <item m="1" x="1166"/>
        <item m="1" x="4071"/>
        <item m="1" x="3116"/>
        <item m="1" x="3117"/>
        <item m="1" x="1167"/>
        <item m="1" x="4072"/>
        <item m="1" x="1429"/>
        <item m="1" x="4672"/>
        <item m="1" x="3692"/>
        <item m="1" x="1430"/>
        <item m="1" x="4673"/>
        <item m="1" x="1431"/>
        <item m="1" x="4674"/>
        <item m="1" x="1432"/>
        <item m="1" x="4675"/>
        <item m="1" x="3693"/>
        <item m="1" x="3694"/>
        <item m="1" x="1433"/>
        <item m="1" x="4676"/>
        <item m="1" x="1434"/>
        <item m="1" x="4677"/>
        <item m="1" x="3695"/>
        <item m="1" x="5638"/>
        <item m="1" x="3696"/>
        <item m="1" x="1435"/>
        <item m="1" x="4678"/>
        <item m="1" x="5639"/>
        <item m="1" x="3697"/>
        <item m="1" x="468"/>
        <item m="1" x="469"/>
        <item m="1" x="470"/>
        <item m="1" x="4279"/>
        <item m="1" x="1776"/>
        <item m="1" x="5284"/>
        <item m="1" x="1777"/>
        <item m="1" x="5285"/>
        <item m="1" x="1778"/>
        <item m="1" x="5286"/>
        <item m="1" x="3245"/>
        <item m="1" x="3246"/>
        <item m="1" x="482"/>
        <item m="1" x="483"/>
        <item m="1" x="3804"/>
        <item m="1" x="3805"/>
        <item m="1" x="3806"/>
        <item m="1" x="3807"/>
        <item m="1" x="3808"/>
        <item m="1" x="3809"/>
        <item m="1" x="3810"/>
        <item m="1" x="925"/>
        <item m="1" x="926"/>
        <item m="1" x="2596"/>
        <item m="1" x="3589"/>
        <item m="1" x="4774"/>
        <item m="1" x="5957"/>
        <item m="1" x="4846"/>
        <item m="1" x="6029"/>
        <item m="1" x="1617"/>
        <item m="1" x="2372"/>
        <item m="1" x="3321"/>
        <item m="1" x="3381"/>
        <item m="1" x="4541"/>
        <item m="1" x="5740"/>
        <item m="1" x="5808"/>
        <item m="1" x="663"/>
        <item m="1" x="952"/>
        <item m="1" x="1438"/>
        <item m="1" x="2146"/>
        <item m="1" x="1501"/>
        <item m="1" x="2192"/>
        <item m="1" x="3078"/>
        <item m="1" x="4197"/>
        <item m="1" x="3187"/>
        <item m="1" x="4280"/>
        <item m="1" x="5472"/>
        <item m="1" x="507"/>
        <item m="1" x="594"/>
        <item m="1" x="862"/>
        <item m="1" x="1285"/>
        <item m="1" x="5046"/>
        <item m="1" x="911"/>
        <item m="1" x="1334"/>
        <item m="1" x="2006"/>
        <item m="1" x="2100"/>
        <item m="1" x="2925"/>
        <item m="1" x="3993"/>
        <item m="1" x="491"/>
        <item m="1" x="556"/>
        <item m="1" x="3557"/>
        <item m="1" x="4721"/>
        <item m="1" x="5897"/>
        <item m="1" x="815"/>
        <item m="1" x="1204"/>
        <item m="1" x="5958"/>
        <item m="1" x="1889"/>
        <item m="1" x="2667"/>
        <item m="1" x="935"/>
        <item m="1" x="1372"/>
        <item m="1" x="2044"/>
        <item m="1" x="2866"/>
        <item m="1" x="2129"/>
        <item m="1" x="2970"/>
        <item m="1" x="4038"/>
        <item m="1" x="5215"/>
        <item m="1" x="4112"/>
        <item m="1" x="5288"/>
        <item m="1" x="833"/>
        <item m="1" x="1233"/>
        <item m="1" x="5995"/>
        <item m="1" x="1924"/>
        <item m="1" x="2726"/>
        <item m="1" x="3816"/>
        <item m="1" x="4977"/>
        <item m="1" x="748"/>
        <item m="1" x="4492"/>
        <item m="1" x="5692"/>
        <item m="1" x="1744"/>
        <item m="1" x="3526"/>
        <item m="1" x="3039"/>
        <item m="1" x="4158"/>
        <item m="1" x="5364"/>
        <item m="1" x="5421"/>
        <item m="1" x="1310"/>
        <item m="1" x="1970"/>
        <item m="1" x="2811"/>
        <item m="1" x="3873"/>
        <item m="1" x="2867"/>
        <item m="1" x="3945"/>
        <item m="1" x="5141"/>
        <item m="1" x="5216"/>
        <item m="1" x="516"/>
        <item m="1" x="639"/>
        <item m="1" x="4125"/>
        <item m="1" x="5311"/>
        <item m="1" x="981"/>
        <item m="1" x="1467"/>
        <item m="1" x="2227"/>
        <item m="1" x="3118"/>
        <item m="1" x="1951"/>
        <item m="1" x="2781"/>
        <item m="1" x="3835"/>
        <item m="1" x="5000"/>
        <item m="1" x="3874"/>
        <item m="1" x="5071"/>
        <item m="1" x="1890"/>
        <item m="1" x="2668"/>
        <item m="1" x="3668"/>
        <item m="1" x="3784"/>
        <item m="1" x="4940"/>
        <item m="1" x="1130"/>
        <item m="1" x="1695"/>
        <item m="1" x="2448"/>
        <item m="1" x="2531"/>
        <item m="1" x="3484"/>
        <item m="1" x="4631"/>
        <item m="1" x="4698"/>
        <item m="1" x="5874"/>
        <item m="1" x="1010"/>
        <item m="1" x="1502"/>
        <item m="1" x="2290"/>
        <item m="1" x="3188"/>
        <item m="1" x="4370"/>
        <item m="1" x="5562"/>
        <item m="1" x="1618"/>
        <item m="1" x="2373"/>
        <item m="1" x="3322"/>
        <item m="1" x="3382"/>
        <item m="1" x="4542"/>
        <item m="1" x="5741"/>
        <item m="1" x="5809"/>
        <item m="1" x="664"/>
        <item m="1" x="953"/>
        <item m="1" x="1439"/>
        <item m="1" x="2147"/>
        <item m="1" x="1503"/>
        <item m="1" x="2193"/>
        <item m="1" x="3079"/>
        <item m="1" x="4198"/>
        <item m="1" x="3189"/>
        <item m="1" x="4281"/>
        <item m="1" x="5473"/>
        <item m="1" x="595"/>
        <item m="1" x="863"/>
        <item m="1" x="1286"/>
        <item m="1" x="5047"/>
        <item m="1" x="1335"/>
        <item m="1" x="2007"/>
        <item m="1" x="2926"/>
        <item m="1" x="3994"/>
        <item m="1" x="557"/>
        <item m="1" x="3558"/>
        <item m="1" x="4722"/>
        <item m="1" x="5898"/>
        <item m="1" x="1205"/>
        <item m="1" x="5959"/>
        <item m="1" x="2669"/>
        <item m="1" x="2334"/>
        <item m="1" x="3283"/>
        <item m="1" x="4401"/>
        <item m="1" x="4455"/>
        <item m="1" x="5661"/>
        <item m="1" x="1131"/>
        <item m="1" x="1696"/>
        <item m="1" x="2449"/>
        <item m="1" x="2532"/>
        <item m="1" x="3485"/>
        <item m="1" x="4632"/>
        <item m="1" x="4699"/>
        <item m="1" x="5875"/>
        <item m="1" x="692"/>
        <item m="1" x="1011"/>
        <item m="1" x="1504"/>
        <item m="1" x="1574"/>
        <item m="1" x="2291"/>
        <item m="1" x="3190"/>
        <item m="1" x="3271"/>
        <item m="1" x="4371"/>
        <item m="1" x="5563"/>
        <item m="1" x="632"/>
        <item m="1" x="3916"/>
        <item m="1" x="5105"/>
        <item m="1" x="1417"/>
        <item m="1" x="3016"/>
        <item m="1" x="2597"/>
        <item m="1" x="3590"/>
        <item m="1" x="4775"/>
        <item m="1" x="5960"/>
        <item m="1" x="4847"/>
        <item m="1" x="6030"/>
        <item m="1" x="1619"/>
        <item m="1" x="2374"/>
        <item m="1" x="3323"/>
        <item m="1" x="3383"/>
        <item m="1" x="4543"/>
        <item m="1" x="5742"/>
        <item m="1" x="5810"/>
        <item m="1" x="492"/>
        <item m="1" x="558"/>
        <item m="1" x="3559"/>
        <item m="1" x="4723"/>
        <item m="1" x="5899"/>
        <item m="1" x="816"/>
        <item m="1" x="1206"/>
        <item m="1" x="5961"/>
        <item m="1" x="1891"/>
        <item m="1" x="2670"/>
        <item m="1" x="484"/>
        <item m="1" x="2335"/>
        <item m="1" x="3284"/>
        <item m="1" x="4402"/>
        <item m="1" x="737"/>
        <item m="1" x="4456"/>
        <item m="1" x="5662"/>
        <item m="1" x="1697"/>
        <item m="1" x="2228"/>
        <item m="1" x="3119"/>
        <item m="1" x="4228"/>
        <item m="1" x="4323"/>
        <item m="1" x="5515"/>
        <item m="1" x="936"/>
        <item m="1" x="1373"/>
        <item m="1" x="2045"/>
        <item m="1" x="2868"/>
        <item m="1" x="2130"/>
        <item m="1" x="2971"/>
        <item m="1" x="4039"/>
        <item m="1" x="5217"/>
        <item m="1" x="4113"/>
        <item m="1" x="5289"/>
        <item m="1" x="834"/>
        <item m="1" x="1234"/>
        <item m="1" x="5996"/>
        <item m="1" x="1925"/>
        <item m="1" x="2727"/>
        <item m="1" x="3817"/>
        <item m="1" x="4978"/>
        <item m="1" x="1311"/>
        <item m="1" x="1971"/>
        <item m="1" x="2812"/>
        <item m="1" x="3875"/>
        <item m="1" x="2869"/>
        <item m="1" x="3946"/>
        <item m="1" x="5142"/>
        <item m="1" x="5218"/>
        <item m="1" x="780"/>
        <item m="1" x="1169"/>
        <item m="1" x="1779"/>
        <item m="1" x="1832"/>
        <item m="1" x="2621"/>
        <item m="1" x="3622"/>
        <item m="1" x="3722"/>
        <item m="1" x="4890"/>
        <item m="1" x="534"/>
        <item m="1" x="701"/>
        <item m="1" x="1053"/>
        <item m="1" x="5618"/>
        <item m="1" x="1097"/>
        <item m="1" x="1648"/>
        <item m="1" x="2403"/>
        <item m="1" x="2490"/>
        <item m="1" x="3429"/>
        <item m="1" x="4578"/>
        <item m="1" x="517"/>
        <item m="1" x="640"/>
        <item m="1" x="4126"/>
        <item m="1" x="5312"/>
        <item m="1" x="982"/>
        <item m="1" x="1468"/>
        <item m="1" x="2229"/>
        <item m="1" x="3120"/>
        <item m="1" x="1952"/>
        <item m="1" x="2782"/>
        <item m="1" x="3836"/>
        <item m="1" x="5001"/>
        <item m="1" x="3876"/>
        <item m="1" x="5072"/>
        <item m="1" x="1012"/>
        <item m="1" x="1505"/>
        <item m="1" x="2292"/>
        <item m="1" x="3191"/>
        <item m="1" x="4372"/>
        <item m="1" x="5564"/>
        <item m="1" x="3917"/>
        <item m="1" x="5106"/>
        <item m="1" x="2598"/>
        <item m="1" x="3591"/>
        <item m="1" x="4776"/>
        <item m="1" x="5962"/>
        <item m="1" x="4848"/>
        <item m="1" x="6031"/>
        <item m="1" x="1620"/>
        <item m="1" x="2375"/>
        <item m="1" x="3324"/>
        <item m="1" x="3384"/>
        <item m="1" x="4544"/>
        <item m="1" x="5743"/>
        <item m="1" x="5811"/>
        <item m="1" x="665"/>
        <item m="1" x="954"/>
        <item m="1" x="1440"/>
        <item m="1" x="2148"/>
        <item m="1" x="1506"/>
        <item m="1" x="2194"/>
        <item m="1" x="3080"/>
        <item m="1" x="4199"/>
        <item m="1" x="3192"/>
        <item m="1" x="4282"/>
        <item m="1" x="5474"/>
        <item m="1" x="2336"/>
        <item m="1" x="3285"/>
        <item m="1" x="4403"/>
        <item m="1" x="4457"/>
        <item m="1" x="5663"/>
        <item m="1" x="1132"/>
        <item m="1" x="1698"/>
        <item m="1" x="2450"/>
        <item m="1" x="2533"/>
        <item m="1" x="3486"/>
        <item m="1" x="4633"/>
        <item m="1" x="4700"/>
        <item m="1" x="5876"/>
        <item m="1" x="693"/>
        <item m="1" x="1013"/>
        <item m="1" x="1507"/>
        <item m="1" x="1575"/>
        <item m="1" x="2293"/>
        <item m="1" x="3193"/>
        <item m="1" x="3272"/>
        <item m="1" x="4373"/>
        <item m="1" x="5565"/>
        <item m="1" x="633"/>
        <item m="1" x="3918"/>
        <item m="1" x="5107"/>
        <item m="1" x="1418"/>
        <item m="1" x="3017"/>
        <item m="1" x="2599"/>
        <item m="1" x="3592"/>
        <item m="1" x="4777"/>
        <item m="1" x="4849"/>
        <item m="1" x="6032"/>
        <item m="1" x="508"/>
        <item m="1" x="596"/>
        <item m="1" x="864"/>
        <item m="1" x="1287"/>
        <item m="1" x="5048"/>
        <item m="1" x="912"/>
        <item m="1" x="1336"/>
        <item m="1" x="2008"/>
        <item m="1" x="2101"/>
        <item m="1" x="2927"/>
        <item m="1" x="3995"/>
        <item m="1" x="493"/>
        <item m="1" x="559"/>
        <item m="1" x="3560"/>
        <item m="1" x="4724"/>
        <item m="1" x="5900"/>
        <item m="1" x="817"/>
        <item m="1" x="1207"/>
        <item m="1" x="5963"/>
        <item m="1" x="1892"/>
        <item m="1" x="2671"/>
        <item m="1" x="485"/>
        <item m="1" x="2337"/>
        <item m="1" x="3286"/>
        <item m="1" x="4404"/>
        <item m="1" x="738"/>
        <item m="1" x="4458"/>
        <item m="1" x="5664"/>
        <item m="1" x="1699"/>
        <item m="1" x="2230"/>
        <item m="1" x="3121"/>
        <item m="1" x="4229"/>
        <item m="1" x="4324"/>
        <item m="1" x="5516"/>
        <item m="1" x="937"/>
        <item m="1" x="1374"/>
        <item m="1" x="2046"/>
        <item m="1" x="2870"/>
        <item m="1" x="2131"/>
        <item m="1" x="2972"/>
        <item m="1" x="4040"/>
        <item m="1" x="5219"/>
        <item m="1" x="4114"/>
        <item m="1" x="5290"/>
        <item m="1" x="3040"/>
        <item m="1" x="4159"/>
        <item m="1" x="5365"/>
        <item m="1" x="5422"/>
        <item m="1" x="1312"/>
        <item m="1" x="1972"/>
        <item m="1" x="2813"/>
        <item m="1" x="3877"/>
        <item m="1" x="2871"/>
        <item m="1" x="3947"/>
        <item m="1" x="5143"/>
        <item m="1" x="5220"/>
        <item m="1" x="781"/>
        <item m="1" x="1170"/>
        <item m="1" x="1780"/>
        <item m="1" x="1833"/>
        <item m="1" x="2622"/>
        <item m="1" x="3623"/>
        <item m="1" x="3723"/>
        <item m="1" x="4891"/>
        <item m="1" x="535"/>
        <item m="1" x="702"/>
        <item m="1" x="1054"/>
        <item m="1" x="5619"/>
        <item m="1" x="1098"/>
        <item m="1" x="1649"/>
        <item m="1" x="2404"/>
        <item m="1" x="2491"/>
        <item m="1" x="3430"/>
        <item m="1" x="4579"/>
        <item m="1" x="518"/>
        <item m="1" x="641"/>
        <item m="1" x="4127"/>
        <item m="1" x="5313"/>
        <item m="1" x="983"/>
        <item m="1" x="1469"/>
        <item m="1" x="2231"/>
        <item m="1" x="3122"/>
        <item m="1" x="1133"/>
        <item m="1" x="1700"/>
        <item m="1" x="2451"/>
        <item m="1" x="2534"/>
        <item m="1" x="3487"/>
        <item m="1" x="4634"/>
        <item m="1" x="4701"/>
        <item m="1" x="5877"/>
        <item m="1" x="1014"/>
        <item m="1" x="1508"/>
        <item m="1" x="2294"/>
        <item m="1" x="3194"/>
        <item m="1" x="4374"/>
        <item m="1" x="5566"/>
        <item m="1" x="3919"/>
        <item m="1" x="5108"/>
        <item m="1" x="2600"/>
        <item m="1" x="3593"/>
        <item m="1" x="4778"/>
        <item m="1" x="4850"/>
        <item m="1" x="6033"/>
        <item m="1" x="1621"/>
        <item m="1" x="2376"/>
        <item m="1" x="3325"/>
        <item m="1" x="3385"/>
        <item m="1" x="4545"/>
        <item m="1" x="5744"/>
        <item m="1" x="5812"/>
        <item m="1" x="560"/>
        <item m="1" x="3561"/>
        <item m="1" x="4725"/>
        <item m="1" x="5901"/>
        <item m="1" x="1208"/>
        <item m="1" x="5964"/>
        <item m="1" x="2672"/>
        <item m="1" x="2338"/>
        <item m="1" x="3287"/>
        <item m="1" x="4405"/>
        <item m="1" x="4459"/>
        <item m="1" x="5665"/>
        <item m="1" x="2232"/>
        <item m="1" x="3123"/>
        <item m="1" x="4230"/>
        <item m="1" x="4325"/>
        <item m="1" x="5517"/>
        <item m="1" x="421"/>
        <item m="1" x="1375"/>
        <item m="1" x="2047"/>
        <item m="1" x="2872"/>
        <item m="1" x="2973"/>
        <item m="1" x="4041"/>
        <item m="1" x="5221"/>
        <item m="1" x="395"/>
        <item m="1" x="5291"/>
        <item m="1" x="1134"/>
        <item m="1" x="1701"/>
        <item m="1" x="2452"/>
        <item m="1" x="2535"/>
        <item m="1" x="3488"/>
        <item m="1" x="4635"/>
        <item m="1" x="4702"/>
        <item m="1" x="5878"/>
        <item m="1" x="2601"/>
        <item m="1" x="3594"/>
        <item m="1" x="4779"/>
        <item m="1" x="4851"/>
        <item m="1" x="6034"/>
        <item m="1" x="1622"/>
        <item m="1" x="2377"/>
        <item m="1" x="3326"/>
        <item m="1" x="3386"/>
        <item m="1" x="4546"/>
        <item m="1" x="5745"/>
        <item m="1" x="5813"/>
        <item m="1" x="666"/>
        <item m="1" x="955"/>
        <item m="1" x="1441"/>
        <item m="1" x="2149"/>
        <item m="1" x="1509"/>
        <item m="1" x="2195"/>
        <item m="1" x="3081"/>
        <item m="1" x="4200"/>
        <item m="1" x="3195"/>
        <item m="1" x="4283"/>
        <item m="1" x="5475"/>
        <item m="1" x="509"/>
        <item m="1" x="597"/>
        <item m="1" x="865"/>
        <item m="1" x="1288"/>
        <item m="1" x="5049"/>
        <item m="1" x="913"/>
        <item m="1" x="1337"/>
        <item m="1" x="2009"/>
        <item m="1" x="2102"/>
        <item m="1" x="2928"/>
        <item m="1" x="3996"/>
        <item m="1" x="494"/>
        <item m="1" x="561"/>
        <item m="1" x="3562"/>
        <item m="1" x="4726"/>
        <item m="1" x="5902"/>
        <item m="1" x="818"/>
        <item m="1" x="1209"/>
        <item m="1" x="5965"/>
        <item m="1" x="1893"/>
        <item m="1" x="2673"/>
        <item m="1" x="938"/>
        <item m="1" x="1376"/>
        <item m="1" x="2048"/>
        <item m="1" x="2873"/>
        <item m="1" x="2132"/>
        <item m="1" x="2974"/>
        <item m="1" x="4042"/>
        <item m="1" x="5222"/>
        <item m="1" x="4115"/>
        <item m="1" x="5292"/>
        <item m="1" x="835"/>
        <item m="1" x="1235"/>
        <item m="1" x="5997"/>
        <item m="1" x="1926"/>
        <item m="1" x="2728"/>
        <item m="1" x="3818"/>
        <item m="1" x="4979"/>
        <item m="1" x="749"/>
        <item m="1" x="4493"/>
        <item m="1" x="5693"/>
        <item m="1" x="1745"/>
        <item m="1" x="3527"/>
        <item m="1" x="3041"/>
        <item m="1" x="4160"/>
        <item m="1" x="5366"/>
        <item m="1" x="5423"/>
        <item m="1" x="1313"/>
        <item m="1" x="1973"/>
        <item m="1" x="2814"/>
        <item m="1" x="3878"/>
        <item m="1" x="2874"/>
        <item m="1" x="3948"/>
        <item m="1" x="5144"/>
        <item m="1" x="5223"/>
        <item m="1" x="519"/>
        <item m="1" x="642"/>
        <item m="1" x="4128"/>
        <item m="1" x="5314"/>
        <item m="1" x="984"/>
        <item m="1" x="1470"/>
        <item m="1" x="2233"/>
        <item m="1" x="3124"/>
        <item m="1" x="1953"/>
        <item m="1" x="2783"/>
        <item m="1" x="3837"/>
        <item m="1" x="5002"/>
        <item m="1" x="3879"/>
        <item m="1" x="5073"/>
        <item m="1" x="1894"/>
        <item m="1" x="2674"/>
        <item m="1" x="3669"/>
        <item m="1" x="3785"/>
        <item m="1" x="4941"/>
        <item m="1" x="1135"/>
        <item m="1" x="1702"/>
        <item m="1" x="2453"/>
        <item m="1" x="2536"/>
        <item m="1" x="3489"/>
        <item m="1" x="4636"/>
        <item m="1" x="4703"/>
        <item m="1" x="5879"/>
        <item m="1" x="1015"/>
        <item m="1" x="1510"/>
        <item m="1" x="2295"/>
        <item m="1" x="3196"/>
        <item m="1" x="4375"/>
        <item m="1" x="5567"/>
        <item m="1" x="1623"/>
        <item m="1" x="2378"/>
        <item m="1" x="3327"/>
        <item m="1" x="3387"/>
        <item m="1" x="4547"/>
        <item m="1" x="5746"/>
        <item m="1" x="5814"/>
        <item m="1" x="667"/>
        <item m="1" x="956"/>
        <item m="1" x="1442"/>
        <item m="1" x="2150"/>
        <item m="1" x="1511"/>
        <item m="1" x="2196"/>
        <item m="1" x="3082"/>
        <item m="1" x="4201"/>
        <item m="1" x="3197"/>
        <item m="1" x="4284"/>
        <item m="1" x="5476"/>
        <item m="1" x="598"/>
        <item m="1" x="866"/>
        <item m="1" x="1289"/>
        <item m="1" x="5050"/>
        <item m="1" x="1338"/>
        <item m="1" x="2010"/>
        <item m="1" x="2929"/>
        <item m="1" x="3997"/>
        <item m="1" x="562"/>
        <item m="1" x="3563"/>
        <item m="1" x="4727"/>
        <item m="1" x="5903"/>
        <item m="1" x="1210"/>
        <item m="1" x="5966"/>
        <item m="1" x="2675"/>
        <item m="1" x="2339"/>
        <item m="1" x="3288"/>
        <item m="1" x="4406"/>
        <item m="1" x="4460"/>
        <item m="1" x="5666"/>
        <item m="1" x="694"/>
        <item m="1" x="1016"/>
        <item m="1" x="1512"/>
        <item m="1" x="1576"/>
        <item m="1" x="2296"/>
        <item m="1" x="3198"/>
        <item m="1" x="3273"/>
        <item m="1" x="4376"/>
        <item m="1" x="5568"/>
        <item m="1" x="634"/>
        <item m="1" x="3920"/>
        <item m="1" x="5109"/>
        <item m="1" x="1419"/>
        <item m="1" x="3018"/>
        <item m="1" x="2602"/>
        <item m="1" x="3595"/>
        <item m="1" x="4780"/>
        <item m="1" x="4852"/>
        <item m="1" x="6035"/>
        <item m="1" x="1624"/>
        <item m="1" x="2379"/>
        <item m="1" x="3328"/>
        <item m="1" x="3388"/>
        <item m="1" x="4548"/>
        <item m="1" x="5747"/>
        <item m="1" x="5815"/>
        <item m="1" x="668"/>
        <item m="1" x="957"/>
        <item m="1" x="1443"/>
        <item m="1" x="2151"/>
        <item m="1" x="1513"/>
        <item m="1" x="2197"/>
        <item m="1" x="3083"/>
        <item m="1" x="4202"/>
        <item m="1" x="3199"/>
        <item m="1" x="4285"/>
        <item m="1" x="5477"/>
        <item m="1" x="486"/>
        <item m="1" x="2340"/>
        <item m="1" x="3289"/>
        <item m="1" x="4407"/>
        <item m="1" x="739"/>
        <item m="1" x="4461"/>
        <item m="1" x="5667"/>
        <item m="1" x="1703"/>
        <item m="1" x="2234"/>
        <item m="1" x="3125"/>
        <item m="1" x="4231"/>
        <item m="1" x="4326"/>
        <item m="1" x="5518"/>
        <item m="1" x="939"/>
        <item m="1" x="1377"/>
        <item m="1" x="2049"/>
        <item m="1" x="2875"/>
        <item m="1" x="2133"/>
        <item m="1" x="2975"/>
        <item m="1" x="4043"/>
        <item m="1" x="5224"/>
        <item m="1" x="4116"/>
        <item m="1" x="5293"/>
        <item m="1" x="836"/>
        <item m="1" x="1236"/>
        <item m="1" x="5998"/>
        <item m="1" x="1927"/>
        <item m="1" x="2729"/>
        <item m="1" x="3819"/>
        <item m="1" x="4980"/>
        <item m="1" x="750"/>
        <item m="1" x="4494"/>
        <item m="1" x="5694"/>
        <item m="1" x="1746"/>
        <item m="1" x="3528"/>
        <item m="1" x="782"/>
        <item m="1" x="1171"/>
        <item m="1" x="1781"/>
        <item m="1" x="1834"/>
        <item m="1" x="2623"/>
        <item m="1" x="3624"/>
        <item m="1" x="3724"/>
        <item m="1" x="4892"/>
        <item m="1" x="536"/>
        <item m="1" x="703"/>
        <item m="1" x="1055"/>
        <item m="1" x="5620"/>
        <item m="1" x="1099"/>
        <item m="1" x="1650"/>
        <item m="1" x="2405"/>
        <item m="1" x="2492"/>
        <item m="1" x="3431"/>
        <item m="1" x="4580"/>
        <item m="1" x="520"/>
        <item m="1" x="643"/>
        <item m="1" x="4129"/>
        <item m="1" x="5315"/>
        <item m="1" x="985"/>
        <item m="1" x="1471"/>
        <item m="1" x="2235"/>
        <item m="1" x="3126"/>
        <item m="1" x="1954"/>
        <item m="1" x="2784"/>
        <item m="1" x="3838"/>
        <item m="1" x="5003"/>
        <item m="1" x="3880"/>
        <item m="1" x="5074"/>
        <item m="1" x="1895"/>
        <item m="1" x="2676"/>
        <item m="1" x="3670"/>
        <item m="1" x="3786"/>
        <item m="1" x="4942"/>
        <item m="1" x="4377"/>
        <item m="1" x="3921"/>
        <item m="1" x="5110"/>
        <item m="1" x="2603"/>
        <item m="1" x="3596"/>
        <item m="1" x="4781"/>
        <item m="1" x="4853"/>
        <item m="1" x="6036"/>
        <item m="1" x="1625"/>
        <item m="1" x="2380"/>
        <item m="1" x="3329"/>
        <item m="1" x="3389"/>
        <item m="1" x="4549"/>
        <item m="1" x="5748"/>
        <item m="1" x="5816"/>
        <item m="1" x="669"/>
        <item m="1" x="958"/>
        <item m="1" x="1444"/>
        <item m="1" x="2152"/>
        <item m="1" x="1514"/>
        <item m="1" x="2198"/>
        <item m="1" x="3084"/>
        <item m="1" x="4203"/>
        <item m="1" x="3200"/>
        <item m="1" x="4286"/>
        <item m="1" x="5478"/>
        <item m="1" x="599"/>
        <item m="1" x="867"/>
        <item m="1" x="1290"/>
        <item m="1" x="5051"/>
        <item m="1" x="1339"/>
        <item m="1" x="2011"/>
        <item m="1" x="2930"/>
        <item m="1" x="3998"/>
        <item m="1" x="2236"/>
        <item m="1" x="3127"/>
        <item m="1" x="4232"/>
        <item m="1" x="4327"/>
        <item m="1" x="5519"/>
        <item m="1" x="422"/>
        <item m="1" x="1378"/>
        <item m="1" x="2050"/>
        <item m="1" x="2876"/>
        <item m="1" x="2976"/>
        <item m="1" x="4044"/>
        <item m="1" x="5225"/>
        <item m="1" x="396"/>
        <item m="1" x="5294"/>
        <item m="1" x="1136"/>
        <item m="1" x="1704"/>
        <item m="1" x="2454"/>
        <item m="1" x="2537"/>
        <item m="1" x="3490"/>
        <item m="1" x="4637"/>
        <item m="1" x="4704"/>
        <item m="1" x="5880"/>
        <item m="1" x="695"/>
        <item m="1" x="1017"/>
        <item m="1" x="1515"/>
        <item m="1" x="1577"/>
        <item m="1" x="2297"/>
        <item m="1" x="3201"/>
        <item m="1" x="3274"/>
        <item m="1" x="4378"/>
        <item m="1" x="5569"/>
        <item m="1" x="635"/>
        <item m="1" x="3922"/>
        <item m="1" x="5111"/>
        <item m="1" x="1420"/>
        <item m="1" x="3019"/>
        <item m="1" x="670"/>
        <item m="1" x="959"/>
        <item m="1" x="1445"/>
        <item m="1" x="2153"/>
        <item m="1" x="1516"/>
        <item m="1" x="2199"/>
        <item m="1" x="3085"/>
        <item m="1" x="4204"/>
        <item m="1" x="3202"/>
        <item m="1" x="4287"/>
        <item m="1" x="5479"/>
        <item m="1" x="510"/>
        <item m="1" x="600"/>
        <item m="1" x="868"/>
        <item m="1" x="1291"/>
        <item m="1" x="5052"/>
        <item m="1" x="914"/>
        <item m="1" x="1340"/>
        <item m="1" x="2012"/>
        <item m="1" x="2103"/>
        <item m="1" x="2931"/>
        <item m="1" x="3999"/>
        <item m="1" x="495"/>
        <item m="1" x="563"/>
        <item m="1" x="3564"/>
        <item m="1" x="4728"/>
        <item m="1" x="5904"/>
        <item m="1" x="819"/>
        <item m="1" x="1211"/>
        <item m="1" x="5967"/>
        <item m="1" x="1896"/>
        <item m="1" x="2677"/>
        <item m="1" x="487"/>
        <item m="1" x="2341"/>
        <item m="1" x="3290"/>
        <item m="1" x="4408"/>
        <item m="1" x="740"/>
        <item m="1" x="4462"/>
        <item m="1" x="5668"/>
        <item m="1" x="1705"/>
        <item m="1" x="2237"/>
        <item m="1" x="3128"/>
        <item m="1" x="4233"/>
        <item m="1" x="4328"/>
        <item m="1" x="5520"/>
        <item m="1" x="751"/>
        <item m="1" x="4495"/>
        <item m="1" x="5695"/>
        <item m="1" x="1747"/>
        <item m="1" x="3529"/>
        <item m="1" x="3042"/>
        <item m="1" x="4161"/>
        <item m="1" x="5367"/>
        <item m="1" x="5424"/>
        <item m="1" x="1314"/>
        <item m="1" x="1974"/>
        <item m="1" x="2815"/>
        <item m="1" x="3881"/>
        <item m="1" x="2877"/>
        <item m="1" x="3949"/>
        <item m="1" x="5145"/>
        <item m="1" x="5226"/>
        <item m="1" x="783"/>
        <item m="1" x="1172"/>
        <item m="1" x="1782"/>
        <item m="1" x="1835"/>
        <item m="1" x="2624"/>
        <item m="1" x="3625"/>
        <item m="1" x="3725"/>
        <item m="1" x="4893"/>
        <item m="1" x="537"/>
        <item m="1" x="704"/>
        <item m="1" x="1056"/>
        <item m="1" x="5621"/>
        <item m="1" x="1100"/>
        <item m="1" x="1651"/>
        <item m="1" x="2406"/>
        <item m="1" x="2493"/>
        <item m="1" x="3432"/>
        <item m="1" x="4581"/>
        <item m="1" x="1897"/>
        <item m="1" x="2678"/>
        <item m="1" x="3671"/>
        <item m="1" x="3787"/>
        <item m="1" x="4943"/>
        <item m="1" x="1137"/>
        <item m="1" x="1706"/>
        <item m="1" x="2455"/>
        <item m="1" x="2538"/>
        <item m="1" x="3491"/>
        <item m="1" x="4638"/>
        <item m="1" x="4705"/>
        <item m="1" x="5881"/>
        <item m="1" x="1018"/>
        <item m="1" x="1517"/>
        <item m="1" x="2298"/>
        <item m="1" x="3203"/>
        <item m="1" x="4379"/>
        <item m="1" x="5570"/>
        <item m="1" x="3923"/>
        <item m="1" x="5112"/>
        <item m="1" x="2604"/>
        <item m="1" x="3597"/>
        <item m="1" x="4782"/>
        <item m="1" x="4854"/>
        <item m="1" x="6037"/>
        <item m="1" x="601"/>
        <item m="1" x="869"/>
        <item m="1" x="1292"/>
        <item m="1" x="5053"/>
        <item m="1" x="1341"/>
        <item m="1" x="2013"/>
        <item m="1" x="2932"/>
        <item m="1" x="4000"/>
        <item m="1" x="564"/>
        <item m="1" x="3565"/>
        <item m="1" x="4729"/>
        <item m="1" x="5905"/>
        <item m="1" x="1212"/>
        <item m="1" x="5968"/>
        <item m="1" x="2679"/>
        <item m="1" x="2342"/>
        <item m="1" x="3291"/>
        <item m="1" x="4409"/>
        <item m="1" x="4463"/>
        <item m="1" x="5669"/>
        <item m="1" x="2238"/>
        <item m="1" x="3129"/>
        <item m="1" x="4234"/>
        <item m="1" x="4329"/>
        <item m="1" x="5521"/>
        <item m="1" x="423"/>
        <item m="1" x="1138"/>
        <item m="1" x="1707"/>
        <item m="1" x="2456"/>
        <item m="1" x="2539"/>
        <item m="1" x="3492"/>
        <item m="1" x="4639"/>
        <item m="1" x="4706"/>
        <item m="1" x="5882"/>
        <item m="1" x="2605"/>
        <item m="1" x="3598"/>
        <item m="1" x="4783"/>
        <item m="1" x="4855"/>
        <item m="1" x="6038"/>
        <item m="1" x="1626"/>
        <item m="1" x="2381"/>
        <item m="1" x="3330"/>
        <item m="1" x="3390"/>
        <item m="1" x="4550"/>
        <item m="1" x="5749"/>
        <item m="1" x="5817"/>
        <item m="1" x="671"/>
        <item m="1" x="960"/>
        <item m="1" x="1446"/>
        <item m="1" x="2154"/>
        <item m="1" x="1518"/>
        <item m="1" x="2200"/>
        <item m="1" x="3086"/>
        <item m="1" x="4205"/>
        <item m="1" x="3204"/>
        <item m="1" x="4288"/>
        <item m="1" x="5480"/>
        <item m="1" x="511"/>
        <item m="1" x="602"/>
        <item m="1" x="870"/>
        <item m="1" x="1293"/>
        <item m="1" x="5054"/>
        <item m="1" x="915"/>
        <item m="1" x="1342"/>
        <item m="1" x="2014"/>
        <item m="1" x="2104"/>
        <item m="1" x="2933"/>
        <item m="1" x="4001"/>
        <item m="1" x="496"/>
        <item m="1" x="565"/>
        <item m="1" x="3566"/>
        <item m="1" x="4730"/>
        <item m="1" x="5906"/>
        <item m="1" x="820"/>
        <item m="1" x="1213"/>
        <item m="1" x="5969"/>
        <item m="1" x="1898"/>
        <item m="1" x="2680"/>
        <item m="1" x="940"/>
        <item m="1" x="1379"/>
        <item m="1" x="2051"/>
        <item m="1" x="2878"/>
        <item m="1" x="2134"/>
        <item m="1" x="2977"/>
        <item m="1" x="4045"/>
        <item m="1" x="5227"/>
        <item m="1" x="4117"/>
        <item m="1" x="5295"/>
        <item m="1" x="837"/>
        <item m="1" x="1237"/>
        <item m="1" x="5999"/>
        <item m="1" x="1928"/>
        <item m="1" x="2730"/>
        <item m="1" x="3820"/>
        <item m="1" x="4981"/>
        <item m="1" x="752"/>
        <item m="1" x="4496"/>
        <item m="1" x="5696"/>
        <item m="1" x="1748"/>
        <item m="1" x="3530"/>
        <item m="1" x="3043"/>
        <item m="1" x="4162"/>
        <item m="1" x="5368"/>
        <item m="1" x="5425"/>
        <item m="1" x="1315"/>
        <item m="1" x="1975"/>
        <item m="1" x="2816"/>
        <item m="1" x="3882"/>
        <item m="1" x="2879"/>
        <item m="1" x="3950"/>
        <item m="1" x="5146"/>
        <item m="1" x="5228"/>
        <item m="1" x="521"/>
        <item m="1" x="644"/>
        <item m="1" x="4130"/>
        <item m="1" x="5316"/>
        <item m="1" x="986"/>
        <item m="1" x="1472"/>
        <item m="1" x="2239"/>
        <item m="1" x="3130"/>
        <item m="1" x="1955"/>
        <item m="1" x="2785"/>
        <item m="1" x="3839"/>
        <item m="1" x="5004"/>
        <item m="1" x="3883"/>
        <item m="1" x="5075"/>
        <item m="1" x="1899"/>
        <item m="1" x="2681"/>
        <item m="1" x="3672"/>
        <item m="1" x="3788"/>
        <item m="1" x="4944"/>
        <item m="1" x="1139"/>
        <item m="1" x="1708"/>
        <item m="1" x="2457"/>
        <item m="1" x="2540"/>
        <item m="1" x="3493"/>
        <item m="1" x="4640"/>
        <item m="1" x="4707"/>
        <item m="1" x="5883"/>
        <item m="1" x="1019"/>
        <item m="1" x="1519"/>
        <item m="1" x="2299"/>
        <item m="1" x="3205"/>
        <item m="1" x="4380"/>
        <item m="1" x="5571"/>
        <item m="1" x="1627"/>
        <item m="1" x="2382"/>
        <item m="1" x="3331"/>
        <item m="1" x="3391"/>
        <item m="1" x="4551"/>
        <item m="1" x="5750"/>
        <item m="1" x="5818"/>
        <item m="1" x="672"/>
        <item m="1" x="961"/>
        <item m="1" x="1447"/>
        <item m="1" x="2155"/>
        <item m="1" x="1520"/>
        <item m="1" x="2201"/>
        <item m="1" x="3087"/>
        <item m="1" x="4206"/>
        <item m="1" x="3206"/>
        <item m="1" x="4289"/>
        <item m="1" x="5481"/>
        <item m="1" x="603"/>
        <item m="1" x="871"/>
        <item m="1" x="1294"/>
        <item m="1" x="5055"/>
        <item m="1" x="1343"/>
        <item m="1" x="2015"/>
        <item m="1" x="2934"/>
        <item m="1" x="4002"/>
        <item m="1" x="566"/>
        <item m="1" x="3567"/>
        <item m="1" x="4731"/>
        <item m="1" x="5907"/>
        <item m="1" x="1214"/>
        <item m="1" x="5970"/>
        <item m="1" x="2682"/>
        <item m="1" x="2343"/>
        <item m="1" x="3292"/>
        <item m="1" x="4410"/>
        <item m="1" x="4464"/>
        <item m="1" x="5670"/>
        <item m="1" x="1140"/>
        <item m="1" x="1709"/>
        <item m="1" x="2458"/>
        <item m="1" x="2541"/>
        <item m="1" x="3494"/>
        <item m="1" x="4641"/>
        <item m="1" x="4708"/>
        <item m="1" x="5884"/>
        <item m="1" x="696"/>
        <item m="1" x="1020"/>
        <item m="1" x="1521"/>
        <item m="1" x="1578"/>
        <item m="1" x="2300"/>
        <item m="1" x="3207"/>
        <item m="1" x="3275"/>
        <item m="1" x="4381"/>
        <item m="1" x="5572"/>
        <item m="1" x="636"/>
        <item m="1" x="3924"/>
        <item m="1" x="5113"/>
        <item m="1" x="1421"/>
        <item m="1" x="3020"/>
        <item m="1" x="2606"/>
        <item m="1" x="3599"/>
        <item m="1" x="4784"/>
        <item m="1" x="4856"/>
        <item m="1" x="6039"/>
        <item m="1" x="1628"/>
        <item m="1" x="2383"/>
        <item m="1" x="3332"/>
        <item m="1" x="3392"/>
        <item m="1" x="4552"/>
        <item m="1" x="5751"/>
        <item m="1" x="5819"/>
        <item m="1" x="497"/>
        <item m="1" x="567"/>
        <item m="1" x="3568"/>
        <item m="1" x="4732"/>
        <item m="1" x="5908"/>
        <item m="1" x="821"/>
        <item m="1" x="1215"/>
        <item m="1" x="5971"/>
        <item m="1" x="1900"/>
        <item m="1" x="2683"/>
        <item m="1" x="488"/>
        <item m="1" x="2344"/>
        <item m="1" x="3293"/>
        <item m="1" x="4411"/>
        <item m="1" x="741"/>
        <item m="1" x="4465"/>
        <item m="1" x="5671"/>
        <item m="1" x="1710"/>
        <item m="1" x="2240"/>
        <item m="1" x="3131"/>
        <item m="1" x="4235"/>
        <item m="1" x="4330"/>
        <item m="1" x="5522"/>
        <item m="1" x="941"/>
        <item m="1" x="1380"/>
        <item m="1" x="2052"/>
        <item m="1" x="2880"/>
        <item m="1" x="2135"/>
        <item m="1" x="2978"/>
        <item m="1" x="4046"/>
        <item m="1" x="5229"/>
        <item m="1" x="4118"/>
        <item m="1" x="5296"/>
        <item m="1" x="838"/>
        <item m="1" x="1238"/>
        <item m="1" x="6000"/>
        <item m="1" x="1929"/>
        <item m="1" x="2731"/>
        <item m="1" x="3821"/>
        <item m="1" x="4982"/>
        <item m="1" x="1316"/>
        <item m="1" x="1976"/>
        <item m="1" x="2817"/>
        <item m="1" x="3884"/>
        <item m="1" x="2881"/>
        <item m="1" x="3951"/>
        <item m="1" x="5147"/>
        <item m="1" x="5230"/>
        <item m="1" x="784"/>
        <item m="1" x="1173"/>
        <item m="1" x="1783"/>
        <item m="1" x="1836"/>
        <item m="1" x="2625"/>
        <item m="1" x="3626"/>
        <item m="1" x="3726"/>
        <item m="1" x="4894"/>
        <item m="1" x="538"/>
        <item m="1" x="705"/>
        <item m="1" x="1057"/>
        <item m="1" x="5622"/>
        <item m="1" x="1101"/>
        <item m="1" x="1652"/>
        <item m="1" x="2407"/>
        <item m="1" x="2494"/>
        <item m="1" x="3433"/>
        <item m="1" x="4582"/>
        <item m="1" x="522"/>
        <item m="1" x="645"/>
        <item m="1" x="4131"/>
        <item m="1" x="5317"/>
        <item m="1" x="987"/>
        <item m="1" x="1473"/>
        <item m="1" x="2241"/>
        <item m="1" x="3132"/>
        <item m="1" x="1956"/>
        <item m="1" x="2786"/>
        <item m="1" x="3840"/>
        <item m="1" x="5005"/>
        <item m="1" x="3885"/>
        <item m="1" x="5076"/>
        <item m="1" x="1021"/>
        <item m="1" x="1522"/>
        <item m="1" x="2301"/>
        <item m="1" x="3208"/>
        <item m="1" x="4382"/>
        <item m="1" x="5573"/>
        <item m="1" x="3925"/>
        <item m="1" x="5114"/>
        <item m="1" x="2607"/>
        <item m="1" x="3600"/>
        <item m="1" x="4785"/>
        <item m="1" x="4857"/>
        <item m="1" x="6040"/>
        <item m="1" x="1629"/>
        <item m="1" x="2384"/>
        <item m="1" x="3333"/>
        <item m="1" x="3393"/>
        <item m="1" x="4553"/>
        <item m="1" x="5752"/>
        <item m="1" x="5820"/>
        <item m="1" x="673"/>
        <item m="1" x="962"/>
        <item m="1" x="1448"/>
        <item m="1" x="2156"/>
        <item m="1" x="1523"/>
        <item m="1" x="2202"/>
        <item m="1" x="3088"/>
        <item m="1" x="4207"/>
        <item m="1" x="3209"/>
        <item m="1" x="4290"/>
        <item m="1" x="5482"/>
        <item m="1" x="2345"/>
        <item m="1" x="3294"/>
        <item m="1" x="4412"/>
        <item m="1" x="4466"/>
        <item m="1" x="5672"/>
        <item m="1" x="2242"/>
        <item m="1" x="3133"/>
        <item m="1" x="4236"/>
        <item m="1" x="4331"/>
        <item m="1" x="5523"/>
        <item m="1" x="424"/>
        <item m="1" x="1381"/>
        <item m="1" x="2053"/>
        <item m="1" x="2882"/>
        <item m="1" x="2979"/>
        <item m="1" x="4047"/>
        <item m="1" x="5231"/>
        <item m="1" x="397"/>
        <item m="1" x="5297"/>
        <item m="1" x="1141"/>
        <item m="1" x="1711"/>
        <item m="1" x="2459"/>
        <item m="1" x="2542"/>
        <item m="1" x="3495"/>
        <item m="1" x="4642"/>
        <item m="1" x="4709"/>
        <item m="1" x="5885"/>
        <item m="1" x="697"/>
        <item m="1" x="1022"/>
        <item m="1" x="1524"/>
        <item m="1" x="1579"/>
        <item m="1" x="2302"/>
        <item m="1" x="3210"/>
        <item m="1" x="3276"/>
        <item m="1" x="4383"/>
        <item m="1" x="5574"/>
        <item m="1" x="1630"/>
        <item m="1" x="2385"/>
        <item m="1" x="3334"/>
        <item m="1" x="3394"/>
        <item m="1" x="4554"/>
        <item m="1" x="5753"/>
        <item m="1" x="5821"/>
        <item m="1" x="674"/>
        <item m="1" x="963"/>
        <item m="1" x="1449"/>
        <item m="1" x="2157"/>
        <item m="1" x="1525"/>
        <item m="1" x="2203"/>
        <item m="1" x="3089"/>
        <item m="1" x="4208"/>
        <item m="1" x="3211"/>
        <item m="1" x="4291"/>
        <item m="1" x="5483"/>
        <item m="1" x="512"/>
        <item m="1" x="604"/>
        <item m="1" x="872"/>
        <item m="1" x="1295"/>
        <item m="1" x="5056"/>
        <item m="1" x="916"/>
        <item m="1" x="1344"/>
        <item m="1" x="2016"/>
        <item m="1" x="2105"/>
        <item m="1" x="2935"/>
        <item m="1" x="4003"/>
        <item m="1" x="498"/>
        <item m="1" x="568"/>
        <item m="1" x="3569"/>
        <item m="1" x="4733"/>
        <item m="1" x="5909"/>
        <item m="1" x="822"/>
        <item m="1" x="1216"/>
        <item m="1" x="5972"/>
        <item m="1" x="1901"/>
        <item m="1" x="2684"/>
        <item m="1" x="489"/>
        <item m="1" x="2346"/>
        <item m="1" x="3295"/>
        <item m="1" x="4413"/>
        <item m="1" x="742"/>
        <item m="1" x="4467"/>
        <item m="1" x="5673"/>
        <item m="1" x="1712"/>
        <item m="1" x="839"/>
        <item m="1" x="1239"/>
        <item m="1" x="6001"/>
        <item m="1" x="1930"/>
        <item m="1" x="2732"/>
        <item m="1" x="3822"/>
        <item m="1" x="4983"/>
        <item m="1" x="753"/>
        <item m="1" x="4497"/>
        <item m="1" x="5697"/>
        <item m="1" x="1749"/>
        <item m="1" x="3531"/>
        <item m="1" x="3044"/>
        <item m="1" x="4163"/>
        <item m="1" x="5369"/>
        <item m="1" x="5426"/>
        <item m="1" x="1317"/>
        <item m="1" x="1977"/>
        <item m="1" x="2818"/>
        <item m="1" x="3886"/>
        <item m="1" x="2883"/>
        <item m="1" x="3952"/>
        <item m="1" x="5148"/>
        <item m="1" x="5232"/>
        <item m="1" x="785"/>
        <item m="1" x="1174"/>
        <item m="1" x="1784"/>
        <item m="1" x="1837"/>
        <item m="1" x="2626"/>
        <item m="1" x="3627"/>
        <item m="1" x="3727"/>
        <item m="1" x="4895"/>
        <item m="1" x="1957"/>
        <item m="1" x="2787"/>
        <item m="1" x="3841"/>
        <item m="1" x="5006"/>
        <item m="1" x="3887"/>
        <item m="1" x="5077"/>
        <item m="1" x="1902"/>
        <item m="1" x="2685"/>
        <item m="1" x="3673"/>
        <item m="1" x="3789"/>
        <item m="1" x="4945"/>
        <item m="1" x="1142"/>
        <item m="1" x="1713"/>
        <item m="1" x="2460"/>
        <item m="1" x="2543"/>
        <item m="1" x="3496"/>
        <item m="1" x="4643"/>
        <item m="1" x="4710"/>
        <item m="1" x="5886"/>
        <item m="1" x="1023"/>
        <item m="1" x="1526"/>
        <item m="1" x="2303"/>
        <item m="1" x="3212"/>
        <item m="1" x="4384"/>
        <item m="1" x="5575"/>
        <item m="1" x="3926"/>
        <item m="1" x="5115"/>
        <item m="1" x="675"/>
        <item m="1" x="964"/>
        <item m="1" x="1450"/>
        <item m="1" x="2158"/>
        <item m="1" x="1527"/>
        <item m="1" x="2204"/>
        <item m="1" x="3090"/>
        <item m="1" x="4209"/>
        <item m="1" x="3213"/>
        <item m="1" x="4292"/>
        <item m="1" x="5484"/>
        <item m="1" x="605"/>
        <item m="1" x="873"/>
        <item m="1" x="1296"/>
        <item m="1" x="5057"/>
        <item m="1" x="1345"/>
        <item m="1" x="2017"/>
        <item m="1" x="2936"/>
        <item m="1" x="4004"/>
        <item m="1" x="569"/>
        <item m="1" x="3570"/>
        <item m="1" x="4734"/>
        <item m="1" x="5910"/>
        <item m="1" x="1217"/>
        <item m="1" x="5973"/>
        <item m="1" x="2686"/>
        <item m="1" x="2347"/>
        <item m="1" x="3296"/>
        <item m="1" x="4414"/>
        <item m="1" x="4468"/>
        <item m="1" x="5674"/>
        <item m="1" x="2243"/>
        <item m="1" x="3134"/>
        <item m="1" x="4237"/>
        <item m="1" x="4332"/>
        <item m="1" x="5524"/>
        <item m="1" x="425"/>
        <item m="1" x="637"/>
        <item m="1" x="3927"/>
        <item m="1" x="5116"/>
        <item m="1" x="1422"/>
        <item m="1" x="3021"/>
        <item m="1" x="1814"/>
        <item m="1" x="2608"/>
        <item m="1" x="3601"/>
        <item m="1" x="4786"/>
        <item m="1" x="3674"/>
        <item m="1" x="4858"/>
        <item m="1" x="6041"/>
        <item m="1" x="1087"/>
        <item m="1" x="1631"/>
        <item m="1" x="2386"/>
        <item m="1" x="3335"/>
        <item m="1" x="2461"/>
        <item m="1" x="3395"/>
        <item m="1" x="4555"/>
        <item m="1" x="4644"/>
        <item m="1" x="5822"/>
        <item m="1" x="676"/>
        <item m="1" x="965"/>
        <item m="1" x="1451"/>
        <item m="1" x="1528"/>
        <item m="1" x="2205"/>
        <item m="1" x="3091"/>
        <item m="1" x="3214"/>
        <item m="1" x="4293"/>
        <item m="1" x="5485"/>
        <item m="1" x="513"/>
        <item m="1" x="606"/>
        <item m="1" x="874"/>
        <item m="1" x="5058"/>
        <item m="1" x="917"/>
        <item m="1" x="1346"/>
        <item m="1" x="2018"/>
        <item m="1" x="2106"/>
        <item m="1" x="2937"/>
        <item m="1" x="4005"/>
        <item m="1" x="1551"/>
        <item m="1" x="2244"/>
        <item m="1" x="3135"/>
        <item m="1" x="3247"/>
        <item m="1" x="4333"/>
        <item m="1" x="5525"/>
        <item m="1" x="5603"/>
        <item m="1" x="942"/>
        <item m="1" x="1382"/>
        <item m="1" x="2054"/>
        <item m="1" x="2136"/>
        <item m="1" x="2980"/>
        <item m="1" x="4048"/>
        <item m="1" x="4119"/>
        <item m="1" x="5298"/>
        <item m="1" x="840"/>
        <item m="1" x="1240"/>
        <item m="1" x="6002"/>
        <item m="1" x="1931"/>
        <item m="1" x="2733"/>
        <item m="1" x="3823"/>
        <item m="1" x="4984"/>
        <item m="1" x="3356"/>
        <item m="1" x="4498"/>
        <item m="1" x="5698"/>
        <item m="1" x="5775"/>
        <item m="1" x="2172"/>
        <item m="1" x="3045"/>
        <item m="1" x="4164"/>
        <item m="1" x="4238"/>
        <item m="1" x="5427"/>
        <item m="1" x="539"/>
        <item m="1" x="706"/>
        <item m="1" x="4441"/>
        <item m="1" x="5623"/>
        <item m="1" x="1102"/>
        <item m="1" x="1653"/>
        <item m="1" x="2495"/>
        <item m="1" x="3434"/>
        <item m="1" x="523"/>
        <item m="1" x="3028"/>
        <item m="1" x="4132"/>
        <item m="1" x="5318"/>
        <item m="1" x="988"/>
        <item m="1" x="5370"/>
        <item m="1" x="2245"/>
        <item m="1" x="1958"/>
        <item m="1" x="2788"/>
        <item m="1" x="3842"/>
        <item m="1" x="3888"/>
        <item m="1" x="5078"/>
        <item m="1" x="1275"/>
        <item m="1" x="1903"/>
        <item m="1" x="2687"/>
        <item m="1" x="3675"/>
        <item m="1" x="2773"/>
        <item m="1" x="3790"/>
        <item m="1" x="4946"/>
        <item m="1" x="5038"/>
        <item m="1" x="1143"/>
        <item m="1" x="1714"/>
        <item m="1" x="2544"/>
        <item m="1" x="3497"/>
        <item m="1" x="4711"/>
        <item m="1" x="5887"/>
        <item m="1" x="1815"/>
        <item m="1" x="2609"/>
        <item m="1" x="3602"/>
        <item m="1" x="4787"/>
        <item m="1" x="3676"/>
        <item m="1" x="4859"/>
        <item m="1" x="6042"/>
        <item m="1" x="1088"/>
        <item m="1" x="1632"/>
        <item m="1" x="2387"/>
        <item m="1" x="3336"/>
        <item m="1" x="2462"/>
        <item m="1" x="3396"/>
        <item m="1" x="4556"/>
        <item m="1" x="4645"/>
        <item m="1" x="5823"/>
        <item m="1" x="677"/>
        <item m="1" x="966"/>
        <item m="1" x="1452"/>
        <item m="1" x="1529"/>
        <item m="1" x="2206"/>
        <item m="1" x="3092"/>
        <item m="1" x="3215"/>
        <item m="1" x="4294"/>
        <item m="1" x="5486"/>
        <item m="1" x="607"/>
        <item m="1" x="875"/>
        <item m="1" x="5059"/>
        <item m="1" x="1347"/>
        <item m="1" x="2019"/>
        <item m="1" x="2938"/>
        <item m="1" x="4006"/>
        <item m="1" x="570"/>
        <item m="1" x="2566"/>
        <item m="1" x="3571"/>
        <item m="1" x="4735"/>
        <item m="1" x="5911"/>
        <item m="1" x="4788"/>
        <item m="1" x="5974"/>
        <item m="1" x="1383"/>
        <item m="1" x="2055"/>
        <item m="1" x="2981"/>
        <item m="1" x="4049"/>
        <item m="1" x="5299"/>
        <item m="1" x="769"/>
        <item m="1" x="1144"/>
        <item m="1" x="1715"/>
        <item m="1" x="1773"/>
        <item m="1" x="2545"/>
        <item m="1" x="3498"/>
        <item m="1" x="3555"/>
        <item m="1" x="4712"/>
        <item m="1" x="5888"/>
        <item m="1" x="698"/>
        <item m="1" x="1024"/>
        <item m="1" x="5406"/>
        <item m="1" x="1580"/>
        <item m="1" x="2304"/>
        <item m="1" x="3277"/>
        <item m="1" x="4385"/>
        <item m="1" x="638"/>
        <item m="1" x="3928"/>
        <item m="1" x="5117"/>
        <item m="1" x="1423"/>
        <item m="1" x="3022"/>
        <item m="1" x="1816"/>
        <item m="1" x="2610"/>
        <item m="1" x="3603"/>
        <item m="1" x="4789"/>
        <item m="1" x="3677"/>
        <item m="1" x="4860"/>
        <item m="1" x="6043"/>
        <item m="1" x="514"/>
        <item m="1" x="608"/>
        <item m="1" x="876"/>
        <item m="1" x="5060"/>
        <item m="1" x="918"/>
        <item m="1" x="1348"/>
        <item m="1" x="2020"/>
        <item m="1" x="2107"/>
        <item m="1" x="2939"/>
        <item m="1" x="4007"/>
        <item m="1" x="499"/>
        <item m="1" x="571"/>
        <item m="1" x="2567"/>
        <item m="1" x="3572"/>
        <item m="1" x="4736"/>
        <item m="1" x="5912"/>
        <item m="1" x="823"/>
        <item m="1" x="4790"/>
        <item m="1" x="5975"/>
        <item m="1" x="1904"/>
        <item m="1" x="1586"/>
        <item m="1" x="2348"/>
        <item m="1" x="3297"/>
        <item m="1" x="4415"/>
        <item m="1" x="3337"/>
        <item m="1" x="4469"/>
        <item m="1" x="5675"/>
        <item m="1" x="1552"/>
        <item m="1" x="2246"/>
        <item m="1" x="3136"/>
        <item m="1" x="3248"/>
        <item m="1" x="4334"/>
        <item m="1" x="5526"/>
        <item m="1" x="5604"/>
        <item m="1" x="943"/>
        <item m="1" x="1384"/>
        <item m="1" x="2056"/>
        <item m="1" x="2137"/>
        <item m="1" x="2982"/>
        <item m="1" x="4050"/>
        <item m="1" x="4120"/>
        <item m="1" x="5300"/>
        <item m="1" x="2173"/>
        <item m="1" x="3046"/>
        <item m="1" x="4165"/>
        <item m="1" x="4239"/>
        <item m="1" x="5428"/>
        <item m="1" x="1318"/>
        <item m="1" x="1978"/>
        <item m="1" x="2819"/>
        <item m="1" x="2884"/>
        <item m="1" x="3953"/>
        <item m="1" x="5149"/>
        <item m="1" x="5233"/>
        <item m="1" x="583"/>
        <item m="1" x="786"/>
        <item m="1" x="1175"/>
        <item m="1" x="1785"/>
        <item m="1" x="1241"/>
        <item m="1" x="1838"/>
        <item m="1" x="2627"/>
        <item m="1" x="3628"/>
        <item m="1" x="2734"/>
        <item m="1" x="3728"/>
        <item m="1" x="4896"/>
        <item m="1" x="540"/>
        <item m="1" x="707"/>
        <item m="1" x="4442"/>
        <item m="1" x="5624"/>
        <item m="1" x="1103"/>
        <item m="1" x="1654"/>
        <item m="1" x="2496"/>
        <item m="1" x="3435"/>
        <item m="1" x="524"/>
        <item m="1" x="3029"/>
        <item m="1" x="4133"/>
        <item m="1" x="5319"/>
        <item m="1" x="989"/>
        <item m="1" x="5371"/>
        <item m="1" x="2247"/>
        <item m="1" x="1145"/>
        <item m="1" x="1716"/>
        <item m="1" x="2546"/>
        <item m="1" x="3499"/>
        <item m="1" x="4713"/>
        <item m="1" x="5889"/>
        <item m="1" x="1025"/>
        <item m="1" x="5407"/>
        <item m="1" x="2305"/>
        <item m="1" x="4386"/>
        <item m="1" x="3929"/>
        <item m="1" x="5118"/>
        <item m="1" x="1817"/>
        <item m="1" x="2611"/>
        <item m="1" x="3604"/>
        <item m="1" x="4791"/>
        <item m="1" x="3678"/>
        <item m="1" x="4861"/>
        <item m="1" x="6044"/>
        <item m="1" x="1089"/>
        <item m="1" x="1633"/>
        <item m="1" x="2388"/>
        <item m="1" x="3338"/>
        <item m="1" x="2463"/>
        <item m="1" x="3397"/>
        <item m="1" x="4557"/>
        <item m="1" x="4646"/>
        <item m="1" x="5824"/>
        <item m="1" x="572"/>
        <item m="1" x="2568"/>
        <item m="1" x="3573"/>
        <item m="1" x="4737"/>
        <item m="1" x="5913"/>
        <item m="1" x="4792"/>
        <item m="1" x="5976"/>
        <item m="1" x="1587"/>
        <item m="1" x="2349"/>
        <item m="1" x="3298"/>
        <item m="1" x="4416"/>
        <item m="1" x="3339"/>
        <item m="1" x="4470"/>
        <item m="1" x="5676"/>
        <item m="1" x="5754"/>
        <item m="1" x="1553"/>
        <item m="1" x="2248"/>
        <item m="1" x="3137"/>
        <item m="1" x="3249"/>
        <item m="1" x="4335"/>
        <item m="1" x="5527"/>
        <item m="1" x="426"/>
        <item m="1" x="5605"/>
        <item m="1" x="770"/>
        <item m="1" x="1146"/>
        <item m="1" x="1717"/>
        <item m="1" x="1774"/>
        <item m="1" x="2547"/>
        <item m="1" x="3500"/>
        <item m="1" x="3556"/>
        <item m="1" x="4714"/>
        <item m="1" x="5890"/>
        <item m="1" x="699"/>
        <item m="1" x="1026"/>
        <item m="1" x="5408"/>
        <item m="1" x="1581"/>
        <item m="1" x="2306"/>
        <item m="1" x="3278"/>
        <item m="1" x="4387"/>
        <item m="1" x="1090"/>
        <item m="1" x="1634"/>
        <item m="1" x="2389"/>
        <item m="1" x="3340"/>
        <item m="1" x="2464"/>
        <item m="1" x="3398"/>
        <item m="1" x="4558"/>
        <item m="1" x="4647"/>
        <item m="1" x="5825"/>
        <item m="1" x="678"/>
        <item m="1" x="967"/>
        <item m="1" x="1453"/>
        <item m="1" x="1530"/>
        <item m="1" x="2207"/>
        <item m="1" x="3093"/>
        <item m="1" x="3216"/>
        <item m="1" x="4295"/>
        <item m="1" x="5487"/>
        <item m="1" x="515"/>
        <item m="1" x="609"/>
        <item m="1" x="877"/>
        <item m="1" x="5061"/>
        <item m="1" x="919"/>
        <item m="1" x="1349"/>
        <item m="1" x="2021"/>
        <item m="1" x="2108"/>
        <item m="1" x="2940"/>
        <item m="1" x="4008"/>
        <item m="1" x="500"/>
        <item m="1" x="573"/>
        <item m="1" x="2569"/>
        <item m="1" x="3574"/>
        <item m="1" x="4738"/>
        <item m="1" x="5914"/>
        <item m="1" x="824"/>
        <item m="1" x="4793"/>
        <item m="1" x="5977"/>
        <item m="1" x="1905"/>
        <item m="1" x="1588"/>
        <item m="1" x="2350"/>
        <item m="1" x="3299"/>
        <item m="1" x="4417"/>
        <item m="1" x="3341"/>
        <item m="1" x="4471"/>
        <item m="1" x="5677"/>
        <item m="1" x="841"/>
        <item m="1" x="1242"/>
        <item m="1" x="6003"/>
        <item m="1" x="1932"/>
        <item m="1" x="2735"/>
        <item m="1" x="3824"/>
        <item m="1" x="4985"/>
        <item m="1" x="3357"/>
        <item m="1" x="4499"/>
        <item m="1" x="5699"/>
        <item m="1" x="5776"/>
        <item m="1" x="2174"/>
        <item m="1" x="3047"/>
        <item m="1" x="4166"/>
        <item m="1" x="4240"/>
        <item m="1" x="5429"/>
        <item m="1" x="1319"/>
        <item m="1" x="1979"/>
        <item m="1" x="2820"/>
        <item m="1" x="2885"/>
        <item m="1" x="3954"/>
        <item m="1" x="5150"/>
        <item m="1" x="5234"/>
        <item m="1" x="584"/>
        <item m="1" x="787"/>
        <item m="1" x="1176"/>
        <item m="1" x="1786"/>
        <item m="1" x="1243"/>
        <item m="1" x="1839"/>
        <item m="1" x="2628"/>
        <item m="1" x="3629"/>
        <item m="1" x="2736"/>
        <item m="1" x="3729"/>
        <item m="1" x="4897"/>
        <item m="1" x="1959"/>
        <item m="1" x="2789"/>
        <item m="1" x="3843"/>
        <item m="1" x="3889"/>
        <item m="1" x="5079"/>
        <item m="1" x="1276"/>
        <item m="1" x="1906"/>
        <item m="1" x="2688"/>
        <item m="1" x="3679"/>
        <item m="1" x="2774"/>
        <item m="1" x="3791"/>
        <item m="1" x="4947"/>
        <item m="1" x="5039"/>
        <item m="1" x="1147"/>
        <item m="1" x="1718"/>
        <item m="1" x="2548"/>
        <item m="1" x="3501"/>
        <item m="1" x="4715"/>
        <item m="1" x="5891"/>
        <item m="1" x="1027"/>
        <item m="1" x="5409"/>
        <item m="1" x="2307"/>
        <item m="1" x="4388"/>
        <item m="1" x="3930"/>
        <item m="1" x="5119"/>
        <item m="1" x="1531"/>
        <item m="1" x="2208"/>
        <item m="1" x="3094"/>
        <item m="1" x="3217"/>
        <item m="1" x="4296"/>
        <item m="1" x="5488"/>
        <item m="1" x="610"/>
        <item m="1" x="878"/>
        <item m="1" x="5062"/>
        <item m="1" x="1350"/>
        <item m="1" x="2022"/>
        <item m="1" x="2941"/>
        <item m="1" x="4009"/>
        <item m="1" x="574"/>
        <item m="1" x="2570"/>
        <item m="1" x="3575"/>
        <item m="1" x="4739"/>
        <item m="1" x="5915"/>
        <item m="1" x="4794"/>
        <item m="1" x="5978"/>
        <item m="1" x="1589"/>
        <item m="1" x="2351"/>
        <item m="1" x="3300"/>
        <item m="1" x="4418"/>
        <item m="1" x="3342"/>
        <item m="1" x="4472"/>
        <item m="1" x="5678"/>
        <item m="1" x="5755"/>
        <item m="1" x="1554"/>
        <item m="1" x="2249"/>
        <item m="1" x="3138"/>
        <item m="1" x="3250"/>
        <item m="1" x="4336"/>
        <item m="1" x="5528"/>
        <item m="1" x="427"/>
        <item m="1" x="5606"/>
        <item m="1" x="1943"/>
        <item m="1" x="2756"/>
        <item m="1" x="3753"/>
        <item m="1" x="3844"/>
        <item m="1" x="5007"/>
        <item m="1" x="760"/>
        <item m="1" x="4522"/>
        <item m="1" x="5721"/>
        <item m="1" x="1764"/>
        <item m="1" x="3546"/>
        <item m="1" x="3059"/>
        <item m="1" x="4178"/>
        <item m="1" x="5385"/>
        <item m="1" x="5451"/>
        <item m="1" x="1989"/>
        <item m="1" x="2830"/>
        <item m="1" x="3899"/>
        <item m="1" x="3974"/>
        <item m="1" x="5170"/>
        <item m="1" x="798"/>
        <item m="1" x="1187"/>
        <item m="1" x="1797"/>
        <item m="1" x="2582"/>
        <item m="1" x="1859"/>
        <item m="1" x="2648"/>
        <item m="1" x="3649"/>
        <item m="1" x="4830"/>
        <item m="1" x="3754"/>
        <item m="1" x="4921"/>
        <item m="1" x="501"/>
        <item m="1" x="2790"/>
        <item m="1" x="3852"/>
        <item m="1" x="5023"/>
        <item m="1" x="903"/>
        <item m="1" x="5089"/>
        <item m="1" x="2076"/>
        <item m="1" x="2701"/>
        <item m="1" x="3698"/>
        <item m="1" x="4874"/>
        <item m="1" x="4960"/>
        <item m="1" x="1153"/>
        <item m="1" x="1729"/>
        <item m="1" x="2474"/>
        <item m="1" x="3408"/>
        <item m="1" x="2554"/>
        <item m="1" x="3511"/>
        <item m="1" x="4657"/>
        <item m="1" x="5835"/>
        <item m="1" x="4740"/>
        <item m="1" x="5916"/>
        <item m="1" x="1032"/>
        <item m="1" x="1541"/>
        <item m="1" x="2320"/>
        <item m="1" x="3235"/>
        <item m="1" x="4419"/>
        <item m="1" x="5588"/>
        <item m="1" x="927"/>
        <item m="1" x="5131"/>
        <item m="1" x="2121"/>
        <item m="1" x="4104"/>
        <item m="1" x="973"/>
        <item m="1" x="1459"/>
        <item m="1" x="2164"/>
        <item m="1" x="2218"/>
        <item m="1" x="3104"/>
        <item m="1" x="4219"/>
        <item m="1" x="4314"/>
        <item m="1" x="5506"/>
        <item m="1" x="617"/>
        <item m="1" x="885"/>
        <item m="1" x="1303"/>
        <item m="1" x="1362"/>
        <item m="1" x="2034"/>
        <item m="1" x="2858"/>
        <item m="1" x="2960"/>
        <item m="1" x="4028"/>
        <item m="1" x="5207"/>
        <item m="1" x="575"/>
        <item m="1" x="773"/>
        <item m="1" x="4748"/>
        <item m="1" x="5930"/>
        <item m="1" x="1224"/>
        <item m="1" x="1824"/>
        <item m="1" x="2702"/>
        <item m="1" x="3699"/>
        <item m="1" x="2352"/>
        <item m="1" x="3301"/>
        <item m="1" x="4427"/>
        <item m="1" x="5596"/>
        <item m="1" x="4477"/>
        <item m="1" x="5683"/>
        <item m="1" x="2271"/>
        <item m="1" x="3160"/>
        <item m="1" x="4262"/>
        <item m="1" x="4359"/>
        <item m="1" x="5551"/>
        <item m="1" x="433"/>
        <item m="1" x="4523"/>
        <item m="1" x="5722"/>
        <item m="1" x="3060"/>
        <item m="1" x="4179"/>
        <item m="1" x="5386"/>
        <item m="1" x="5452"/>
        <item m="1" x="1990"/>
        <item m="1" x="2831"/>
        <item m="1" x="3900"/>
        <item m="1" x="3975"/>
        <item m="1" x="5171"/>
        <item m="1" x="799"/>
        <item m="1" x="1188"/>
        <item m="1" x="1798"/>
        <item m="1" x="2583"/>
        <item m="1" x="1860"/>
        <item m="1" x="2649"/>
        <item m="1" x="3650"/>
        <item m="1" x="4831"/>
        <item m="1" x="3755"/>
        <item m="1" x="4922"/>
        <item m="1" x="718"/>
        <item m="1" x="1068"/>
        <item m="1" x="1601"/>
        <item m="1" x="5640"/>
        <item m="1" x="1676"/>
        <item m="1" x="2429"/>
        <item m="1" x="3465"/>
        <item m="1" x="4612"/>
        <item m="1" x="2703"/>
        <item m="1" x="3700"/>
        <item m="1" x="4875"/>
        <item m="1" x="4961"/>
        <item m="1" x="461"/>
        <item m="1" x="1730"/>
        <item m="1" x="2475"/>
        <item m="1" x="3409"/>
        <item m="1" x="3512"/>
        <item m="1" x="4658"/>
        <item m="1" x="5836"/>
        <item m="1" x="451"/>
        <item m="1" x="5917"/>
        <item m="1" x="1399"/>
        <item m="1" x="2077"/>
        <item m="1" x="2905"/>
        <item m="1" x="2998"/>
        <item m="1" x="4073"/>
        <item m="1" x="5254"/>
        <item m="1" x="5320"/>
        <item m="1" x="847"/>
        <item m="1" x="1259"/>
        <item m="1" x="1861"/>
        <item m="1" x="1944"/>
        <item m="1" x="2757"/>
        <item m="1" x="3756"/>
        <item m="1" x="3845"/>
        <item m="1" x="5008"/>
        <item m="1" x="761"/>
        <item m="1" x="4524"/>
        <item m="1" x="5723"/>
        <item m="1" x="1765"/>
        <item m="1" x="3547"/>
        <item m="1" x="800"/>
        <item m="1" x="1189"/>
        <item m="1" x="1799"/>
        <item m="1" x="2584"/>
        <item m="1" x="1862"/>
        <item m="1" x="2650"/>
        <item m="1" x="3651"/>
        <item m="1" x="4832"/>
        <item m="1" x="3757"/>
        <item m="1" x="4923"/>
        <item m="1" x="547"/>
        <item m="1" x="719"/>
        <item m="1" x="1069"/>
        <item m="1" x="1602"/>
        <item m="1" x="5641"/>
        <item m="1" x="1121"/>
        <item m="1" x="1677"/>
        <item m="1" x="2430"/>
        <item m="1" x="2522"/>
        <item m="1" x="3466"/>
        <item m="1" x="4613"/>
        <item m="1" x="525"/>
        <item m="1" x="646"/>
        <item m="1" x="4136"/>
        <item m="1" x="5337"/>
        <item m="1" x="1001"/>
        <item m="1" x="1485"/>
        <item m="1" x="2272"/>
        <item m="1" x="3161"/>
        <item m="1" x="502"/>
        <item m="1" x="2791"/>
        <item m="1" x="3853"/>
        <item m="1" x="5024"/>
        <item m="1" x="904"/>
        <item m="1" x="5090"/>
        <item m="1" x="2078"/>
        <item m="1" x="2704"/>
        <item m="1" x="3701"/>
        <item m="1" x="4876"/>
        <item m="1" x="4962"/>
        <item m="1" x="928"/>
        <item m="1" x="5132"/>
        <item m="1" x="2122"/>
        <item m="1" x="4105"/>
        <item m="1" x="3612"/>
        <item m="1" x="4801"/>
        <item m="1" x="5985"/>
        <item m="1" x="6057"/>
        <item m="1" x="1639"/>
        <item m="1" x="2394"/>
        <item m="1" x="3347"/>
        <item m="1" x="4478"/>
        <item m="1" x="3410"/>
        <item m="1" x="4568"/>
        <item m="1" x="5765"/>
        <item m="1" x="5837"/>
        <item m="1" x="974"/>
        <item m="1" x="1460"/>
        <item m="1" x="2165"/>
        <item m="1" x="2219"/>
        <item m="1" x="3105"/>
        <item m="1" x="4220"/>
        <item m="1" x="4315"/>
        <item m="1" x="5507"/>
        <item m="1" x="618"/>
        <item m="1" x="886"/>
        <item m="1" x="1304"/>
        <item m="1" x="1363"/>
        <item m="1" x="2035"/>
        <item m="1" x="2859"/>
        <item m="1" x="2961"/>
        <item m="1" x="4029"/>
        <item m="1" x="5208"/>
        <item m="1" x="2273"/>
        <item m="1" x="3162"/>
        <item m="1" x="4263"/>
        <item m="1" x="4360"/>
        <item m="1" x="5552"/>
        <item m="1" x="434"/>
        <item m="1" x="1400"/>
        <item m="1" x="2079"/>
        <item m="1" x="2906"/>
        <item m="1" x="2999"/>
        <item m="1" x="4074"/>
        <item m="1" x="5255"/>
        <item m="1" x="404"/>
        <item m="1" x="5321"/>
        <item m="1" x="1260"/>
        <item m="1" x="1863"/>
        <item m="1" x="2758"/>
        <item m="1" x="3758"/>
        <item m="1" x="5009"/>
        <item m="1" x="4525"/>
        <item m="1" x="5724"/>
        <item m="1" x="3061"/>
        <item m="1" x="4180"/>
        <item m="1" x="5387"/>
        <item m="1" x="5453"/>
        <item m="1" x="720"/>
        <item m="1" x="1070"/>
        <item m="1" x="1603"/>
        <item m="1" x="5642"/>
        <item m="1" x="1678"/>
        <item m="1" x="2431"/>
        <item m="1" x="3467"/>
        <item m="1" x="4614"/>
        <item m="1" x="647"/>
        <item m="1" x="4137"/>
        <item m="1" x="5338"/>
        <item m="1" x="1486"/>
        <item m="1" x="3163"/>
        <item m="1" x="1401"/>
        <item m="1" x="2080"/>
        <item m="1" x="2907"/>
        <item m="1" x="3000"/>
        <item m="1" x="4075"/>
        <item m="1" x="5256"/>
        <item m="1" x="5322"/>
        <item m="1" x="848"/>
        <item m="1" x="1261"/>
        <item m="1" x="1864"/>
        <item m="1" x="1945"/>
        <item m="1" x="2759"/>
        <item m="1" x="3759"/>
        <item m="1" x="3846"/>
        <item m="1" x="5010"/>
        <item m="1" x="762"/>
        <item m="1" x="4526"/>
        <item m="1" x="5725"/>
        <item m="1" x="1766"/>
        <item m="1" x="3548"/>
        <item m="1" x="801"/>
        <item m="1" x="1190"/>
        <item m="1" x="1800"/>
        <item m="1" x="2585"/>
        <item m="1" x="1865"/>
        <item m="1" x="2651"/>
        <item m="1" x="3652"/>
        <item m="1" x="4833"/>
        <item m="1" x="3760"/>
        <item m="1" x="4924"/>
        <item m="1" x="548"/>
        <item m="1" x="721"/>
        <item m="1" x="1071"/>
        <item m="1" x="1604"/>
        <item m="1" x="5643"/>
        <item m="1" x="1122"/>
        <item m="1" x="1679"/>
        <item m="1" x="2432"/>
        <item m="1" x="2523"/>
        <item m="1" x="3468"/>
        <item m="1" x="4615"/>
        <item m="1" x="526"/>
        <item m="1" x="648"/>
        <item m="1" x="4138"/>
        <item m="1" x="5339"/>
        <item m="1" x="1002"/>
        <item m="1" x="1487"/>
        <item m="1" x="2274"/>
        <item m="1" x="3164"/>
        <item m="1" x="503"/>
        <item m="1" x="2792"/>
        <item m="1" x="3854"/>
        <item m="1" x="5025"/>
        <item m="1" x="905"/>
        <item m="1" x="5091"/>
        <item m="1" x="2081"/>
        <item m="1" x="2705"/>
        <item m="1" x="3702"/>
        <item m="1" x="4877"/>
        <item m="1" x="4963"/>
        <item m="1" x="929"/>
        <item m="1" x="5133"/>
        <item m="1" x="2123"/>
        <item m="1" x="4106"/>
        <item m="1" x="3613"/>
        <item m="1" x="4802"/>
        <item m="1" x="5986"/>
        <item m="1" x="6058"/>
        <item m="1" x="1640"/>
        <item m="1" x="2395"/>
        <item m="1" x="3348"/>
        <item m="1" x="4479"/>
        <item m="1" x="3411"/>
        <item m="1" x="4569"/>
        <item m="1" x="5766"/>
        <item m="1" x="5838"/>
        <item m="1" x="975"/>
        <item m="1" x="1461"/>
        <item m="1" x="2166"/>
        <item m="1" x="2220"/>
        <item m="1" x="3106"/>
        <item m="1" x="4221"/>
        <item m="1" x="4316"/>
        <item m="1" x="5508"/>
        <item m="1" x="619"/>
        <item m="1" x="887"/>
        <item m="1" x="1305"/>
        <item m="1" x="1364"/>
        <item m="1" x="2036"/>
        <item m="1" x="2860"/>
        <item m="1" x="2962"/>
        <item m="1" x="4030"/>
        <item m="1" x="5209"/>
        <item m="1" x="2275"/>
        <item m="1" x="3165"/>
        <item m="1" x="4264"/>
        <item m="1" x="4361"/>
        <item m="1" x="5553"/>
        <item m="1" x="435"/>
        <item m="1" x="1402"/>
        <item m="1" x="2082"/>
        <item m="1" x="2908"/>
        <item m="1" x="3001"/>
        <item m="1" x="4076"/>
        <item m="1" x="5257"/>
        <item m="1" x="405"/>
        <item m="1" x="5323"/>
        <item m="1" x="1262"/>
        <item m="1" x="1866"/>
        <item m="1" x="2760"/>
        <item m="1" x="3761"/>
        <item m="1" x="5011"/>
        <item m="1" x="4527"/>
        <item m="1" x="5726"/>
        <item m="1" x="3062"/>
        <item m="1" x="4181"/>
        <item m="1" x="5388"/>
        <item m="1" x="5454"/>
        <item m="1" x="722"/>
        <item m="1" x="1072"/>
        <item m="1" x="1605"/>
        <item m="1" x="5644"/>
        <item m="1" x="1680"/>
        <item m="1" x="2433"/>
        <item m="1" x="3469"/>
        <item m="1" x="4616"/>
        <item m="1" x="649"/>
        <item m="1" x="4139"/>
        <item m="1" x="5340"/>
        <item m="1" x="1488"/>
        <item m="1" x="3166"/>
        <item m="1" x="2793"/>
        <item m="1" x="3855"/>
        <item m="1" x="5026"/>
        <item m="1" x="5092"/>
        <item m="1" x="2706"/>
        <item m="1" x="3703"/>
        <item m="1" x="4878"/>
        <item m="1" x="4964"/>
        <item m="1" x="462"/>
        <item m="1" x="1731"/>
        <item m="1" x="2476"/>
        <item m="1" x="3412"/>
        <item m="1" x="3513"/>
        <item m="1" x="4659"/>
        <item m="1" x="5839"/>
        <item m="1" x="452"/>
        <item m="1" x="5918"/>
        <item m="1" x="763"/>
        <item m="1" x="4528"/>
        <item m="1" x="5727"/>
        <item m="1" x="1767"/>
        <item m="1" x="3549"/>
        <item m="1" x="3063"/>
        <item m="1" x="4182"/>
        <item m="1" x="5389"/>
        <item m="1" x="5455"/>
        <item m="1" x="1991"/>
        <item m="1" x="2832"/>
        <item m="1" x="3901"/>
        <item m="1" x="3976"/>
        <item m="1" x="5172"/>
        <item m="1" x="802"/>
        <item m="1" x="1191"/>
        <item m="1" x="1801"/>
        <item m="1" x="2586"/>
        <item m="1" x="1867"/>
        <item m="1" x="2652"/>
        <item m="1" x="3653"/>
        <item m="1" x="4834"/>
        <item m="1" x="3762"/>
        <item m="1" x="4925"/>
        <item m="1" x="549"/>
        <item m="1" x="723"/>
        <item m="1" x="1073"/>
        <item m="1" x="1606"/>
        <item m="1" x="5645"/>
        <item m="1" x="1123"/>
        <item m="1" x="1681"/>
        <item m="1" x="2434"/>
        <item m="1" x="2524"/>
        <item m="1" x="3470"/>
        <item m="1" x="4617"/>
        <item m="1" x="2707"/>
        <item m="1" x="3704"/>
        <item m="1" x="4879"/>
        <item m="1" x="4965"/>
        <item m="1" x="1154"/>
        <item m="1" x="1732"/>
        <item m="1" x="2477"/>
        <item m="1" x="3413"/>
        <item m="1" x="2555"/>
        <item m="1" x="3514"/>
        <item m="1" x="4660"/>
        <item m="1" x="5840"/>
        <item m="1" x="4741"/>
        <item m="1" x="5919"/>
        <item m="1" x="1033"/>
        <item m="1" x="1542"/>
        <item m="1" x="2321"/>
        <item m="1" x="3236"/>
        <item m="1" x="4420"/>
        <item m="1" x="5589"/>
        <item m="1" x="930"/>
        <item m="1" x="5134"/>
        <item m="1" x="2124"/>
        <item m="1" x="4107"/>
        <item m="1" x="3614"/>
        <item m="1" x="4803"/>
        <item m="1" x="5987"/>
        <item m="1" x="6059"/>
        <item m="1" x="620"/>
        <item m="1" x="888"/>
        <item m="1" x="1306"/>
        <item m="1" x="1365"/>
        <item m="1" x="2037"/>
        <item m="1" x="2861"/>
        <item m="1" x="2963"/>
        <item m="1" x="4031"/>
        <item m="1" x="5210"/>
        <item m="1" x="576"/>
        <item m="1" x="774"/>
        <item m="1" x="4749"/>
        <item m="1" x="5931"/>
        <item m="1" x="1225"/>
        <item m="1" x="1825"/>
        <item m="1" x="2708"/>
        <item m="1" x="3705"/>
        <item m="1" x="2353"/>
        <item m="1" x="3302"/>
        <item m="1" x="4428"/>
        <item m="1" x="5597"/>
        <item m="1" x="4480"/>
        <item m="1" x="5684"/>
        <item m="1" x="2276"/>
        <item m="1" x="3167"/>
        <item m="1" x="4265"/>
        <item m="1" x="4362"/>
        <item m="1" x="5554"/>
        <item m="1" x="436"/>
        <item m="1" x="1403"/>
        <item m="1" x="2083"/>
        <item m="1" x="2909"/>
        <item m="1" x="3002"/>
        <item m="1" x="4077"/>
        <item m="1" x="5258"/>
        <item m="1" x="406"/>
        <item m="1" x="5324"/>
        <item m="1" x="3064"/>
        <item m="1" x="4183"/>
        <item m="1" x="5390"/>
        <item m="1" x="5456"/>
        <item m="1" x="1992"/>
        <item m="1" x="2833"/>
        <item m="1" x="3902"/>
        <item m="1" x="3977"/>
        <item m="1" x="5173"/>
        <item m="1" x="803"/>
        <item m="1" x="1192"/>
        <item m="1" x="1802"/>
        <item m="1" x="2587"/>
        <item m="1" x="1868"/>
        <item m="1" x="2653"/>
        <item m="1" x="3654"/>
        <item m="1" x="4835"/>
        <item m="1" x="3763"/>
        <item m="1" x="4926"/>
        <item m="1" x="724"/>
        <item m="1" x="1074"/>
        <item m="1" x="1607"/>
        <item m="1" x="5646"/>
        <item m="1" x="1682"/>
        <item m="1" x="2435"/>
        <item m="1" x="3471"/>
        <item m="1" x="4618"/>
        <item m="1" x="650"/>
        <item m="1" x="4140"/>
        <item m="1" x="5341"/>
        <item m="1" x="1489"/>
        <item m="1" x="3168"/>
        <item m="1" x="1404"/>
        <item m="1" x="2084"/>
        <item m="1" x="2910"/>
        <item m="1" x="3003"/>
        <item m="1" x="4078"/>
        <item m="1" x="5259"/>
        <item m="1" x="5325"/>
        <item m="1" x="849"/>
        <item m="1" x="1263"/>
        <item m="1" x="1869"/>
        <item m="1" x="1946"/>
        <item m="1" x="2761"/>
        <item m="1" x="3764"/>
        <item m="1" x="3847"/>
        <item m="1" x="5012"/>
        <item m="1" x="764"/>
        <item m="1" x="4529"/>
        <item m="1" x="5728"/>
        <item m="1" x="1768"/>
        <item m="1" x="3550"/>
        <item m="1" x="3065"/>
        <item m="1" x="4184"/>
        <item m="1" x="5391"/>
        <item m="1" x="5457"/>
        <item m="1" x="1993"/>
        <item m="1" x="2834"/>
        <item m="1" x="3903"/>
        <item m="1" x="3978"/>
        <item m="1" x="5174"/>
        <item m="1" x="527"/>
        <item m="1" x="651"/>
        <item m="1" x="4141"/>
        <item m="1" x="5342"/>
        <item m="1" x="1003"/>
        <item m="1" x="1490"/>
        <item m="1" x="2277"/>
        <item m="1" x="3169"/>
        <item m="1" x="504"/>
        <item m="1" x="2794"/>
        <item m="1" x="3856"/>
        <item m="1" x="5027"/>
        <item m="1" x="906"/>
        <item m="1" x="5093"/>
        <item m="1" x="2085"/>
        <item m="1" x="2709"/>
        <item m="1" x="3706"/>
        <item m="1" x="4880"/>
        <item m="1" x="4966"/>
        <item m="1" x="1155"/>
        <item m="1" x="1733"/>
        <item m="1" x="2478"/>
        <item m="1" x="3414"/>
        <item m="1" x="2556"/>
        <item m="1" x="3515"/>
        <item m="1" x="4661"/>
        <item m="1" x="5841"/>
        <item m="1" x="4742"/>
        <item m="1" x="5920"/>
        <item m="1" x="1034"/>
        <item m="1" x="1543"/>
        <item m="1" x="2322"/>
        <item m="1" x="3237"/>
        <item m="1" x="4421"/>
        <item m="1" x="5590"/>
        <item m="1" x="1641"/>
        <item m="1" x="2396"/>
        <item m="1" x="3349"/>
        <item m="1" x="4481"/>
        <item m="1" x="3415"/>
        <item m="1" x="4570"/>
        <item m="1" x="5767"/>
        <item m="1" x="5842"/>
        <item m="1" x="976"/>
        <item m="1" x="1462"/>
        <item m="1" x="2167"/>
        <item m="1" x="2221"/>
        <item m="1" x="3107"/>
        <item m="1" x="4222"/>
        <item m="1" x="4317"/>
        <item m="1" x="5509"/>
        <item m="1" x="621"/>
        <item m="1" x="889"/>
        <item m="1" x="1307"/>
        <item m="1" x="1366"/>
        <item m="1" x="2038"/>
        <item m="1" x="2862"/>
        <item m="1" x="2964"/>
        <item m="1" x="4032"/>
        <item m="1" x="5211"/>
        <item m="1" x="577"/>
        <item m="1" x="775"/>
        <item m="1" x="4750"/>
        <item m="1" x="5932"/>
        <item m="1" x="1226"/>
        <item m="1" x="1826"/>
        <item m="1" x="2710"/>
        <item m="1" x="3707"/>
        <item m="1" x="2354"/>
        <item m="1" x="3303"/>
        <item m="1" x="4429"/>
        <item m="1" x="5598"/>
        <item m="1" x="4482"/>
        <item m="1" x="5685"/>
        <item m="1" x="1264"/>
        <item m="1" x="1870"/>
        <item m="1" x="2762"/>
        <item m="1" x="3765"/>
        <item m="1" x="5013"/>
        <item m="1" x="4530"/>
        <item m="1" x="5729"/>
        <item m="1" x="3066"/>
        <item m="1" x="4185"/>
        <item m="1" x="5392"/>
        <item m="1" x="5458"/>
        <item m="1" x="1994"/>
        <item m="1" x="2835"/>
        <item m="1" x="3904"/>
        <item m="1" x="3979"/>
        <item m="1" x="5175"/>
        <item m="1" x="804"/>
        <item m="1" x="1193"/>
        <item m="1" x="1803"/>
        <item m="1" x="2588"/>
        <item m="1" x="1871"/>
        <item m="1" x="2654"/>
        <item m="1" x="3655"/>
        <item m="1" x="4836"/>
        <item m="1" x="3766"/>
        <item m="1" x="4927"/>
        <item m="1" x="2795"/>
        <item m="1" x="3857"/>
        <item m="1" x="5028"/>
        <item m="1" x="5094"/>
        <item m="1" x="2711"/>
        <item m="1" x="3708"/>
        <item m="1" x="4881"/>
        <item m="1" x="4967"/>
        <item m="1" x="463"/>
        <item m="1" x="1734"/>
        <item m="1" x="2479"/>
        <item m="1" x="3416"/>
        <item m="1" x="3516"/>
        <item m="1" x="4662"/>
        <item m="1" x="5843"/>
        <item m="1" x="453"/>
        <item m="1" x="5921"/>
        <item m="1" x="1405"/>
        <item m="1" x="2086"/>
        <item m="1" x="2911"/>
        <item m="1" x="3004"/>
        <item m="1" x="4079"/>
        <item m="1" x="5260"/>
        <item m="1" x="5326"/>
        <item m="1" x="850"/>
        <item m="1" x="1265"/>
        <item m="1" x="1872"/>
        <item m="1" x="1947"/>
        <item m="1" x="2763"/>
        <item m="1" x="3767"/>
        <item m="1" x="3848"/>
        <item m="1" x="5014"/>
        <item m="1" x="1995"/>
        <item m="1" x="2836"/>
        <item m="1" x="3905"/>
        <item m="1" x="3980"/>
        <item m="1" x="5176"/>
        <item m="1" x="805"/>
        <item m="1" x="1194"/>
        <item m="1" x="1804"/>
        <item m="1" x="2589"/>
        <item m="1" x="1873"/>
        <item m="1" x="2655"/>
        <item m="1" x="3656"/>
        <item m="1" x="4837"/>
        <item m="1" x="3768"/>
        <item m="1" x="4928"/>
        <item m="1" x="550"/>
        <item m="1" x="725"/>
        <item m="1" x="1075"/>
        <item m="1" x="1608"/>
        <item m="1" x="1124"/>
        <item m="1" x="1683"/>
        <item m="1" x="2436"/>
        <item m="1" x="2525"/>
        <item m="1" x="3472"/>
        <item m="1" x="4619"/>
        <item m="1" x="528"/>
        <item m="1" x="652"/>
        <item m="1" x="4142"/>
        <item m="1" x="5343"/>
        <item m="1" x="1004"/>
        <item m="1" x="1491"/>
        <item m="1" x="2278"/>
        <item m="1" x="3170"/>
        <item m="1" x="505"/>
        <item m="1" x="2796"/>
        <item m="1" x="3858"/>
        <item m="1" x="5029"/>
        <item m="1" x="907"/>
        <item m="1" x="5095"/>
        <item m="1" x="2087"/>
        <item m="1" x="1035"/>
        <item m="1" x="1544"/>
        <item m="1" x="2323"/>
        <item m="1" x="3238"/>
        <item m="1" x="4422"/>
        <item m="1" x="5591"/>
        <item m="1" x="931"/>
        <item m="1" x="5135"/>
        <item m="1" x="2125"/>
        <item m="1" x="4108"/>
        <item m="1" x="3615"/>
        <item m="1" x="4804"/>
        <item m="1" x="5988"/>
        <item m="1" x="6060"/>
        <item m="1" x="1642"/>
        <item m="1" x="2397"/>
        <item m="1" x="3350"/>
        <item m="1" x="4483"/>
        <item m="1" x="3417"/>
        <item m="1" x="4571"/>
        <item m="1" x="5768"/>
        <item m="1" x="5844"/>
        <item m="1" x="977"/>
        <item m="1" x="1463"/>
        <item m="1" x="2168"/>
        <item m="1" x="2222"/>
        <item m="1" x="3108"/>
        <item m="1" x="4223"/>
        <item m="1" x="4318"/>
        <item m="1" x="5510"/>
        <item m="1" x="2355"/>
        <item m="1" x="3304"/>
        <item m="1" x="4430"/>
        <item m="1" x="5599"/>
        <item m="1" x="4484"/>
        <item m="1" x="5686"/>
        <item m="1" x="2279"/>
        <item m="1" x="3171"/>
        <item m="1" x="4266"/>
        <item m="1" x="4363"/>
        <item m="1" x="5555"/>
        <item m="1" x="437"/>
        <item m="1" x="1406"/>
        <item m="1" x="2088"/>
        <item m="1" x="2912"/>
        <item m="1" x="3005"/>
        <item m="1" x="4080"/>
        <item m="1" x="5261"/>
        <item m="1" x="407"/>
        <item m="1" x="5327"/>
        <item m="1" x="1266"/>
        <item m="1" x="1874"/>
        <item m="1" x="2764"/>
        <item m="1" x="3769"/>
        <item m="1" x="5015"/>
        <item m="1" x="4531"/>
        <item m="1" x="5730"/>
        <item m="1" x="806"/>
        <item m="1" x="1195"/>
        <item m="1" x="1805"/>
        <item m="1" x="2590"/>
        <item m="1" x="1875"/>
        <item m="1" x="2656"/>
        <item m="1" x="3657"/>
        <item m="1" x="4838"/>
        <item m="1" x="3770"/>
        <item m="1" x="4929"/>
        <item m="1" x="726"/>
        <item m="1" x="1076"/>
        <item m="1" x="1609"/>
        <item m="1" x="1684"/>
        <item m="1" x="2437"/>
        <item m="1" x="3473"/>
        <item m="1" x="4620"/>
        <item m="1" x="653"/>
        <item m="1" x="4143"/>
        <item m="1" x="5344"/>
        <item m="1" x="1492"/>
        <item m="1" x="3172"/>
        <item m="1" x="2797"/>
        <item m="1" x="3859"/>
        <item m="1" x="5030"/>
        <item m="1" x="5096"/>
        <item m="1" x="2712"/>
        <item m="1" x="3709"/>
        <item m="1" x="4882"/>
        <item m="1" x="4968"/>
        <item m="1" x="464"/>
        <item m="1" x="765"/>
        <item m="1" x="4532"/>
        <item m="1" x="5731"/>
        <item m="1" x="1769"/>
        <item m="1" x="3551"/>
        <item m="1" x="3067"/>
        <item m="1" x="4186"/>
        <item m="1" x="5393"/>
        <item m="1" x="5459"/>
        <item m="1" x="1996"/>
        <item m="1" x="2837"/>
        <item m="1" x="3906"/>
        <item m="1" x="3981"/>
        <item m="1" x="5177"/>
        <item m="1" x="807"/>
        <item m="1" x="1196"/>
        <item m="1" x="1806"/>
        <item m="1" x="2591"/>
        <item m="1" x="1876"/>
        <item m="1" x="2657"/>
        <item m="1" x="3658"/>
        <item m="1" x="4839"/>
        <item m="1" x="3771"/>
        <item m="1" x="4930"/>
        <item m="1" x="551"/>
        <item m="1" x="727"/>
        <item m="1" x="1077"/>
        <item m="1" x="1610"/>
        <item m="1" x="5647"/>
        <item m="1" x="1125"/>
        <item m="1" x="1685"/>
        <item m="1" x="2438"/>
        <item m="1" x="2526"/>
        <item m="1" x="3474"/>
        <item m="1" x="4621"/>
        <item m="1" x="2713"/>
        <item m="1" x="3710"/>
        <item m="1" x="4883"/>
        <item m="1" x="4969"/>
        <item m="1" x="1156"/>
        <item m="1" x="1735"/>
        <item m="1" x="2480"/>
        <item m="1" x="3418"/>
        <item m="1" x="2557"/>
        <item m="1" x="3517"/>
        <item m="1" x="4663"/>
        <item m="1" x="5845"/>
        <item m="1" x="4743"/>
        <item m="1" x="5922"/>
        <item m="1" x="1036"/>
        <item m="1" x="1545"/>
        <item m="1" x="2324"/>
        <item m="1" x="3239"/>
        <item m="1" x="4423"/>
        <item m="1" x="5592"/>
        <item m="1" x="932"/>
        <item m="1" x="5136"/>
        <item m="1" x="2126"/>
        <item m="1" x="4109"/>
        <item m="1" x="3616"/>
        <item m="1" x="4805"/>
        <item m="1" x="5989"/>
        <item m="1" x="6061"/>
        <item m="1" x="622"/>
        <item m="1" x="890"/>
        <item m="1" x="1308"/>
        <item m="1" x="1367"/>
        <item m="1" x="2039"/>
        <item m="1" x="2863"/>
        <item m="1" x="2965"/>
        <item m="1" x="4033"/>
        <item m="1" x="5212"/>
        <item m="1" x="578"/>
        <item m="1" x="776"/>
        <item m="1" x="4751"/>
        <item m="1" x="5933"/>
        <item m="1" x="1227"/>
        <item m="1" x="1827"/>
        <item m="1" x="2714"/>
        <item m="1" x="3711"/>
        <item m="1" x="2356"/>
        <item m="1" x="3305"/>
        <item m="1" x="4431"/>
        <item m="1" x="5600"/>
        <item m="1" x="4485"/>
        <item m="1" x="5687"/>
        <item m="1" x="2280"/>
        <item m="1" x="3173"/>
        <item m="1" x="4267"/>
        <item m="1" x="4364"/>
        <item m="1" x="5556"/>
        <item m="1" x="438"/>
        <item m="1" x="1407"/>
        <item m="1" x="2089"/>
        <item m="1" x="2913"/>
        <item m="1" x="3006"/>
        <item m="1" x="4081"/>
        <item m="1" x="5262"/>
        <item m="1" x="408"/>
        <item m="1" x="5328"/>
        <item m="1" x="3068"/>
        <item m="1" x="4187"/>
        <item m="1" x="5394"/>
        <item m="1" x="5460"/>
        <item m="1" x="1997"/>
        <item m="1" x="2838"/>
        <item m="1" x="3907"/>
        <item m="1" x="3982"/>
        <item m="1" x="5178"/>
        <item m="1" x="808"/>
        <item m="1" x="1197"/>
        <item m="1" x="1807"/>
        <item m="1" x="2592"/>
        <item m="1" x="1877"/>
        <item m="1" x="2658"/>
        <item m="1" x="3659"/>
        <item m="1" x="4840"/>
        <item m="1" x="3772"/>
        <item m="1" x="4931"/>
        <item m="1" x="728"/>
        <item m="1" x="1078"/>
        <item m="1" x="1611"/>
        <item m="1" x="5648"/>
        <item m="1" x="1686"/>
        <item m="1" x="2439"/>
        <item m="1" x="3475"/>
        <item m="1" x="4622"/>
        <item m="1" x="654"/>
        <item m="1" x="4144"/>
        <item m="1" x="5345"/>
        <item m="1" x="1493"/>
        <item m="1" x="3174"/>
        <item m="1" x="1736"/>
        <item m="1" x="2481"/>
        <item m="1" x="3419"/>
        <item m="1" x="3518"/>
        <item m="1" x="4664"/>
        <item m="1" x="5846"/>
        <item m="1" x="454"/>
        <item m="1" x="5923"/>
        <item m="1" x="1408"/>
        <item m="1" x="2090"/>
        <item m="1" x="2914"/>
        <item m="1" x="3007"/>
        <item m="1" x="4082"/>
        <item m="1" x="5263"/>
        <item m="1" x="5329"/>
        <item m="1" x="851"/>
        <item m="1" x="1267"/>
        <item m="1" x="1878"/>
        <item m="1" x="1948"/>
        <item m="1" x="2765"/>
        <item m="1" x="3773"/>
        <item m="1" x="3849"/>
        <item m="1" x="5016"/>
        <item m="1" x="766"/>
        <item m="1" x="4533"/>
        <item m="1" x="5732"/>
        <item m="1" x="1770"/>
        <item m="1" x="3552"/>
        <item m="1" x="3069"/>
        <item m="1" x="4188"/>
        <item m="1" x="5395"/>
        <item m="1" x="5461"/>
        <item m="1" x="552"/>
        <item m="1" x="729"/>
        <item m="1" x="1079"/>
        <item m="1" x="1612"/>
        <item m="1" x="5649"/>
        <item m="1" x="1126"/>
        <item m="1" x="1687"/>
        <item m="1" x="2440"/>
        <item m="1" x="2527"/>
        <item m="1" x="3476"/>
        <item m="1" x="4623"/>
        <item m="1" x="529"/>
        <item m="1" x="655"/>
        <item m="1" x="4145"/>
        <item m="1" x="5346"/>
        <item m="1" x="1005"/>
        <item m="1" x="1494"/>
        <item m="1" x="2281"/>
        <item m="1" x="3175"/>
        <item m="1" x="506"/>
        <item m="1" x="2798"/>
        <item m="1" x="3860"/>
        <item m="1" x="5031"/>
        <item m="1" x="908"/>
        <item m="1" x="5097"/>
        <item m="1" x="2091"/>
        <item m="1" x="2715"/>
        <item m="1" x="3712"/>
        <item m="1" x="4884"/>
        <item m="1" x="4970"/>
        <item m="1" x="1157"/>
        <item m="1" x="1737"/>
        <item m="1" x="2482"/>
        <item m="1" x="3420"/>
        <item m="1" x="2558"/>
        <item m="1" x="3519"/>
        <item m="1" x="4665"/>
        <item m="1" x="5847"/>
        <item m="1" x="4744"/>
        <item m="1" x="5924"/>
        <item m="1" x="3617"/>
        <item m="1" x="4806"/>
        <item m="1" x="5990"/>
        <item m="1" x="1643"/>
        <item m="1" x="2398"/>
        <item m="1" x="3351"/>
        <item m="1" x="4486"/>
        <item m="1" x="3421"/>
        <item m="1" x="4572"/>
        <item m="1" x="5769"/>
        <item m="1" x="5848"/>
        <item m="1" x="978"/>
        <item m="1" x="1464"/>
        <item m="1" x="2169"/>
        <item m="1" x="2223"/>
        <item m="1" x="3109"/>
        <item m="1" x="4224"/>
        <item m="1" x="4319"/>
        <item m="1" x="5511"/>
        <item m="1" x="623"/>
        <item m="1" x="891"/>
        <item m="1" x="1309"/>
        <item m="1" x="1368"/>
        <item m="1" x="2040"/>
        <item m="1" x="2864"/>
        <item m="1" x="2966"/>
        <item m="1" x="4034"/>
        <item m="1" x="5213"/>
        <item m="1" x="579"/>
        <item m="1" x="777"/>
        <item m="1" x="4752"/>
        <item m="1" x="5934"/>
        <item m="1" x="1228"/>
        <item m="1" x="1828"/>
        <item m="1" x="2716"/>
        <item m="1" x="3713"/>
        <item m="1" x="1409"/>
        <item m="1" x="2092"/>
        <item m="1" x="2915"/>
        <item m="1" x="3008"/>
        <item m="1" x="4083"/>
        <item m="1" x="5264"/>
        <item m="1" x="409"/>
        <item m="1" x="5330"/>
        <item m="1" x="1268"/>
        <item m="1" x="1879"/>
        <item m="1" x="2766"/>
        <item m="1" x="3774"/>
        <item m="1" x="5017"/>
        <item m="1" x="4534"/>
        <item m="1" x="5733"/>
        <item m="1" x="3070"/>
        <item m="1" x="4189"/>
        <item m="1" x="5396"/>
        <item m="1" x="5462"/>
        <item m="1" x="1998"/>
        <item m="1" x="2839"/>
        <item m="1" x="3908"/>
        <item m="1" x="3983"/>
        <item m="1" x="5179"/>
        <item m="1" x="656"/>
        <item m="1" x="4146"/>
        <item m="1" x="5347"/>
        <item m="1" x="1495"/>
        <item m="1" x="3176"/>
        <item m="1" x="2799"/>
        <item m="1" x="3861"/>
        <item m="1" x="5032"/>
        <item m="1" x="5098"/>
        <item m="1" x="2717"/>
        <item m="1" x="3714"/>
        <item m="1" x="4885"/>
        <item m="1" x="4971"/>
        <item m="1" x="465"/>
        <item m="1" x="1738"/>
        <item m="1" x="2483"/>
        <item m="1" x="3422"/>
        <item m="1" x="3520"/>
        <item m="1" x="4666"/>
        <item m="1" x="5849"/>
        <item m="1" x="455"/>
        <item m="1" x="5925"/>
        <item m="1" x="1410"/>
        <item m="1" x="2093"/>
        <item m="1" x="2916"/>
        <item m="1" x="3009"/>
        <item m="1" x="4084"/>
        <item m="1" x="5265"/>
        <item m="1" x="5331"/>
        <item m="1" x="3071"/>
        <item m="1" x="4190"/>
        <item m="1" x="5397"/>
        <item m="1" x="5463"/>
        <item m="1" x="1999"/>
        <item m="1" x="2840"/>
        <item m="1" x="3909"/>
        <item m="1" x="3984"/>
        <item m="1" x="5180"/>
        <item m="1" x="809"/>
        <item m="1" x="1198"/>
        <item m="1" x="1808"/>
        <item m="1" x="2593"/>
        <item m="1" x="1880"/>
        <item m="1" x="2659"/>
        <item m="1" x="3660"/>
        <item m="1" x="4841"/>
        <item m="1" x="3775"/>
        <item m="1" x="4932"/>
        <item m="1" x="553"/>
        <item m="1" x="730"/>
        <item m="1" x="1080"/>
        <item m="1" x="1613"/>
        <item m="1" x="5650"/>
        <item m="1" x="1127"/>
        <item m="1" x="1688"/>
        <item m="1" x="2441"/>
        <item m="1" x="2528"/>
        <item m="1" x="3477"/>
        <item m="1" x="4624"/>
        <item m="1" x="530"/>
        <item m="1" x="657"/>
        <item m="1" x="4147"/>
        <item m="1" x="5348"/>
        <item m="1" x="1006"/>
        <item m="1" x="1496"/>
        <item m="1" x="2282"/>
        <item m="1" x="3177"/>
        <item m="1" x="1158"/>
        <item m="1" x="1739"/>
        <item m="1" x="2484"/>
        <item m="1" x="3423"/>
        <item m="1" x="2559"/>
        <item m="1" x="3521"/>
        <item m="1" x="4667"/>
        <item m="1" x="5850"/>
        <item m="1" x="4745"/>
        <item m="1" x="5926"/>
        <item m="1" x="1037"/>
        <item m="1" x="1546"/>
        <item m="1" x="2325"/>
        <item m="1" x="3240"/>
        <item m="1" x="4424"/>
        <item m="1" x="5593"/>
        <item m="1" x="933"/>
        <item m="1" x="5137"/>
        <item m="1" x="2127"/>
        <item m="1" x="4110"/>
        <item m="1" x="3618"/>
        <item m="1" x="4807"/>
        <item m="1" x="5991"/>
        <item m="1" x="1644"/>
        <item m="1" x="2399"/>
        <item m="1" x="3352"/>
        <item m="1" x="4487"/>
        <item m="1" x="3424"/>
        <item m="1" x="4573"/>
        <item m="1" x="5770"/>
        <item m="1" x="5851"/>
        <item m="1" x="580"/>
        <item m="1" x="778"/>
        <item m="1" x="4753"/>
        <item m="1" x="5935"/>
        <item m="1" x="1229"/>
        <item m="1" x="1829"/>
        <item m="1" x="2718"/>
        <item m="1" x="3715"/>
        <item m="1" x="2357"/>
        <item m="1" x="3306"/>
        <item m="1" x="4432"/>
        <item m="1" x="5601"/>
        <item m="1" x="4488"/>
        <item m="1" x="5688"/>
        <item m="1" x="2283"/>
        <item m="1" x="3178"/>
        <item m="1" x="4268"/>
        <item m="1" x="4365"/>
        <item m="1" x="5557"/>
        <item m="1" x="439"/>
        <item m="1" x="1411"/>
        <item m="1" x="2094"/>
        <item m="1" x="2917"/>
        <item m="1" x="3010"/>
        <item m="1" x="4085"/>
        <item m="1" x="5266"/>
        <item m="1" x="410"/>
        <item m="1" x="5332"/>
        <item m="1" x="1269"/>
        <item m="1" x="1881"/>
        <item m="1" x="2767"/>
        <item m="1" x="3776"/>
        <item m="1" x="5018"/>
        <item m="1" x="2000"/>
        <item m="1" x="2841"/>
        <item m="1" x="3910"/>
        <item m="1" x="3985"/>
        <item m="1" x="5181"/>
        <item m="1" x="810"/>
        <item m="1" x="1199"/>
        <item m="1" x="1809"/>
        <item m="1" x="2594"/>
        <item m="1" x="1882"/>
        <item m="1" x="2660"/>
        <item m="1" x="3661"/>
        <item m="1" x="4842"/>
        <item m="1" x="3777"/>
        <item m="1" x="4933"/>
        <item m="1" x="731"/>
        <item m="1" x="1081"/>
        <item m="1" x="1614"/>
        <item m="1" x="5651"/>
        <item m="1" x="1689"/>
        <item m="1" x="2442"/>
        <item m="1" x="3478"/>
        <item m="1" x="4625"/>
        <item m="1" x="658"/>
        <item m="1" x="4148"/>
        <item m="1" x="5349"/>
        <item m="1" x="1497"/>
        <item m="1" x="3179"/>
        <item m="1" x="2800"/>
        <item m="1" x="3862"/>
        <item m="1" x="5033"/>
        <item m="1" x="5099"/>
        <item m="1" x="852"/>
        <item m="1" x="1270"/>
        <item m="1" x="6023"/>
        <item m="1" x="1949"/>
        <item m="1" x="2768"/>
        <item m="1" x="3850"/>
        <item m="1" x="5019"/>
        <item m="1" x="767"/>
        <item m="1" x="4535"/>
        <item m="1" x="5734"/>
        <item m="1" x="1771"/>
        <item m="1" x="3553"/>
        <item m="1" x="2186"/>
        <item m="1" x="3072"/>
        <item m="1" x="4191"/>
        <item m="1" x="5398"/>
        <item m="1" x="4269"/>
        <item m="1" x="5464"/>
        <item m="1" x="1329"/>
        <item m="1" x="2001"/>
        <item m="1" x="2842"/>
        <item m="1" x="2918"/>
        <item m="1" x="3986"/>
        <item m="1" x="5182"/>
        <item m="1" x="5267"/>
        <item m="1" x="811"/>
        <item m="1" x="1200"/>
        <item m="1" x="1810"/>
        <item m="1" x="1883"/>
        <item m="1" x="2661"/>
        <item m="1" x="3662"/>
        <item m="1" x="3778"/>
        <item m="1" x="4934"/>
        <item m="1" x="1960"/>
        <item m="1" x="2801"/>
        <item m="1" x="3863"/>
        <item m="1" x="5034"/>
        <item m="1" x="3911"/>
        <item m="1" x="5100"/>
        <item m="1" x="1919"/>
        <item m="1" x="2719"/>
        <item m="1" x="3716"/>
        <item m="1" x="3811"/>
        <item m="1" x="4972"/>
        <item m="1" x="1159"/>
        <item m="1" x="1740"/>
        <item m="1" x="2485"/>
        <item m="1" x="2560"/>
        <item m="1" x="3522"/>
        <item m="1" x="4668"/>
        <item m="1" x="4746"/>
        <item m="1" x="5927"/>
        <item m="1" x="1038"/>
        <item m="1" x="1547"/>
        <item m="1" x="2326"/>
        <item m="1" x="3241"/>
        <item m="1" x="4425"/>
        <item m="1" x="5594"/>
        <item m="1" x="3942"/>
        <item m="1" x="5138"/>
        <item m="1" x="684"/>
        <item m="1" x="979"/>
        <item m="1" x="1465"/>
        <item m="1" x="2170"/>
        <item m="1" x="1548"/>
        <item m="1" x="2224"/>
        <item m="1" x="3110"/>
        <item m="1" x="4225"/>
        <item m="1" x="3242"/>
        <item m="1" x="4320"/>
        <item m="1" x="5512"/>
        <item m="1" x="624"/>
        <item m="1" x="892"/>
        <item m="1" x="5069"/>
        <item m="1" x="1369"/>
        <item m="1" x="2041"/>
        <item m="1" x="2967"/>
        <item m="1" x="4035"/>
        <item m="1" x="581"/>
        <item m="1" x="3576"/>
        <item m="1" x="4754"/>
        <item m="1" x="5936"/>
        <item m="1" x="1230"/>
        <item m="1" x="5992"/>
        <item m="1" x="2720"/>
        <item m="1" x="2358"/>
        <item m="1" x="3307"/>
        <item m="1" x="4433"/>
        <item m="1" x="4489"/>
        <item m="1" x="5689"/>
        <item m="1" x="1570"/>
        <item m="1" x="2284"/>
        <item m="1" x="3180"/>
        <item m="1" x="4270"/>
        <item m="1" x="3267"/>
        <item m="1" x="4366"/>
        <item m="1" x="5558"/>
        <item m="1" x="440"/>
        <item m="1" x="5635"/>
        <item m="1" x="4536"/>
        <item m="1" x="5735"/>
        <item m="1" x="2187"/>
        <item m="1" x="3073"/>
        <item m="1" x="4192"/>
        <item m="1" x="5399"/>
        <item m="1" x="4271"/>
        <item m="1" x="5465"/>
        <item m="1" x="1330"/>
        <item m="1" x="2002"/>
        <item m="1" x="2843"/>
        <item m="1" x="2919"/>
        <item m="1" x="3987"/>
        <item m="1" x="5183"/>
        <item m="1" x="5268"/>
        <item m="1" x="812"/>
        <item m="1" x="1201"/>
        <item m="1" x="1811"/>
        <item m="1" x="1884"/>
        <item m="1" x="2662"/>
        <item m="1" x="3663"/>
        <item m="1" x="3779"/>
        <item m="1" x="4935"/>
        <item m="1" x="732"/>
        <item m="1" x="1082"/>
        <item m="1" x="5652"/>
        <item m="1" x="1690"/>
        <item m="1" x="2443"/>
        <item m="1" x="3479"/>
        <item m="1" x="4626"/>
        <item m="1" x="1920"/>
        <item m="1" x="2721"/>
        <item m="1" x="3717"/>
        <item m="1" x="3812"/>
        <item m="1" x="4973"/>
        <item m="1" x="466"/>
        <item m="1" x="1741"/>
        <item m="1" x="2486"/>
        <item m="1" x="3523"/>
        <item m="1" x="4669"/>
        <item m="1" x="5928"/>
        <item m="1" x="948"/>
        <item m="1" x="1412"/>
        <item m="1" x="2095"/>
        <item m="1" x="2142"/>
        <item m="1" x="3011"/>
        <item m="1" x="4086"/>
        <item m="1" x="4134"/>
        <item m="1" x="5333"/>
        <item m="1" x="853"/>
        <item m="1" x="1271"/>
        <item m="1" x="6024"/>
        <item m="1" x="1950"/>
        <item m="1" x="2769"/>
        <item m="1" x="3851"/>
        <item m="1" x="5020"/>
        <item m="1" x="768"/>
        <item m="1" x="4537"/>
        <item m="1" x="5736"/>
        <item m="1" x="1772"/>
        <item m="1" x="3554"/>
        <item m="1" x="813"/>
        <item m="1" x="1202"/>
        <item m="1" x="1812"/>
        <item m="1" x="1885"/>
        <item m="1" x="2663"/>
        <item m="1" x="3664"/>
        <item m="1" x="3780"/>
        <item m="1" x="4936"/>
        <item m="1" x="554"/>
        <item m="1" x="733"/>
        <item m="1" x="1083"/>
        <item m="1" x="5653"/>
        <item m="1" x="1128"/>
        <item m="1" x="1691"/>
        <item m="1" x="2444"/>
        <item m="1" x="2529"/>
        <item m="1" x="3480"/>
        <item m="1" x="4627"/>
        <item m="1" x="531"/>
        <item m="1" x="659"/>
        <item m="1" x="3030"/>
        <item m="1" x="4149"/>
        <item m="1" x="5350"/>
        <item m="1" x="1007"/>
        <item m="1" x="5400"/>
        <item m="1" x="2285"/>
        <item m="1" x="1961"/>
        <item m="1" x="2802"/>
        <item m="1" x="3864"/>
        <item m="1" x="5035"/>
        <item m="1" x="3912"/>
        <item m="1" x="5101"/>
        <item m="1" x="1921"/>
        <item m="1" x="2722"/>
        <item m="1" x="3718"/>
        <item m="1" x="3813"/>
        <item m="1" x="4974"/>
        <item m="1" x="3943"/>
        <item m="1" x="5139"/>
        <item m="1" x="2618"/>
        <item m="1" x="3619"/>
        <item m="1" x="4808"/>
        <item m="1" x="4886"/>
        <item m="1" x="1645"/>
        <item m="1" x="2400"/>
        <item m="1" x="3353"/>
        <item m="1" x="3425"/>
        <item m="1" x="4574"/>
        <item m="1" x="5771"/>
        <item m="1" x="5852"/>
        <item m="1" x="685"/>
        <item m="1" x="980"/>
        <item m="1" x="1466"/>
        <item m="1" x="2171"/>
        <item m="1" x="1549"/>
        <item m="1" x="2225"/>
        <item m="1" x="3111"/>
        <item m="1" x="4226"/>
        <item m="1" x="3243"/>
        <item m="1" x="4321"/>
        <item m="1" x="5513"/>
        <item m="1" x="625"/>
        <item m="1" x="893"/>
        <item m="1" x="5070"/>
        <item m="1" x="1370"/>
        <item m="1" x="2042"/>
        <item m="1" x="2968"/>
        <item m="1" x="4036"/>
        <item m="1" x="1571"/>
        <item m="1" x="2286"/>
        <item m="1" x="3181"/>
        <item m="1" x="4272"/>
        <item m="1" x="3268"/>
        <item m="1" x="4367"/>
        <item m="1" x="5559"/>
        <item m="1" x="441"/>
        <item m="1" x="5636"/>
        <item m="1" x="1413"/>
        <item m="1" x="2096"/>
        <item m="1" x="3012"/>
        <item m="1" x="4087"/>
        <item m="1" x="411"/>
        <item m="1" x="5334"/>
        <item m="1" x="1272"/>
        <item m="1" x="6025"/>
        <item m="1" x="2770"/>
        <item m="1" x="5021"/>
        <item m="1" x="4538"/>
        <item m="1" x="5737"/>
        <item m="1" x="2188"/>
        <item m="1" x="3074"/>
        <item m="1" x="4193"/>
        <item m="1" x="5401"/>
        <item m="1" x="4273"/>
        <item m="1" x="5466"/>
        <item m="1" x="734"/>
        <item m="1" x="1084"/>
        <item m="1" x="5654"/>
        <item m="1" x="1692"/>
        <item m="1" x="2445"/>
        <item m="1" x="3481"/>
        <item m="1" x="4628"/>
        <item m="1" x="660"/>
        <item m="1" x="3031"/>
        <item m="1" x="4150"/>
        <item m="1" x="5351"/>
        <item m="1" x="5402"/>
        <item m="1" x="6278"/>
        <item m="1" x="6762"/>
        <item m="1" x="7185"/>
        <item m="1" x="7513"/>
        <item m="1" x="7763"/>
        <item m="1" x="3182"/>
        <item m="1" x="4274"/>
        <item m="1" x="5467"/>
        <item m="1" x="6313"/>
        <item m="1" x="592"/>
        <item m="1" x="860"/>
        <item m="1" x="1283"/>
        <item m="1" x="1962"/>
        <item m="1" x="2803"/>
        <item m="1" x="3865"/>
        <item m="1" x="5036"/>
        <item m="1" x="6120"/>
        <item m="1" x="6617"/>
        <item m="1" x="7056"/>
        <item m="1" x="1331"/>
        <item m="1" x="2003"/>
        <item m="1" x="2844"/>
        <item m="1" x="3913"/>
        <item m="1" x="5102"/>
        <item m="1" x="6149"/>
        <item m="1" x="6646"/>
        <item m="1" x="7085"/>
        <item m="1" x="7437"/>
        <item m="1" x="7707"/>
        <item m="1" x="2920"/>
        <item m="1" x="3988"/>
        <item m="1" x="5184"/>
        <item m="1" x="6183"/>
        <item m="1" x="1922"/>
        <item m="1" x="2723"/>
        <item m="1" x="3719"/>
        <item m="1" x="4887"/>
        <item m="1" x="6062"/>
        <item m="1" x="6567"/>
        <item m="1" x="7021"/>
        <item m="1" x="7397"/>
        <item m="1" x="7678"/>
        <item m="1" x="7871"/>
        <item m="1" x="3814"/>
        <item m="1" x="4975"/>
        <item m="1" x="6103"/>
        <item m="1" x="6600"/>
        <item m="1" x="7045"/>
        <item m="1" x="7420"/>
        <item m="1" x="7701"/>
        <item m="1" x="7894"/>
        <item m="1" x="7996"/>
        <item m="1" x="467"/>
        <item m="1" x="6134"/>
        <item m="1" x="6631"/>
        <item m="1" x="7070"/>
        <item m="1" x="7426"/>
        <item m="1" x="949"/>
        <item m="1" x="1414"/>
        <item m="1" x="2097"/>
        <item m="1" x="2921"/>
        <item m="1" x="3989"/>
        <item m="1" x="5185"/>
        <item m="1" x="6184"/>
        <item m="1" x="6680"/>
        <item m="1" x="7119"/>
        <item m="1" x="7470"/>
        <item m="1" x="2143"/>
        <item m="1" x="3013"/>
        <item m="1" x="4088"/>
        <item m="1" x="5269"/>
        <item m="1" x="6225"/>
        <item m="1" x="6710"/>
        <item m="1" x="7145"/>
        <item m="1" x="7496"/>
        <item m="1" x="7754"/>
        <item m="1" x="7922"/>
        <item m="1" x="4135"/>
        <item m="1" x="5335"/>
        <item m="1" x="6251"/>
        <item m="1" x="6735"/>
        <item m="1" x="691"/>
        <item m="1" x="1008"/>
        <item m="1" x="1498"/>
        <item m="1" x="2189"/>
        <item m="1" x="3075"/>
        <item m="1" x="4194"/>
        <item m="1" x="5403"/>
        <item m="1" x="6279"/>
        <item m="1" x="6763"/>
        <item m="1" x="7186"/>
        <item m="1" x="1572"/>
        <item m="1" x="2287"/>
        <item m="1" x="3183"/>
        <item m="1" x="4275"/>
        <item m="1" x="5468"/>
        <item m="1" x="6314"/>
        <item m="1" x="6797"/>
        <item m="1" x="7220"/>
        <item m="1" x="7548"/>
        <item m="1" x="7786"/>
        <item m="1" x="3269"/>
        <item m="1" x="4368"/>
        <item m="1" x="5560"/>
        <item m="1" x="6358"/>
        <item m="1" x="631"/>
        <item m="1" x="909"/>
        <item m="1" x="1332"/>
        <item m="1" x="2004"/>
        <item m="1" x="2845"/>
        <item m="1" x="3914"/>
        <item m="1" x="5103"/>
        <item m="1" x="6150"/>
        <item m="1" x="6647"/>
        <item m="1" x="7086"/>
        <item m="1" x="1415"/>
        <item m="1" x="2098"/>
        <item m="1" x="2922"/>
        <item m="1" x="3990"/>
        <item m="1" x="5186"/>
        <item m="1" x="6185"/>
        <item m="1" x="6681"/>
        <item m="1" x="7120"/>
        <item m="1" x="7471"/>
        <item m="1" x="7729"/>
        <item m="1" x="3014"/>
        <item m="1" x="4089"/>
        <item m="1" x="5270"/>
        <item m="1" x="6226"/>
        <item m="1" x="591"/>
        <item m="1" x="814"/>
        <item m="1" x="1203"/>
        <item m="1" x="1813"/>
        <item m="1" x="2595"/>
        <item m="1" x="3588"/>
        <item m="1" x="4770"/>
        <item m="1" x="5956"/>
        <item m="1" x="6525"/>
        <item m="1" x="6979"/>
        <item m="1" x="1273"/>
        <item m="1" x="1886"/>
        <item m="1" x="2664"/>
        <item m="1" x="3665"/>
        <item m="1" x="4843"/>
        <item m="1" x="6026"/>
        <item m="1" x="6552"/>
        <item m="1" x="7006"/>
        <item m="1" x="7382"/>
        <item m="1" x="7663"/>
        <item m="1" x="2771"/>
        <item m="1" x="3781"/>
        <item m="1" x="4937"/>
        <item m="1" x="6088"/>
        <item m="1" x="555"/>
        <item m="1" x="735"/>
        <item m="1" x="1085"/>
        <item m="1" x="1615"/>
        <item m="1" x="2370"/>
        <item m="1" x="3319"/>
        <item m="1" x="4453"/>
        <item m="1" x="5655"/>
        <item m="1" x="6396"/>
        <item m="1" x="6866"/>
        <item m="1" x="1129"/>
        <item m="1" x="1693"/>
        <item m="1" x="2446"/>
        <item m="1" x="3379"/>
        <item m="1" x="4539"/>
        <item m="1" x="5738"/>
        <item m="1" x="6433"/>
        <item m="1" x="6903"/>
        <item m="1" x="7301"/>
        <item m="1" x="7603"/>
        <item m="1" x="2530"/>
        <item m="1" x="3482"/>
        <item m="1" x="4629"/>
        <item m="1" x="5806"/>
        <item m="1" x="532"/>
        <item m="1" x="661"/>
        <item m="1" x="950"/>
        <item m="1" x="1436"/>
        <item m="1" x="2144"/>
        <item m="1" x="3032"/>
        <item m="1" x="4151"/>
        <item m="1" x="5352"/>
        <item m="1" x="6253"/>
        <item m="1" x="6737"/>
        <item m="1" x="1009"/>
        <item m="1" x="1499"/>
        <item m="1" x="2190"/>
        <item m="1" x="3076"/>
        <item m="1" x="4195"/>
        <item m="1" x="5404"/>
        <item m="1" x="6280"/>
        <item m="1" x="6764"/>
        <item m="1" x="7187"/>
        <item m="1" x="7514"/>
        <item m="1" x="2288"/>
        <item m="1" x="3184"/>
        <item m="1" x="4276"/>
        <item m="1" x="5469"/>
        <item m="1" x="1160"/>
        <item m="1" x="1742"/>
        <item m="1" x="2487"/>
        <item m="1" x="3426"/>
        <item m="1" x="4575"/>
        <item m="1" x="5772"/>
        <item m="1" x="6444"/>
        <item m="1" x="6914"/>
        <item m="1" x="7312"/>
        <item m="1" x="7614"/>
        <item m="1" x="2561"/>
        <item m="1" x="3524"/>
        <item m="1" x="4670"/>
        <item m="1" x="5853"/>
        <item m="1" x="6479"/>
        <item m="1" x="6940"/>
        <item m="1" x="7338"/>
        <item m="1" x="7640"/>
        <item m="1" x="7851"/>
        <item m="1" x="7976"/>
        <item m="1" x="4747"/>
        <item m="1" x="5929"/>
        <item m="1" x="6505"/>
        <item m="1" x="6959"/>
        <item m="1" x="1039"/>
        <item m="1" x="1550"/>
        <item m="1" x="2226"/>
        <item m="1" x="3112"/>
        <item m="1" x="4227"/>
        <item m="1" x="5419"/>
        <item m="1" x="6291"/>
        <item m="1" x="6775"/>
        <item m="1" x="7198"/>
        <item m="1" x="7525"/>
        <item m="1" x="2327"/>
        <item m="1" x="3244"/>
        <item m="1" x="4322"/>
        <item m="1" x="5514"/>
        <item m="1" x="6335"/>
        <item m="1" x="6811"/>
        <item m="1" x="7234"/>
        <item m="1" x="7562"/>
        <item m="1" x="7800"/>
        <item m="1" x="7945"/>
        <item m="1" x="4426"/>
        <item m="1" x="5595"/>
        <item m="1" x="6372"/>
        <item m="1" x="6842"/>
        <item m="1" x="934"/>
        <item m="1" x="1371"/>
        <item m="1" x="2043"/>
        <item m="1" x="2865"/>
        <item m="1" x="3944"/>
        <item m="1" x="5140"/>
        <item m="1" x="6163"/>
        <item m="1" x="6660"/>
        <item m="1" x="7099"/>
        <item m="1" x="7450"/>
        <item m="1" x="2128"/>
        <item m="1" x="2969"/>
        <item m="1" x="4037"/>
        <item m="1" x="5214"/>
        <item m="1" x="6206"/>
        <item m="1" x="6695"/>
        <item m="1" x="7134"/>
        <item m="1" x="7485"/>
        <item m="1" x="7743"/>
        <item m="1" x="7911"/>
        <item m="1" x="4111"/>
        <item m="1" x="5287"/>
        <item m="1" x="6240"/>
        <item m="1" x="6724"/>
        <item m="1" x="832"/>
        <item m="1" x="1231"/>
        <item m="1" x="1830"/>
        <item m="1" x="2619"/>
        <item m="1" x="3620"/>
        <item m="1" x="4809"/>
        <item m="1" x="5993"/>
        <item m="1" x="6532"/>
        <item m="1" x="6986"/>
        <item m="1" x="7362"/>
        <item m="1" x="1923"/>
        <item m="1" x="2724"/>
        <item m="1" x="3720"/>
        <item m="1" x="4888"/>
        <item m="1" x="6063"/>
        <item m="1" x="6568"/>
        <item m="1" x="7022"/>
        <item m="1" x="7398"/>
        <item m="1" x="7679"/>
        <item m="1" x="7872"/>
        <item m="1" x="3815"/>
        <item m="1" x="4976"/>
        <item m="1" x="6104"/>
        <item m="1" x="6601"/>
        <item m="1" x="747"/>
        <item m="1" x="1095"/>
        <item m="1" x="1646"/>
        <item m="1" x="2401"/>
        <item m="1" x="3354"/>
        <item m="1" x="4490"/>
        <item m="1" x="5690"/>
        <item m="1" x="6410"/>
        <item m="1" x="6880"/>
        <item m="1" x="7278"/>
        <item m="1" x="1743"/>
        <item m="1" x="2488"/>
        <item m="1" x="3427"/>
        <item m="1" x="4576"/>
        <item m="1" x="5773"/>
        <item m="1" x="6445"/>
        <item m="1" x="6915"/>
        <item m="1" x="7313"/>
        <item m="1" x="7615"/>
        <item m="1" x="7830"/>
        <item m="1" x="3525"/>
        <item m="1" x="4671"/>
        <item m="1" x="5854"/>
        <item m="1" x="6480"/>
        <item m="1" x="582"/>
        <item m="1" x="779"/>
        <item m="1" x="1168"/>
        <item m="1" x="1775"/>
        <item m="1" x="2571"/>
        <item m="1" x="3577"/>
        <item m="1" x="4755"/>
        <item m="1" x="5937"/>
        <item m="1" x="6506"/>
        <item m="1" x="6960"/>
        <item m="1" x="1232"/>
        <item m="1" x="1831"/>
        <item m="1" x="2620"/>
        <item m="1" x="3621"/>
        <item m="1" x="4810"/>
        <item m="1" x="5994"/>
        <item m="1" x="6533"/>
        <item m="1" x="6987"/>
        <item m="1" x="7363"/>
        <item m="1" x="7649"/>
        <item m="1" x="2725"/>
        <item m="1" x="3721"/>
        <item m="1" x="4889"/>
        <item m="1" x="6064"/>
        <item m="1" x="533"/>
        <item m="1" x="700"/>
        <item m="1" x="1052"/>
        <item m="1" x="1590"/>
        <item m="1" x="2359"/>
        <item m="1" x="3308"/>
        <item m="1" x="4434"/>
        <item m="1" x="5602"/>
        <item m="1" x="6373"/>
        <item m="1" x="6843"/>
        <item m="1" x="1096"/>
        <item m="1" x="1647"/>
        <item m="1" x="2402"/>
        <item m="1" x="3355"/>
        <item m="1" x="4491"/>
        <item m="1" x="5691"/>
        <item m="1" x="6411"/>
        <item m="1" x="6881"/>
        <item m="1" x="7279"/>
        <item m="1" x="7587"/>
        <item m="1" x="2489"/>
        <item m="1" x="3428"/>
        <item m="1" x="4577"/>
        <item m="1" x="5774"/>
        <item m="1" x="1573"/>
        <item m="1" x="2289"/>
        <item m="1" x="3185"/>
        <item m="1" x="4277"/>
        <item m="1" x="5470"/>
        <item m="1" x="6315"/>
        <item m="1" x="6798"/>
        <item m="1" x="7221"/>
        <item m="1" x="7549"/>
        <item m="1" x="7787"/>
        <item m="1" x="3270"/>
        <item m="1" x="4369"/>
        <item m="1" x="5561"/>
        <item m="1" x="6359"/>
        <item m="1" x="6829"/>
        <item m="1" x="7246"/>
        <item m="1" x="7574"/>
        <item m="1" x="7812"/>
        <item m="1" x="7957"/>
        <item m="1" x="442"/>
        <item m="1" x="5637"/>
        <item m="1" x="6395"/>
        <item m="1" x="6865"/>
        <item m="1" x="7264"/>
        <item m="1" x="1416"/>
        <item m="1" x="2099"/>
        <item m="1" x="2923"/>
        <item m="1" x="3991"/>
        <item m="1" x="5187"/>
        <item m="1" x="6186"/>
        <item m="1" x="6682"/>
        <item m="1" x="7121"/>
        <item m="1" x="7472"/>
        <item m="1" x="7730"/>
        <item m="1" x="3015"/>
        <item m="1" x="4090"/>
        <item m="1" x="5271"/>
        <item m="1" x="6227"/>
        <item m="1" x="6711"/>
        <item m="1" x="7146"/>
        <item m="1" x="7497"/>
        <item m="1" x="7755"/>
        <item m="1" x="7923"/>
        <item m="1" x="412"/>
        <item m="1" x="5336"/>
        <item m="1" x="6252"/>
        <item m="1" x="6736"/>
        <item m="1" x="7159"/>
        <item m="1" x="1274"/>
        <item m="1" x="1887"/>
        <item m="1" x="2665"/>
        <item m="1" x="3666"/>
        <item m="1" x="4844"/>
        <item m="1" x="6027"/>
        <item m="1" x="6553"/>
        <item m="1" x="7007"/>
        <item m="1" x="7383"/>
        <item m="1" x="7664"/>
        <item m="1" x="2772"/>
        <item m="1" x="3782"/>
        <item m="1" x="4938"/>
        <item m="1" x="6089"/>
        <item m="1" x="6587"/>
        <item m="1" x="7037"/>
        <item m="1" x="7413"/>
        <item m="1" x="7694"/>
        <item m="1" x="7887"/>
        <item m="1" x="7989"/>
        <item m="1" x="5022"/>
        <item m="1" x="6119"/>
        <item m="1" x="6616"/>
        <item m="1" x="7055"/>
        <item m="1" x="7355"/>
        <item m="1" x="1888"/>
        <item m="1" x="2666"/>
        <item m="1" x="3667"/>
        <item m="1" x="4845"/>
        <item m="1" x="6028"/>
        <item m="1" x="6554"/>
        <item m="1" x="7008"/>
        <item m="1" x="7384"/>
        <item m="1" x="7665"/>
        <item m="1" x="7864"/>
        <item m="1" x="3783"/>
        <item m="1" x="4939"/>
        <item m="1" x="6090"/>
        <item m="1" x="6588"/>
        <item m="1" x="736"/>
        <item m="1" x="1086"/>
        <item m="1" x="1616"/>
        <item m="1" x="2371"/>
        <item m="1" x="3320"/>
        <item m="1" x="4454"/>
        <item m="1" x="5656"/>
        <item m="1" x="6397"/>
        <item m="1" x="6867"/>
        <item m="1" x="7265"/>
        <item m="1" x="1694"/>
        <item m="1" x="2447"/>
        <item m="1" x="3380"/>
        <item m="1" x="4540"/>
        <item m="1" x="5739"/>
        <item m="1" x="6434"/>
        <item m="1" x="6904"/>
        <item m="1" x="7302"/>
        <item m="1" x="7604"/>
        <item m="1" x="7825"/>
        <item m="1" x="3483"/>
        <item m="1" x="4630"/>
        <item m="1" x="5807"/>
        <item m="1" x="6469"/>
        <item m="1" x="662"/>
        <item m="1" x="951"/>
        <item m="1" x="1437"/>
        <item m="1" x="2145"/>
        <item m="1" x="3033"/>
        <item m="1" x="4152"/>
        <item m="1" x="5353"/>
        <item m="1" x="6254"/>
        <item m="1" x="6738"/>
        <item m="1" x="7160"/>
        <item m="1" x="1500"/>
        <item m="1" x="2191"/>
        <item m="1" x="3077"/>
        <item m="1" x="4196"/>
        <item m="1" x="5405"/>
        <item m="1" x="6281"/>
        <item m="1" x="6765"/>
        <item m="1" x="7188"/>
        <item m="1" x="7515"/>
        <item m="1" x="7764"/>
        <item m="1" x="3186"/>
        <item m="1" x="4278"/>
        <item m="1" x="5471"/>
        <item m="1" x="6316"/>
        <item m="1" x="593"/>
        <item m="1" x="861"/>
        <item m="1" x="1284"/>
        <item m="1" x="1963"/>
        <item m="1" x="2804"/>
        <item m="1" x="3866"/>
        <item m="1" x="5037"/>
        <item m="1" x="6121"/>
        <item m="1" x="6618"/>
        <item m="1" x="7057"/>
        <item m="1" x="1333"/>
        <item m="1" x="2005"/>
        <item m="1" x="2846"/>
        <item m="1" x="3915"/>
        <item m="1" x="5104"/>
        <item m="1" x="6151"/>
        <item m="1" x="6648"/>
        <item m="1" x="7087"/>
        <item m="1" x="7438"/>
        <item m="1" x="7708"/>
        <item m="1" x="2924"/>
        <item m="1" x="3992"/>
        <item m="1" x="5188"/>
        <item m="1" x="6187"/>
        <item m="1" x="7526"/>
        <item m="1" x="2328"/>
        <item m="1" x="3251"/>
        <item m="1" x="4337"/>
        <item m="1" x="5529"/>
        <item m="1" x="6336"/>
        <item m="1" x="6812"/>
        <item m="1" x="7235"/>
        <item m="1" x="7563"/>
        <item m="1" x="7801"/>
        <item m="1" x="7946"/>
        <item m="1" x="4435"/>
        <item m="1" x="5607"/>
        <item m="1" x="6374"/>
        <item m="1" x="6844"/>
        <item m="1" x="944"/>
        <item m="1" x="1385"/>
        <item m="1" x="2057"/>
        <item m="1" x="2886"/>
        <item m="1" x="3955"/>
        <item m="1" x="5151"/>
        <item m="1" x="6164"/>
        <item m="1" x="6661"/>
        <item m="1" x="7100"/>
        <item m="1" x="7451"/>
        <item m="1" x="2138"/>
        <item m="1" x="2983"/>
        <item m="1" x="4051"/>
        <item m="1" x="5235"/>
        <item m="1" x="6207"/>
        <item m="1" x="6696"/>
        <item m="1" x="7135"/>
        <item m="1" x="7486"/>
        <item m="1" x="7744"/>
        <item m="1" x="7912"/>
        <item m="1" x="4121"/>
        <item m="1" x="5301"/>
        <item m="1" x="6241"/>
        <item m="1" x="6725"/>
        <item m="1" x="842"/>
        <item m="1" x="1244"/>
        <item m="1" x="1840"/>
        <item m="1" x="2629"/>
        <item m="1" x="3630"/>
        <item m="1" x="4811"/>
        <item m="1" x="6004"/>
        <item m="1" x="6534"/>
        <item m="1" x="6988"/>
        <item m="1" x="7364"/>
        <item m="1" x="1933"/>
        <item m="1" x="2737"/>
        <item m="1" x="3730"/>
        <item m="1" x="4898"/>
        <item m="1" x="6065"/>
        <item m="1" x="6569"/>
        <item m="1" x="7023"/>
        <item m="1" x="7399"/>
        <item m="1" x="7680"/>
        <item m="1" x="7873"/>
        <item m="1" x="3825"/>
        <item m="1" x="4986"/>
        <item m="1" x="6105"/>
        <item m="1" x="6602"/>
        <item m="1" x="754"/>
        <item m="1" x="1104"/>
        <item m="1" x="1655"/>
        <item m="1" x="2408"/>
        <item m="1" x="3358"/>
        <item m="1" x="4500"/>
        <item m="1" x="5700"/>
        <item m="1" x="6412"/>
        <item m="1" x="6882"/>
        <item m="1" x="7280"/>
        <item m="1" x="1750"/>
        <item m="1" x="2497"/>
        <item m="1" x="3436"/>
        <item m="1" x="4583"/>
        <item m="1" x="5777"/>
        <item m="1" x="6446"/>
        <item m="1" x="6916"/>
        <item m="1" x="7314"/>
        <item m="1" x="7616"/>
        <item m="1" x="7831"/>
        <item m="1" x="3532"/>
        <item m="1" x="4679"/>
        <item m="1" x="5855"/>
        <item m="1" x="6481"/>
        <item m="1" x="585"/>
        <item m="1" x="788"/>
        <item m="1" x="1177"/>
        <item m="1" x="1787"/>
        <item m="1" x="2572"/>
        <item m="1" x="3578"/>
        <item m="1" x="4760"/>
        <item m="1" x="5946"/>
        <item m="1" x="6515"/>
        <item m="1" x="6969"/>
        <item m="1" x="1245"/>
        <item m="1" x="1841"/>
        <item m="1" x="2630"/>
        <item m="1" x="3631"/>
        <item m="1" x="4812"/>
        <item m="1" x="6005"/>
        <item m="1" x="6535"/>
        <item m="1" x="6989"/>
        <item m="1" x="7365"/>
        <item m="1" x="7650"/>
        <item m="1" x="2738"/>
        <item m="1" x="3731"/>
        <item m="1" x="4899"/>
        <item m="1" x="6066"/>
        <item m="1" x="541"/>
        <item m="1" x="708"/>
        <item m="1" x="1058"/>
        <item m="1" x="1591"/>
        <item m="1" x="2360"/>
        <item m="1" x="3309"/>
        <item m="1" x="4443"/>
        <item m="1" x="5625"/>
        <item m="1" x="6385"/>
        <item m="1" x="6855"/>
        <item m="1" x="1105"/>
        <item m="1" x="1656"/>
        <item m="1" x="2409"/>
        <item m="1" x="3359"/>
        <item m="1" x="4501"/>
        <item m="1" x="5701"/>
        <item m="1" x="6413"/>
        <item m="1" x="6883"/>
        <item m="1" x="7281"/>
        <item m="1" x="7588"/>
        <item m="1" x="2498"/>
        <item m="1" x="3437"/>
        <item m="1" x="4584"/>
        <item m="1" x="5778"/>
        <item m="1" x="1582"/>
        <item m="1" x="2308"/>
        <item m="1" x="3218"/>
        <item m="1" x="4297"/>
        <item m="1" x="5489"/>
        <item m="1" x="6317"/>
        <item m="1" x="6799"/>
        <item m="1" x="7222"/>
        <item m="1" x="7550"/>
        <item m="1" x="7788"/>
        <item m="1" x="3279"/>
        <item m="1" x="4389"/>
        <item m="1" x="5576"/>
        <item m="1" x="6360"/>
        <item m="1" x="6830"/>
        <item m="1" x="7247"/>
        <item m="1" x="7575"/>
        <item m="1" x="7813"/>
        <item m="1" x="7958"/>
        <item m="1" x="443"/>
        <item m="1" x="5657"/>
        <item m="1" x="6398"/>
        <item m="1" x="6868"/>
        <item m="1" x="7266"/>
        <item m="1" x="1424"/>
        <item m="1" x="2109"/>
        <item m="1" x="2942"/>
        <item m="1" x="4010"/>
        <item m="1" x="5189"/>
        <item m="1" x="6188"/>
        <item m="1" x="6683"/>
        <item m="1" x="7122"/>
        <item m="1" x="7473"/>
        <item m="1" x="7731"/>
        <item m="1" x="3023"/>
        <item m="1" x="4092"/>
        <item m="1" x="5272"/>
        <item m="1" x="6228"/>
        <item m="1" x="6712"/>
        <item m="1" x="7147"/>
        <item m="1" x="7498"/>
        <item m="1" x="7756"/>
        <item m="1" x="7924"/>
        <item m="1" x="413"/>
        <item m="1" x="5354"/>
        <item m="1" x="6255"/>
        <item m="1" x="6739"/>
        <item m="1" x="7161"/>
        <item m="1" x="1277"/>
        <item m="1" x="1907"/>
        <item m="1" x="2689"/>
        <item m="1" x="3680"/>
        <item m="1" x="4862"/>
        <item m="1" x="6045"/>
        <item m="1" x="6555"/>
        <item m="1" x="7009"/>
        <item m="1" x="7385"/>
        <item m="1" x="7666"/>
        <item m="1" x="2775"/>
        <item m="1" x="3792"/>
        <item m="1" x="4948"/>
        <item m="1" x="6091"/>
        <item m="1" x="6589"/>
        <item m="1" x="7038"/>
        <item m="1" x="7414"/>
        <item m="1" x="7695"/>
        <item m="1" x="7888"/>
        <item m="1" x="7990"/>
        <item m="1" x="5040"/>
        <item m="1" x="6122"/>
        <item m="1" x="6619"/>
        <item m="1" x="7058"/>
        <item m="1" x="920"/>
        <item m="1" x="1351"/>
        <item m="1" x="2023"/>
        <item m="1" x="2847"/>
        <item m="1" x="3931"/>
        <item m="1" x="5120"/>
        <item m="1" x="6152"/>
        <item m="1" x="6649"/>
        <item m="1" x="7088"/>
        <item m="1" x="7439"/>
        <item m="1" x="2110"/>
        <item m="1" x="2943"/>
        <item m="1" x="4011"/>
        <item m="1" x="5190"/>
        <item m="1" x="6189"/>
        <item m="1" x="6684"/>
        <item m="1" x="7123"/>
        <item m="1" x="7474"/>
        <item m="1" x="7732"/>
        <item m="1" x="7904"/>
        <item m="1" x="4093"/>
        <item m="1" x="5273"/>
        <item m="1" x="6229"/>
        <item m="1" x="6713"/>
        <item m="1" x="825"/>
        <item m="1" x="1218"/>
        <item m="1" x="1818"/>
        <item m="1" x="2612"/>
        <item m="1" x="3605"/>
        <item m="1" x="4795"/>
        <item m="1" x="5979"/>
        <item m="1" x="6526"/>
        <item m="1" x="6980"/>
        <item m="1" x="7356"/>
        <item m="1" x="1908"/>
        <item m="1" x="2690"/>
        <item m="1" x="3681"/>
        <item m="1" x="4863"/>
        <item m="1" x="6046"/>
        <item m="1" x="6556"/>
        <item m="1" x="7010"/>
        <item m="1" x="7386"/>
        <item m="1" x="7667"/>
        <item m="1" x="7865"/>
        <item m="1" x="3793"/>
        <item m="1" x="4949"/>
        <item m="1" x="6092"/>
        <item m="1" x="6590"/>
        <item m="1" x="743"/>
        <item m="1" x="1091"/>
        <item m="1" x="1635"/>
        <item m="1" x="2390"/>
        <item m="1" x="3343"/>
        <item m="1" x="4473"/>
        <item m="1" x="5679"/>
        <item m="1" x="6406"/>
        <item m="1" x="6876"/>
        <item m="1" x="7274"/>
        <item m="1" x="1719"/>
        <item m="1" x="2465"/>
        <item m="1" x="3399"/>
        <item m="1" x="4559"/>
        <item m="1" x="5756"/>
        <item m="1" x="6435"/>
        <item m="1" x="6905"/>
        <item m="1" x="7303"/>
        <item m="1" x="7605"/>
        <item m="1" x="7826"/>
        <item m="1" x="3502"/>
        <item m="1" x="4648"/>
        <item m="1" x="5826"/>
        <item m="1" x="6470"/>
        <item m="1" x="679"/>
        <item m="1" x="968"/>
        <item m="1" x="1454"/>
        <item m="1" x="2159"/>
        <item m="1" x="3034"/>
        <item m="1" x="4153"/>
        <item m="1" x="5359"/>
        <item m="1" x="6262"/>
        <item m="1" x="6746"/>
        <item m="1" x="7169"/>
        <item m="1" x="1532"/>
        <item m="1" x="2209"/>
        <item m="1" x="3095"/>
        <item m="1" x="4210"/>
        <item m="1" x="5410"/>
        <item m="1" x="6282"/>
        <item m="1" x="6766"/>
        <item m="1" x="7189"/>
        <item m="1" x="7516"/>
        <item m="1" x="7765"/>
        <item m="1" x="3219"/>
        <item m="1" x="4298"/>
        <item m="1" x="5490"/>
        <item m="1" x="6318"/>
        <item m="1" x="611"/>
        <item m="1" x="879"/>
        <item m="1" x="1297"/>
        <item m="1" x="1964"/>
        <item m="1" x="2805"/>
        <item m="1" x="3867"/>
        <item m="1" x="5063"/>
        <item m="1" x="6128"/>
        <item m="1" x="6625"/>
        <item m="1" x="7064"/>
        <item m="1" x="1352"/>
        <item m="1" x="2024"/>
        <item m="1" x="2848"/>
        <item m="1" x="3932"/>
        <item m="1" x="5121"/>
        <item m="1" x="6153"/>
        <item m="1" x="6650"/>
        <item m="1" x="7089"/>
        <item m="1" x="7440"/>
        <item m="1" x="7709"/>
        <item m="1" x="2944"/>
        <item m="1" x="4012"/>
        <item m="1" x="5191"/>
        <item m="1" x="6190"/>
        <item m="1" x="1555"/>
        <item m="1" x="2250"/>
        <item m="1" x="3139"/>
        <item m="1" x="4241"/>
        <item m="1" x="5430"/>
        <item m="1" x="6292"/>
        <item m="1" x="6776"/>
        <item m="1" x="7199"/>
        <item m="1" x="7527"/>
        <item m="1" x="7770"/>
        <item m="1" x="3252"/>
        <item m="1" x="4338"/>
        <item m="1" x="5530"/>
        <item m="1" x="6337"/>
        <item m="1" x="6813"/>
        <item m="1" x="7236"/>
        <item m="1" x="7564"/>
        <item m="1" x="7802"/>
        <item m="1" x="7947"/>
        <item m="1" x="428"/>
        <item m="1" x="5608"/>
        <item m="1" x="6375"/>
        <item m="1" x="6845"/>
        <item m="1" x="7255"/>
        <item m="1" x="1386"/>
        <item m="1" x="2058"/>
        <item m="1" x="2887"/>
        <item m="1" x="3956"/>
        <item m="1" x="5152"/>
        <item m="1" x="6165"/>
        <item m="1" x="6662"/>
        <item m="1" x="7101"/>
        <item m="1" x="7452"/>
        <item m="1" x="7715"/>
        <item m="1" x="2984"/>
        <item m="1" x="4052"/>
        <item m="1" x="5236"/>
        <item m="1" x="6208"/>
        <item m="1" x="6697"/>
        <item m="1" x="7136"/>
        <item m="1" x="7487"/>
        <item m="1" x="7745"/>
        <item m="1" x="7913"/>
        <item m="1" x="398"/>
        <item m="1" x="5302"/>
        <item m="1" x="6242"/>
        <item m="1" x="6726"/>
        <item m="1" x="7154"/>
        <item m="1" x="1246"/>
        <item m="1" x="1842"/>
        <item m="1" x="2631"/>
        <item m="1" x="3632"/>
        <item m="1" x="4813"/>
        <item m="1" x="6006"/>
        <item m="1" x="6536"/>
        <item m="1" x="6990"/>
        <item m="1" x="7366"/>
        <item m="1" x="7651"/>
        <item m="1" x="2739"/>
        <item m="1" x="3732"/>
        <item m="1" x="4900"/>
        <item m="1" x="6067"/>
        <item m="1" x="6570"/>
        <item m="1" x="7024"/>
        <item m="1" x="7400"/>
        <item m="1" x="7681"/>
        <item m="1" x="7874"/>
        <item m="1" x="7985"/>
        <item m="1" x="4987"/>
        <item m="1" x="6106"/>
        <item m="1" x="6603"/>
        <item m="1" x="7046"/>
        <item m="1" x="1106"/>
        <item m="1" x="1657"/>
        <item m="1" x="2410"/>
        <item m="1" x="3360"/>
        <item m="1" x="4502"/>
        <item m="1" x="5702"/>
        <item m="1" x="6414"/>
        <item m="1" x="6884"/>
        <item m="1" x="7282"/>
        <item m="1" x="7589"/>
        <item m="1" x="2499"/>
        <item m="1" x="3438"/>
        <item m="1" x="4585"/>
        <item m="1" x="5779"/>
        <item m="1" x="6447"/>
        <item m="1" x="6917"/>
        <item m="1" x="7315"/>
        <item m="1" x="7617"/>
        <item m="1" x="7832"/>
        <item m="1" x="7966"/>
        <item m="1" x="4680"/>
        <item m="1" x="5856"/>
        <item m="1" x="6482"/>
        <item m="1" x="6941"/>
        <item m="1" x="990"/>
        <item m="1" x="1474"/>
        <item m="1" x="2175"/>
        <item m="1" x="3048"/>
        <item m="1" x="4167"/>
        <item m="1" x="5372"/>
        <item m="1" x="6267"/>
        <item m="1" x="6751"/>
        <item m="1" x="7174"/>
        <item m="1" x="7507"/>
        <item m="1" x="2251"/>
        <item m="1" x="3140"/>
        <item m="1" x="4242"/>
        <item m="1" x="5431"/>
        <item m="1" x="6293"/>
        <item m="1" x="6777"/>
        <item m="1" x="7200"/>
        <item m="1" x="7528"/>
        <item m="1" x="7771"/>
        <item m="1" x="7931"/>
        <item m="1" x="4339"/>
        <item m="1" x="5531"/>
        <item m="1" x="6338"/>
        <item m="1" x="6814"/>
        <item m="1" x="709"/>
        <item m="1" x="1059"/>
        <item m="1" x="1592"/>
        <item m="1" x="2361"/>
        <item m="1" x="3310"/>
        <item m="1" x="4444"/>
        <item m="1" x="5626"/>
        <item m="1" x="6386"/>
        <item m="1" x="6856"/>
        <item m="1" x="7260"/>
        <item m="1" x="1658"/>
        <item m="1" x="2411"/>
        <item m="1" x="3361"/>
        <item m="1" x="4503"/>
        <item m="1" x="5703"/>
        <item m="1" x="6415"/>
        <item m="1" x="6885"/>
        <item m="1" x="7283"/>
        <item m="1" x="7590"/>
        <item m="1" x="7821"/>
        <item m="1" x="3439"/>
        <item m="1" x="4586"/>
        <item m="1" x="5780"/>
        <item m="1" x="6448"/>
        <item m="1" x="2309"/>
        <item m="1" x="3220"/>
        <item m="1" x="4299"/>
        <item m="1" x="5491"/>
        <item m="1" x="6319"/>
        <item m="1" x="6800"/>
        <item m="1" x="7223"/>
        <item m="1" x="7551"/>
        <item m="1" x="7789"/>
        <item m="1" x="7937"/>
        <item m="1" x="4390"/>
        <item m="1" x="5577"/>
        <item m="1" x="6361"/>
        <item m="1" x="6831"/>
        <item m="1" x="7248"/>
        <item m="1" x="7576"/>
        <item m="1" x="7814"/>
        <item m="1" x="7959"/>
        <item m="1" x="444"/>
        <item m="1" x="478"/>
        <item m="1" x="6399"/>
        <item m="1" x="6869"/>
        <item m="1" x="7267"/>
        <item m="1" x="7583"/>
        <item m="1" x="2111"/>
        <item m="1" x="2945"/>
        <item m="1" x="4013"/>
        <item m="1" x="5192"/>
        <item m="1" x="6191"/>
        <item m="1" x="6685"/>
        <item m="1" x="7124"/>
        <item m="1" x="7475"/>
        <item m="1" x="7733"/>
        <item m="1" x="7905"/>
        <item m="1" x="4094"/>
        <item m="1" x="5274"/>
        <item m="1" x="6230"/>
        <item m="1" x="6714"/>
        <item m="1" x="7148"/>
        <item m="1" x="7499"/>
        <item m="1" x="7757"/>
        <item m="1" x="7925"/>
        <item m="1" x="414"/>
        <item m="1" x="476"/>
        <item m="1" x="6256"/>
        <item m="1" x="6740"/>
        <item m="1" x="7162"/>
        <item m="1" x="7505"/>
        <item m="1" x="1161"/>
        <item m="1" x="1751"/>
        <item m="1" x="2500"/>
        <item m="1" x="3440"/>
        <item m="1" x="4587"/>
        <item m="1" x="5781"/>
        <item m="1" x="6449"/>
        <item m="1" x="6918"/>
        <item m="1" x="7316"/>
        <item m="1" x="7618"/>
        <item m="1" x="2562"/>
        <item m="1" x="3533"/>
        <item m="1" x="4681"/>
        <item m="1" x="5857"/>
        <item m="1" x="6483"/>
        <item m="1" x="6942"/>
        <item m="1" x="7339"/>
        <item m="1" x="7641"/>
        <item m="1" x="7852"/>
        <item m="1" x="7977"/>
        <item m="1" x="4756"/>
        <item m="1" x="5938"/>
        <item m="1" x="6507"/>
        <item m="1" x="6961"/>
        <item m="1" x="1040"/>
        <item m="1" x="1556"/>
        <item m="1" x="2252"/>
        <item m="1" x="3141"/>
        <item m="1" x="4243"/>
        <item m="1" x="5432"/>
        <item m="1" x="6294"/>
        <item m="1" x="6778"/>
        <item m="1" x="7201"/>
        <item m="1" x="7529"/>
        <item m="1" x="2329"/>
        <item m="1" x="3253"/>
        <item m="1" x="4340"/>
        <item m="1" x="5532"/>
        <item m="1" x="6339"/>
        <item m="1" x="6815"/>
        <item m="1" x="7237"/>
        <item m="1" x="7565"/>
        <item m="1" x="7803"/>
        <item m="1" x="7948"/>
        <item m="1" x="4436"/>
        <item m="1" x="5609"/>
        <item m="1" x="6376"/>
        <item m="1" x="6846"/>
        <item m="1" x="755"/>
        <item m="1" x="1107"/>
        <item m="1" x="1659"/>
        <item m="1" x="2412"/>
        <item m="1" x="3362"/>
        <item m="1" x="4504"/>
        <item m="1" x="5704"/>
        <item m="1" x="6416"/>
        <item m="1" x="6886"/>
        <item m="1" x="7284"/>
        <item m="1" x="1752"/>
        <item m="1" x="2501"/>
        <item m="1" x="3441"/>
        <item m="1" x="4588"/>
        <item m="1" x="5782"/>
        <item m="1" x="6450"/>
        <item m="1" x="6919"/>
        <item m="1" x="7317"/>
        <item m="1" x="7619"/>
        <item m="1" x="7833"/>
        <item m="1" x="3534"/>
        <item m="1" x="4682"/>
        <item m="1" x="5858"/>
        <item m="1" x="6484"/>
        <item m="1" x="686"/>
        <item m="1" x="991"/>
        <item m="1" x="1475"/>
        <item m="1" x="2176"/>
        <item m="1" x="3049"/>
        <item m="1" x="4168"/>
        <item m="1" x="5373"/>
        <item m="1" x="6268"/>
        <item m="1" x="6752"/>
        <item m="1" x="7175"/>
        <item m="1" x="1557"/>
        <item m="1" x="2253"/>
        <item m="1" x="3142"/>
        <item m="1" x="4244"/>
        <item m="1" x="5433"/>
        <item m="1" x="6295"/>
        <item m="1" x="6779"/>
        <item m="1" x="7202"/>
        <item m="1" x="7530"/>
        <item m="1" x="7772"/>
        <item m="1" x="3254"/>
        <item m="1" x="4341"/>
        <item m="1" x="5533"/>
        <item m="1" x="6340"/>
        <item m="1" x="626"/>
        <item m="1" x="894"/>
        <item m="1" x="1320"/>
        <item m="1" x="1980"/>
        <item m="1" x="2821"/>
        <item m="1" x="3890"/>
        <item m="1" x="5080"/>
        <item m="1" x="6140"/>
        <item m="1" x="6637"/>
        <item m="1" x="7076"/>
        <item m="1" x="1387"/>
        <item m="1" x="2059"/>
        <item m="1" x="2888"/>
        <item m="1" x="3957"/>
        <item m="1" x="5153"/>
        <item m="1" x="6166"/>
        <item m="1" x="6663"/>
        <item m="1" x="7102"/>
        <item m="1" x="7453"/>
        <item m="1" x="7716"/>
        <item m="1" x="2985"/>
        <item m="1" x="4053"/>
        <item m="1" x="5237"/>
        <item m="1" x="6209"/>
        <item m="1" x="586"/>
        <item m="1" x="789"/>
        <item m="1" x="1178"/>
        <item m="1" x="1788"/>
        <item m="1" x="2573"/>
        <item m="1" x="3579"/>
        <item m="1" x="4761"/>
        <item m="1" x="5947"/>
        <item m="1" x="6516"/>
        <item m="1" x="6970"/>
        <item m="1" x="1247"/>
        <item m="1" x="1843"/>
        <item m="1" x="2632"/>
        <item m="1" x="3633"/>
        <item m="1" x="4814"/>
        <item m="1" x="6007"/>
        <item m="1" x="6537"/>
        <item m="1" x="6991"/>
        <item m="1" x="7367"/>
        <item m="1" x="7652"/>
        <item m="1" x="2740"/>
        <item m="1" x="3733"/>
        <item m="1" x="4901"/>
        <item m="1" x="6068"/>
        <item m="1" x="542"/>
        <item m="1" x="710"/>
        <item m="1" x="1060"/>
        <item m="1" x="1593"/>
        <item m="1" x="2362"/>
        <item m="1" x="3311"/>
        <item m="1" x="4445"/>
        <item m="1" x="5627"/>
        <item m="1" x="6387"/>
        <item m="1" x="6857"/>
        <item m="1" x="1108"/>
        <item m="1" x="1660"/>
        <item m="1" x="2413"/>
        <item m="1" x="3363"/>
        <item m="1" x="4505"/>
        <item m="1" x="5705"/>
        <item m="1" x="6417"/>
        <item m="1" x="6887"/>
        <item m="1" x="7285"/>
        <item m="1" x="7591"/>
        <item m="1" x="2502"/>
        <item m="1" x="3442"/>
        <item m="1" x="4589"/>
        <item m="1" x="5783"/>
        <item m="1" x="1278"/>
        <item m="1" x="1909"/>
        <item m="1" x="2691"/>
        <item m="1" x="3682"/>
        <item m="1" x="4864"/>
        <item m="1" x="6047"/>
        <item m="1" x="6557"/>
        <item m="1" x="7011"/>
        <item m="1" x="7387"/>
        <item m="1" x="7668"/>
        <item m="1" x="2776"/>
        <item m="1" x="3794"/>
        <item m="1" x="4950"/>
        <item m="1" x="6093"/>
        <item m="1" x="6591"/>
        <item m="1" x="7039"/>
        <item m="1" x="7415"/>
        <item m="1" x="7696"/>
        <item m="1" x="7889"/>
        <item m="1" x="7991"/>
        <item m="1" x="5041"/>
        <item m="1" x="6123"/>
        <item m="1" x="6620"/>
        <item m="1" x="7059"/>
        <item m="1" x="1148"/>
        <item m="1" x="1720"/>
        <item m="1" x="2466"/>
        <item m="1" x="3400"/>
        <item m="1" x="4560"/>
        <item m="1" x="5757"/>
        <item m="1" x="6436"/>
        <item m="1" x="6906"/>
        <item m="1" x="7304"/>
        <item m="1" x="7606"/>
        <item m="1" x="2549"/>
        <item m="1" x="3503"/>
        <item m="1" x="4649"/>
        <item m="1" x="5827"/>
        <item m="1" x="6471"/>
        <item m="1" x="6935"/>
        <item m="1" x="7333"/>
        <item m="1" x="7635"/>
        <item m="1" x="7846"/>
        <item m="1" x="7971"/>
        <item m="1" x="4716"/>
        <item m="1" x="5892"/>
        <item m="1" x="6500"/>
        <item m="1" x="6954"/>
        <item m="1" x="1028"/>
        <item m="1" x="1533"/>
        <item m="1" x="2210"/>
        <item m="1" x="3096"/>
        <item m="1" x="4211"/>
        <item m="1" x="5411"/>
        <item m="1" x="6283"/>
        <item m="1" x="6767"/>
        <item m="1" x="7190"/>
        <item m="1" x="7517"/>
        <item m="1" x="2310"/>
        <item m="1" x="3221"/>
        <item m="1" x="4300"/>
        <item m="1" x="5492"/>
        <item m="1" x="6320"/>
        <item m="1" x="6801"/>
        <item m="1" x="7224"/>
        <item m="1" x="7552"/>
        <item m="1" x="7790"/>
        <item m="1" x="7938"/>
        <item m="1" x="4391"/>
        <item m="1" x="5578"/>
        <item m="1" x="6362"/>
        <item m="1" x="6832"/>
        <item m="1" x="921"/>
        <item m="1" x="1353"/>
        <item m="1" x="2025"/>
        <item m="1" x="2849"/>
        <item m="1" x="3933"/>
        <item m="1" x="5122"/>
        <item m="1" x="6154"/>
        <item m="1" x="6651"/>
        <item m="1" x="7090"/>
        <item m="1" x="7441"/>
        <item m="1" x="2112"/>
        <item m="1" x="2946"/>
        <item m="1" x="4014"/>
        <item m="1" x="5193"/>
        <item m="1" x="6192"/>
        <item m="1" x="6686"/>
        <item m="1" x="7125"/>
        <item m="1" x="7476"/>
        <item m="1" x="7734"/>
        <item m="1" x="7906"/>
        <item m="1" x="4095"/>
        <item m="1" x="5275"/>
        <item m="1" x="6231"/>
        <item m="1" x="6715"/>
        <item m="1" x="826"/>
        <item m="1" x="1219"/>
        <item m="1" x="1819"/>
        <item m="1" x="2613"/>
        <item m="1" x="3606"/>
        <item m="1" x="4796"/>
        <item m="1" x="5980"/>
        <item m="1" x="6527"/>
        <item m="1" x="6981"/>
        <item m="1" x="7357"/>
        <item m="1" x="1910"/>
        <item m="1" x="2692"/>
        <item m="1" x="3683"/>
        <item m="1" x="4865"/>
        <item m="1" x="6048"/>
        <item m="1" x="6558"/>
        <item m="1" x="7012"/>
        <item m="1" x="7388"/>
        <item m="1" x="7669"/>
        <item m="1" x="7866"/>
        <item m="1" x="3795"/>
        <item m="1" x="4951"/>
        <item m="1" x="6094"/>
        <item m="1" x="6592"/>
        <item m="1" x="612"/>
        <item m="1" x="880"/>
        <item m="1" x="1298"/>
        <item m="1" x="1965"/>
        <item m="1" x="2806"/>
        <item m="1" x="3868"/>
        <item m="1" x="5064"/>
        <item m="1" x="6129"/>
        <item m="1" x="6626"/>
        <item m="1" x="7065"/>
        <item m="1" x="1354"/>
        <item m="1" x="2026"/>
        <item m="1" x="2850"/>
        <item m="1" x="3934"/>
        <item m="1" x="5123"/>
        <item m="1" x="6155"/>
        <item m="1" x="6652"/>
        <item m="1" x="7091"/>
        <item m="1" x="7442"/>
        <item m="1" x="7710"/>
        <item m="1" x="2947"/>
        <item m="1" x="4015"/>
        <item m="1" x="5194"/>
        <item m="1" x="6193"/>
        <item m="1" x="1934"/>
        <item m="1" x="2741"/>
        <item m="1" x="3734"/>
        <item m="1" x="4902"/>
        <item m="1" x="6069"/>
        <item m="1" x="6571"/>
        <item m="1" x="7025"/>
        <item m="1" x="7401"/>
        <item m="1" x="7682"/>
        <item m="1" x="7875"/>
        <item m="1" x="3826"/>
        <item m="1" x="4988"/>
        <item m="1" x="6107"/>
        <item m="1" x="6604"/>
        <item m="1" x="7047"/>
        <item m="1" x="7421"/>
        <item m="1" x="7702"/>
        <item m="1" x="7895"/>
        <item m="1" x="7997"/>
        <item m="1" x="471"/>
        <item m="1" x="6135"/>
        <item m="1" x="6632"/>
        <item m="1" x="7071"/>
        <item m="1" x="7427"/>
        <item m="1" x="1753"/>
        <item m="1" x="2503"/>
        <item m="1" x="3443"/>
        <item m="1" x="4590"/>
        <item m="1" x="5784"/>
        <item m="1" x="6451"/>
        <item m="1" x="6920"/>
        <item m="1" x="7318"/>
        <item m="1" x="7620"/>
        <item m="1" x="7834"/>
        <item m="1" x="3535"/>
        <item m="1" x="4683"/>
        <item m="1" x="5859"/>
        <item m="1" x="6485"/>
        <item m="1" x="6943"/>
        <item m="1" x="7340"/>
        <item m="1" x="7642"/>
        <item m="1" x="7853"/>
        <item m="1" x="7978"/>
        <item m="1" x="456"/>
        <item m="1" x="5939"/>
        <item m="1" x="6508"/>
        <item m="1" x="6962"/>
        <item m="1" x="7347"/>
        <item m="1" x="1558"/>
        <item m="1" x="2254"/>
        <item m="1" x="3143"/>
        <item m="1" x="4245"/>
        <item m="1" x="5434"/>
        <item m="1" x="6296"/>
        <item m="1" x="6780"/>
        <item m="1" x="7203"/>
        <item m="1" x="7531"/>
        <item m="1" x="7773"/>
        <item m="1" x="3255"/>
        <item m="1" x="4342"/>
        <item m="1" x="5534"/>
        <item m="1" x="6341"/>
        <item m="1" x="6816"/>
        <item m="1" x="7238"/>
        <item m="1" x="7566"/>
        <item m="1" x="7804"/>
        <item m="1" x="7949"/>
        <item m="1" x="429"/>
        <item m="1" x="5610"/>
        <item m="1" x="6377"/>
        <item m="1" x="6847"/>
        <item m="1" x="7256"/>
        <item m="1" x="1388"/>
        <item m="1" x="2060"/>
        <item m="1" x="2889"/>
        <item m="1" x="3958"/>
        <item m="1" x="5154"/>
        <item m="1" x="6167"/>
        <item m="1" x="6664"/>
        <item m="1" x="7103"/>
        <item m="1" x="7454"/>
        <item m="1" x="7717"/>
        <item m="1" x="2986"/>
        <item m="1" x="4054"/>
        <item m="1" x="5238"/>
        <item m="1" x="6210"/>
        <item m="1" x="6698"/>
        <item m="1" x="7137"/>
        <item m="1" x="7488"/>
        <item m="1" x="7746"/>
        <item m="1" x="7914"/>
        <item m="1" x="399"/>
        <item m="1" x="5303"/>
        <item m="1" x="6243"/>
        <item m="1" x="6727"/>
        <item m="1" x="7155"/>
        <item m="1" x="992"/>
        <item m="1" x="1476"/>
        <item m="1" x="2177"/>
        <item m="1" x="3050"/>
        <item m="1" x="4169"/>
        <item m="1" x="5374"/>
        <item m="1" x="6269"/>
        <item m="1" x="6753"/>
        <item m="1" x="7176"/>
        <item m="1" x="7508"/>
        <item m="1" x="2255"/>
        <item m="1" x="3144"/>
        <item m="1" x="4246"/>
        <item m="1" x="5435"/>
        <item m="1" x="6297"/>
        <item m="1" x="6781"/>
        <item m="1" x="7204"/>
        <item m="1" x="7532"/>
        <item m="1" x="7774"/>
        <item m="1" x="7932"/>
        <item m="1" x="4343"/>
        <item m="1" x="5535"/>
        <item m="1" x="6342"/>
        <item m="1" x="6817"/>
        <item m="1" x="895"/>
        <item m="1" x="1321"/>
        <item m="1" x="1981"/>
        <item m="1" x="2822"/>
        <item m="1" x="3891"/>
        <item m="1" x="5081"/>
        <item m="1" x="6141"/>
        <item m="1" x="6638"/>
        <item m="1" x="7077"/>
        <item m="1" x="7432"/>
        <item m="1" x="2061"/>
        <item m="1" x="2890"/>
        <item m="1" x="3959"/>
        <item m="1" x="5155"/>
        <item m="1" x="6168"/>
        <item m="1" x="6665"/>
        <item m="1" x="7104"/>
        <item m="1" x="7455"/>
        <item m="1" x="7718"/>
        <item m="1" x="7900"/>
        <item m="1" x="4055"/>
        <item m="1" x="5239"/>
        <item m="1" x="6211"/>
        <item m="1" x="6699"/>
        <item m="1" x="790"/>
        <item m="1" x="1179"/>
        <item m="1" x="1789"/>
        <item m="1" x="2574"/>
        <item m="1" x="3580"/>
        <item m="1" x="4762"/>
        <item m="1" x="5948"/>
        <item m="1" x="6517"/>
        <item m="1" x="6971"/>
        <item m="1" x="7351"/>
        <item m="1" x="1844"/>
        <item m="1" x="2633"/>
        <item m="1" x="3634"/>
        <item m="1" x="4815"/>
        <item m="1" x="6008"/>
        <item m="1" x="6538"/>
        <item m="1" x="6992"/>
        <item m="1" x="7368"/>
        <item m="1" x="7653"/>
        <item m="1" x="7860"/>
        <item m="1" x="3735"/>
        <item m="1" x="4903"/>
        <item m="1" x="6070"/>
        <item m="1" x="6572"/>
        <item m="1" x="1162"/>
        <item m="1" x="1754"/>
        <item m="1" x="2504"/>
        <item m="1" x="3444"/>
        <item m="1" x="4591"/>
        <item m="1" x="5785"/>
        <item m="1" x="6452"/>
        <item m="1" x="6921"/>
        <item m="1" x="7319"/>
        <item m="1" x="7621"/>
        <item m="1" x="2563"/>
        <item m="1" x="3536"/>
        <item m="1" x="4684"/>
        <item m="1" x="5860"/>
        <item m="1" x="6486"/>
        <item m="1" x="6944"/>
        <item m="1" x="7341"/>
        <item m="1" x="7643"/>
        <item m="1" x="7854"/>
        <item m="1" x="7979"/>
        <item m="1" x="4757"/>
        <item m="1" x="5940"/>
        <item m="1" x="6509"/>
        <item m="1" x="6963"/>
        <item m="1" x="1041"/>
        <item m="1" x="1559"/>
        <item m="1" x="2256"/>
        <item m="1" x="3145"/>
        <item m="1" x="4247"/>
        <item m="1" x="5436"/>
        <item m="1" x="6298"/>
        <item m="1" x="6782"/>
        <item m="1" x="7205"/>
        <item m="1" x="7533"/>
        <item m="1" x="2330"/>
        <item m="1" x="3256"/>
        <item m="1" x="4344"/>
        <item m="1" x="5536"/>
        <item m="1" x="6343"/>
        <item m="1" x="6818"/>
        <item m="1" x="7239"/>
        <item m="1" x="7567"/>
        <item m="1" x="7805"/>
        <item m="1" x="7950"/>
        <item m="1" x="4437"/>
        <item m="1" x="5611"/>
        <item m="1" x="6378"/>
        <item m="1" x="6848"/>
        <item m="1" x="756"/>
        <item m="1" x="1109"/>
        <item m="1" x="1661"/>
        <item m="1" x="2414"/>
        <item m="1" x="3364"/>
        <item m="1" x="4506"/>
        <item m="1" x="5706"/>
        <item m="1" x="6418"/>
        <item m="1" x="6888"/>
        <item m="1" x="7286"/>
        <item m="1" x="1755"/>
        <item m="1" x="2505"/>
        <item m="1" x="3445"/>
        <item m="1" x="4592"/>
        <item m="1" x="5786"/>
        <item m="1" x="6453"/>
        <item m="1" x="6922"/>
        <item m="1" x="7320"/>
        <item m="1" x="7622"/>
        <item m="1" x="7835"/>
        <item m="1" x="3537"/>
        <item m="1" x="4685"/>
        <item m="1" x="5861"/>
        <item m="1" x="6487"/>
        <item m="1" x="687"/>
        <item m="1" x="993"/>
        <item m="1" x="1477"/>
        <item m="1" x="2178"/>
        <item m="1" x="3051"/>
        <item m="1" x="4170"/>
        <item m="1" x="5375"/>
        <item m="1" x="6270"/>
        <item m="1" x="6754"/>
        <item m="1" x="7177"/>
        <item m="1" x="1560"/>
        <item m="1" x="2257"/>
        <item m="1" x="3146"/>
        <item m="1" x="4248"/>
        <item m="1" x="5437"/>
        <item m="1" x="6299"/>
        <item m="1" x="6783"/>
        <item m="1" x="7206"/>
        <item m="1" x="7534"/>
        <item m="1" x="7775"/>
        <item m="1" x="3257"/>
        <item m="1" x="4345"/>
        <item m="1" x="5537"/>
        <item m="1" x="6344"/>
        <item m="1" x="627"/>
        <item m="1" x="896"/>
        <item m="1" x="1322"/>
        <item m="1" x="1982"/>
        <item m="1" x="2823"/>
        <item m="1" x="3892"/>
        <item m="1" x="5082"/>
        <item m="1" x="6142"/>
        <item m="1" x="6639"/>
        <item m="1" x="7078"/>
        <item m="1" x="1389"/>
        <item m="1" x="2062"/>
        <item m="1" x="2891"/>
        <item m="1" x="3960"/>
        <item m="1" x="5156"/>
        <item m="1" x="6169"/>
        <item m="1" x="6666"/>
        <item m="1" x="7105"/>
        <item m="1" x="7456"/>
        <item m="1" x="7719"/>
        <item m="1" x="2987"/>
        <item m="1" x="4056"/>
        <item m="1" x="5240"/>
        <item m="1" x="6212"/>
        <item m="1" x="587"/>
        <item m="1" x="791"/>
        <item m="1" x="1180"/>
        <item m="1" x="1790"/>
        <item m="1" x="2575"/>
        <item m="1" x="3581"/>
        <item m="1" x="4763"/>
        <item m="1" x="5949"/>
        <item m="1" x="6518"/>
        <item m="1" x="6972"/>
        <item m="1" x="1248"/>
        <item m="1" x="1845"/>
        <item m="1" x="2634"/>
        <item m="1" x="3635"/>
        <item m="1" x="4816"/>
        <item m="1" x="6009"/>
        <item m="1" x="6539"/>
        <item m="1" x="6993"/>
        <item m="1" x="7369"/>
        <item m="1" x="7654"/>
        <item m="1" x="2742"/>
        <item m="1" x="3736"/>
        <item m="1" x="4904"/>
        <item m="1" x="6071"/>
        <item m="1" x="543"/>
        <item m="1" x="711"/>
        <item m="1" x="1061"/>
        <item m="1" x="1594"/>
        <item m="1" x="2363"/>
        <item m="1" x="3312"/>
        <item m="1" x="4446"/>
        <item m="1" x="5628"/>
        <item m="1" x="6388"/>
        <item m="1" x="6858"/>
        <item m="1" x="1110"/>
        <item m="1" x="1662"/>
        <item m="1" x="2415"/>
        <item m="1" x="3365"/>
        <item m="1" x="4507"/>
        <item m="1" x="5707"/>
        <item m="1" x="6419"/>
        <item m="1" x="6889"/>
        <item m="1" x="7287"/>
        <item m="1" x="7592"/>
        <item m="1" x="2506"/>
        <item m="1" x="3446"/>
        <item m="1" x="4593"/>
        <item m="1" x="5787"/>
        <item m="1" x="7163"/>
        <item m="1" x="1279"/>
        <item m="1" x="1911"/>
        <item m="1" x="2693"/>
        <item m="1" x="3684"/>
        <item m="1" x="4866"/>
        <item m="1" x="6049"/>
        <item m="1" x="6559"/>
        <item m="1" x="7013"/>
        <item m="1" x="7389"/>
        <item m="1" x="7670"/>
        <item m="1" x="2777"/>
        <item m="1" x="3796"/>
        <item m="1" x="4952"/>
        <item m="1" x="6095"/>
        <item m="1" x="6593"/>
        <item m="1" x="7040"/>
        <item m="1" x="7416"/>
        <item m="1" x="7697"/>
        <item m="1" x="7890"/>
        <item m="1" x="7992"/>
        <item m="1" x="5042"/>
        <item m="1" x="6124"/>
        <item m="1" x="6621"/>
        <item m="1" x="7060"/>
        <item m="1" x="1149"/>
        <item m="1" x="1721"/>
        <item m="1" x="2467"/>
        <item m="1" x="3401"/>
        <item m="1" x="4561"/>
        <item m="1" x="5758"/>
        <item m="1" x="6437"/>
        <item m="1" x="6907"/>
        <item m="1" x="7305"/>
        <item m="1" x="7607"/>
        <item m="1" x="2550"/>
        <item m="1" x="3504"/>
        <item m="1" x="4650"/>
        <item m="1" x="5828"/>
        <item m="1" x="6472"/>
        <item m="1" x="6936"/>
        <item m="1" x="7334"/>
        <item m="1" x="7636"/>
        <item m="1" x="7847"/>
        <item m="1" x="7972"/>
        <item m="1" x="4717"/>
        <item m="1" x="5893"/>
        <item m="1" x="6501"/>
        <item m="1" x="6955"/>
        <item m="1" x="1029"/>
        <item m="1" x="1534"/>
        <item m="1" x="2211"/>
        <item m="1" x="3097"/>
        <item m="1" x="4212"/>
        <item m="1" x="5412"/>
        <item m="1" x="6284"/>
        <item m="1" x="6768"/>
        <item m="1" x="7191"/>
        <item m="1" x="7518"/>
        <item m="1" x="2311"/>
        <item m="1" x="3222"/>
        <item m="1" x="4301"/>
        <item m="1" x="5493"/>
        <item m="1" x="6321"/>
        <item m="1" x="6802"/>
        <item m="1" x="7225"/>
        <item m="1" x="7553"/>
        <item m="1" x="7791"/>
        <item m="1" x="7939"/>
        <item m="1" x="4392"/>
        <item m="1" x="5579"/>
        <item m="1" x="6363"/>
        <item m="1" x="6833"/>
        <item m="1" x="922"/>
        <item m="1" x="1355"/>
        <item m="1" x="2027"/>
        <item m="1" x="2851"/>
        <item m="1" x="3935"/>
        <item m="1" x="5124"/>
        <item m="1" x="6156"/>
        <item m="1" x="6653"/>
        <item m="1" x="7092"/>
        <item m="1" x="7443"/>
        <item m="1" x="2113"/>
        <item m="1" x="2948"/>
        <item m="1" x="4016"/>
        <item m="1" x="5195"/>
        <item m="1" x="6194"/>
        <item m="1" x="6687"/>
        <item m="1" x="7126"/>
        <item m="1" x="7477"/>
        <item m="1" x="7735"/>
        <item m="1" x="7907"/>
        <item m="1" x="4096"/>
        <item m="1" x="5276"/>
        <item m="1" x="6232"/>
        <item m="1" x="6716"/>
        <item m="1" x="827"/>
        <item m="1" x="1220"/>
        <item m="1" x="1820"/>
        <item m="1" x="2614"/>
        <item m="1" x="3607"/>
        <item m="1" x="4797"/>
        <item m="1" x="5981"/>
        <item m="1" x="6528"/>
        <item m="1" x="6982"/>
        <item m="1" x="7358"/>
        <item m="1" x="1912"/>
        <item m="1" x="2694"/>
        <item m="1" x="3685"/>
        <item m="1" x="4867"/>
        <item m="1" x="6050"/>
        <item m="1" x="6560"/>
        <item m="1" x="7014"/>
        <item m="1" x="7390"/>
        <item m="1" x="7671"/>
        <item m="1" x="7867"/>
        <item m="1" x="3797"/>
        <item m="1" x="4953"/>
        <item m="1" x="6096"/>
        <item m="1" x="6322"/>
        <item m="1" x="613"/>
        <item m="1" x="881"/>
        <item m="1" x="1299"/>
        <item m="1" x="1966"/>
        <item m="1" x="2807"/>
        <item m="1" x="3869"/>
        <item m="1" x="5065"/>
        <item m="1" x="6130"/>
        <item m="1" x="6627"/>
        <item m="1" x="7066"/>
        <item m="1" x="1356"/>
        <item m="1" x="2028"/>
        <item m="1" x="2852"/>
        <item m="1" x="3936"/>
        <item m="1" x="5125"/>
        <item m="1" x="6157"/>
        <item m="1" x="6654"/>
        <item m="1" x="7093"/>
        <item m="1" x="7444"/>
        <item m="1" x="7711"/>
        <item m="1" x="2949"/>
        <item m="1" x="4017"/>
        <item m="1" x="5196"/>
        <item m="1" x="6195"/>
        <item m="1" x="1935"/>
        <item m="1" x="2743"/>
        <item m="1" x="3737"/>
        <item m="1" x="4905"/>
        <item m="1" x="6072"/>
        <item m="1" x="6573"/>
        <item m="1" x="7026"/>
        <item m="1" x="7402"/>
        <item m="1" x="7683"/>
        <item m="1" x="7876"/>
        <item m="1" x="3827"/>
        <item m="1" x="4989"/>
        <item m="1" x="6108"/>
        <item m="1" x="6605"/>
        <item m="1" x="7048"/>
        <item m="1" x="7422"/>
        <item m="1" x="7703"/>
        <item m="1" x="7896"/>
        <item m="1" x="7998"/>
        <item m="1" x="472"/>
        <item m="1" x="6136"/>
        <item m="1" x="6633"/>
        <item m="1" x="7072"/>
        <item m="1" x="7428"/>
        <item m="1" x="1756"/>
        <item m="1" x="2507"/>
        <item m="1" x="3447"/>
        <item m="1" x="4594"/>
        <item m="1" x="5788"/>
        <item m="1" x="6454"/>
        <item m="1" x="6923"/>
        <item m="1" x="7321"/>
        <item m="1" x="7623"/>
        <item m="1" x="7836"/>
        <item m="1" x="3538"/>
        <item m="1" x="4686"/>
        <item m="1" x="5862"/>
        <item m="1" x="6488"/>
        <item m="1" x="6945"/>
        <item m="1" x="7342"/>
        <item m="1" x="7644"/>
        <item m="1" x="7855"/>
        <item m="1" x="7980"/>
        <item m="1" x="457"/>
        <item m="1" x="5941"/>
        <item m="1" x="6510"/>
        <item m="1" x="6964"/>
        <item m="1" x="7348"/>
        <item m="1" x="1561"/>
        <item m="1" x="2258"/>
        <item m="1" x="3147"/>
        <item m="1" x="4249"/>
        <item m="1" x="5438"/>
        <item m="1" x="6300"/>
        <item m="1" x="6784"/>
        <item m="1" x="7207"/>
        <item m="1" x="7535"/>
        <item m="1" x="7776"/>
        <item m="1" x="3258"/>
        <item m="1" x="4346"/>
        <item m="1" x="5538"/>
        <item m="1" x="6345"/>
        <item m="1" x="6819"/>
        <item m="1" x="7240"/>
        <item m="1" x="7568"/>
        <item m="1" x="7806"/>
        <item m="1" x="7951"/>
        <item m="1" x="430"/>
        <item m="1" x="5612"/>
        <item m="1" x="6379"/>
        <item m="1" x="6849"/>
        <item m="1" x="7257"/>
        <item m="1" x="1390"/>
        <item m="1" x="2063"/>
        <item m="1" x="2892"/>
        <item m="1" x="3961"/>
        <item m="1" x="5157"/>
        <item m="1" x="6170"/>
        <item m="1" x="6667"/>
        <item m="1" x="7106"/>
        <item m="1" x="7457"/>
        <item m="1" x="7720"/>
        <item m="1" x="2988"/>
        <item m="1" x="4057"/>
        <item m="1" x="5241"/>
        <item m="1" x="6213"/>
        <item m="1" x="6700"/>
        <item m="1" x="7138"/>
        <item m="1" x="7489"/>
        <item m="1" x="7747"/>
        <item m="1" x="7915"/>
        <item m="1" x="400"/>
        <item m="1" x="5304"/>
        <item m="1" x="6244"/>
        <item m="1" x="6728"/>
        <item m="1" x="994"/>
        <item m="1" x="1478"/>
        <item m="1" x="2179"/>
        <item m="1" x="3052"/>
        <item m="1" x="4171"/>
        <item m="1" x="5376"/>
        <item m="1" x="6271"/>
        <item m="1" x="6755"/>
        <item m="1" x="7178"/>
        <item m="1" x="7509"/>
        <item m="1" x="2259"/>
        <item m="1" x="3148"/>
        <item m="1" x="4250"/>
        <item m="1" x="5439"/>
        <item m="1" x="6301"/>
        <item m="1" x="6785"/>
        <item m="1" x="7208"/>
        <item m="1" x="7536"/>
        <item m="1" x="7777"/>
        <item m="1" x="7933"/>
        <item m="1" x="4347"/>
        <item m="1" x="5539"/>
        <item m="1" x="6346"/>
        <item m="1" x="6820"/>
        <item m="1" x="897"/>
        <item m="1" x="1323"/>
        <item m="1" x="1983"/>
        <item m="1" x="2824"/>
        <item m="1" x="3893"/>
        <item m="1" x="5083"/>
        <item m="1" x="6143"/>
        <item m="1" x="6640"/>
        <item m="1" x="7079"/>
        <item m="1" x="7433"/>
        <item m="1" x="2064"/>
        <item m="1" x="2893"/>
        <item m="1" x="3962"/>
        <item m="1" x="5158"/>
        <item m="1" x="6171"/>
        <item m="1" x="6668"/>
        <item m="1" x="7107"/>
        <item m="1" x="7458"/>
        <item m="1" x="7721"/>
        <item m="1" x="7901"/>
        <item m="1" x="4058"/>
        <item m="1" x="5242"/>
        <item m="1" x="6214"/>
        <item m="1" x="6701"/>
        <item m="1" x="792"/>
        <item m="1" x="1181"/>
        <item m="1" x="1791"/>
        <item m="1" x="2576"/>
        <item m="1" x="3582"/>
        <item m="1" x="4764"/>
        <item m="1" x="5950"/>
        <item m="1" x="6519"/>
        <item m="1" x="6973"/>
        <item m="1" x="7352"/>
        <item m="1" x="1846"/>
        <item m="1" x="2635"/>
        <item m="1" x="3636"/>
        <item m="1" x="4817"/>
        <item m="1" x="6010"/>
        <item m="1" x="6540"/>
        <item m="1" x="6994"/>
        <item m="1" x="7370"/>
        <item m="1" x="7655"/>
        <item m="1" x="7861"/>
        <item m="1" x="3738"/>
        <item m="1" x="4906"/>
        <item m="1" x="6073"/>
        <item m="1" x="6574"/>
        <item m="1" x="712"/>
        <item m="1" x="1062"/>
        <item m="1" x="1595"/>
        <item m="1" x="2364"/>
        <item m="1" x="3313"/>
        <item m="1" x="4447"/>
        <item m="1" x="5629"/>
        <item m="1" x="6389"/>
        <item m="1" x="6859"/>
        <item m="1" x="7261"/>
        <item m="1" x="1663"/>
        <item m="1" x="2416"/>
        <item m="1" x="3366"/>
        <item m="1" x="4508"/>
        <item m="1" x="5708"/>
        <item m="1" x="6420"/>
        <item m="1" x="6890"/>
        <item m="1" x="7288"/>
        <item m="1" x="7593"/>
        <item m="1" x="7822"/>
        <item m="1" x="3448"/>
        <item m="1" x="4595"/>
        <item m="1" x="5789"/>
        <item m="1" x="6455"/>
        <item m="1" x="2312"/>
        <item m="1" x="3223"/>
        <item m="1" x="4302"/>
        <item m="1" x="5494"/>
        <item m="1" x="6323"/>
        <item m="1" x="6803"/>
        <item m="1" x="7226"/>
        <item m="1" x="7554"/>
        <item m="1" x="7792"/>
        <item m="1" x="7940"/>
        <item m="1" x="4393"/>
        <item m="1" x="5580"/>
        <item m="1" x="6364"/>
        <item m="1" x="6834"/>
        <item m="1" x="7249"/>
        <item m="1" x="7577"/>
        <item m="1" x="7815"/>
        <item m="1" x="7960"/>
        <item m="1" x="445"/>
        <item m="1" x="479"/>
        <item m="1" x="6400"/>
        <item m="1" x="6870"/>
        <item m="1" x="7268"/>
        <item m="1" x="7584"/>
        <item m="1" x="1042"/>
        <item m="1" x="1562"/>
        <item m="1" x="2260"/>
        <item m="1" x="3149"/>
        <item m="1" x="4251"/>
        <item m="1" x="5440"/>
        <item m="1" x="6302"/>
        <item m="1" x="6786"/>
        <item m="1" x="7209"/>
        <item m="1" x="7537"/>
        <item m="1" x="2331"/>
        <item m="1" x="3259"/>
        <item m="1" x="4348"/>
        <item m="1" x="5540"/>
        <item m="1" x="6347"/>
        <item m="1" x="6821"/>
        <item m="1" x="7241"/>
        <item m="1" x="7569"/>
        <item m="1" x="7807"/>
        <item m="1" x="7952"/>
        <item m="1" x="4438"/>
        <item m="1" x="5613"/>
        <item m="1" x="6380"/>
        <item m="1" x="6850"/>
        <item m="1" x="945"/>
        <item m="1" x="1391"/>
        <item m="1" x="2065"/>
        <item m="1" x="2894"/>
        <item m="1" x="3963"/>
        <item m="1" x="5159"/>
        <item m="1" x="6172"/>
        <item m="1" x="6669"/>
        <item m="1" x="7108"/>
        <item m="1" x="7459"/>
        <item m="1" x="2139"/>
        <item m="1" x="2989"/>
        <item m="1" x="4059"/>
        <item m="1" x="5243"/>
        <item m="1" x="6215"/>
        <item m="1" x="6702"/>
        <item m="1" x="7139"/>
        <item m="1" x="7490"/>
        <item m="1" x="7748"/>
        <item m="1" x="7916"/>
        <item m="1" x="4122"/>
        <item m="1" x="5305"/>
        <item m="1" x="6245"/>
        <item m="1" x="6729"/>
        <item m="1" x="843"/>
        <item m="1" x="1249"/>
        <item m="1" x="1847"/>
        <item m="1" x="2636"/>
        <item m="1" x="3637"/>
        <item m="1" x="4818"/>
        <item m="1" x="6011"/>
        <item m="1" x="6541"/>
        <item m="1" x="6995"/>
        <item m="1" x="7371"/>
        <item m="1" x="1936"/>
        <item m="1" x="2744"/>
        <item m="1" x="3739"/>
        <item m="1" x="4907"/>
        <item m="1" x="6074"/>
        <item m="1" x="6575"/>
        <item m="1" x="7027"/>
        <item m="1" x="7403"/>
        <item m="1" x="7684"/>
        <item m="1" x="7877"/>
        <item m="1" x="3828"/>
        <item m="1" x="4990"/>
        <item m="1" x="6109"/>
        <item m="1" x="6606"/>
        <item m="1" x="757"/>
        <item m="1" x="1111"/>
        <item m="1" x="1664"/>
        <item m="1" x="2417"/>
        <item m="1" x="3367"/>
        <item m="1" x="4509"/>
        <item m="1" x="5709"/>
        <item m="1" x="6421"/>
        <item m="1" x="6891"/>
        <item m="1" x="7289"/>
        <item m="1" x="1757"/>
        <item m="1" x="2508"/>
        <item m="1" x="3449"/>
        <item m="1" x="4596"/>
        <item m="1" x="5790"/>
        <item m="1" x="6456"/>
        <item m="1" x="6924"/>
        <item m="1" x="7322"/>
        <item m="1" x="7624"/>
        <item m="1" x="7837"/>
        <item m="1" x="3539"/>
        <item m="1" x="4687"/>
        <item m="1" x="5863"/>
        <item m="1" x="6489"/>
        <item m="1" x="688"/>
        <item m="1" x="995"/>
        <item m="1" x="1479"/>
        <item m="1" x="2180"/>
        <item m="1" x="3053"/>
        <item m="1" x="4172"/>
        <item m="1" x="5377"/>
        <item m="1" x="6272"/>
        <item m="1" x="6756"/>
        <item m="1" x="7179"/>
        <item m="1" x="1563"/>
        <item m="1" x="2261"/>
        <item m="1" x="3150"/>
        <item m="1" x="4252"/>
        <item m="1" x="5441"/>
        <item m="1" x="6303"/>
        <item m="1" x="6787"/>
        <item m="1" x="7210"/>
        <item m="1" x="7538"/>
        <item m="1" x="7778"/>
        <item m="1" x="3260"/>
        <item m="1" x="4349"/>
        <item m="1" x="5541"/>
        <item m="1" x="6348"/>
        <item m="1" x="544"/>
        <item m="1" x="713"/>
        <item m="1" x="1063"/>
        <item m="1" x="1596"/>
        <item m="1" x="2365"/>
        <item m="1" x="3314"/>
        <item m="1" x="4448"/>
        <item m="1" x="5630"/>
        <item m="1" x="6390"/>
        <item m="1" x="6860"/>
        <item m="1" x="1112"/>
        <item m="1" x="1665"/>
        <item m="1" x="2418"/>
        <item m="1" x="3368"/>
        <item m="1" x="4510"/>
        <item m="1" x="5710"/>
        <item m="1" x="6422"/>
        <item m="1" x="6892"/>
        <item m="1" x="7290"/>
        <item m="1" x="7594"/>
        <item m="1" x="2509"/>
        <item m="1" x="3450"/>
        <item m="1" x="4597"/>
        <item m="1" x="5791"/>
        <item m="1" x="1583"/>
        <item m="1" x="2313"/>
        <item m="1" x="3224"/>
        <item m="1" x="4303"/>
        <item m="1" x="5495"/>
        <item m="1" x="6324"/>
        <item m="1" x="6804"/>
        <item m="1" x="7227"/>
        <item m="1" x="7555"/>
        <item m="1" x="7793"/>
        <item m="1" x="3280"/>
        <item m="1" x="4394"/>
        <item m="1" x="5581"/>
        <item m="1" x="6365"/>
        <item m="1" x="6835"/>
        <item m="1" x="7250"/>
        <item m="1" x="7578"/>
        <item m="1" x="7816"/>
        <item m="1" x="7961"/>
        <item m="1" x="446"/>
        <item m="1" x="5658"/>
        <item m="1" x="6401"/>
        <item m="1" x="6871"/>
        <item m="1" x="7269"/>
        <item m="1" x="1425"/>
        <item m="1" x="2114"/>
        <item m="1" x="2950"/>
        <item m="1" x="4018"/>
        <item m="1" x="5197"/>
        <item m="1" x="6196"/>
        <item m="1" x="6688"/>
        <item m="1" x="7127"/>
        <item m="1" x="7478"/>
        <item m="1" x="7736"/>
        <item m="1" x="3024"/>
        <item m="1" x="4097"/>
        <item m="1" x="5277"/>
        <item m="1" x="6233"/>
        <item m="1" x="6717"/>
        <item m="1" x="7149"/>
        <item m="1" x="7500"/>
        <item m="1" x="7758"/>
        <item m="1" x="7926"/>
        <item m="1" x="415"/>
        <item m="1" x="5355"/>
        <item m="1" x="6257"/>
        <item m="1" x="6741"/>
        <item m="1" x="7164"/>
        <item m="1" x="1280"/>
        <item m="1" x="1913"/>
        <item m="1" x="2695"/>
        <item m="1" x="3686"/>
        <item m="1" x="4868"/>
        <item m="1" x="6051"/>
        <item m="1" x="6561"/>
        <item m="1" x="7015"/>
        <item m="1" x="7391"/>
        <item m="1" x="7672"/>
        <item m="1" x="2778"/>
        <item m="1" x="3798"/>
        <item m="1" x="4954"/>
        <item m="1" x="6097"/>
        <item m="1" x="6594"/>
        <item m="1" x="7041"/>
        <item m="1" x="7417"/>
        <item m="1" x="7698"/>
        <item m="1" x="7891"/>
        <item m="1" x="7993"/>
        <item m="1" x="5043"/>
        <item m="1" x="6125"/>
        <item m="1" x="6622"/>
        <item m="1" x="7061"/>
        <item m="1" x="1150"/>
        <item m="1" x="1722"/>
        <item m="1" x="2468"/>
        <item m="1" x="3402"/>
        <item m="1" x="4562"/>
        <item m="1" x="5759"/>
        <item m="1" x="6438"/>
        <item m="1" x="6908"/>
        <item m="1" x="7306"/>
        <item m="1" x="7608"/>
        <item m="1" x="2551"/>
        <item m="1" x="3505"/>
        <item m="1" x="4651"/>
        <item m="1" x="5829"/>
        <item m="1" x="6473"/>
        <item m="1" x="6937"/>
        <item m="1" x="7335"/>
        <item m="1" x="7637"/>
        <item m="1" x="7848"/>
        <item m="1" x="7973"/>
        <item m="1" x="4718"/>
        <item m="1" x="5894"/>
        <item m="1" x="6502"/>
        <item m="1" x="6956"/>
        <item m="1" x="828"/>
        <item m="1" x="1221"/>
        <item m="1" x="1821"/>
        <item m="1" x="2615"/>
        <item m="1" x="3608"/>
        <item m="1" x="4798"/>
        <item m="1" x="5982"/>
        <item m="1" x="6529"/>
        <item m="1" x="6983"/>
        <item m="1" x="7359"/>
        <item m="1" x="1914"/>
        <item m="1" x="2696"/>
        <item m="1" x="3687"/>
        <item m="1" x="4869"/>
        <item m="1" x="6052"/>
        <item m="1" x="6562"/>
        <item m="1" x="7016"/>
        <item m="1" x="7392"/>
        <item m="1" x="7673"/>
        <item m="1" x="7868"/>
        <item m="1" x="3799"/>
        <item m="1" x="4955"/>
        <item m="1" x="6098"/>
        <item m="1" x="6595"/>
        <item m="1" x="744"/>
        <item m="1" x="1092"/>
        <item m="1" x="1636"/>
        <item m="1" x="2391"/>
        <item m="1" x="3344"/>
        <item m="1" x="4474"/>
        <item m="1" x="5680"/>
        <item m="1" x="6407"/>
        <item m="1" x="6877"/>
        <item m="1" x="7275"/>
        <item m="1" x="1723"/>
        <item m="1" x="2469"/>
        <item m="1" x="3403"/>
        <item m="1" x="4563"/>
        <item m="1" x="5760"/>
        <item m="1" x="6439"/>
        <item m="1" x="6909"/>
        <item m="1" x="7307"/>
        <item m="1" x="7609"/>
        <item m="1" x="7827"/>
        <item m="1" x="3506"/>
        <item m="1" x="4652"/>
        <item m="1" x="5830"/>
        <item m="1" x="6474"/>
        <item m="1" x="680"/>
        <item m="1" x="969"/>
        <item m="1" x="1455"/>
        <item m="1" x="2160"/>
        <item m="1" x="3035"/>
        <item m="1" x="4154"/>
        <item m="1" x="5360"/>
        <item m="1" x="6263"/>
        <item m="1" x="6747"/>
        <item m="1" x="7170"/>
        <item m="1" x="1535"/>
        <item m="1" x="2212"/>
        <item m="1" x="3098"/>
        <item m="1" x="4213"/>
        <item m="1" x="5413"/>
        <item m="1" x="6285"/>
        <item m="1" x="6769"/>
        <item m="1" x="7192"/>
        <item m="1" x="7519"/>
        <item m="1" x="7766"/>
        <item m="1" x="3225"/>
        <item m="1" x="4304"/>
        <item m="1" x="5496"/>
        <item m="1" x="6325"/>
        <item m="1" x="614"/>
        <item m="1" x="882"/>
        <item m="1" x="1300"/>
        <item m="1" x="1967"/>
        <item m="1" x="2808"/>
        <item m="1" x="3870"/>
        <item m="1" x="5066"/>
        <item m="1" x="6131"/>
        <item m="1" x="6628"/>
        <item m="1" x="7067"/>
        <item m="1" x="1357"/>
        <item m="1" x="2029"/>
        <item m="1" x="2853"/>
        <item m="1" x="3937"/>
        <item m="1" x="5126"/>
        <item m="1" x="6158"/>
        <item m="1" x="6655"/>
        <item m="1" x="7094"/>
        <item m="1" x="7445"/>
        <item m="1" x="7712"/>
        <item m="1" x="2951"/>
        <item m="1" x="4019"/>
        <item m="1" x="5198"/>
        <item m="1" x="6197"/>
        <item m="1" x="1937"/>
        <item m="1" x="2745"/>
        <item m="1" x="3740"/>
        <item m="1" x="4908"/>
        <item m="1" x="6075"/>
        <item m="1" x="6576"/>
        <item m="1" x="7028"/>
        <item m="1" x="7404"/>
        <item m="1" x="7685"/>
        <item m="1" x="7878"/>
        <item m="1" x="3829"/>
        <item m="1" x="4991"/>
        <item m="1" x="6110"/>
        <item m="1" x="6607"/>
        <item m="1" x="7049"/>
        <item m="1" x="7423"/>
        <item m="1" x="7704"/>
        <item m="1" x="7897"/>
        <item m="1" x="7999"/>
        <item m="1" x="473"/>
        <item m="1" x="6137"/>
        <item m="1" x="6634"/>
        <item m="1" x="7073"/>
        <item m="1" x="7429"/>
        <item m="1" x="1392"/>
        <item m="1" x="2066"/>
        <item m="1" x="2895"/>
        <item m="1" x="3964"/>
        <item m="1" x="5160"/>
        <item m="1" x="6173"/>
        <item m="1" x="6670"/>
        <item m="1" x="7109"/>
        <item m="1" x="7460"/>
        <item m="1" x="7722"/>
        <item m="1" x="2990"/>
        <item m="1" x="4060"/>
        <item m="1" x="5244"/>
        <item m="1" x="6216"/>
        <item m="1" x="6703"/>
        <item m="1" x="7140"/>
        <item m="1" x="7491"/>
        <item m="1" x="7749"/>
        <item m="1" x="7917"/>
        <item m="1" x="401"/>
        <item m="1" x="5306"/>
        <item m="1" x="6246"/>
        <item m="1" x="6730"/>
        <item m="1" x="7156"/>
        <item m="1" x="1250"/>
        <item m="1" x="1848"/>
        <item m="1" x="2637"/>
        <item m="1" x="3638"/>
        <item m="1" x="4819"/>
        <item m="1" x="6012"/>
        <item m="1" x="6542"/>
        <item m="1" x="6996"/>
        <item m="1" x="7372"/>
        <item m="1" x="7656"/>
        <item m="1" x="2746"/>
        <item m="1" x="3741"/>
        <item m="1" x="4909"/>
        <item m="1" x="6076"/>
        <item m="1" x="6577"/>
        <item m="1" x="7029"/>
        <item m="1" x="7405"/>
        <item m="1" x="7686"/>
        <item m="1" x="7879"/>
        <item m="1" x="7986"/>
        <item m="1" x="4992"/>
        <item m="1" x="6111"/>
        <item m="1" x="6608"/>
        <item m="1" x="7050"/>
        <item m="1" x="1113"/>
        <item m="1" x="1666"/>
        <item m="1" x="2419"/>
        <item m="1" x="3369"/>
        <item m="1" x="4511"/>
        <item m="1" x="5711"/>
        <item m="1" x="6423"/>
        <item m="1" x="6893"/>
        <item m="1" x="7291"/>
        <item m="1" x="7595"/>
        <item m="1" x="2510"/>
        <item m="1" x="3451"/>
        <item m="1" x="4598"/>
        <item m="1" x="5792"/>
        <item m="1" x="6457"/>
        <item m="1" x="6925"/>
        <item m="1" x="7323"/>
        <item m="1" x="7625"/>
        <item m="1" x="7838"/>
        <item m="1" x="7967"/>
        <item m="1" x="4688"/>
        <item m="1" x="5864"/>
        <item m="1" x="6490"/>
        <item m="1" x="6946"/>
        <item m="1" x="996"/>
        <item m="1" x="1480"/>
        <item m="1" x="2181"/>
        <item m="1" x="3054"/>
        <item m="1" x="4173"/>
        <item m="1" x="5378"/>
        <item m="1" x="6273"/>
        <item m="1" x="6757"/>
        <item m="1" x="7180"/>
        <item m="1" x="7510"/>
        <item m="1" x="2262"/>
        <item m="1" x="3151"/>
        <item m="1" x="4253"/>
        <item m="1" x="5442"/>
        <item m="1" x="6304"/>
        <item m="1" x="6788"/>
        <item m="1" x="7211"/>
        <item m="1" x="7539"/>
        <item m="1" x="7779"/>
        <item m="1" x="7934"/>
        <item m="1" x="4350"/>
        <item m="1" x="5542"/>
        <item m="1" x="6349"/>
        <item m="1" x="6822"/>
        <item m="1" x="898"/>
        <item m="1" x="1324"/>
        <item m="1" x="1984"/>
        <item m="1" x="2825"/>
        <item m="1" x="3894"/>
        <item m="1" x="5084"/>
        <item m="1" x="6144"/>
        <item m="1" x="6641"/>
        <item m="1" x="7080"/>
        <item m="1" x="7434"/>
        <item m="1" x="2067"/>
        <item m="1" x="2896"/>
        <item m="1" x="3965"/>
        <item m="1" x="5161"/>
        <item m="1" x="6174"/>
        <item m="1" x="6671"/>
        <item m="1" x="7110"/>
        <item m="1" x="7461"/>
        <item m="1" x="7723"/>
        <item m="1" x="7902"/>
        <item m="1" x="4061"/>
        <item m="1" x="5245"/>
        <item m="1" x="6217"/>
        <item m="1" x="6704"/>
        <item m="1" x="2314"/>
        <item m="1" x="3226"/>
        <item m="1" x="4305"/>
        <item m="1" x="5497"/>
        <item m="1" x="6326"/>
        <item m="1" x="6805"/>
        <item m="1" x="7228"/>
        <item m="1" x="7556"/>
        <item m="1" x="7794"/>
        <item m="1" x="7941"/>
        <item m="1" x="4395"/>
        <item m="1" x="5582"/>
        <item m="1" x="6366"/>
        <item m="1" x="6836"/>
        <item m="1" x="7251"/>
        <item m="1" x="7579"/>
        <item m="1" x="7817"/>
        <item m="1" x="7962"/>
        <item m="1" x="447"/>
        <item m="1" x="480"/>
        <item m="1" x="6402"/>
        <item m="1" x="6872"/>
        <item m="1" x="7270"/>
        <item m="1" x="7585"/>
        <item m="1" x="1163"/>
        <item m="1" x="1758"/>
        <item m="1" x="2511"/>
        <item m="1" x="3452"/>
        <item m="1" x="4599"/>
        <item m="1" x="5793"/>
        <item m="1" x="6458"/>
        <item m="1" x="6926"/>
        <item m="1" x="7324"/>
        <item m="1" x="7626"/>
        <item m="1" x="2564"/>
        <item m="1" x="3540"/>
        <item m="1" x="4689"/>
        <item m="1" x="5865"/>
        <item m="1" x="6491"/>
        <item m="1" x="6947"/>
        <item m="1" x="7343"/>
        <item m="1" x="7645"/>
        <item m="1" x="7856"/>
        <item m="1" x="7981"/>
        <item m="1" x="4758"/>
        <item m="1" x="5942"/>
        <item m="1" x="6511"/>
        <item m="1" x="6965"/>
        <item m="1" x="1043"/>
        <item m="1" x="1564"/>
        <item m="1" x="2263"/>
        <item m="1" x="3152"/>
        <item m="1" x="4254"/>
        <item m="1" x="5443"/>
        <item m="1" x="6305"/>
        <item m="1" x="6789"/>
        <item m="1" x="7212"/>
        <item m="1" x="7540"/>
        <item m="1" x="2332"/>
        <item m="1" x="3261"/>
        <item m="1" x="4351"/>
        <item m="1" x="5543"/>
        <item m="1" x="6350"/>
        <item m="1" x="6823"/>
        <item m="1" x="7242"/>
        <item m="1" x="7570"/>
        <item m="1" x="7808"/>
        <item m="1" x="7953"/>
        <item m="1" x="4439"/>
        <item m="1" x="5614"/>
        <item m="1" x="6381"/>
        <item m="1" x="6851"/>
        <item m="1" x="946"/>
        <item m="1" x="1393"/>
        <item m="1" x="2068"/>
        <item m="1" x="2897"/>
        <item m="1" x="3966"/>
        <item m="1" x="5162"/>
        <item m="1" x="6175"/>
        <item m="1" x="6672"/>
        <item m="1" x="7111"/>
        <item m="1" x="7462"/>
        <item m="1" x="2140"/>
        <item m="1" x="2991"/>
        <item m="1" x="4062"/>
        <item m="1" x="5246"/>
        <item m="1" x="6218"/>
        <item m="1" x="6705"/>
        <item m="1" x="7141"/>
        <item m="1" x="7492"/>
        <item m="1" x="7750"/>
        <item m="1" x="7918"/>
        <item m="1" x="4123"/>
        <item m="1" x="5307"/>
        <item m="1" x="6247"/>
        <item m="1" x="6731"/>
        <item m="1" x="844"/>
        <item m="1" x="1251"/>
        <item m="1" x="1849"/>
        <item m="1" x="2638"/>
        <item m="1" x="3639"/>
        <item m="1" x="4820"/>
        <item m="1" x="6013"/>
        <item m="1" x="6543"/>
        <item m="1" x="6997"/>
        <item m="1" x="7373"/>
        <item m="1" x="1938"/>
        <item m="1" x="2747"/>
        <item m="1" x="3742"/>
        <item m="1" x="4910"/>
        <item m="1" x="6077"/>
        <item m="1" x="6578"/>
        <item m="1" x="7030"/>
        <item m="1" x="7406"/>
        <item m="1" x="7687"/>
        <item m="1" x="7880"/>
        <item m="1" x="3830"/>
        <item m="1" x="4993"/>
        <item m="1" x="6112"/>
        <item m="1" x="6609"/>
        <item m="1" x="628"/>
        <item m="1" x="899"/>
        <item m="1" x="1325"/>
        <item m="1" x="1985"/>
        <item m="1" x="2826"/>
        <item m="1" x="3895"/>
        <item m="1" x="5085"/>
        <item m="1" x="6145"/>
        <item m="1" x="6642"/>
        <item m="1" x="7081"/>
        <item m="1" x="1394"/>
        <item m="1" x="2069"/>
        <item m="1" x="2898"/>
        <item m="1" x="3967"/>
        <item m="1" x="5163"/>
        <item m="1" x="6176"/>
        <item m="1" x="6673"/>
        <item m="1" x="7112"/>
        <item m="1" x="7463"/>
        <item m="1" x="7724"/>
        <item m="1" x="2992"/>
        <item m="1" x="4063"/>
        <item m="1" x="5247"/>
        <item m="1" x="6219"/>
        <item m="1" x="588"/>
        <item m="1" x="793"/>
        <item m="1" x="1182"/>
        <item m="1" x="1792"/>
        <item m="1" x="2577"/>
        <item m="1" x="3583"/>
        <item m="1" x="4765"/>
        <item m="1" x="5951"/>
        <item m="1" x="6520"/>
        <item m="1" x="6974"/>
        <item m="1" x="1252"/>
        <item m="1" x="1850"/>
        <item m="1" x="2639"/>
        <item m="1" x="3640"/>
        <item m="1" x="4821"/>
        <item m="1" x="6014"/>
        <item m="1" x="6544"/>
        <item m="1" x="6998"/>
        <item m="1" x="7374"/>
        <item m="1" x="7657"/>
        <item m="1" x="2748"/>
        <item m="1" x="3743"/>
        <item m="1" x="4911"/>
        <item m="1" x="6078"/>
        <item m="1" x="545"/>
        <item m="1" x="714"/>
        <item m="1" x="1064"/>
        <item m="1" x="1597"/>
        <item m="1" x="2366"/>
        <item m="1" x="3315"/>
        <item m="1" x="4449"/>
        <item m="1" x="5631"/>
        <item m="1" x="6391"/>
        <item m="1" x="6861"/>
        <item m="1" x="1114"/>
        <item m="1" x="1667"/>
        <item m="1" x="2420"/>
        <item m="1" x="3370"/>
        <item m="1" x="4512"/>
        <item m="1" x="5712"/>
        <item m="1" x="6424"/>
        <item m="1" x="6894"/>
        <item m="1" x="7292"/>
        <item m="1" x="7596"/>
        <item m="1" x="2512"/>
        <item m="1" x="3453"/>
        <item m="1" x="4600"/>
        <item m="1" x="5794"/>
        <item m="1" x="1584"/>
        <item m="1" x="2315"/>
        <item m="1" x="3227"/>
        <item m="1" x="4306"/>
        <item m="1" x="5498"/>
        <item m="1" x="6327"/>
        <item m="1" x="6806"/>
        <item m="1" x="7229"/>
        <item m="1" x="7557"/>
        <item m="1" x="7795"/>
        <item m="1" x="3281"/>
        <item m="1" x="4396"/>
        <item m="1" x="5583"/>
        <item m="1" x="6367"/>
        <item m="1" x="6837"/>
        <item m="1" x="7252"/>
        <item m="1" x="7580"/>
        <item m="1" x="7818"/>
        <item m="1" x="7963"/>
        <item m="1" x="448"/>
        <item m="1" x="5659"/>
        <item m="1" x="6403"/>
        <item m="1" x="6873"/>
        <item m="1" x="7271"/>
        <item m="1" x="1426"/>
        <item m="1" x="2115"/>
        <item m="1" x="2952"/>
        <item m="1" x="4020"/>
        <item m="1" x="5199"/>
        <item m="1" x="6198"/>
        <item m="1" x="6689"/>
        <item m="1" x="7128"/>
        <item m="1" x="7479"/>
        <item m="1" x="7737"/>
        <item m="1" x="3025"/>
        <item m="1" x="4098"/>
        <item m="1" x="5278"/>
        <item m="1" x="6234"/>
        <item m="1" x="6718"/>
        <item m="1" x="7150"/>
        <item m="1" x="7501"/>
        <item m="1" x="7759"/>
        <item m="1" x="7927"/>
        <item m="1" x="416"/>
        <item m="1" x="5356"/>
        <item m="1" x="6258"/>
        <item m="1" x="6742"/>
        <item m="1" x="7165"/>
        <item m="1" x="1030"/>
        <item m="1" x="1536"/>
        <item m="1" x="2213"/>
        <item m="1" x="3099"/>
        <item m="1" x="4214"/>
        <item m="1" x="5414"/>
        <item m="1" x="6286"/>
        <item m="1" x="6770"/>
        <item m="1" x="7193"/>
        <item m="1" x="7520"/>
        <item m="1" x="2316"/>
        <item m="1" x="3228"/>
        <item m="1" x="4307"/>
        <item m="1" x="5499"/>
        <item m="1" x="6328"/>
        <item m="1" x="6807"/>
        <item m="1" x="7230"/>
        <item m="1" x="7558"/>
        <item m="1" x="7796"/>
        <item m="1" x="7942"/>
        <item m="1" x="4397"/>
        <item m="1" x="5584"/>
        <item m="1" x="6368"/>
        <item m="1" x="6838"/>
        <item m="1" x="923"/>
        <item m="1" x="1358"/>
        <item m="1" x="2030"/>
        <item m="1" x="2854"/>
        <item m="1" x="3938"/>
        <item m="1" x="5127"/>
        <item m="1" x="6159"/>
        <item m="1" x="6656"/>
        <item m="1" x="7095"/>
        <item m="1" x="7446"/>
        <item m="1" x="2116"/>
        <item m="1" x="2953"/>
        <item m="1" x="4021"/>
        <item m="1" x="5200"/>
        <item m="1" x="6199"/>
        <item m="1" x="6690"/>
        <item m="1" x="7129"/>
        <item m="1" x="7480"/>
        <item m="1" x="7738"/>
        <item m="1" x="7908"/>
        <item m="1" x="4099"/>
        <item m="1" x="5279"/>
        <item m="1" x="6235"/>
        <item m="1" x="6719"/>
        <item m="1" x="829"/>
        <item m="1" x="1222"/>
        <item m="1" x="1822"/>
        <item m="1" x="2616"/>
        <item m="1" x="3609"/>
        <item m="1" x="4799"/>
        <item m="1" x="5983"/>
        <item m="1" x="6530"/>
        <item m="1" x="6984"/>
        <item m="1" x="7360"/>
        <item m="1" x="1915"/>
        <item m="1" x="2697"/>
        <item m="1" x="3688"/>
        <item m="1" x="4870"/>
        <item m="1" x="6053"/>
        <item m="1" x="6563"/>
        <item m="1" x="7017"/>
        <item m="1" x="7393"/>
        <item m="1" x="7674"/>
        <item m="1" x="7869"/>
        <item m="1" x="3800"/>
        <item m="1" x="4956"/>
        <item m="1" x="6099"/>
        <item m="1" x="6596"/>
        <item m="1" x="745"/>
        <item m="1" x="1093"/>
        <item m="1" x="1637"/>
        <item m="1" x="2392"/>
        <item m="1" x="3345"/>
        <item m="1" x="4475"/>
        <item m="1" x="5681"/>
        <item m="1" x="6408"/>
        <item m="1" x="6878"/>
        <item m="1" x="7276"/>
        <item m="1" x="1724"/>
        <item m="1" x="2470"/>
        <item m="1" x="3404"/>
        <item m="1" x="4564"/>
        <item m="1" x="5761"/>
        <item m="1" x="6440"/>
        <item m="1" x="6910"/>
        <item m="1" x="7308"/>
        <item m="1" x="7610"/>
        <item m="1" x="7828"/>
        <item m="1" x="3507"/>
        <item m="1" x="4653"/>
        <item m="1" x="5831"/>
        <item m="1" x="6475"/>
        <item m="1" x="681"/>
        <item m="1" x="970"/>
        <item m="1" x="1456"/>
        <item m="1" x="2161"/>
        <item m="1" x="3036"/>
        <item m="1" x="4155"/>
        <item m="1" x="5361"/>
        <item m="1" x="6264"/>
        <item m="1" x="6748"/>
        <item m="1" x="7171"/>
        <item m="1" x="1537"/>
        <item m="1" x="2214"/>
        <item m="1" x="3100"/>
        <item m="1" x="4215"/>
        <item m="1" x="5415"/>
        <item m="1" x="6287"/>
        <item m="1" x="6771"/>
        <item m="1" x="7194"/>
        <item m="1" x="7521"/>
        <item m="1" x="7767"/>
        <item m="1" x="3229"/>
        <item m="1" x="4308"/>
        <item m="1" x="5500"/>
        <item m="1" x="6329"/>
        <item m="1" x="1759"/>
        <item m="1" x="2513"/>
        <item m="1" x="3454"/>
        <item m="1" x="4601"/>
        <item m="1" x="5795"/>
        <item m="1" x="6459"/>
        <item m="1" x="6927"/>
        <item m="1" x="7325"/>
        <item m="1" x="7627"/>
        <item m="1" x="7839"/>
        <item m="1" x="3541"/>
        <item m="1" x="4690"/>
        <item m="1" x="5866"/>
        <item m="1" x="6492"/>
        <item m="1" x="6948"/>
        <item m="1" x="7344"/>
        <item m="1" x="7646"/>
        <item m="1" x="7857"/>
        <item m="1" x="7982"/>
        <item m="1" x="458"/>
        <item m="1" x="5943"/>
        <item m="1" x="6512"/>
        <item m="1" x="6966"/>
        <item m="1" x="7349"/>
        <item m="1" x="1565"/>
        <item m="1" x="2264"/>
        <item m="1" x="3153"/>
        <item m="1" x="4255"/>
        <item m="1" x="5444"/>
        <item m="1" x="6306"/>
        <item m="1" x="6790"/>
        <item m="1" x="7213"/>
        <item m="1" x="7541"/>
        <item m="1" x="7780"/>
        <item m="1" x="3262"/>
        <item m="1" x="4352"/>
        <item m="1" x="5544"/>
        <item m="1" x="6351"/>
        <item m="1" x="6824"/>
        <item m="1" x="7243"/>
        <item m="1" x="7571"/>
        <item m="1" x="7809"/>
        <item m="1" x="7954"/>
        <item m="1" x="431"/>
        <item m="1" x="5615"/>
        <item m="1" x="6382"/>
        <item m="1" x="6852"/>
        <item m="1" x="7258"/>
        <item m="1" x="1395"/>
        <item m="1" x="2070"/>
        <item m="1" x="2899"/>
        <item m="1" x="3968"/>
        <item m="1" x="5164"/>
        <item m="1" x="6177"/>
        <item m="1" x="6674"/>
        <item m="1" x="7113"/>
        <item m="1" x="7464"/>
        <item m="1" x="7725"/>
        <item m="1" x="2993"/>
        <item m="1" x="4064"/>
        <item m="1" x="5248"/>
        <item m="1" x="6220"/>
        <item m="1" x="6706"/>
        <item m="1" x="7142"/>
        <item m="1" x="7493"/>
        <item m="1" x="7751"/>
        <item m="1" x="7919"/>
        <item m="1" x="402"/>
        <item m="1" x="5308"/>
        <item m="1" x="6248"/>
        <item m="1" x="6732"/>
        <item m="1" x="7157"/>
        <item m="1" x="1253"/>
        <item m="1" x="1851"/>
        <item m="1" x="2640"/>
        <item m="1" x="3641"/>
        <item m="1" x="4822"/>
        <item m="1" x="6015"/>
        <item m="1" x="6545"/>
        <item m="1" x="6999"/>
        <item m="1" x="7375"/>
        <item m="1" x="7658"/>
        <item m="1" x="2749"/>
        <item m="1" x="3744"/>
        <item m="1" x="4912"/>
        <item m="1" x="6079"/>
        <item m="1" x="6579"/>
        <item m="1" x="7031"/>
        <item m="1" x="7407"/>
        <item m="1" x="7688"/>
        <item m="1" x="7881"/>
        <item m="1" x="7987"/>
        <item m="1" x="4994"/>
        <item m="1" x="6113"/>
        <item m="1" x="6610"/>
        <item m="1" x="7051"/>
        <item m="1" x="1115"/>
        <item m="1" x="1668"/>
        <item m="1" x="2421"/>
        <item m="1" x="3371"/>
        <item m="1" x="4513"/>
        <item m="1" x="5713"/>
        <item m="1" x="6425"/>
        <item m="1" x="6895"/>
        <item m="1" x="7293"/>
        <item m="1" x="7597"/>
        <item m="1" x="2514"/>
        <item m="1" x="3455"/>
        <item m="1" x="4602"/>
        <item m="1" x="5796"/>
        <item m="1" x="6460"/>
        <item m="1" x="6928"/>
        <item m="1" x="7326"/>
        <item m="1" x="7628"/>
        <item m="1" x="7840"/>
        <item m="1" x="7968"/>
        <item m="1" x="4691"/>
        <item m="1" x="5867"/>
        <item m="1" x="6493"/>
        <item m="1" x="6949"/>
        <item m="1" x="794"/>
        <item m="1" x="1183"/>
        <item m="1" x="1793"/>
        <item m="1" x="2578"/>
        <item m="1" x="3584"/>
        <item m="1" x="4766"/>
        <item m="1" x="5952"/>
        <item m="1" x="6521"/>
        <item m="1" x="6975"/>
        <item m="1" x="7353"/>
        <item m="1" x="1852"/>
        <item m="1" x="2641"/>
        <item m="1" x="3642"/>
        <item m="1" x="4823"/>
        <item m="1" x="6016"/>
        <item m="1" x="6546"/>
        <item m="1" x="7000"/>
        <item m="1" x="7376"/>
        <item m="1" x="7659"/>
        <item m="1" x="7862"/>
        <item m="1" x="3745"/>
        <item m="1" x="4913"/>
        <item m="1" x="6080"/>
        <item m="1" x="6580"/>
        <item m="1" x="715"/>
        <item m="1" x="1065"/>
        <item m="1" x="1598"/>
        <item m="1" x="2367"/>
        <item m="1" x="3316"/>
        <item m="1" x="4450"/>
        <item m="1" x="5632"/>
        <item m="1" x="6392"/>
        <item m="1" x="6862"/>
        <item m="1" x="7262"/>
        <item m="1" x="1669"/>
        <item m="1" x="2422"/>
        <item m="1" x="3372"/>
        <item m="1" x="4514"/>
        <item m="1" x="5714"/>
        <item m="1" x="6426"/>
        <item m="1" x="6896"/>
        <item m="1" x="7294"/>
        <item m="1" x="7598"/>
        <item m="1" x="7823"/>
        <item m="1" x="3456"/>
        <item m="1" x="4603"/>
        <item m="1" x="5797"/>
        <item m="1" x="6461"/>
        <item m="1" x="2317"/>
        <item m="1" x="3230"/>
        <item m="1" x="4309"/>
        <item m="1" x="5501"/>
        <item m="1" x="6330"/>
        <item m="1" x="6808"/>
        <item m="1" x="7231"/>
        <item m="1" x="7559"/>
        <item m="1" x="7797"/>
        <item m="1" x="7943"/>
        <item m="1" x="4398"/>
        <item m="1" x="5585"/>
        <item m="1" x="6369"/>
        <item m="1" x="6839"/>
        <item m="1" x="7253"/>
        <item m="1" x="7581"/>
        <item m="1" x="7819"/>
        <item m="1" x="7964"/>
        <item m="1" x="449"/>
        <item m="1" x="481"/>
        <item m="1" x="6404"/>
        <item m="1" x="6874"/>
        <item m="1" x="7272"/>
        <item m="1" x="7586"/>
        <item m="1" x="2117"/>
        <item m="1" x="2954"/>
        <item m="1" x="4022"/>
        <item m="1" x="5201"/>
        <item m="1" x="6200"/>
        <item m="1" x="6691"/>
        <item m="1" x="7130"/>
        <item m="1" x="7481"/>
        <item m="1" x="7739"/>
        <item m="1" x="7909"/>
        <item m="1" x="4100"/>
        <item m="1" x="5280"/>
        <item m="1" x="6236"/>
        <item m="1" x="6720"/>
        <item m="1" x="7151"/>
        <item m="1" x="7502"/>
        <item m="1" x="7760"/>
        <item m="1" x="7928"/>
        <item m="1" x="417"/>
        <item m="1" x="477"/>
        <item m="1" x="6259"/>
        <item m="1" x="6743"/>
        <item m="1" x="7166"/>
        <item m="1" x="7506"/>
        <item m="1" x="1164"/>
        <item m="1" x="1760"/>
        <item m="1" x="2515"/>
        <item m="1" x="3457"/>
        <item m="1" x="4604"/>
        <item m="1" x="5798"/>
        <item m="1" x="6462"/>
        <item m="1" x="6929"/>
        <item m="1" x="7327"/>
        <item m="1" x="7629"/>
        <item m="1" x="2565"/>
        <item m="1" x="3542"/>
        <item m="1" x="4692"/>
        <item m="1" x="5868"/>
        <item m="1" x="6494"/>
        <item m="1" x="6950"/>
        <item m="1" x="7345"/>
        <item m="1" x="7647"/>
        <item m="1" x="7858"/>
        <item m="1" x="7983"/>
        <item m="1" x="4759"/>
        <item m="1" x="5944"/>
        <item m="1" x="6513"/>
        <item m="1" x="6967"/>
        <item m="1" x="845"/>
        <item m="1" x="1254"/>
        <item m="1" x="1853"/>
        <item m="1" x="2642"/>
        <item m="1" x="3643"/>
        <item m="1" x="4824"/>
        <item m="1" x="6017"/>
        <item m="1" x="6547"/>
        <item m="1" x="7001"/>
        <item m="1" x="7377"/>
        <item m="1" x="1939"/>
        <item m="1" x="2750"/>
        <item m="1" x="3746"/>
        <item m="1" x="4914"/>
        <item m="1" x="6081"/>
        <item m="1" x="6581"/>
        <item m="1" x="7032"/>
        <item m="1" x="7408"/>
        <item m="1" x="7689"/>
        <item m="1" x="7882"/>
        <item m="1" x="3831"/>
        <item m="1" x="4995"/>
        <item m="1" x="6114"/>
        <item m="1" x="6611"/>
        <item m="1" x="758"/>
        <item m="1" x="1116"/>
        <item m="1" x="1670"/>
        <item m="1" x="2423"/>
        <item m="1" x="3373"/>
        <item m="1" x="4515"/>
        <item m="1" x="5715"/>
        <item m="1" x="6427"/>
        <item m="1" x="6897"/>
        <item m="1" x="7295"/>
        <item m="1" x="1761"/>
        <item m="1" x="2516"/>
        <item m="1" x="3458"/>
        <item m="1" x="4605"/>
        <item m="1" x="5799"/>
        <item m="1" x="6463"/>
        <item m="1" x="6930"/>
        <item m="1" x="7328"/>
        <item m="1" x="7630"/>
        <item m="1" x="7841"/>
        <item m="1" x="3543"/>
        <item m="1" x="4693"/>
        <item m="1" x="5869"/>
        <item m="1" x="6495"/>
        <item m="1" x="689"/>
        <item m="1" x="997"/>
        <item m="1" x="1481"/>
        <item m="1" x="2182"/>
        <item m="1" x="3055"/>
        <item m="1" x="4174"/>
        <item m="1" x="5379"/>
        <item m="1" x="6274"/>
        <item m="1" x="6758"/>
        <item m="1" x="7181"/>
        <item m="1" x="1566"/>
        <item m="1" x="2265"/>
        <item m="1" x="3154"/>
        <item m="1" x="4256"/>
        <item m="1" x="5445"/>
        <item m="1" x="6307"/>
        <item m="1" x="6791"/>
        <item m="1" x="7214"/>
        <item m="1" x="7542"/>
        <item m="1" x="7781"/>
        <item m="1" x="3263"/>
        <item m="1" x="4353"/>
        <item m="1" x="5545"/>
        <item m="1" x="6352"/>
        <item m="1" x="629"/>
        <item m="1" x="900"/>
        <item m="1" x="1326"/>
        <item m="1" x="1986"/>
        <item m="1" x="2827"/>
        <item m="1" x="3896"/>
        <item m="1" x="5086"/>
        <item m="1" x="6146"/>
        <item m="1" x="6643"/>
        <item m="1" x="7082"/>
        <item m="1" x="1396"/>
        <item m="1" x="2071"/>
        <item m="1" x="2900"/>
        <item m="1" x="3969"/>
        <item m="1" x="5165"/>
        <item m="1" x="6178"/>
        <item m="1" x="6675"/>
        <item m="1" x="7114"/>
        <item m="1" x="7465"/>
        <item m="1" x="7726"/>
        <item m="1" x="2994"/>
        <item m="1" x="4065"/>
        <item m="1" x="5249"/>
        <item m="1" x="6221"/>
        <item m="1" x="589"/>
        <item m="1" x="795"/>
        <item m="1" x="1184"/>
        <item m="1" x="1794"/>
        <item m="1" x="2579"/>
        <item m="1" x="3585"/>
        <item m="1" x="4767"/>
        <item m="1" x="5953"/>
        <item m="1" x="6522"/>
        <item m="1" x="6976"/>
        <item m="1" x="1255"/>
        <item m="1" x="1854"/>
        <item m="1" x="2643"/>
        <item m="1" x="3644"/>
        <item m="1" x="4825"/>
        <item m="1" x="6018"/>
        <item m="1" x="6548"/>
        <item m="1" x="7002"/>
        <item m="1" x="7378"/>
        <item m="1" x="7660"/>
        <item m="1" x="2751"/>
        <item m="1" x="3747"/>
        <item m="1" x="4915"/>
        <item m="1" x="6082"/>
        <item m="1" x="1427"/>
        <item m="1" x="2118"/>
        <item m="1" x="2955"/>
        <item m="1" x="4023"/>
        <item m="1" x="5202"/>
        <item m="1" x="6201"/>
        <item m="1" x="6692"/>
        <item m="1" x="7131"/>
        <item m="1" x="7482"/>
        <item m="1" x="7740"/>
        <item m="1" x="3026"/>
        <item m="1" x="4101"/>
        <item m="1" x="5281"/>
        <item m="1" x="6237"/>
        <item m="1" x="6721"/>
        <item m="1" x="7152"/>
        <item m="1" x="7503"/>
        <item m="1" x="7761"/>
        <item m="1" x="7929"/>
        <item m="1" x="418"/>
        <item m="1" x="5357"/>
        <item m="1" x="6260"/>
        <item m="1" x="6744"/>
        <item m="1" x="7167"/>
        <item m="1" x="1281"/>
        <item m="1" x="1916"/>
        <item m="1" x="2698"/>
        <item m="1" x="3689"/>
        <item m="1" x="4871"/>
        <item m="1" x="6054"/>
        <item m="1" x="6564"/>
        <item m="1" x="7018"/>
        <item m="1" x="7394"/>
        <item m="1" x="7675"/>
        <item m="1" x="2779"/>
        <item m="1" x="3801"/>
        <item m="1" x="4957"/>
        <item m="1" x="6100"/>
        <item m="1" x="6597"/>
        <item m="1" x="7042"/>
        <item m="1" x="7418"/>
        <item m="1" x="7699"/>
        <item m="1" x="7892"/>
        <item m="1" x="7994"/>
        <item m="1" x="5044"/>
        <item m="1" x="6126"/>
        <item m="1" x="6623"/>
        <item m="1" x="7062"/>
        <item m="1" x="1151"/>
        <item m="1" x="1725"/>
        <item m="1" x="2471"/>
        <item m="1" x="3405"/>
        <item m="1" x="4565"/>
        <item m="1" x="5762"/>
        <item m="1" x="6441"/>
        <item m="1" x="6911"/>
        <item m="1" x="7309"/>
        <item m="1" x="7611"/>
        <item m="1" x="2552"/>
        <item m="1" x="3508"/>
        <item m="1" x="4654"/>
        <item m="1" x="5832"/>
        <item m="1" x="6476"/>
        <item m="1" x="6938"/>
        <item m="1" x="7336"/>
        <item m="1" x="7638"/>
        <item m="1" x="7849"/>
        <item m="1" x="7974"/>
        <item m="1" x="4719"/>
        <item m="1" x="5895"/>
        <item m="1" x="6503"/>
        <item m="1" x="6957"/>
        <item m="1" x="1031"/>
        <item m="1" x="1538"/>
        <item m="1" x="2215"/>
        <item m="1" x="3101"/>
        <item m="1" x="4216"/>
        <item m="1" x="5416"/>
        <item m="1" x="6288"/>
        <item m="1" x="6772"/>
        <item m="1" x="7195"/>
        <item m="1" x="7522"/>
        <item m="1" x="2318"/>
        <item m="1" x="3231"/>
        <item m="1" x="4310"/>
        <item m="1" x="5502"/>
        <item m="1" x="6331"/>
        <item m="1" x="6809"/>
        <item m="1" x="7232"/>
        <item m="1" x="7560"/>
        <item m="1" x="7798"/>
        <item m="1" x="7944"/>
        <item m="1" x="4399"/>
        <item m="1" x="5586"/>
        <item m="1" x="6370"/>
        <item m="1" x="6840"/>
        <item m="1" x="924"/>
        <item m="1" x="1359"/>
        <item m="1" x="2031"/>
        <item m="1" x="2855"/>
        <item m="1" x="3939"/>
        <item m="1" x="5128"/>
        <item m="1" x="6160"/>
        <item m="1" x="6657"/>
        <item m="1" x="7096"/>
        <item m="1" x="7447"/>
        <item m="1" x="2119"/>
        <item m="1" x="2956"/>
        <item m="1" x="4024"/>
        <item m="1" x="5203"/>
        <item m="1" x="6202"/>
        <item m="1" x="6693"/>
        <item m="1" x="7132"/>
        <item m="1" x="7483"/>
        <item m="1" x="7741"/>
        <item m="1" x="7910"/>
        <item m="1" x="4102"/>
        <item m="1" x="5282"/>
        <item m="1" x="6238"/>
        <item m="1" x="6722"/>
        <item m="1" x="682"/>
        <item m="1" x="971"/>
        <item m="1" x="1457"/>
        <item m="1" x="2162"/>
        <item m="1" x="3037"/>
        <item m="1" x="4156"/>
        <item m="1" x="5362"/>
        <item m="1" x="6265"/>
        <item m="1" x="6749"/>
        <item m="1" x="7172"/>
        <item m="1" x="1539"/>
        <item m="1" x="2216"/>
        <item m="1" x="3102"/>
        <item m="1" x="4217"/>
        <item m="1" x="5417"/>
        <item m="1" x="6289"/>
        <item m="1" x="6773"/>
        <item m="1" x="7196"/>
        <item m="1" x="7523"/>
        <item m="1" x="7768"/>
        <item m="1" x="3232"/>
        <item m="1" x="4311"/>
        <item m="1" x="5503"/>
        <item m="1" x="6332"/>
        <item m="1" x="615"/>
        <item m="1" x="883"/>
        <item m="1" x="1301"/>
        <item m="1" x="1968"/>
        <item m="1" x="2809"/>
        <item m="1" x="3871"/>
        <item m="1" x="5067"/>
        <item m="1" x="6132"/>
        <item m="1" x="6629"/>
        <item m="1" x="7068"/>
        <item m="1" x="1360"/>
        <item m="1" x="2032"/>
        <item m="1" x="2856"/>
        <item m="1" x="3940"/>
        <item m="1" x="5129"/>
        <item m="1" x="6161"/>
        <item m="1" x="6658"/>
        <item m="1" x="7097"/>
        <item m="1" x="7448"/>
        <item m="1" x="7713"/>
        <item m="1" x="2957"/>
        <item m="1" x="4025"/>
        <item m="1" x="5204"/>
        <item m="1" x="6203"/>
        <item m="1" x="1940"/>
        <item m="1" x="2752"/>
        <item m="1" x="3748"/>
        <item m="1" x="4916"/>
        <item m="1" x="6083"/>
        <item m="1" x="6582"/>
        <item m="1" x="7033"/>
        <item m="1" x="7409"/>
        <item m="1" x="7690"/>
        <item m="1" x="7883"/>
        <item m="1" x="3832"/>
        <item m="1" x="4996"/>
        <item m="1" x="6115"/>
        <item m="1" x="6612"/>
        <item m="1" x="7052"/>
        <item m="1" x="7424"/>
        <item m="1" x="7705"/>
        <item m="1" x="7898"/>
        <item m="1" x="474"/>
        <item m="1" x="6138"/>
        <item m="1" x="6635"/>
        <item m="1" x="7074"/>
        <item m="1" x="7430"/>
        <item m="1" x="1762"/>
        <item m="1" x="2517"/>
        <item m="1" x="3459"/>
        <item m="1" x="4606"/>
        <item m="1" x="5800"/>
        <item m="1" x="6464"/>
        <item m="1" x="6931"/>
        <item m="1" x="7329"/>
        <item m="1" x="7631"/>
        <item m="1" x="7842"/>
        <item m="1" x="3544"/>
        <item m="1" x="4694"/>
        <item m="1" x="5870"/>
        <item m="1" x="6496"/>
        <item m="1" x="6951"/>
        <item m="1" x="7346"/>
        <item m="1" x="7648"/>
        <item m="1" x="7859"/>
        <item m="1" x="7984"/>
        <item m="1" x="459"/>
        <item m="1" x="5945"/>
        <item m="1" x="6514"/>
        <item m="1" x="6968"/>
        <item m="1" x="7350"/>
        <item m="1" x="1567"/>
        <item m="1" x="2266"/>
        <item m="1" x="3155"/>
        <item m="1" x="4257"/>
        <item m="1" x="5446"/>
        <item m="1" x="6308"/>
        <item m="1" x="6792"/>
        <item m="1" x="7215"/>
        <item m="1" x="7543"/>
        <item m="1" x="7782"/>
        <item m="1" x="3264"/>
        <item m="1" x="4354"/>
        <item m="1" x="5546"/>
        <item m="1" x="6353"/>
        <item m="1" x="6825"/>
        <item m="1" x="7244"/>
        <item m="1" x="7572"/>
        <item m="1" x="7810"/>
        <item m="1" x="7955"/>
        <item m="1" x="432"/>
        <item m="1" x="5616"/>
        <item m="1" x="6383"/>
        <item m="1" x="6853"/>
        <item m="1" x="7259"/>
        <item m="1" x="1117"/>
        <item m="1" x="1671"/>
        <item m="1" x="2424"/>
        <item m="1" x="3374"/>
        <item m="1" x="4516"/>
        <item m="1" x="5716"/>
        <item m="1" x="6428"/>
        <item m="1" x="6898"/>
        <item m="1" x="7296"/>
        <item m="1" x="7599"/>
        <item m="1" x="2518"/>
        <item m="1" x="3460"/>
        <item m="1" x="4607"/>
        <item m="1" x="5801"/>
        <item m="1" x="6465"/>
        <item m="1" x="6932"/>
        <item m="1" x="7330"/>
        <item m="1" x="7632"/>
        <item m="1" x="7843"/>
        <item m="1" x="7969"/>
        <item m="1" x="4695"/>
        <item m="1" x="5871"/>
        <item m="1" x="6497"/>
        <item m="1" x="6952"/>
        <item m="1" x="998"/>
        <item m="1" x="1482"/>
        <item m="1" x="2183"/>
        <item m="1" x="3056"/>
        <item m="1" x="4175"/>
        <item m="1" x="5380"/>
        <item m="1" x="6275"/>
        <item m="1" x="6759"/>
        <item m="1" x="7182"/>
        <item m="1" x="7511"/>
        <item m="1" x="2267"/>
        <item m="1" x="3156"/>
        <item m="1" x="4258"/>
        <item m="1" x="5447"/>
        <item m="1" x="6309"/>
        <item m="1" x="6793"/>
        <item m="1" x="7216"/>
        <item m="1" x="7544"/>
        <item m="1" x="7783"/>
        <item m="1" x="7935"/>
        <item m="1" x="4355"/>
        <item m="1" x="5547"/>
        <item m="1" x="6354"/>
        <item m="1" x="6826"/>
        <item m="1" x="901"/>
        <item m="1" x="1327"/>
        <item m="1" x="1987"/>
        <item m="1" x="2828"/>
        <item m="1" x="3897"/>
        <item m="1" x="5087"/>
        <item m="1" x="6147"/>
        <item m="1" x="6644"/>
        <item m="1" x="7083"/>
        <item m="1" x="7435"/>
        <item m="1" x="2072"/>
        <item m="1" x="2901"/>
        <item m="1" x="3970"/>
        <item m="1" x="5166"/>
        <item m="1" x="6179"/>
        <item m="1" x="6676"/>
        <item m="1" x="7115"/>
        <item m="1" x="7466"/>
        <item m="1" x="7727"/>
        <item m="1" x="7903"/>
        <item m="1" x="4066"/>
        <item m="1" x="5250"/>
        <item m="1" x="6222"/>
        <item m="1" x="6707"/>
        <item m="1" x="796"/>
        <item m="1" x="1185"/>
        <item m="1" x="1795"/>
        <item m="1" x="2580"/>
        <item m="1" x="3586"/>
        <item m="1" x="4768"/>
        <item m="1" x="5954"/>
        <item m="1" x="6523"/>
        <item m="1" x="6977"/>
        <item m="1" x="7354"/>
        <item m="1" x="1855"/>
        <item m="1" x="2644"/>
        <item m="1" x="3645"/>
        <item m="1" x="4826"/>
        <item m="1" x="6019"/>
        <item m="1" x="6549"/>
        <item m="1" x="7003"/>
        <item m="1" x="7379"/>
        <item m="1" x="7661"/>
        <item m="1" x="7863"/>
        <item m="1" x="3749"/>
        <item m="1" x="4917"/>
        <item m="1" x="6084"/>
        <item m="1" x="6583"/>
        <item m="1" x="716"/>
        <item m="1" x="1066"/>
        <item m="1" x="1599"/>
        <item m="1" x="2368"/>
        <item m="1" x="3317"/>
        <item m="1" x="4451"/>
        <item m="1" x="5633"/>
        <item m="1" x="6393"/>
        <item m="1" x="6863"/>
        <item m="1" x="7263"/>
        <item m="1" x="1672"/>
        <item m="1" x="2425"/>
        <item m="1" x="3375"/>
        <item m="1" x="4517"/>
        <item m="1" x="5717"/>
        <item m="1" x="6429"/>
        <item m="1" x="6899"/>
        <item m="1" x="7297"/>
        <item m="1" x="7600"/>
        <item m="1" x="7824"/>
        <item m="1" x="3461"/>
        <item m="1" x="4608"/>
        <item m="1" x="5802"/>
        <item m="1" x="6466"/>
        <item m="1" x="1044"/>
        <item m="1" x="1568"/>
        <item m="1" x="2268"/>
        <item m="1" x="3157"/>
        <item m="1" x="4259"/>
        <item m="1" x="5448"/>
        <item m="1" x="6310"/>
        <item m="1" x="6794"/>
        <item m="1" x="7217"/>
        <item m="1" x="7545"/>
        <item m="1" x="2333"/>
        <item m="1" x="3265"/>
        <item m="1" x="4356"/>
        <item m="1" x="5548"/>
        <item m="1" x="6355"/>
        <item m="1" x="6827"/>
        <item m="1" x="7245"/>
        <item m="1" x="7573"/>
        <item m="1" x="7811"/>
        <item m="1" x="7956"/>
        <item m="1" x="4440"/>
        <item m="1" x="5617"/>
        <item m="1" x="6384"/>
        <item m="1" x="6854"/>
        <item m="1" x="947"/>
        <item m="1" x="1397"/>
        <item m="1" x="2073"/>
        <item m="1" x="2902"/>
        <item m="1" x="3971"/>
        <item m="1" x="5167"/>
        <item m="1" x="6180"/>
        <item m="1" x="6677"/>
        <item m="1" x="7116"/>
        <item m="1" x="7467"/>
        <item m="1" x="2141"/>
        <item m="1" x="2995"/>
        <item m="1" x="4067"/>
        <item m="1" x="5251"/>
        <item m="1" x="6223"/>
        <item m="1" x="6708"/>
        <item m="1" x="7143"/>
        <item m="1" x="7494"/>
        <item m="1" x="7752"/>
        <item m="1" x="7920"/>
        <item m="1" x="4124"/>
        <item m="1" x="5309"/>
        <item m="1" x="6249"/>
        <item m="1" x="6733"/>
        <item m="1" x="846"/>
        <item m="1" x="1256"/>
        <item m="1" x="1856"/>
        <item m="1" x="2645"/>
        <item m="1" x="3646"/>
        <item m="1" x="4827"/>
        <item m="1" x="6020"/>
        <item m="1" x="6550"/>
        <item m="1" x="7004"/>
        <item m="1" x="7380"/>
        <item m="1" x="1941"/>
        <item m="1" x="2753"/>
        <item m="1" x="3750"/>
        <item m="1" x="4918"/>
        <item m="1" x="6085"/>
        <item m="1" x="6584"/>
        <item m="1" x="7034"/>
        <item m="1" x="7410"/>
        <item m="1" x="7691"/>
        <item m="1" x="7884"/>
        <item m="1" x="3833"/>
        <item m="1" x="4997"/>
        <item m="1" x="6116"/>
        <item m="1" x="6613"/>
        <item m="1" x="759"/>
        <item m="1" x="1118"/>
        <item m="1" x="1673"/>
        <item m="1" x="2426"/>
        <item m="1" x="3376"/>
        <item m="1" x="4518"/>
        <item m="1" x="5718"/>
        <item m="1" x="6430"/>
        <item m="1" x="6900"/>
        <item m="1" x="7298"/>
        <item m="1" x="1763"/>
        <item m="1" x="2519"/>
        <item m="1" x="3462"/>
        <item m="1" x="4609"/>
        <item m="1" x="5803"/>
        <item m="1" x="6467"/>
        <item m="1" x="6933"/>
        <item m="1" x="7331"/>
        <item m="1" x="7633"/>
        <item m="1" x="7844"/>
        <item m="1" x="3545"/>
        <item m="1" x="4696"/>
        <item m="1" x="5872"/>
        <item m="1" x="6498"/>
        <item m="1" x="690"/>
        <item m="1" x="999"/>
        <item m="1" x="1483"/>
        <item m="1" x="2184"/>
        <item m="1" x="3057"/>
        <item m="1" x="4176"/>
        <item m="1" x="5381"/>
        <item m="1" x="6276"/>
        <item m="1" x="6760"/>
        <item m="1" x="7183"/>
        <item m="1" x="1569"/>
        <item m="1" x="2269"/>
        <item m="1" x="3158"/>
        <item m="1" x="4260"/>
        <item m="1" x="5449"/>
        <item m="1" x="6311"/>
        <item m="1" x="6795"/>
        <item m="1" x="7218"/>
        <item m="1" x="7546"/>
        <item m="1" x="7784"/>
        <item m="1" x="3266"/>
        <item m="1" x="4357"/>
        <item m="1" x="5549"/>
        <item m="1" x="6356"/>
        <item m="1" x="546"/>
        <item m="1" x="717"/>
        <item m="1" x="1067"/>
        <item m="1" x="1600"/>
        <item m="1" x="2369"/>
        <item m="1" x="3318"/>
        <item m="1" x="4452"/>
        <item m="1" x="5634"/>
        <item m="1" x="6394"/>
        <item m="1" x="6864"/>
        <item m="1" x="1119"/>
        <item m="1" x="1674"/>
        <item m="1" x="2427"/>
        <item m="1" x="3377"/>
        <item m="1" x="4519"/>
        <item m="1" x="5719"/>
        <item m="1" x="6431"/>
        <item m="1" x="6901"/>
        <item m="1" x="7299"/>
        <item m="1" x="7601"/>
        <item m="1" x="2520"/>
        <item m="1" x="3463"/>
        <item m="1" x="4610"/>
        <item m="1" x="5804"/>
        <item m="1" x="1585"/>
        <item m="1" x="2319"/>
        <item m="1" x="3233"/>
        <item m="1" x="4312"/>
        <item m="1" x="5504"/>
        <item m="1" x="6333"/>
        <item m="1" x="6810"/>
        <item m="1" x="7233"/>
        <item m="1" x="7561"/>
        <item m="1" x="7799"/>
        <item m="1" x="3282"/>
        <item m="1" x="4400"/>
        <item m="1" x="5587"/>
        <item m="1" x="6371"/>
        <item m="1" x="6841"/>
        <item m="1" x="7254"/>
        <item m="1" x="7582"/>
        <item m="1" x="7820"/>
        <item m="1" x="7965"/>
        <item m="1" x="450"/>
        <item m="1" x="5660"/>
        <item m="1" x="6405"/>
        <item m="1" x="6875"/>
        <item m="1" x="7273"/>
        <item m="1" x="1428"/>
        <item m="1" x="2120"/>
        <item m="1" x="2958"/>
        <item m="1" x="4026"/>
        <item m="1" x="5205"/>
        <item m="1" x="6204"/>
        <item m="1" x="6694"/>
        <item m="1" x="7133"/>
        <item m="1" x="7484"/>
        <item m="1" x="7742"/>
        <item m="1" x="3027"/>
        <item m="1" x="4103"/>
        <item m="1" x="5283"/>
        <item m="1" x="6239"/>
        <item m="1" x="6723"/>
        <item m="1" x="7153"/>
        <item m="1" x="7504"/>
        <item m="1" x="7762"/>
        <item m="1" x="7930"/>
        <item m="1" x="419"/>
        <item m="1" x="5358"/>
        <item m="1" x="6261"/>
        <item m="1" x="6745"/>
        <item m="1" x="7168"/>
        <item m="1" x="1282"/>
        <item m="1" x="1917"/>
        <item m="1" x="2699"/>
        <item m="1" x="3690"/>
        <item m="1" x="4872"/>
        <item m="1" x="6055"/>
        <item m="1" x="6565"/>
        <item m="1" x="7019"/>
        <item m="1" x="7395"/>
        <item m="1" x="7676"/>
        <item m="1" x="2780"/>
        <item m="1" x="3802"/>
        <item m="1" x="4958"/>
        <item m="1" x="6101"/>
        <item m="1" x="6598"/>
        <item m="1" x="7043"/>
        <item m="1" x="7419"/>
        <item m="1" x="7700"/>
        <item m="1" x="7893"/>
        <item m="1" x="7995"/>
        <item m="1" x="5045"/>
        <item m="1" x="6127"/>
        <item m="1" x="6624"/>
        <item m="1" x="7063"/>
        <item m="1" x="1152"/>
        <item m="1" x="1726"/>
        <item m="1" x="2472"/>
        <item m="1" x="3406"/>
        <item m="1" x="4566"/>
        <item m="1" x="5763"/>
        <item m="1" x="6442"/>
        <item m="1" x="6912"/>
        <item m="1" x="7310"/>
        <item m="1" x="7612"/>
        <item m="1" x="2553"/>
        <item m="1" x="3509"/>
        <item m="1" x="4655"/>
        <item m="1" x="5833"/>
        <item m="1" x="6477"/>
        <item m="1" x="6939"/>
        <item m="1" x="7337"/>
        <item m="1" x="7639"/>
        <item m="1" x="7850"/>
        <item m="1" x="7975"/>
        <item m="1" x="4720"/>
        <item m="1" x="5896"/>
        <item m="1" x="6504"/>
        <item m="1" x="6958"/>
        <item m="1" x="830"/>
        <item m="1" x="1223"/>
        <item m="1" x="1823"/>
        <item m="1" x="2617"/>
        <item m="1" x="3610"/>
        <item m="1" x="4800"/>
        <item m="1" x="5984"/>
        <item m="1" x="6531"/>
        <item m="1" x="6985"/>
        <item m="1" x="7361"/>
        <item m="1" x="1918"/>
        <item m="1" x="2700"/>
        <item m="1" x="3691"/>
        <item m="1" x="4873"/>
        <item m="1" x="6056"/>
        <item m="1" x="6566"/>
        <item m="1" x="7020"/>
        <item m="1" x="7396"/>
        <item m="1" x="7677"/>
        <item m="1" x="7870"/>
        <item m="1" x="3803"/>
        <item m="1" x="4959"/>
        <item m="1" x="6102"/>
        <item m="1" x="6599"/>
        <item m="1" x="746"/>
        <item m="1" x="1094"/>
        <item m="1" x="1638"/>
        <item m="1" x="2393"/>
        <item m="1" x="3346"/>
        <item m="1" x="4476"/>
        <item m="1" x="5682"/>
        <item m="1" x="6409"/>
        <item m="1" x="6879"/>
        <item m="1" x="7277"/>
        <item m="1" x="1727"/>
        <item m="1" x="2473"/>
        <item m="1" x="3407"/>
        <item m="1" x="4567"/>
        <item m="1" x="5764"/>
        <item m="1" x="6443"/>
        <item m="1" x="6913"/>
        <item m="1" x="7311"/>
        <item m="1" x="7613"/>
        <item m="1" x="7829"/>
        <item m="1" x="3510"/>
        <item m="1" x="4656"/>
        <item m="1" x="5834"/>
        <item m="1" x="6478"/>
        <item m="1" x="683"/>
        <item m="1" x="972"/>
        <item m="1" x="1458"/>
        <item m="1" x="2163"/>
        <item m="1" x="3038"/>
        <item m="1" x="4157"/>
        <item m="1" x="5363"/>
        <item m="1" x="6266"/>
        <item m="1" x="6750"/>
        <item m="1" x="7173"/>
        <item m="1" x="1540"/>
        <item m="1" x="2217"/>
        <item m="1" x="3103"/>
        <item m="1" x="4218"/>
        <item m="1" x="5418"/>
        <item m="1" x="6290"/>
        <item m="1" x="6774"/>
        <item m="1" x="7197"/>
        <item m="1" x="7524"/>
        <item m="1" x="7769"/>
        <item m="1" x="3234"/>
        <item m="1" x="4313"/>
        <item m="1" x="5505"/>
        <item m="1" x="6334"/>
        <item m="1" x="616"/>
        <item m="1" x="884"/>
        <item m="1" x="1302"/>
        <item m="1" x="1969"/>
        <item m="1" x="2810"/>
        <item m="1" x="3872"/>
        <item m="1" x="5068"/>
        <item m="1" x="6133"/>
        <item m="1" x="6630"/>
        <item m="1" x="7069"/>
        <item m="1" x="1361"/>
        <item m="1" x="2033"/>
        <item m="1" x="2857"/>
        <item m="1" x="3941"/>
        <item m="1" x="5130"/>
        <item m="1" x="6162"/>
        <item m="1" x="6659"/>
        <item m="1" x="7098"/>
        <item m="1" x="7449"/>
        <item m="1" x="7714"/>
        <item m="1" x="2959"/>
        <item m="1" x="4027"/>
        <item m="1" x="5206"/>
        <item m="1" x="6205"/>
        <item m="1" x="1942"/>
        <item m="1" x="2754"/>
        <item m="1" x="3751"/>
        <item m="1" x="4919"/>
        <item m="1" x="6086"/>
        <item m="1" x="6585"/>
        <item m="1" x="7035"/>
        <item m="1" x="7411"/>
        <item m="1" x="7692"/>
        <item m="1" x="7885"/>
        <item m="1" x="3834"/>
        <item m="1" x="4998"/>
        <item m="1" x="6117"/>
        <item m="1" x="6614"/>
        <item m="1" x="7053"/>
        <item m="1" x="7425"/>
        <item m="1" x="7706"/>
        <item m="1" x="7899"/>
        <item m="1" x="475"/>
        <item m="1" x="6139"/>
        <item m="1" x="6636"/>
        <item m="1" x="7075"/>
        <item m="1" x="7431"/>
        <item m="1" x="1398"/>
        <item m="1" x="2074"/>
        <item m="1" x="2903"/>
        <item m="1" x="3972"/>
        <item m="1" x="5168"/>
        <item m="1" x="6181"/>
        <item m="1" x="6678"/>
        <item m="1" x="7117"/>
        <item m="1" x="7468"/>
        <item m="1" x="7728"/>
        <item m="1" x="2996"/>
        <item m="1" x="4068"/>
        <item m="1" x="5252"/>
        <item m="1" x="6224"/>
        <item m="1" x="6709"/>
        <item m="1" x="7144"/>
        <item m="1" x="7495"/>
        <item m="1" x="7753"/>
        <item m="1" x="7921"/>
        <item m="1" x="403"/>
        <item m="1" x="5310"/>
        <item m="1" x="6250"/>
        <item m="1" x="6734"/>
        <item m="1" x="7158"/>
        <item m="1" x="1257"/>
        <item m="1" x="1857"/>
        <item m="1" x="2646"/>
        <item m="1" x="3647"/>
        <item m="1" x="4828"/>
        <item m="1" x="6021"/>
        <item m="1" x="6551"/>
        <item m="1" x="7005"/>
        <item m="1" x="7381"/>
        <item m="1" x="7662"/>
        <item m="1" x="2755"/>
        <item m="1" x="3752"/>
        <item m="1" x="4920"/>
        <item m="1" x="6087"/>
        <item m="1" x="6586"/>
        <item m="1" x="7036"/>
        <item m="1" x="7412"/>
        <item m="1" x="7693"/>
        <item m="1" x="7886"/>
        <item m="1" x="7988"/>
        <item m="1" x="4999"/>
        <item m="1" x="6118"/>
        <item m="1" x="6615"/>
        <item m="1" x="7054"/>
        <item m="1" x="1120"/>
        <item m="1" x="1675"/>
        <item m="1" x="2428"/>
        <item m="1" x="3378"/>
        <item m="1" x="4520"/>
        <item m="1" x="5720"/>
        <item m="1" x="6432"/>
        <item m="1" x="6902"/>
        <item m="1" x="7300"/>
        <item m="1" x="7602"/>
        <item m="1" x="2521"/>
        <item m="1" x="3464"/>
        <item m="1" x="4611"/>
        <item m="1" x="5805"/>
        <item m="1" x="6468"/>
        <item m="1" x="6934"/>
        <item m="1" x="7332"/>
        <item m="1" x="7634"/>
        <item m="1" x="7845"/>
        <item m="1" x="7970"/>
        <item m="1" x="4697"/>
        <item m="1" x="5873"/>
        <item m="1" x="6499"/>
        <item m="1" x="6953"/>
        <item m="1" x="1000"/>
        <item m="1" x="1484"/>
        <item m="1" x="2185"/>
        <item m="1" x="3058"/>
        <item m="1" x="4177"/>
        <item m="1" x="5382"/>
        <item m="1" x="6277"/>
        <item m="1" x="6761"/>
        <item m="1" x="7184"/>
        <item m="1" x="7512"/>
        <item m="1" x="2270"/>
        <item m="1" x="3159"/>
        <item m="1" x="4261"/>
        <item m="1" x="5450"/>
        <item m="1" x="6312"/>
        <item m="1" x="6796"/>
        <item m="1" x="7219"/>
        <item m="1" x="7547"/>
        <item m="1" x="7785"/>
        <item m="1" x="7936"/>
        <item m="1" x="4358"/>
        <item m="1" x="5550"/>
        <item m="1" x="6357"/>
        <item m="1" x="6828"/>
        <item m="1" x="902"/>
        <item m="1" x="1328"/>
        <item m="1" x="1988"/>
        <item m="1" x="2829"/>
        <item m="1" x="3898"/>
        <item m="1" x="5088"/>
        <item m="1" x="6148"/>
        <item m="1" x="6645"/>
        <item m="1" x="7084"/>
        <item m="1" x="7436"/>
        <item m="1" x="2075"/>
        <item m="1" x="2904"/>
        <item m="1" x="3973"/>
        <item m="1" x="5169"/>
        <item m="1" x="6182"/>
        <item m="1" x="6679"/>
        <item m="1" x="7118"/>
        <item m="1" x="7469"/>
        <item m="1" x="4069"/>
        <item m="1" x="5253"/>
        <item m="1" x="590"/>
        <item m="1" x="797"/>
        <item m="1" x="1186"/>
        <item m="1" x="1796"/>
        <item m="1" x="2581"/>
        <item m="1" x="3587"/>
        <item m="1" x="4769"/>
        <item m="1" x="5955"/>
        <item m="1" x="6524"/>
        <item m="1" x="6978"/>
        <item m="1" x="1258"/>
        <item m="1" x="1858"/>
        <item m="1" x="2647"/>
        <item m="1" x="3648"/>
        <item m="1" x="4829"/>
        <item m="1" x="6022"/>
        <item x="375"/>
        <item x="376"/>
        <item x="377"/>
        <item x="378"/>
        <item x="379"/>
        <item x="380"/>
        <item x="381"/>
        <item x="199"/>
        <item x="200"/>
        <item x="201"/>
        <item x="202"/>
        <item x="203"/>
        <item x="204"/>
        <item x="205"/>
        <item x="206"/>
        <item x="207"/>
        <item x="208"/>
        <item x="209"/>
        <item x="210"/>
        <item x="211"/>
        <item x="212"/>
        <item x="213"/>
        <item x="214"/>
        <item x="215"/>
        <item x="216"/>
        <item x="217"/>
        <item x="218"/>
        <item x="219"/>
        <item x="220"/>
        <item x="221"/>
        <item x="90"/>
        <item x="91"/>
        <item x="92"/>
        <item x="93"/>
        <item x="94"/>
        <item x="95"/>
        <item x="96"/>
        <item x="97"/>
        <item x="98"/>
        <item x="99"/>
        <item x="100"/>
        <item x="101"/>
        <item x="102"/>
        <item x="103"/>
        <item x="104"/>
        <item x="105"/>
        <item x="106"/>
        <item x="107"/>
        <item x="108"/>
        <item x="109"/>
        <item x="110"/>
        <item x="111"/>
        <item x="112"/>
        <item x="304"/>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83"/>
        <item x="284"/>
        <item x="285"/>
        <item x="286"/>
        <item x="287"/>
        <item x="288"/>
        <item x="289"/>
        <item x="290"/>
        <item x="291"/>
        <item x="292"/>
        <item x="293"/>
        <item x="294"/>
        <item x="295"/>
        <item x="296"/>
        <item x="297"/>
        <item x="298"/>
        <item x="299"/>
        <item x="306"/>
        <item x="307"/>
        <item x="308"/>
        <item x="309"/>
        <item x="310"/>
        <item x="311"/>
        <item x="312"/>
        <item x="313"/>
        <item x="314"/>
        <item x="315"/>
        <item x="316"/>
        <item x="317"/>
        <item x="318"/>
        <item x="319"/>
        <item x="320"/>
        <item x="321"/>
        <item x="322"/>
        <item x="323"/>
        <item x="324"/>
        <item x="325"/>
        <item x="326"/>
        <item x="113"/>
        <item x="114"/>
        <item x="115"/>
        <item x="116"/>
        <item x="117"/>
        <item x="118"/>
        <item x="119"/>
        <item x="120"/>
        <item x="121"/>
        <item x="122"/>
        <item x="123"/>
        <item x="124"/>
        <item x="125"/>
        <item x="126"/>
        <item x="127"/>
        <item x="128"/>
        <item x="129"/>
        <item x="130"/>
        <item x="131"/>
        <item x="132"/>
        <item x="133"/>
        <item x="134"/>
        <item x="135"/>
        <item x="136"/>
        <item x="137"/>
        <item x="138"/>
        <item x="222"/>
        <item x="223"/>
        <item x="224"/>
        <item x="225"/>
        <item x="226"/>
        <item x="227"/>
        <item x="228"/>
        <item x="229"/>
        <item x="230"/>
        <item x="231"/>
        <item x="232"/>
        <item x="233"/>
        <item x="234"/>
        <item x="235"/>
        <item x="236"/>
        <item x="237"/>
        <item x="238"/>
        <item x="239"/>
        <item x="240"/>
        <item x="241"/>
        <item x="242"/>
        <item x="243"/>
        <item x="244"/>
        <item x="245"/>
        <item x="24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4"/>
        <item x="365"/>
        <item x="366"/>
        <item x="367"/>
        <item x="368"/>
        <item x="369"/>
        <item x="370"/>
        <item x="371"/>
        <item x="372"/>
        <item x="373"/>
        <item x="374"/>
        <item x="305"/>
        <item x="60"/>
        <item x="61"/>
        <item x="62"/>
        <item x="63"/>
        <item x="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5"/>
        <item x="66"/>
        <item x="67"/>
        <item x="68"/>
        <item x="69"/>
        <item x="70"/>
        <item x="71"/>
        <item x="72"/>
        <item x="73"/>
        <item x="74"/>
        <item x="75"/>
        <item x="76"/>
        <item x="77"/>
        <item x="78"/>
        <item x="79"/>
        <item x="80"/>
        <item x="81"/>
        <item x="82"/>
        <item x="83"/>
        <item x="84"/>
        <item x="85"/>
        <item x="86"/>
        <item x="87"/>
        <item x="88"/>
        <item x="302"/>
        <item x="303"/>
        <item x="361"/>
        <item x="362"/>
        <item x="363"/>
        <item x="382"/>
        <item x="383"/>
        <item x="384"/>
        <item x="385"/>
        <item x="386"/>
        <item x="387"/>
        <item x="388"/>
        <item x="389"/>
        <item x="390"/>
        <item x="391"/>
        <item x="392"/>
        <item x="393"/>
        <item m="1" x="630"/>
        <item m="1" x="2997"/>
        <item m="1" x="5420"/>
        <item m="1" x="490"/>
        <item m="1" x="771"/>
        <item m="1" x="1728"/>
        <item x="89"/>
        <item x="300"/>
        <item x="301"/>
        <item m="1" x="772"/>
        <item m="1" x="3611"/>
        <item m="1" x="7044"/>
        <item m="1" x="394"/>
        <item m="1" x="831"/>
        <item m="1" x="420"/>
        <item m="1" x="910"/>
        <item m="1" x="4091"/>
        <item m="1" x="1045"/>
        <item m="1" x="4521"/>
        <item m="1" x="460"/>
        <item t="default"/>
      </items>
    </pivotField>
    <pivotField showAll="0" defaultSubtotal="0"/>
    <pivotField showAll="0">
      <items count="5">
        <item m="1" x="2"/>
        <item x="1"/>
        <item x="0"/>
        <item m="1" x="3"/>
        <item t="default"/>
      </items>
    </pivotField>
    <pivotField showAll="0"/>
    <pivotField showAll="0"/>
    <pivotField showAll="0"/>
    <pivotField showAll="0"/>
    <pivotField dataField="1" showAll="0"/>
    <pivotField dataField="1" showAll="0"/>
    <pivotField dataField="1" showAll="0"/>
    <pivotField showAll="0"/>
    <pivotField showAll="0"/>
    <pivotField showAll="0"/>
  </pivotFields>
  <rowFields count="2">
    <field x="8"/>
    <field x="9"/>
  </rowFields>
  <rowItems count="3">
    <i>
      <x/>
    </i>
    <i>
      <x v="1"/>
    </i>
    <i t="grand">
      <x/>
    </i>
  </rowItems>
  <colFields count="1">
    <field x="-2"/>
  </colFields>
  <colItems count="3">
    <i>
      <x/>
    </i>
    <i i="1">
      <x v="1"/>
    </i>
    <i i="2">
      <x v="2"/>
    </i>
  </colItems>
  <dataFields count="3">
    <dataField name="Average of ACTUALTR" fld="16" subtotal="average" baseField="7" baseItem="7822" numFmtId="164"/>
    <dataField name="Average of PREDICTEDTR" fld="17" subtotal="average" baseField="7" baseItem="7822" numFmtId="164"/>
    <dataField name="Average of ERRORTR" fld="18" subtotal="average" baseField="7" baseItem="7822" numFmtId="164"/>
  </dataFields>
  <chartFormats count="3">
    <chartFormat chart="8" format="15" series="1">
      <pivotArea type="data" outline="0" fieldPosition="0">
        <references count="1">
          <reference field="4294967294" count="1" selected="0">
            <x v="0"/>
          </reference>
        </references>
      </pivotArea>
    </chartFormat>
    <chartFormat chart="8" format="16" series="1">
      <pivotArea type="data" outline="0" fieldPosition="0">
        <references count="1">
          <reference field="4294967294" count="1" selected="0">
            <x v="1"/>
          </reference>
        </references>
      </pivotArea>
    </chartFormat>
    <chartFormat chart="8" format="1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21"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10" fieldListSortAscending="1">
  <location ref="A1:D8" firstHeaderRow="0" firstDataRow="1" firstDataCol="1"/>
  <pivotFields count="22">
    <pivotField showAll="0">
      <items count="794">
        <item m="1" x="380"/>
        <item m="1" x="178"/>
        <item x="15"/>
        <item m="1" x="356"/>
        <item m="1" x="692"/>
        <item m="1" x="267"/>
        <item m="1" x="334"/>
        <item m="1" x="721"/>
        <item m="1" x="114"/>
        <item m="1" x="476"/>
        <item m="1" x="562"/>
        <item m="1" x="739"/>
        <item m="1" x="750"/>
        <item m="1" x="766"/>
        <item m="1" x="293"/>
        <item m="1" x="560"/>
        <item m="1" x="223"/>
        <item m="1" x="395"/>
        <item m="1" x="435"/>
        <item m="1" x="290"/>
        <item m="1" x="582"/>
        <item m="1" x="568"/>
        <item m="1" x="745"/>
        <item m="1" x="80"/>
        <item m="1" x="256"/>
        <item m="1" x="392"/>
        <item m="1" x="500"/>
        <item m="1" x="688"/>
        <item m="1" x="761"/>
        <item m="1" x="490"/>
        <item m="1" x="532"/>
        <item m="1" x="28"/>
        <item m="1" x="104"/>
        <item m="1" x="183"/>
        <item m="1" x="564"/>
        <item x="12"/>
        <item m="1" x="265"/>
        <item m="1" x="309"/>
        <item m="1" x="529"/>
        <item m="1" x="452"/>
        <item m="1" x="79"/>
        <item m="1" x="390"/>
        <item m="1" x="262"/>
        <item m="1" x="633"/>
        <item m="1" x="642"/>
        <item m="1" x="286"/>
        <item m="1" x="659"/>
        <item m="1" x="682"/>
        <item m="1" x="237"/>
        <item m="1" x="307"/>
        <item m="1" x="464"/>
        <item m="1" x="511"/>
        <item m="1" x="769"/>
        <item m="1" x="55"/>
        <item m="1" x="778"/>
        <item m="1" x="412"/>
        <item m="1" x="144"/>
        <item m="1" x="167"/>
        <item m="1" x="727"/>
        <item m="1" x="88"/>
        <item m="1" x="235"/>
        <item m="1" x="585"/>
        <item m="1" x="605"/>
        <item m="1" x="72"/>
        <item m="1" x="112"/>
        <item m="1" x="232"/>
        <item m="1" x="326"/>
        <item m="1" x="596"/>
        <item m="1" x="792"/>
        <item m="1" x="48"/>
        <item m="1" x="247"/>
        <item m="1" x="317"/>
        <item m="1" x="368"/>
        <item m="1" x="482"/>
        <item m="1" x="548"/>
        <item m="1" x="165"/>
        <item m="1" x="204"/>
        <item m="1" x="292"/>
        <item m="1" x="195"/>
        <item m="1" x="445"/>
        <item m="1" x="616"/>
        <item m="1" x="764"/>
        <item m="1" x="495"/>
        <item m="1" x="570"/>
        <item m="1" x="273"/>
        <item m="1" x="453"/>
        <item m="1" x="521"/>
        <item m="1" x="152"/>
        <item m="1" x="93"/>
        <item m="1" x="291"/>
        <item m="1" x="316"/>
        <item m="1" x="338"/>
        <item m="1" x="470"/>
        <item m="1" x="569"/>
        <item m="1" x="270"/>
        <item m="1" x="451"/>
        <item m="1" x="639"/>
        <item m="1" x="690"/>
        <item m="1" x="202"/>
        <item m="1" x="628"/>
        <item m="1" x="787"/>
        <item m="1" x="67"/>
        <item m="1" x="201"/>
        <item m="1" x="383"/>
        <item m="1" x="534"/>
        <item m="1" x="722"/>
        <item m="1" x="423"/>
        <item m="1" x="607"/>
        <item m="1" x="45"/>
        <item m="1" x="137"/>
        <item m="1" x="211"/>
        <item m="1" x="243"/>
        <item m="1" x="51"/>
        <item m="1" x="335"/>
        <item m="1" x="279"/>
        <item m="1" x="352"/>
        <item m="1" x="373"/>
        <item m="1" x="306"/>
        <item m="1" x="149"/>
        <item m="1" x="626"/>
        <item m="1" x="638"/>
        <item m="1" x="647"/>
        <item m="1" x="287"/>
        <item m="1" x="457"/>
        <item m="1" x="266"/>
        <item m="1" x="405"/>
        <item m="1" x="479"/>
        <item m="1" x="106"/>
        <item m="1" x="401"/>
        <item m="1" x="491"/>
        <item m="1" x="555"/>
        <item m="1" x="254"/>
        <item m="1" x="772"/>
        <item m="1" x="783"/>
        <item m="1" x="135"/>
        <item m="1" x="514"/>
        <item m="1" x="580"/>
        <item m="1" x="313"/>
        <item m="1" x="646"/>
        <item m="1" x="215"/>
        <item m="1" x="27"/>
        <item m="1" x="328"/>
        <item m="1" x="421"/>
        <item m="1" x="148"/>
        <item m="1" x="543"/>
        <item m="1" x="253"/>
        <item m="1" x="644"/>
        <item m="1" x="89"/>
        <item m="1" x="612"/>
        <item m="1" x="635"/>
        <item m="1" x="661"/>
        <item m="1" x="708"/>
        <item m="1" x="283"/>
        <item m="1" x="382"/>
        <item m="1" x="40"/>
        <item m="1" x="182"/>
        <item m="1" x="264"/>
        <item m="1" x="207"/>
        <item m="1" x="26"/>
        <item m="1" x="419"/>
        <item m="1" x="751"/>
        <item m="1" x="191"/>
        <item m="1" x="330"/>
        <item m="1" x="39"/>
        <item m="1" x="357"/>
        <item m="1" x="78"/>
        <item m="1" x="418"/>
        <item m="1" x="512"/>
        <item m="1" x="339"/>
        <item m="1" x="378"/>
        <item x="3"/>
        <item m="1" x="553"/>
        <item m="1" x="263"/>
        <item m="1" x="643"/>
        <item m="1" x="683"/>
        <item m="1" x="617"/>
        <item m="1" x="438"/>
        <item m="1" x="526"/>
        <item m="1" x="210"/>
        <item m="1" x="484"/>
        <item m="1" x="609"/>
        <item x="18"/>
        <item m="1" x="138"/>
        <item m="1" x="38"/>
        <item m="1" x="341"/>
        <item m="1" x="132"/>
        <item m="1" x="622"/>
        <item m="1" x="108"/>
        <item m="1" x="680"/>
        <item x="0"/>
        <item m="1" x="389"/>
        <item m="1" x="440"/>
        <item m="1" x="475"/>
        <item m="1" x="102"/>
        <item m="1" x="519"/>
        <item m="1" x="550"/>
        <item m="1" x="99"/>
        <item m="1" x="608"/>
        <item m="1" x="620"/>
        <item m="1" x="572"/>
        <item m="1" x="670"/>
        <item m="1" x="679"/>
        <item m="1" x="779"/>
        <item m="1" x="37"/>
        <item m="1" x="439"/>
        <item m="1" x="725"/>
        <item m="1" x="509"/>
        <item m="1" x="82"/>
        <item m="1" x="190"/>
        <item m="1" x="656"/>
        <item m="1" x="296"/>
        <item m="1" x="320"/>
        <item m="1" x="695"/>
        <item m="1" x="327"/>
        <item m="1" x="245"/>
        <item m="1" x="343"/>
        <item m="1" x="387"/>
        <item m="1" x="768"/>
        <item x="13"/>
        <item m="1" x="485"/>
        <item m="1" x="518"/>
        <item m="1" x="208"/>
        <item m="1" x="677"/>
        <item m="1" x="52"/>
        <item m="1" x="128"/>
        <item m="1" x="62"/>
        <item m="1" x="233"/>
        <item m="1" x="606"/>
        <item m="1" x="153"/>
        <item m="1" x="249"/>
        <item m="1" x="667"/>
        <item m="1" x="557"/>
        <item m="1" x="603"/>
        <item m="1" x="653"/>
        <item m="1" x="702"/>
        <item m="1" x="752"/>
        <item m="1" x="199"/>
        <item m="1" x="50"/>
        <item m="1" x="627"/>
        <item m="1" x="73"/>
        <item m="1" x="301"/>
        <item m="1" x="323"/>
        <item m="1" x="362"/>
        <item m="1" x="177"/>
        <item m="1" x="374"/>
        <item m="1" x="743"/>
        <item m="1" x="762"/>
        <item m="1" x="206"/>
        <item m="1" x="719"/>
        <item m="1" x="406"/>
        <item x="21"/>
        <item m="1" x="44"/>
        <item m="1" x="618"/>
        <item m="1" x="260"/>
        <item m="1" x="246"/>
        <item m="1" x="294"/>
        <item m="1" x="480"/>
        <item m="1" x="119"/>
        <item m="1" x="594"/>
        <item m="1" x="358"/>
        <item m="1" x="533"/>
        <item m="1" x="171"/>
        <item m="1" x="545"/>
        <item m="1" x="386"/>
        <item m="1" x="255"/>
        <item m="1" x="447"/>
        <item m="1" x="461"/>
        <item m="1" x="648"/>
        <item m="1" x="85"/>
        <item m="1" x="288"/>
        <item m="1" x="310"/>
        <item m="1" x="696"/>
        <item m="1" x="143"/>
        <item m="1" x="711"/>
        <item m="1" x="524"/>
        <item m="1" x="372"/>
        <item m="1" x="515"/>
        <item m="1" x="575"/>
        <item m="1" x="672"/>
        <item m="1" x="248"/>
        <item x="4"/>
        <item m="1" x="58"/>
        <item m="1" x="95"/>
        <item m="1" x="714"/>
        <item m="1" x="170"/>
        <item m="1" x="736"/>
        <item m="1" x="185"/>
        <item m="1" x="556"/>
        <item m="1" x="531"/>
        <item m="1" x="776"/>
        <item m="1" x="554"/>
        <item m="1" x="636"/>
        <item m="1" x="71"/>
        <item m="1" x="437"/>
        <item m="1" x="472"/>
        <item m="1" x="516"/>
        <item m="1" x="350"/>
        <item m="1" x="541"/>
        <item m="1" x="175"/>
        <item m="1" x="584"/>
        <item x="14"/>
        <item m="1" x="784"/>
        <item m="1" x="595"/>
        <item m="1" x="43"/>
        <item m="1" x="275"/>
        <item m="1" x="230"/>
        <item m="1" x="281"/>
        <item m="1" x="654"/>
        <item m="1" x="305"/>
        <item m="1" x="675"/>
        <item m="1" x="379"/>
        <item m="1" x="197"/>
        <item m="1" x="340"/>
        <item m="1" x="384"/>
        <item x="20"/>
        <item m="1" x="581"/>
        <item m="1" x="791"/>
        <item m="1" x="227"/>
        <item m="1" x="625"/>
        <item m="1" x="277"/>
        <item m="1" x="663"/>
        <item m="1" x="300"/>
        <item m="1" x="483"/>
        <item m="1" x="686"/>
        <item m="1" x="155"/>
        <item m="1" x="361"/>
        <item m="1" x="549"/>
        <item m="1" x="187"/>
        <item m="1" x="760"/>
        <item m="1" x="573"/>
        <item m="1" x="29"/>
        <item m="1" x="771"/>
        <item m="1" x="57"/>
        <item m="1" x="404"/>
        <item m="1" x="668"/>
        <item m="1" x="105"/>
        <item m="1" x="116"/>
        <item m="1" x="497"/>
        <item m="1" x="325"/>
        <item m="1" x="354"/>
        <item m="1" x="629"/>
        <item m="1" x="184"/>
        <item m="1" x="159"/>
        <item m="1" x="775"/>
        <item m="1" x="219"/>
        <item m="1" x="610"/>
        <item m="1" x="662"/>
        <item m="1" x="47"/>
        <item m="1" x="100"/>
        <item x="22"/>
        <item m="1" x="586"/>
        <item m="1" x="685"/>
        <item m="1" x="349"/>
        <item m="1" x="720"/>
        <item m="1" x="539"/>
        <item m="1" x="125"/>
        <item m="1" x="742"/>
        <item m="1" x="139"/>
        <item m="1" x="782"/>
        <item m="1" x="259"/>
        <item m="1" x="640"/>
        <item m="1" x="115"/>
        <item m="1" x="134"/>
        <item m="1" x="465"/>
        <item m="1" x="652"/>
        <item m="1" x="522"/>
        <item m="1" x="726"/>
        <item m="1" x="747"/>
        <item m="1" x="565"/>
        <item m="1" x="765"/>
        <item m="1" x="773"/>
        <item m="1" x="220"/>
        <item m="1" x="790"/>
        <item m="1" x="34"/>
        <item m="1" x="63"/>
        <item m="1" x="69"/>
        <item m="1" x="459"/>
        <item m="1" x="645"/>
        <item m="1" x="239"/>
        <item m="1" x="709"/>
        <item m="1" x="348"/>
        <item m="1" x="186"/>
        <item m="1" x="214"/>
        <item m="1" x="41"/>
        <item m="1" x="56"/>
        <item m="1" x="455"/>
        <item m="1" x="280"/>
        <item m="1" x="468"/>
        <item m="1" x="429"/>
        <item m="1" x="478"/>
        <item m="1" x="147"/>
        <item m="1" x="488"/>
        <item m="1" x="724"/>
        <item m="1" x="242"/>
        <item m="1" x="158"/>
        <item m="1" x="446"/>
        <item m="1" x="734"/>
        <item m="1" x="129"/>
        <item m="1" x="252"/>
        <item m="1" x="473"/>
        <item m="1" x="684"/>
        <item m="1" x="506"/>
        <item m="1" x="332"/>
        <item m="1" x="205"/>
        <item m="1" x="164"/>
        <item m="1" x="538"/>
        <item m="1" x="571"/>
        <item m="1" x="213"/>
        <item x="17"/>
        <item m="1" x="694"/>
        <item m="1" x="420"/>
        <item m="1" x="631"/>
        <item m="1" x="274"/>
        <item m="1" x="454"/>
        <item m="1" x="133"/>
        <item x="7"/>
        <item m="1" x="487"/>
        <item m="1" x="169"/>
        <item m="1" x="194"/>
        <item m="1" x="396"/>
        <item m="1" x="579"/>
        <item m="1" x="723"/>
        <item m="1" x="417"/>
        <item m="1" x="241"/>
        <item m="1" x="634"/>
        <item m="1" x="458"/>
        <item m="1" x="598"/>
        <item m="1" x="660"/>
        <item m="1" x="299"/>
        <item m="1" x="110"/>
        <item m="1" x="322"/>
        <item m="1" x="505"/>
        <item m="1" x="285"/>
        <item m="1" x="97"/>
        <item m="1" x="154"/>
        <item m="1" x="494"/>
        <item m="1" x="537"/>
        <item m="1" x="122"/>
        <item m="1" x="758"/>
        <item m="1" x="203"/>
        <item m="1" x="583"/>
        <item m="1" x="467"/>
        <item m="1" x="666"/>
        <item m="1" x="103"/>
        <item m="1" x="602"/>
        <item m="1" x="651"/>
        <item m="1" x="131"/>
        <item m="1" x="181"/>
        <item m="1" x="192"/>
        <item m="1" x="577"/>
        <item m="1" x="70"/>
        <item m="1" x="127"/>
        <item m="1" x="601"/>
        <item m="1" x="504"/>
        <item m="1" x="140"/>
        <item m="1" x="346"/>
        <item m="1" x="481"/>
        <item m="1" x="718"/>
        <item m="1" x="107"/>
        <item m="1" x="163"/>
        <item m="1" x="729"/>
        <item m="1" x="547"/>
        <item m="1" x="229"/>
        <item m="1" x="430"/>
        <item m="1" x="64"/>
        <item m="1" x="271"/>
        <item m="1" x="94"/>
        <item m="1" x="513"/>
        <item m="1" x="700"/>
        <item m="1" x="528"/>
        <item m="1" x="312"/>
        <item m="1" x="364"/>
        <item m="1" x="130"/>
        <item m="1" x="226"/>
        <item m="1" x="376"/>
        <item m="1" x="416"/>
        <item m="1" x="600"/>
        <item m="1" x="240"/>
        <item m="1" x="250"/>
        <item m="1" x="308"/>
        <item x="10"/>
        <item m="1" x="123"/>
        <item m="1" x="345"/>
        <item m="1" x="717"/>
        <item m="1" x="120"/>
        <item m="1" x="740"/>
        <item m="1" x="559"/>
        <item m="1" x="212"/>
        <item m="1" x="402"/>
        <item m="1" x="415"/>
        <item m="1" x="630"/>
        <item m="1" x="737"/>
        <item m="1" x="53"/>
        <item m="1" x="777"/>
        <item m="1" x="527"/>
        <item m="1" x="552"/>
        <item m="1" x="83"/>
        <item m="1" x="563"/>
        <item m="1" x="394"/>
        <item m="1" x="788"/>
        <item m="1" x="225"/>
        <item m="1" x="599"/>
        <item m="1" x="746"/>
        <item m="1" x="623"/>
        <item m="1" x="503"/>
        <item m="1" x="716"/>
        <item m="1" x="536"/>
        <item m="1" x="370"/>
        <item m="1" x="117"/>
        <item m="1" x="25"/>
        <item m="1" x="228"/>
        <item m="1" x="753"/>
        <item m="1" x="200"/>
        <item m="1" x="426"/>
        <item m="1" x="257"/>
        <item m="1" x="24"/>
        <item m="1" x="76"/>
        <item m="1" x="530"/>
        <item m="1" x="314"/>
        <item m="1" x="650"/>
        <item m="1" x="699"/>
        <item m="1" x="713"/>
        <item m="1" x="542"/>
        <item m="1" x="732"/>
        <item m="1" x="166"/>
        <item m="1" x="218"/>
        <item m="1" x="443"/>
        <item m="1" x="658"/>
        <item m="1" x="574"/>
        <item m="1" x="671"/>
        <item x="8"/>
        <item m="1" x="681"/>
        <item m="1" x="502"/>
        <item m="1" x="329"/>
        <item m="1" x="756"/>
        <item m="1" x="715"/>
        <item m="1" x="413"/>
        <item m="1" x="449"/>
        <item m="1" x="75"/>
        <item m="1" x="463"/>
        <item m="1" x="304"/>
        <item m="1" x="486"/>
        <item m="1" x="113"/>
        <item m="1" x="689"/>
        <item m="1" x="510"/>
        <item m="1" x="336"/>
        <item m="1" x="179"/>
        <item m="1" x="508"/>
        <item m="1" x="156"/>
        <item m="1" x="209"/>
        <item m="1" x="32"/>
        <item m="1" x="621"/>
        <item m="1" x="60"/>
        <item m="1" x="442"/>
        <item m="1" x="68"/>
        <item m="1" x="284"/>
        <item m="1" x="344"/>
        <item m="1" x="360"/>
        <item m="1" x="388"/>
        <item m="1" x="489"/>
        <item m="1" x="54"/>
        <item m="1" x="448"/>
        <item m="1" x="748"/>
        <item m="1" x="303"/>
        <item m="1" x="698"/>
        <item m="1" x="525"/>
        <item m="1" x="311"/>
        <item m="1" x="351"/>
        <item m="1" x="216"/>
        <item m="1" x="176"/>
        <item m="1" x="261"/>
        <item m="1" x="121"/>
        <item m="1" x="641"/>
        <item m="1" x="705"/>
        <item m="1" x="150"/>
        <item m="1" x="173"/>
        <item m="1" x="369"/>
        <item m="1" x="755"/>
        <item x="5"/>
        <item m="1" x="591"/>
        <item m="1" x="701"/>
        <item m="1" x="36"/>
        <item m="1" x="90"/>
        <item m="1" x="49"/>
        <item m="1" x="712"/>
        <item m="1" x="189"/>
        <item m="1" x="561"/>
        <item m="1" x="393"/>
        <item m="1" x="407"/>
        <item m="1" x="424"/>
        <item m="1" x="59"/>
        <item x="11"/>
        <item m="1" x="96"/>
        <item m="1" x="282"/>
        <item m="1" x="359"/>
        <item m="1" x="546"/>
        <item m="1" x="754"/>
        <item m="1" x="767"/>
        <item m="1" x="400"/>
        <item m="1" x="590"/>
        <item m="1" x="244"/>
        <item m="1" x="614"/>
        <item x="23"/>
        <item m="1" x="613"/>
        <item m="1" x="101"/>
        <item m="1" x="157"/>
        <item m="1" x="731"/>
        <item m="1" x="188"/>
        <item m="1" x="786"/>
        <item x="1"/>
        <item m="1" x="31"/>
        <item m="1" x="234"/>
        <item m="1" x="619"/>
        <item m="1" x="81"/>
        <item m="1" x="431"/>
        <item m="1" x="342"/>
        <item m="1" x="523"/>
        <item m="1" x="161"/>
        <item m="1" x="738"/>
        <item m="1" x="399"/>
        <item m="1" x="353"/>
        <item m="1" x="146"/>
        <item m="1" x="168"/>
        <item m="1" x="649"/>
        <item m="1" x="87"/>
        <item m="1" x="193"/>
        <item m="1" x="637"/>
        <item m="1" x="665"/>
        <item m="1" x="302"/>
        <item m="1" x="377"/>
        <item m="1" x="578"/>
        <item m="1" x="588"/>
        <item m="1" x="324"/>
        <item m="1" x="697"/>
        <item m="1" x="425"/>
        <item m="1" x="517"/>
        <item m="1" x="611"/>
        <item m="1" x="789"/>
        <item m="1" x="251"/>
        <item m="1" x="436"/>
        <item m="1" x="444"/>
        <item x="19"/>
        <item x="2"/>
        <item m="1" x="375"/>
        <item m="1" x="624"/>
        <item m="1" x="744"/>
        <item m="1" x="471"/>
        <item m="1" x="321"/>
        <item m="1" x="597"/>
        <item m="1" x="141"/>
        <item m="1" x="331"/>
        <item m="1" x="347"/>
        <item m="1" x="757"/>
        <item m="1" x="295"/>
        <item m="1" x="381"/>
        <item m="1" x="403"/>
        <item m="1" x="493"/>
        <item m="1" x="780"/>
        <item m="1" x="222"/>
        <item m="1" x="501"/>
        <item m="1" x="693"/>
        <item m="1" x="704"/>
        <item m="1" x="160"/>
        <item m="1" x="258"/>
        <item m="1" x="65"/>
        <item m="1" x="172"/>
        <item m="1" x="272"/>
        <item m="1" x="427"/>
        <item m="1" x="466"/>
        <item m="1" x="366"/>
        <item m="1" x="385"/>
        <item m="1" x="411"/>
        <item m="1" x="520"/>
        <item m="1" x="589"/>
        <item m="1" x="365"/>
        <item m="1" x="278"/>
        <item m="1" x="462"/>
        <item m="1" x="86"/>
        <item m="1" x="474"/>
        <item m="1" x="763"/>
        <item m="1" x="409"/>
        <item x="9"/>
        <item m="1" x="434"/>
        <item m="1" x="730"/>
        <item m="1" x="298"/>
        <item m="1" x="391"/>
        <item m="1" x="124"/>
        <item m="1" x="604"/>
        <item m="1" x="151"/>
        <item m="1" x="432"/>
        <item m="1" x="162"/>
        <item m="1" x="678"/>
        <item m="1" x="706"/>
        <item m="1" x="728"/>
        <item m="1" x="759"/>
        <item m="1" x="781"/>
        <item m="1" x="42"/>
        <item m="1" x="66"/>
        <item m="1" x="174"/>
        <item m="1" x="741"/>
        <item m="1" x="535"/>
        <item m="1" x="669"/>
        <item m="1" x="770"/>
        <item m="1" x="676"/>
        <item m="1" x="118"/>
        <item m="1" x="221"/>
        <item m="1" x="319"/>
        <item m="1" x="499"/>
        <item m="1" x="77"/>
        <item m="1" x="355"/>
        <item m="1" x="450"/>
        <item m="1" x="477"/>
        <item m="1" x="398"/>
        <item m="1" x="315"/>
        <item m="1" x="410"/>
        <item m="1" x="496"/>
        <item m="1" x="691"/>
        <item m="1" x="363"/>
        <item m="1" x="84"/>
        <item m="1" x="33"/>
        <item m="1" x="111"/>
        <item m="1" x="142"/>
        <item m="1" x="238"/>
        <item m="1" x="710"/>
        <item m="1" x="433"/>
        <item m="1" x="507"/>
        <item x="6"/>
        <item m="1" x="61"/>
        <item m="1" x="540"/>
        <item x="16"/>
        <item m="1" x="109"/>
        <item m="1" x="785"/>
        <item m="1" x="231"/>
        <item m="1" x="422"/>
        <item m="1" x="441"/>
        <item m="1" x="469"/>
        <item m="1" x="655"/>
        <item m="1" x="492"/>
        <item m="1" x="318"/>
        <item m="1" x="703"/>
        <item m="1" x="428"/>
        <item m="1" x="92"/>
        <item m="1" x="198"/>
        <item m="1" x="567"/>
        <item m="1" x="74"/>
        <item m="1" x="673"/>
        <item m="1" x="774"/>
        <item m="1" x="35"/>
        <item m="1" x="145"/>
        <item m="1" x="337"/>
        <item m="1" x="733"/>
        <item m="1" x="180"/>
        <item m="1" x="460"/>
        <item m="1" x="551"/>
        <item m="1" x="664"/>
        <item m="1" x="576"/>
        <item m="1" x="408"/>
        <item m="1" x="587"/>
        <item m="1" x="687"/>
        <item m="1" x="98"/>
        <item m="1" x="126"/>
        <item m="1" x="224"/>
        <item m="1" x="217"/>
        <item m="1" x="236"/>
        <item m="1" x="46"/>
        <item m="1" x="333"/>
        <item m="1" x="371"/>
        <item m="1" x="456"/>
        <item m="1" x="276"/>
        <item m="1" x="297"/>
        <item m="1" x="657"/>
        <item m="1" x="30"/>
        <item m="1" x="707"/>
        <item m="1" x="632"/>
        <item m="1" x="558"/>
        <item m="1" x="674"/>
        <item m="1" x="414"/>
        <item m="1" x="498"/>
        <item m="1" x="593"/>
        <item m="1" x="136"/>
        <item m="1" x="544"/>
        <item m="1" x="592"/>
        <item m="1" x="615"/>
        <item m="1" x="269"/>
        <item m="1" x="367"/>
        <item m="1" x="749"/>
        <item m="1" x="91"/>
        <item m="1" x="196"/>
        <item m="1" x="268"/>
        <item m="1" x="289"/>
        <item m="1" x="566"/>
        <item m="1" x="735"/>
        <item m="1" x="397"/>
        <item t="default"/>
      </items>
    </pivotField>
    <pivotField showAll="0">
      <items count="669">
        <item m="1" x="199"/>
        <item m="1" x="145"/>
        <item m="1" x="316"/>
        <item m="1" x="59"/>
        <item m="1" x="397"/>
        <item m="1" x="623"/>
        <item m="1" x="124"/>
        <item m="1" x="651"/>
        <item m="1" x="317"/>
        <item m="1" x="121"/>
        <item m="1" x="94"/>
        <item m="1" x="264"/>
        <item m="1" x="294"/>
        <item m="1" x="381"/>
        <item m="1" x="528"/>
        <item m="1" x="31"/>
        <item m="1" x="227"/>
        <item m="1" x="585"/>
        <item m="1" x="148"/>
        <item m="1" x="476"/>
        <item m="1" x="592"/>
        <item m="1" x="130"/>
        <item m="1" x="284"/>
        <item m="1" x="271"/>
        <item m="1" x="68"/>
        <item m="1" x="114"/>
        <item m="1" x="213"/>
        <item m="1" x="282"/>
        <item m="1" x="493"/>
        <item m="1" x="56"/>
        <item m="1" x="319"/>
        <item m="1" x="560"/>
        <item m="1" x="208"/>
        <item m="1" x="325"/>
        <item m="1" x="407"/>
        <item m="1" x="425"/>
        <item m="1" x="490"/>
        <item m="1" x="649"/>
        <item m="1" x="99"/>
        <item m="1" x="299"/>
        <item m="1" x="442"/>
        <item m="1" x="639"/>
        <item m="1" x="218"/>
        <item m="1" x="547"/>
        <item m="1" x="163"/>
        <item m="1" x="184"/>
        <item x="6"/>
        <item m="1" x="348"/>
        <item m="1" x="604"/>
        <item m="1" x="638"/>
        <item m="1" x="63"/>
        <item m="1" x="206"/>
        <item m="1" x="241"/>
        <item m="1" x="373"/>
        <item m="1" x="505"/>
        <item m="1" x="559"/>
        <item m="1" x="429"/>
        <item m="1" x="454"/>
        <item m="1" x="486"/>
        <item m="1" x="518"/>
        <item m="1" x="529"/>
        <item m="1" x="558"/>
        <item m="1" x="601"/>
        <item m="1" x="616"/>
        <item m="1" x="73"/>
        <item m="1" x="84"/>
        <item m="1" x="170"/>
        <item m="1" x="310"/>
        <item m="1" x="355"/>
        <item m="1" x="60"/>
        <item m="1" x="105"/>
        <item m="1" x="204"/>
        <item m="1" x="216"/>
        <item m="1" x="544"/>
        <item m="1" x="624"/>
        <item m="1" x="71"/>
        <item m="1" x="161"/>
        <item m="1" x="203"/>
        <item x="13"/>
        <item m="1" x="477"/>
        <item m="1" x="215"/>
        <item m="1" x="292"/>
        <item m="1" x="159"/>
        <item m="1" x="499"/>
        <item m="1" x="543"/>
        <item m="1" x="553"/>
        <item m="1" x="247"/>
        <item m="1" x="574"/>
        <item m="1" x="614"/>
        <item m="1" x="361"/>
        <item x="1"/>
        <item m="1" x="27"/>
        <item m="1" x="47"/>
        <item m="1" x="402"/>
        <item m="1" x="237"/>
        <item m="1" x="39"/>
        <item m="1" x="451"/>
        <item m="1" x="536"/>
        <item m="1" x="245"/>
        <item x="22"/>
        <item m="1" x="307"/>
        <item m="1" x="342"/>
        <item m="1" x="393"/>
        <item m="1" x="418"/>
        <item m="1" x="91"/>
        <item m="1" x="511"/>
        <item m="1" x="514"/>
        <item m="1" x="562"/>
        <item m="1" x="573"/>
        <item m="1" x="572"/>
        <item x="4"/>
        <item m="1" x="611"/>
        <item m="1" x="322"/>
        <item m="1" x="368"/>
        <item m="1" x="57"/>
        <item m="1" x="410"/>
        <item m="1" x="128"/>
        <item m="1" x="582"/>
        <item m="1" x="646"/>
        <item m="1" x="367"/>
        <item m="1" x="66"/>
        <item m="1" x="101"/>
        <item m="1" x="113"/>
        <item m="1" x="447"/>
        <item m="1" x="494"/>
        <item m="1" x="177"/>
        <item m="1" x="212"/>
        <item m="1" x="633"/>
        <item m="1" x="339"/>
        <item m="1" x="523"/>
        <item m="1" x="211"/>
        <item m="1" x="539"/>
        <item m="1" x="550"/>
        <item m="1" x="609"/>
        <item m="1" x="320"/>
        <item m="1" x="630"/>
        <item m="1" x="643"/>
        <item m="1" x="376"/>
        <item m="1" x="136"/>
        <item m="1" x="196"/>
        <item m="1" x="580"/>
        <item m="1" x="598"/>
        <item m="1" x="286"/>
        <item m="1" x="303"/>
        <item m="1" x="318"/>
        <item m="1" x="358"/>
        <item m="1" x="25"/>
        <item m="1" x="388"/>
        <item m="1" x="408"/>
        <item m="1" x="110"/>
        <item m="1" x="123"/>
        <item m="1" x="459"/>
        <item m="1" x="223"/>
        <item m="1" x="549"/>
        <item m="1" x="279"/>
        <item m="1" x="608"/>
        <item m="1" x="302"/>
        <item x="14"/>
        <item m="1" x="444"/>
        <item m="1" x="466"/>
        <item m="1" x="301"/>
        <item m="1" x="629"/>
        <item x="21"/>
        <item m="1" x="87"/>
        <item m="1" x="154"/>
        <item m="1" x="234"/>
        <item m="1" x="256"/>
        <item m="1" x="579"/>
        <item m="1" x="619"/>
        <item m="1" x="351"/>
        <item m="1" x="126"/>
        <item m="1" x="176"/>
        <item m="1" x="243"/>
        <item m="1" x="607"/>
        <item m="1" x="139"/>
        <item m="1" x="337"/>
        <item m="1" x="641"/>
        <item m="1" x="356"/>
        <item m="1" x="516"/>
        <item m="1" x="202"/>
        <item m="1" x="465"/>
        <item m="1" x="481"/>
        <item m="1" x="489"/>
        <item m="1" x="509"/>
        <item m="1" x="194"/>
        <item m="1" x="548"/>
        <item m="1" x="83"/>
        <item m="1" x="255"/>
        <item m="1" x="422"/>
        <item m="1" x="588"/>
        <item m="1" x="438"/>
        <item x="12"/>
        <item m="1" x="300"/>
        <item m="1" x="472"/>
        <item m="1" x="160"/>
        <item m="1" x="500"/>
        <item m="1" x="35"/>
        <item m="1" x="386"/>
        <item m="1" x="54"/>
        <item m="1" x="226"/>
        <item m="1" x="554"/>
        <item m="1" x="248"/>
        <item m="1" x="97"/>
        <item m="1" x="273"/>
        <item m="1" x="432"/>
        <item m="1" x="122"/>
        <item m="1" x="622"/>
        <item m="1" x="152"/>
        <item m="1" x="344"/>
        <item m="1" x="521"/>
        <item m="1" x="50"/>
        <item m="1" x="396"/>
        <item m="1" x="82"/>
        <item m="1" x="421"/>
        <item m="1" x="578"/>
        <item m="1" x="267"/>
        <item m="1" x="596"/>
        <item m="1" x="115"/>
        <item m="1" x="606"/>
        <item m="1" x="470"/>
        <item m="1" x="138"/>
        <item m="1" x="475"/>
        <item x="23"/>
        <item m="1" x="201"/>
        <item m="1" x="225"/>
        <item m="1" x="246"/>
        <item m="1" x="413"/>
        <item m="1" x="424"/>
        <item m="1" x="431"/>
        <item m="1" x="109"/>
        <item m="1" x="323"/>
        <item m="1" x="329"/>
        <item m="1" x="165"/>
        <item m="1" x="507"/>
        <item m="1" x="653"/>
        <item m="1" x="193"/>
        <item m="1" x="41"/>
        <item m="1" x="48"/>
        <item m="1" x="219"/>
        <item m="1" x="242"/>
        <item m="1" x="570"/>
        <item m="1" x="266"/>
        <item m="1" x="132"/>
        <item m="1" x="350"/>
        <item m="1" x="189"/>
        <item m="1" x="384"/>
        <item m="1" x="542"/>
        <item x="15"/>
        <item m="1" x="238"/>
        <item m="1" x="260"/>
        <item m="1" x="96"/>
        <item m="1" x="591"/>
        <item m="1" x="290"/>
        <item m="1" x="480"/>
        <item m="1" x="370"/>
        <item m="1" x="531"/>
        <item m="1" x="58"/>
        <item m="1" x="233"/>
        <item m="1" x="569"/>
        <item m="1" x="92"/>
        <item m="1" x="265"/>
        <item m="1" x="453"/>
        <item m="1" x="298"/>
        <item m="1" x="461"/>
        <item m="1" x="349"/>
        <item m="1" x="169"/>
        <item m="1" x="180"/>
        <item m="1" x="364"/>
        <item m="1" x="526"/>
        <item m="1" x="541"/>
        <item m="1" x="53"/>
        <item m="1" x="405"/>
        <item m="1" x="75"/>
        <item m="1" x="86"/>
        <item m="1" x="583"/>
        <item m="1" x="441"/>
        <item m="1" x="289"/>
        <item m="1" x="135"/>
        <item m="1" x="343"/>
        <item m="1" x="174"/>
        <item m="1" x="378"/>
        <item m="1" x="530"/>
        <item m="1" x="40"/>
        <item m="1" x="546"/>
        <item m="1" x="420"/>
        <item m="1" x="587"/>
        <item m="1" x="452"/>
        <item m="1" x="605"/>
        <item m="1" x="129"/>
        <item m="1" x="658"/>
        <item m="1" x="33"/>
        <item x="7"/>
        <item m="1" x="214"/>
        <item m="1" x="540"/>
        <item m="1" x="404"/>
        <item m="1" x="563"/>
        <item m="1" x="74"/>
        <item m="1" x="272"/>
        <item m="1" x="599"/>
        <item m="1" x="513"/>
        <item m="1" x="665"/>
        <item m="1" x="377"/>
        <item x="11"/>
        <item m="1" x="46"/>
        <item m="1" x="232"/>
        <item m="1" x="419"/>
        <item m="1" x="437"/>
        <item m="1" x="450"/>
        <item m="1" x="618"/>
        <item m="1" x="313"/>
        <item m="1" x="626"/>
        <item m="1" x="474"/>
        <item m="1" x="496"/>
        <item m="1" x="657"/>
        <item m="1" x="179"/>
        <item m="1" x="363"/>
        <item m="1" x="85"/>
        <item m="1" x="95"/>
        <item m="1" x="125"/>
        <item m="1" x="328"/>
        <item m="1" x="151"/>
        <item m="1" x="341"/>
        <item m="1" x="506"/>
        <item m="1" x="664"/>
        <item m="1" x="519"/>
        <item m="1" x="392"/>
        <item m="1" x="231"/>
        <item m="1" x="254"/>
        <item m="1" x="417"/>
        <item m="1" x="90"/>
        <item m="1" x="427"/>
        <item m="1" x="102"/>
        <item m="1" x="285"/>
        <item m="1" x="312"/>
        <item m="1" x="157"/>
        <item m="1" x="178"/>
        <item m="1" x="552"/>
        <item m="1" x="236"/>
        <item m="1" x="259"/>
        <item m="1" x="270"/>
        <item m="1" x="288"/>
        <item x="19"/>
        <item m="1" x="134"/>
        <item m="1" x="634"/>
        <item m="1" x="150"/>
        <item m="1" x="173"/>
        <item m="1" x="369"/>
        <item m="1" x="230"/>
        <item m="1" x="568"/>
        <item m="1" x="577"/>
        <item x="9"/>
        <item m="1" x="449"/>
        <item m="1" x="311"/>
        <item m="1" x="469"/>
        <item m="1" x="625"/>
        <item m="1" x="156"/>
        <item m="1" x="495"/>
        <item m="1" x="168"/>
        <item m="1" x="258"/>
        <item m="1" x="430"/>
        <item m="1" x="283"/>
        <item m="1" x="120"/>
        <item m="1" x="455"/>
        <item m="1" x="610"/>
        <item m="1" x="503"/>
        <item m="1" x="652"/>
        <item m="1" x="172"/>
        <item m="1" x="183"/>
        <item m="1" x="26"/>
        <item m="1" x="192"/>
        <item m="1" x="401"/>
        <item m="1" x="67"/>
        <item m="1" x="239"/>
        <item m="1" x="80"/>
        <item m="1" x="436"/>
        <item m="1" x="595"/>
        <item m="1" x="448"/>
        <item m="1" x="602"/>
        <item m="1" x="460"/>
        <item m="1" x="468"/>
        <item m="1" x="667"/>
        <item m="1" x="525"/>
        <item m="1" x="198"/>
        <item m="1" x="551"/>
        <item m="1" x="423"/>
        <item m="1" x="107"/>
        <item m="1" x="621"/>
        <item m="1" x="340"/>
        <item m="1" x="537"/>
        <item m="1" x="545"/>
        <item m="1" x="228"/>
        <item m="1" x="79"/>
        <item m="1" x="253"/>
        <item m="1" x="575"/>
        <item m="1" x="593"/>
        <item x="3"/>
        <item m="1" x="524"/>
        <item m="1" x="43"/>
        <item m="1" x="399"/>
        <item m="1" x="61"/>
        <item m="1" x="581"/>
        <item m="1" x="464"/>
        <item m="1" x="321"/>
        <item m="1" x="484"/>
        <item m="1" x="644"/>
        <item m="1" x="390"/>
        <item m="1" x="45"/>
        <item m="1" x="217"/>
        <item m="1" x="557"/>
        <item m="1" x="567"/>
        <item m="1" x="252"/>
        <item m="1" x="88"/>
        <item m="1" x="100"/>
        <item m="1" x="275"/>
        <item m="1" x="434"/>
        <item m="1" x="111"/>
        <item m="1" x="467"/>
        <item m="1" x="636"/>
        <item m="1" x="346"/>
        <item m="1" x="510"/>
        <item m="1" x="187"/>
        <item m="1" x="32"/>
        <item m="1" x="380"/>
        <item m="1" x="209"/>
        <item m="1" x="561"/>
        <item m="1" x="93"/>
        <item m="1" x="269"/>
        <item m="1" x="280"/>
        <item m="1" x="440"/>
        <item m="1" x="118"/>
        <item m="1" x="304"/>
        <item m="1" x="463"/>
        <item m="1" x="642"/>
        <item m="1" x="512"/>
        <item m="1" x="661"/>
        <item m="1" x="181"/>
        <item m="1" x="527"/>
        <item m="1" x="37"/>
        <item m="1" x="262"/>
        <item m="1" x="586"/>
        <item m="1" x="445"/>
        <item m="1" x="333"/>
        <item m="1" x="155"/>
        <item m="1" x="167"/>
        <item m="1" x="354"/>
        <item m="1" x="538"/>
        <item m="1" x="51"/>
        <item m="1" x="439"/>
        <item m="1" x="133"/>
        <item m="1" x="140"/>
        <item m="1" x="326"/>
        <item m="1" x="149"/>
        <item m="1" x="357"/>
        <item m="1" x="191"/>
        <item m="1" x="205"/>
        <item m="1" x="555"/>
        <item m="1" x="251"/>
        <item m="1" x="415"/>
        <item m="1" x="261"/>
        <item m="1" x="433"/>
        <item m="1" x="458"/>
        <item m="1" x="127"/>
        <item m="1" x="632"/>
        <item m="1" x="332"/>
        <item m="1" x="647"/>
        <item m="1" x="522"/>
        <item m="1" x="30"/>
        <item m="1" x="195"/>
        <item m="1" x="379"/>
        <item m="1" x="222"/>
        <item m="1" x="411"/>
        <item m="1" x="104"/>
        <item m="1" x="478"/>
        <item m="1" x="366"/>
        <item m="1" x="517"/>
        <item m="1" x="387"/>
        <item m="1" x="250"/>
        <item m="1" x="443"/>
        <item m="1" x="600"/>
        <item m="1" x="309"/>
        <item m="1" x="331"/>
        <item m="1" x="482"/>
        <item m="1" x="492"/>
        <item m="1" x="186"/>
        <item m="1" x="221"/>
        <item m="1" x="257"/>
        <item m="1" x="117"/>
        <item m="1" x="162"/>
        <item m="1" x="365"/>
        <item m="1" x="374"/>
        <item m="1" x="65"/>
        <item m="1" x="153"/>
        <item m="1" x="491"/>
        <item m="1" x="666"/>
        <item m="1" x="185"/>
        <item m="1" x="42"/>
        <item m="1" x="207"/>
        <item m="1" x="220"/>
        <item m="1" x="70"/>
        <item m="1" x="268"/>
        <item m="1" x="628"/>
        <item m="1" x="650"/>
        <item m="1" x="190"/>
        <item m="1" x="36"/>
        <item m="1" x="297"/>
        <item m="1" x="64"/>
        <item m="1" x="334"/>
        <item m="1" x="565"/>
        <item m="1" x="77"/>
        <item m="1" x="648"/>
        <item m="1" x="274"/>
        <item m="1" x="457"/>
        <item m="1" x="44"/>
        <item m="1" x="473"/>
        <item m="1" x="244"/>
        <item m="1" x="345"/>
        <item m="1" x="412"/>
        <item m="1" x="166"/>
        <item m="1" x="655"/>
        <item m="1" x="108"/>
        <item m="1" x="29"/>
        <item m="1" x="306"/>
        <item m="1" x="142"/>
        <item m="1" x="69"/>
        <item m="1" x="487"/>
        <item m="1" x="352"/>
        <item m="1" x="504"/>
        <item m="1" x="360"/>
        <item m="1" x="663"/>
        <item m="1" x="103"/>
        <item m="1" x="38"/>
        <item m="1" x="229"/>
        <item m="1" x="240"/>
        <item m="1" x="409"/>
        <item m="1" x="640"/>
        <item m="1" x="576"/>
        <item m="1" x="89"/>
        <item m="1" x="263"/>
        <item m="1" x="660"/>
        <item m="1" x="277"/>
        <item m="1" x="515"/>
        <item m="1" x="24"/>
        <item m="1" x="603"/>
        <item m="1" x="296"/>
        <item x="10"/>
        <item x="8"/>
        <item m="1" x="406"/>
        <item m="1" x="76"/>
        <item m="1" x="249"/>
        <item m="1" x="347"/>
        <item m="1" x="414"/>
        <item m="1" x="98"/>
        <item m="1" x="291"/>
        <item m="1" x="383"/>
        <item m="1" x="52"/>
        <item m="1" x="400"/>
        <item m="1" x="62"/>
        <item m="1" x="144"/>
        <item m="1" x="330"/>
        <item m="1" x="508"/>
        <item m="1" x="654"/>
        <item m="1" x="590"/>
        <item m="1" x="28"/>
        <item m="1" x="534"/>
        <item m="1" x="141"/>
        <item m="1" x="327"/>
        <item m="1" x="479"/>
        <item x="5"/>
        <item m="1" x="502"/>
        <item m="1" x="171"/>
        <item m="1" x="182"/>
        <item x="18"/>
        <item m="1" x="597"/>
        <item m="1" x="116"/>
        <item m="1" x="462"/>
        <item m="1" x="471"/>
        <item m="1" x="627"/>
        <item m="1" x="336"/>
        <item m="1" x="416"/>
        <item m="1" x="498"/>
        <item m="1" x="435"/>
        <item m="1" x="594"/>
        <item m="1" x="446"/>
        <item m="1" x="295"/>
        <item m="1" x="617"/>
        <item x="2"/>
        <item x="20"/>
        <item x="16"/>
        <item m="1" x="324"/>
        <item m="1" x="483"/>
        <item m="1" x="564"/>
        <item m="1" x="637"/>
        <item m="1" x="656"/>
        <item m="1" x="188"/>
        <item m="1" x="372"/>
        <item m="1" x="197"/>
        <item m="1" x="382"/>
        <item m="1" x="613"/>
        <item m="1" x="143"/>
        <item m="1" x="235"/>
        <item m="1" x="403"/>
        <item m="1" x="488"/>
        <item m="1" x="353"/>
        <item m="1" x="175"/>
        <item m="1" x="589"/>
        <item m="1" x="106"/>
        <item m="1" x="520"/>
        <item m="1" x="119"/>
        <item m="1" x="287"/>
        <item m="1" x="533"/>
        <item m="1" x="394"/>
        <item m="1" x="49"/>
        <item m="1" x="485"/>
        <item m="1" x="645"/>
        <item m="1" x="501"/>
        <item m="1" x="359"/>
        <item m="1" x="428"/>
        <item m="1" x="662"/>
        <item m="1" x="278"/>
        <item m="1" x="391"/>
        <item m="1" x="315"/>
        <item m="1" x="335"/>
        <item m="1" x="78"/>
        <item m="1" x="659"/>
        <item m="1" x="276"/>
        <item m="1" x="112"/>
        <item m="1" x="34"/>
        <item m="1" x="200"/>
        <item m="1" x="293"/>
        <item m="1" x="385"/>
        <item m="1" x="615"/>
        <item m="1" x="137"/>
        <item m="1" x="146"/>
        <item m="1" x="584"/>
        <item m="1" x="362"/>
        <item m="1" x="371"/>
        <item m="1" x="456"/>
        <item m="1" x="535"/>
        <item m="1" x="612"/>
        <item m="1" x="210"/>
        <item m="1" x="308"/>
        <item m="1" x="224"/>
        <item m="1" x="398"/>
        <item m="1" x="631"/>
        <item m="1" x="635"/>
        <item m="1" x="72"/>
        <item m="1" x="571"/>
        <item m="1" x="164"/>
        <item m="1" x="281"/>
        <item m="1" x="532"/>
        <item m="1" x="305"/>
        <item m="1" x="620"/>
        <item x="0"/>
        <item m="1" x="395"/>
        <item m="1" x="338"/>
        <item m="1" x="81"/>
        <item m="1" x="375"/>
        <item m="1" x="389"/>
        <item m="1" x="131"/>
        <item m="1" x="314"/>
        <item m="1" x="55"/>
        <item m="1" x="556"/>
        <item m="1" x="147"/>
        <item m="1" x="566"/>
        <item m="1" x="158"/>
        <item m="1" x="497"/>
        <item x="17"/>
        <item m="1" x="426"/>
        <item t="default"/>
      </items>
    </pivotField>
    <pivotField showAll="0">
      <items count="89">
        <item x="0"/>
        <item m="1" x="51"/>
        <item m="1" x="23"/>
        <item m="1" x="53"/>
        <item m="1" x="83"/>
        <item m="1" x="11"/>
        <item m="1" x="25"/>
        <item m="1" x="37"/>
        <item m="1" x="55"/>
        <item m="1" x="64"/>
        <item m="1" x="71"/>
        <item m="1" x="76"/>
        <item m="1" x="85"/>
        <item m="1" x="4"/>
        <item m="1" x="12"/>
        <item m="1" x="19"/>
        <item m="1" x="26"/>
        <item m="1" x="28"/>
        <item m="1" x="30"/>
        <item m="1" x="34"/>
        <item m="1" x="39"/>
        <item m="1" x="43"/>
        <item m="1" x="47"/>
        <item m="1" x="52"/>
        <item m="1" x="58"/>
        <item m="1" x="62"/>
        <item m="1" x="67"/>
        <item m="1" x="69"/>
        <item m="1" x="73"/>
        <item m="1" x="74"/>
        <item m="1" x="78"/>
        <item m="1" x="81"/>
        <item m="1" x="86"/>
        <item m="1" x="42"/>
        <item m="1" x="2"/>
        <item m="1" x="45"/>
        <item m="1" x="6"/>
        <item m="1" x="49"/>
        <item m="1" x="9"/>
        <item m="1" x="56"/>
        <item m="1" x="14"/>
        <item m="1" x="60"/>
        <item m="1" x="17"/>
        <item m="1" x="65"/>
        <item m="1" x="21"/>
        <item m="1" x="68"/>
        <item m="1" x="24"/>
        <item m="1" x="72"/>
        <item m="1" x="77"/>
        <item m="1" x="32"/>
        <item m="1" x="80"/>
        <item m="1" x="36"/>
        <item m="1" x="41"/>
        <item m="1" x="1"/>
        <item m="1" x="44"/>
        <item m="1" x="5"/>
        <item m="1" x="48"/>
        <item m="1" x="8"/>
        <item m="1" x="54"/>
        <item m="1" x="13"/>
        <item m="1" x="59"/>
        <item m="1" x="33"/>
        <item m="1" x="16"/>
        <item m="1" x="82"/>
        <item m="1" x="63"/>
        <item m="1" x="38"/>
        <item m="1" x="20"/>
        <item m="1" x="87"/>
        <item m="1" x="3"/>
        <item m="1" x="70"/>
        <item m="1" x="46"/>
        <item m="1" x="27"/>
        <item m="1" x="7"/>
        <item m="1" x="50"/>
        <item m="1" x="29"/>
        <item m="1" x="10"/>
        <item m="1" x="75"/>
        <item m="1" x="57"/>
        <item m="1" x="31"/>
        <item m="1" x="15"/>
        <item m="1" x="79"/>
        <item m="1" x="61"/>
        <item m="1" x="35"/>
        <item m="1" x="18"/>
        <item m="1" x="84"/>
        <item m="1" x="66"/>
        <item m="1" x="40"/>
        <item m="1" x="22"/>
        <item t="default"/>
      </items>
    </pivotField>
    <pivotField showAll="0">
      <items count="40">
        <item m="1" x="1"/>
        <item m="1" x="18"/>
        <item m="1" x="21"/>
        <item m="1" x="33"/>
        <item m="1" x="15"/>
        <item m="1" x="31"/>
        <item m="1" x="2"/>
        <item m="1" x="12"/>
        <item m="1" x="20"/>
        <item m="1" x="28"/>
        <item m="1" x="26"/>
        <item m="1" x="22"/>
        <item m="1" x="27"/>
        <item m="1" x="23"/>
        <item m="1" x="34"/>
        <item m="1" x="30"/>
        <item m="1" x="7"/>
        <item m="1" x="24"/>
        <item m="1" x="4"/>
        <item m="1" x="13"/>
        <item m="1" x="5"/>
        <item m="1" x="25"/>
        <item m="1" x="8"/>
        <item m="1" x="35"/>
        <item m="1" x="37"/>
        <item m="1" x="11"/>
        <item m="1" x="32"/>
        <item m="1" x="6"/>
        <item x="0"/>
        <item m="1" x="19"/>
        <item m="1" x="14"/>
        <item m="1" x="36"/>
        <item m="1" x="38"/>
        <item m="1" x="3"/>
        <item m="1" x="16"/>
        <item m="1" x="17"/>
        <item m="1" x="9"/>
        <item m="1" x="10"/>
        <item m="1" x="29"/>
        <item t="default"/>
      </items>
    </pivotField>
    <pivotField showAll="0"/>
    <pivotField showAll="0" defaultSubtotal="0">
      <items count="332">
        <item m="1" x="271"/>
        <item m="1" x="6"/>
        <item m="1" x="277"/>
        <item m="1" x="159"/>
        <item m="1" x="178"/>
        <item m="1" x="86"/>
        <item m="1" x="160"/>
        <item m="1" x="110"/>
        <item m="1" x="184"/>
        <item m="1" x="305"/>
        <item m="1" x="163"/>
        <item m="1" x="148"/>
        <item m="1" x="106"/>
        <item m="1" x="179"/>
        <item m="1" x="50"/>
        <item m="1" x="228"/>
        <item m="1" x="41"/>
        <item m="1" x="7"/>
        <item m="1" x="139"/>
        <item m="1" x="37"/>
        <item m="1" x="111"/>
        <item m="1" x="236"/>
        <item m="1" x="123"/>
        <item m="1" x="256"/>
        <item m="1" x="167"/>
        <item m="1" x="272"/>
        <item m="1" x="189"/>
        <item m="1" x="257"/>
        <item m="1" x="62"/>
        <item m="1" x="295"/>
        <item m="1" x="124"/>
        <item m="1" x="245"/>
        <item m="1" x="87"/>
        <item m="1" x="314"/>
        <item m="1" x="42"/>
        <item m="1" x="252"/>
        <item m="1" x="319"/>
        <item m="1" x="320"/>
        <item m="1" x="149"/>
        <item m="1" x="17"/>
        <item m="1" x="91"/>
        <item m="1" x="190"/>
        <item m="1" x="198"/>
        <item m="1" x="324"/>
        <item m="1" x="248"/>
        <item m="1" x="315"/>
        <item m="1" x="316"/>
        <item m="1" x="55"/>
        <item m="1" x="131"/>
        <item m="1" x="253"/>
        <item m="1" x="150"/>
        <item m="1" x="43"/>
        <item m="1" x="116"/>
        <item m="1" x="135"/>
        <item m="1" x="69"/>
        <item m="1" x="92"/>
        <item m="1" x="207"/>
        <item m="1" x="265"/>
        <item m="1" x="2"/>
        <item m="1" x="151"/>
        <item m="1" x="25"/>
        <item m="1" x="125"/>
        <item m="1" x="194"/>
        <item m="1" x="211"/>
        <item m="1" x="273"/>
        <item m="1" x="132"/>
        <item m="1" x="199"/>
        <item m="1" x="260"/>
        <item m="1" x="67"/>
        <item m="1" x="70"/>
        <item m="1" x="143"/>
        <item m="1" x="18"/>
        <item m="1" x="93"/>
        <item m="1" x="266"/>
        <item m="1" x="72"/>
        <item m="1" x="284"/>
        <item m="1" x="26"/>
        <item m="1" x="223"/>
        <item m="1" x="296"/>
        <item m="1" x="325"/>
        <item m="1" x="317"/>
        <item m="1" x="254"/>
        <item m="1" x="58"/>
        <item m="1" x="200"/>
        <item m="1" x="13"/>
        <item m="1" x="88"/>
        <item m="1" x="203"/>
        <item m="1" x="144"/>
        <item m="1" x="215"/>
        <item m="1" x="94"/>
        <item m="1" x="95"/>
        <item m="1" x="117"/>
        <item m="1" x="191"/>
        <item m="1" x="274"/>
        <item m="1" x="8"/>
        <item m="1" x="79"/>
        <item m="1" x="96"/>
        <item m="1" x="164"/>
        <item m="1" x="231"/>
        <item m="1" x="168"/>
        <item m="1" x="237"/>
        <item m="1" x="68"/>
        <item m="1" x="185"/>
        <item m="1" x="142"/>
        <item m="1" x="212"/>
        <item m="1" x="328"/>
        <item m="1" x="285"/>
        <item m="1" x="169"/>
        <item m="1" x="133"/>
        <item m="1" x="186"/>
        <item m="1" x="249"/>
        <item m="1" x="255"/>
        <item m="1" x="80"/>
        <item m="1" x="136"/>
        <item m="1" x="19"/>
        <item m="1" x="224"/>
        <item m="1" x="286"/>
        <item m="1" x="170"/>
        <item m="1" x="238"/>
        <item m="1" x="126"/>
        <item m="1" x="32"/>
        <item m="1" x="107"/>
        <item m="1" x="14"/>
        <item m="1" x="73"/>
        <item m="1" x="287"/>
        <item m="1" x="27"/>
        <item m="1" x="195"/>
        <item m="1" x="15"/>
        <item m="1" x="20"/>
        <item m="1" x="192"/>
        <item m="1" x="59"/>
        <item m="1" x="208"/>
        <item m="1" x="218"/>
        <item m="1" x="275"/>
        <item m="1" x="9"/>
        <item m="1" x="81"/>
        <item m="1" x="33"/>
        <item m="1" x="219"/>
        <item m="1" x="288"/>
        <item m="1" x="28"/>
        <item m="1" x="171"/>
        <item m="1" x="239"/>
        <item m="1" x="46"/>
        <item m="1" x="127"/>
        <item m="1" x="51"/>
        <item m="1" x="118"/>
        <item m="1" x="10"/>
        <item m="1" x="229"/>
        <item m="1" x="161"/>
        <item m="1" x="300"/>
        <item m="1" x="38"/>
        <item m="1" x="112"/>
        <item m="1" x="240"/>
        <item m="1" x="306"/>
        <item m="1" x="196"/>
        <item m="1" x="258"/>
        <item m="1" x="261"/>
        <item m="1" x="326"/>
        <item m="1" x="137"/>
        <item m="1" x="204"/>
        <item m="1" x="278"/>
        <item m="1" x="113"/>
        <item m="1" x="21"/>
        <item m="1" x="232"/>
        <item m="1" x="303"/>
        <item m="1" x="44"/>
        <item m="1" x="193"/>
        <item m="1" x="289"/>
        <item m="1" x="165"/>
        <item m="1" x="233"/>
        <item m="1" x="47"/>
        <item m="1" x="128"/>
        <item m="1" x="60"/>
        <item m="1" x="281"/>
        <item m="1" x="22"/>
        <item m="1" x="97"/>
        <item m="1" x="166"/>
        <item m="1" x="262"/>
        <item m="1" x="250"/>
        <item m="1" x="140"/>
        <item m="1" x="71"/>
        <item m="1" x="145"/>
        <item m="1" x="216"/>
        <item m="1" x="282"/>
        <item m="1" x="23"/>
        <item m="1" x="98"/>
        <item m="1" x="74"/>
        <item m="1" x="152"/>
        <item m="1" x="220"/>
        <item m="1" x="290"/>
        <item m="1" x="29"/>
        <item m="1" x="101"/>
        <item m="1" x="172"/>
        <item m="1" x="241"/>
        <item m="1" x="307"/>
        <item m="1" x="82"/>
        <item m="1" x="225"/>
        <item m="1" x="297"/>
        <item m="1" x="34"/>
        <item m="1" x="180"/>
        <item m="1" x="246"/>
        <item m="1" x="52"/>
        <item m="1" x="173"/>
        <item m="1" x="308"/>
        <item m="1" x="129"/>
        <item m="1" x="259"/>
        <item m="1" x="283"/>
        <item m="1" x="63"/>
        <item m="1" x="322"/>
        <item m="1" x="64"/>
        <item m="1" x="213"/>
        <item m="1" x="279"/>
        <item m="1" x="119"/>
        <item m="1" x="321"/>
        <item m="1" x="323"/>
        <item m="1" x="201"/>
        <item m="1" x="327"/>
        <item m="1" x="309"/>
        <item m="1" x="48"/>
        <item m="1" x="130"/>
        <item m="1" x="174"/>
        <item m="1" x="310"/>
        <item m="1" x="181"/>
        <item m="1" x="65"/>
        <item m="1" x="99"/>
        <item m="1" x="120"/>
        <item m="1" x="102"/>
        <item m="1" x="242"/>
        <item m="1" x="138"/>
        <item m="1" x="205"/>
        <item m="1" x="263"/>
        <item m="1" x="329"/>
        <item m="1" x="121"/>
        <item m="1" x="267"/>
        <item m="1" x="3"/>
        <item m="1" x="75"/>
        <item m="1" x="268"/>
        <item m="1" x="4"/>
        <item m="1" x="76"/>
        <item m="1" x="153"/>
        <item m="1" x="155"/>
        <item m="1" x="298"/>
        <item m="1" x="39"/>
        <item m="1" x="56"/>
        <item m="1" x="234"/>
        <item m="1" x="154"/>
        <item m="1" x="221"/>
        <item m="1" x="291"/>
        <item m="1" x="30"/>
        <item m="1" x="156"/>
        <item m="1" x="226"/>
        <item m="1" x="299"/>
        <item m="1" x="35"/>
        <item m="1" x="276"/>
        <item m="1" x="292"/>
        <item m="1" x="175"/>
        <item m="1" x="243"/>
        <item m="1" x="157"/>
        <item m="1" x="227"/>
        <item m="1" x="103"/>
        <item m="1" x="176"/>
        <item m="1" x="66"/>
        <item m="1" x="182"/>
        <item m="1" x="247"/>
        <item m="1" x="313"/>
        <item m="1" x="53"/>
        <item m="1" x="61"/>
        <item m="1" x="209"/>
        <item m="1" x="77"/>
        <item m="1" x="108"/>
        <item m="1" x="269"/>
        <item m="1" x="57"/>
        <item m="1" x="206"/>
        <item m="1" x="264"/>
        <item m="1" x="330"/>
        <item m="1" x="141"/>
        <item m="1" x="210"/>
        <item m="1" x="270"/>
        <item m="1" x="5"/>
        <item m="1" x="78"/>
        <item m="1" x="222"/>
        <item m="1" x="293"/>
        <item m="1" x="31"/>
        <item m="1" x="104"/>
        <item m="1" x="11"/>
        <item m="1" x="83"/>
        <item m="1" x="100"/>
        <item m="1" x="235"/>
        <item m="1" x="304"/>
        <item m="1" x="45"/>
        <item m="1" x="122"/>
        <item m="1" x="16"/>
        <item m="1" x="89"/>
        <item m="1" x="301"/>
        <item m="1" x="40"/>
        <item m="1" x="146"/>
        <item m="1" x="244"/>
        <item m="1" x="311"/>
        <item m="1" x="49"/>
        <item m="1" x="214"/>
        <item m="1" x="280"/>
        <item m="1" x="90"/>
        <item m="1" x="162"/>
        <item m="1" x="294"/>
        <item m="1" x="105"/>
        <item m="1" x="177"/>
        <item m="1" x="197"/>
        <item m="1" x="36"/>
        <item m="1" x="109"/>
        <item m="1" x="183"/>
        <item m="1" x="12"/>
        <item m="1" x="84"/>
        <item m="1" x="331"/>
        <item m="1" x="147"/>
        <item m="1" x="217"/>
        <item m="1" x="312"/>
        <item m="1" x="85"/>
        <item m="1" x="158"/>
        <item m="1" x="114"/>
        <item m="1" x="187"/>
        <item m="1" x="251"/>
        <item m="1" x="318"/>
        <item m="1" x="54"/>
        <item m="1" x="134"/>
        <item m="1" x="202"/>
        <item x="0"/>
        <item x="1"/>
        <item m="1" x="230"/>
        <item m="1" x="302"/>
        <item m="1" x="115"/>
        <item m="1" x="188"/>
        <item m="1" x="24"/>
      </items>
    </pivotField>
    <pivotField showAll="0"/>
    <pivotField showAll="0"/>
    <pivotField axis="axisRow" showAll="0" defaultSubtotal="0">
      <items count="2">
        <item x="0"/>
        <item x="1"/>
      </items>
    </pivotField>
    <pivotField axis="axisRow" showAll="0" sortType="ascending">
      <items count="8001">
        <item m="1" x="854"/>
        <item m="1" x="855"/>
        <item m="1" x="856"/>
        <item m="1" x="857"/>
        <item m="1" x="858"/>
        <item m="1" x="859"/>
        <item m="1" x="4771"/>
        <item m="1" x="4772"/>
        <item m="1" x="4773"/>
        <item m="1" x="1046"/>
        <item m="1" x="1047"/>
        <item m="1" x="1048"/>
        <item m="1" x="1049"/>
        <item m="1" x="1050"/>
        <item m="1" x="1051"/>
        <item m="1" x="5383"/>
        <item m="1" x="5384"/>
        <item m="1" x="3113"/>
        <item m="1" x="3114"/>
        <item m="1" x="3115"/>
        <item m="1" x="1165"/>
        <item m="1" x="4070"/>
        <item m="1" x="1166"/>
        <item m="1" x="4071"/>
        <item m="1" x="3116"/>
        <item m="1" x="3117"/>
        <item m="1" x="1167"/>
        <item m="1" x="4072"/>
        <item m="1" x="1429"/>
        <item m="1" x="4672"/>
        <item m="1" x="3692"/>
        <item m="1" x="1430"/>
        <item m="1" x="4673"/>
        <item m="1" x="1431"/>
        <item m="1" x="4674"/>
        <item m="1" x="1432"/>
        <item m="1" x="4675"/>
        <item m="1" x="3693"/>
        <item m="1" x="3694"/>
        <item m="1" x="1433"/>
        <item m="1" x="4676"/>
        <item m="1" x="1434"/>
        <item m="1" x="4677"/>
        <item m="1" x="3695"/>
        <item m="1" x="5638"/>
        <item m="1" x="3696"/>
        <item m="1" x="1435"/>
        <item m="1" x="4678"/>
        <item m="1" x="5639"/>
        <item m="1" x="3697"/>
        <item m="1" x="468"/>
        <item m="1" x="469"/>
        <item m="1" x="470"/>
        <item m="1" x="4279"/>
        <item m="1" x="1776"/>
        <item m="1" x="5284"/>
        <item m="1" x="1777"/>
        <item m="1" x="5285"/>
        <item m="1" x="1778"/>
        <item m="1" x="5286"/>
        <item m="1" x="3245"/>
        <item m="1" x="3246"/>
        <item m="1" x="482"/>
        <item m="1" x="483"/>
        <item m="1" x="3804"/>
        <item m="1" x="3805"/>
        <item m="1" x="3806"/>
        <item m="1" x="3807"/>
        <item m="1" x="3808"/>
        <item m="1" x="3809"/>
        <item m="1" x="3810"/>
        <item m="1" x="925"/>
        <item m="1" x="926"/>
        <item m="1" x="2596"/>
        <item m="1" x="3589"/>
        <item m="1" x="4774"/>
        <item m="1" x="5957"/>
        <item m="1" x="4846"/>
        <item m="1" x="6029"/>
        <item m="1" x="1617"/>
        <item m="1" x="2372"/>
        <item m="1" x="3321"/>
        <item m="1" x="3381"/>
        <item m="1" x="4541"/>
        <item m="1" x="5740"/>
        <item m="1" x="5808"/>
        <item m="1" x="663"/>
        <item m="1" x="952"/>
        <item m="1" x="1438"/>
        <item m="1" x="2146"/>
        <item m="1" x="1501"/>
        <item m="1" x="2192"/>
        <item m="1" x="3078"/>
        <item m="1" x="4197"/>
        <item m="1" x="3187"/>
        <item m="1" x="4280"/>
        <item m="1" x="5472"/>
        <item m="1" x="507"/>
        <item m="1" x="594"/>
        <item m="1" x="862"/>
        <item m="1" x="1285"/>
        <item m="1" x="5046"/>
        <item m="1" x="911"/>
        <item m="1" x="1334"/>
        <item m="1" x="2006"/>
        <item m="1" x="2100"/>
        <item m="1" x="2925"/>
        <item m="1" x="3993"/>
        <item m="1" x="491"/>
        <item m="1" x="556"/>
        <item m="1" x="3557"/>
        <item m="1" x="4721"/>
        <item m="1" x="5897"/>
        <item m="1" x="815"/>
        <item m="1" x="1204"/>
        <item m="1" x="5958"/>
        <item m="1" x="1889"/>
        <item m="1" x="2667"/>
        <item m="1" x="935"/>
        <item m="1" x="1372"/>
        <item m="1" x="2044"/>
        <item m="1" x="2866"/>
        <item m="1" x="2129"/>
        <item m="1" x="2970"/>
        <item m="1" x="4038"/>
        <item m="1" x="5215"/>
        <item m="1" x="4112"/>
        <item m="1" x="5288"/>
        <item m="1" x="833"/>
        <item m="1" x="1233"/>
        <item m="1" x="5995"/>
        <item m="1" x="1924"/>
        <item m="1" x="2726"/>
        <item m="1" x="3816"/>
        <item m="1" x="4977"/>
        <item m="1" x="748"/>
        <item m="1" x="4492"/>
        <item m="1" x="5692"/>
        <item m="1" x="1744"/>
        <item m="1" x="3526"/>
        <item m="1" x="3039"/>
        <item m="1" x="4158"/>
        <item m="1" x="5364"/>
        <item m="1" x="5421"/>
        <item m="1" x="1310"/>
        <item m="1" x="1970"/>
        <item m="1" x="2811"/>
        <item m="1" x="3873"/>
        <item m="1" x="2867"/>
        <item m="1" x="3945"/>
        <item m="1" x="5141"/>
        <item m="1" x="5216"/>
        <item m="1" x="516"/>
        <item m="1" x="639"/>
        <item m="1" x="4125"/>
        <item m="1" x="5311"/>
        <item m="1" x="981"/>
        <item m="1" x="1467"/>
        <item m="1" x="2227"/>
        <item m="1" x="3118"/>
        <item m="1" x="1951"/>
        <item m="1" x="2781"/>
        <item m="1" x="3835"/>
        <item m="1" x="5000"/>
        <item m="1" x="3874"/>
        <item m="1" x="5071"/>
        <item m="1" x="1890"/>
        <item m="1" x="2668"/>
        <item m="1" x="3668"/>
        <item m="1" x="3784"/>
        <item m="1" x="4940"/>
        <item m="1" x="1130"/>
        <item m="1" x="1695"/>
        <item m="1" x="2448"/>
        <item m="1" x="2531"/>
        <item m="1" x="3484"/>
        <item m="1" x="4631"/>
        <item m="1" x="4698"/>
        <item m="1" x="5874"/>
        <item m="1" x="1010"/>
        <item m="1" x="1502"/>
        <item m="1" x="2290"/>
        <item m="1" x="3188"/>
        <item m="1" x="4370"/>
        <item m="1" x="5562"/>
        <item m="1" x="1618"/>
        <item m="1" x="2373"/>
        <item m="1" x="3322"/>
        <item m="1" x="3382"/>
        <item m="1" x="4542"/>
        <item m="1" x="5741"/>
        <item m="1" x="5809"/>
        <item m="1" x="664"/>
        <item m="1" x="953"/>
        <item m="1" x="1439"/>
        <item m="1" x="2147"/>
        <item m="1" x="1503"/>
        <item m="1" x="2193"/>
        <item m="1" x="3079"/>
        <item m="1" x="4198"/>
        <item m="1" x="3189"/>
        <item m="1" x="4281"/>
        <item m="1" x="5473"/>
        <item m="1" x="595"/>
        <item m="1" x="863"/>
        <item m="1" x="1286"/>
        <item m="1" x="5047"/>
        <item m="1" x="1335"/>
        <item m="1" x="2007"/>
        <item m="1" x="2926"/>
        <item m="1" x="3994"/>
        <item m="1" x="557"/>
        <item m="1" x="3558"/>
        <item m="1" x="4722"/>
        <item m="1" x="5898"/>
        <item m="1" x="1205"/>
        <item m="1" x="5959"/>
        <item m="1" x="2669"/>
        <item m="1" x="2334"/>
        <item m="1" x="3283"/>
        <item m="1" x="4401"/>
        <item m="1" x="4455"/>
        <item m="1" x="5661"/>
        <item m="1" x="1131"/>
        <item m="1" x="1696"/>
        <item m="1" x="2449"/>
        <item m="1" x="2532"/>
        <item m="1" x="3485"/>
        <item m="1" x="4632"/>
        <item m="1" x="4699"/>
        <item m="1" x="5875"/>
        <item m="1" x="692"/>
        <item m="1" x="1011"/>
        <item m="1" x="1504"/>
        <item m="1" x="1574"/>
        <item m="1" x="2291"/>
        <item m="1" x="3190"/>
        <item m="1" x="3271"/>
        <item m="1" x="4371"/>
        <item m="1" x="5563"/>
        <item m="1" x="632"/>
        <item m="1" x="3916"/>
        <item m="1" x="5105"/>
        <item m="1" x="1417"/>
        <item m="1" x="3016"/>
        <item m="1" x="2597"/>
        <item m="1" x="3590"/>
        <item m="1" x="4775"/>
        <item m="1" x="5960"/>
        <item m="1" x="4847"/>
        <item m="1" x="6030"/>
        <item m="1" x="1619"/>
        <item m="1" x="2374"/>
        <item m="1" x="3323"/>
        <item m="1" x="3383"/>
        <item m="1" x="4543"/>
        <item m="1" x="5742"/>
        <item m="1" x="5810"/>
        <item m="1" x="492"/>
        <item m="1" x="558"/>
        <item m="1" x="3559"/>
        <item m="1" x="4723"/>
        <item m="1" x="5899"/>
        <item m="1" x="816"/>
        <item m="1" x="1206"/>
        <item m="1" x="5961"/>
        <item m="1" x="1891"/>
        <item m="1" x="2670"/>
        <item m="1" x="484"/>
        <item m="1" x="2335"/>
        <item m="1" x="3284"/>
        <item m="1" x="4402"/>
        <item m="1" x="737"/>
        <item m="1" x="4456"/>
        <item m="1" x="5662"/>
        <item m="1" x="1697"/>
        <item m="1" x="2228"/>
        <item m="1" x="3119"/>
        <item m="1" x="4228"/>
        <item m="1" x="4323"/>
        <item m="1" x="5515"/>
        <item m="1" x="936"/>
        <item m="1" x="1373"/>
        <item m="1" x="2045"/>
        <item m="1" x="2868"/>
        <item m="1" x="2130"/>
        <item m="1" x="2971"/>
        <item m="1" x="4039"/>
        <item m="1" x="5217"/>
        <item m="1" x="4113"/>
        <item m="1" x="5289"/>
        <item m="1" x="834"/>
        <item m="1" x="1234"/>
        <item m="1" x="5996"/>
        <item m="1" x="1925"/>
        <item m="1" x="2727"/>
        <item m="1" x="3817"/>
        <item m="1" x="4978"/>
        <item m="1" x="1311"/>
        <item m="1" x="1971"/>
        <item m="1" x="2812"/>
        <item m="1" x="3875"/>
        <item m="1" x="2869"/>
        <item m="1" x="3946"/>
        <item m="1" x="5142"/>
        <item m="1" x="5218"/>
        <item m="1" x="780"/>
        <item m="1" x="1169"/>
        <item m="1" x="1779"/>
        <item m="1" x="1832"/>
        <item m="1" x="2621"/>
        <item m="1" x="3622"/>
        <item m="1" x="3722"/>
        <item m="1" x="4890"/>
        <item m="1" x="534"/>
        <item m="1" x="701"/>
        <item m="1" x="1053"/>
        <item m="1" x="5618"/>
        <item m="1" x="1097"/>
        <item m="1" x="1648"/>
        <item m="1" x="2403"/>
        <item m="1" x="2490"/>
        <item m="1" x="3429"/>
        <item m="1" x="4578"/>
        <item m="1" x="517"/>
        <item m="1" x="640"/>
        <item m="1" x="4126"/>
        <item m="1" x="5312"/>
        <item m="1" x="982"/>
        <item m="1" x="1468"/>
        <item m="1" x="2229"/>
        <item m="1" x="3120"/>
        <item m="1" x="1952"/>
        <item m="1" x="2782"/>
        <item m="1" x="3836"/>
        <item m="1" x="5001"/>
        <item m="1" x="3876"/>
        <item m="1" x="5072"/>
        <item m="1" x="1012"/>
        <item m="1" x="1505"/>
        <item m="1" x="2292"/>
        <item m="1" x="3191"/>
        <item m="1" x="4372"/>
        <item m="1" x="5564"/>
        <item m="1" x="3917"/>
        <item m="1" x="5106"/>
        <item m="1" x="2598"/>
        <item m="1" x="3591"/>
        <item m="1" x="4776"/>
        <item m="1" x="5962"/>
        <item m="1" x="4848"/>
        <item m="1" x="6031"/>
        <item m="1" x="1620"/>
        <item m="1" x="2375"/>
        <item m="1" x="3324"/>
        <item m="1" x="3384"/>
        <item m="1" x="4544"/>
        <item m="1" x="5743"/>
        <item m="1" x="5811"/>
        <item m="1" x="665"/>
        <item m="1" x="954"/>
        <item m="1" x="1440"/>
        <item m="1" x="2148"/>
        <item m="1" x="1506"/>
        <item m="1" x="2194"/>
        <item m="1" x="3080"/>
        <item m="1" x="4199"/>
        <item m="1" x="3192"/>
        <item m="1" x="4282"/>
        <item m="1" x="5474"/>
        <item m="1" x="2336"/>
        <item m="1" x="3285"/>
        <item m="1" x="4403"/>
        <item m="1" x="4457"/>
        <item m="1" x="5663"/>
        <item m="1" x="1132"/>
        <item m="1" x="1698"/>
        <item m="1" x="2450"/>
        <item m="1" x="2533"/>
        <item m="1" x="3486"/>
        <item m="1" x="4633"/>
        <item m="1" x="4700"/>
        <item m="1" x="5876"/>
        <item m="1" x="693"/>
        <item m="1" x="1013"/>
        <item m="1" x="1507"/>
        <item m="1" x="1575"/>
        <item m="1" x="2293"/>
        <item m="1" x="3193"/>
        <item m="1" x="3272"/>
        <item m="1" x="4373"/>
        <item m="1" x="5565"/>
        <item m="1" x="633"/>
        <item m="1" x="3918"/>
        <item m="1" x="5107"/>
        <item m="1" x="1418"/>
        <item m="1" x="3017"/>
        <item m="1" x="2599"/>
        <item m="1" x="3592"/>
        <item m="1" x="4777"/>
        <item m="1" x="4849"/>
        <item m="1" x="6032"/>
        <item m="1" x="508"/>
        <item m="1" x="596"/>
        <item m="1" x="864"/>
        <item m="1" x="1287"/>
        <item m="1" x="5048"/>
        <item m="1" x="912"/>
        <item m="1" x="1336"/>
        <item m="1" x="2008"/>
        <item m="1" x="2101"/>
        <item m="1" x="2927"/>
        <item m="1" x="3995"/>
        <item m="1" x="493"/>
        <item m="1" x="559"/>
        <item m="1" x="3560"/>
        <item m="1" x="4724"/>
        <item m="1" x="5900"/>
        <item m="1" x="817"/>
        <item m="1" x="1207"/>
        <item m="1" x="5963"/>
        <item m="1" x="1892"/>
        <item m="1" x="2671"/>
        <item m="1" x="485"/>
        <item m="1" x="2337"/>
        <item m="1" x="3286"/>
        <item m="1" x="4404"/>
        <item m="1" x="738"/>
        <item m="1" x="4458"/>
        <item m="1" x="5664"/>
        <item m="1" x="1699"/>
        <item m="1" x="2230"/>
        <item m="1" x="3121"/>
        <item m="1" x="4229"/>
        <item m="1" x="4324"/>
        <item m="1" x="5516"/>
        <item m="1" x="937"/>
        <item m="1" x="1374"/>
        <item m="1" x="2046"/>
        <item m="1" x="2870"/>
        <item m="1" x="2131"/>
        <item m="1" x="2972"/>
        <item m="1" x="4040"/>
        <item m="1" x="5219"/>
        <item m="1" x="4114"/>
        <item m="1" x="5290"/>
        <item m="1" x="3040"/>
        <item m="1" x="4159"/>
        <item m="1" x="5365"/>
        <item m="1" x="5422"/>
        <item m="1" x="1312"/>
        <item m="1" x="1972"/>
        <item m="1" x="2813"/>
        <item m="1" x="3877"/>
        <item m="1" x="2871"/>
        <item m="1" x="3947"/>
        <item m="1" x="5143"/>
        <item m="1" x="5220"/>
        <item m="1" x="781"/>
        <item m="1" x="1170"/>
        <item m="1" x="1780"/>
        <item m="1" x="1833"/>
        <item m="1" x="2622"/>
        <item m="1" x="3623"/>
        <item m="1" x="3723"/>
        <item m="1" x="4891"/>
        <item m="1" x="535"/>
        <item m="1" x="702"/>
        <item m="1" x="1054"/>
        <item m="1" x="5619"/>
        <item m="1" x="1098"/>
        <item m="1" x="1649"/>
        <item m="1" x="2404"/>
        <item m="1" x="2491"/>
        <item m="1" x="3430"/>
        <item m="1" x="4579"/>
        <item m="1" x="518"/>
        <item m="1" x="641"/>
        <item m="1" x="4127"/>
        <item m="1" x="5313"/>
        <item m="1" x="983"/>
        <item m="1" x="1469"/>
        <item m="1" x="2231"/>
        <item m="1" x="3122"/>
        <item m="1" x="1133"/>
        <item m="1" x="1700"/>
        <item m="1" x="2451"/>
        <item m="1" x="2534"/>
        <item m="1" x="3487"/>
        <item m="1" x="4634"/>
        <item m="1" x="4701"/>
        <item m="1" x="5877"/>
        <item m="1" x="1014"/>
        <item m="1" x="1508"/>
        <item m="1" x="2294"/>
        <item m="1" x="3194"/>
        <item m="1" x="4374"/>
        <item m="1" x="5566"/>
        <item m="1" x="3919"/>
        <item m="1" x="5108"/>
        <item m="1" x="2600"/>
        <item m="1" x="3593"/>
        <item m="1" x="4778"/>
        <item m="1" x="4850"/>
        <item m="1" x="6033"/>
        <item m="1" x="1621"/>
        <item m="1" x="2376"/>
        <item m="1" x="3325"/>
        <item m="1" x="3385"/>
        <item m="1" x="4545"/>
        <item m="1" x="5744"/>
        <item m="1" x="5812"/>
        <item m="1" x="560"/>
        <item m="1" x="3561"/>
        <item m="1" x="4725"/>
        <item m="1" x="5901"/>
        <item m="1" x="1208"/>
        <item m="1" x="5964"/>
        <item m="1" x="2672"/>
        <item m="1" x="2338"/>
        <item m="1" x="3287"/>
        <item m="1" x="4405"/>
        <item m="1" x="4459"/>
        <item m="1" x="5665"/>
        <item m="1" x="2232"/>
        <item m="1" x="3123"/>
        <item m="1" x="4230"/>
        <item m="1" x="4325"/>
        <item m="1" x="5517"/>
        <item m="1" x="421"/>
        <item m="1" x="1375"/>
        <item m="1" x="2047"/>
        <item m="1" x="2872"/>
        <item m="1" x="2973"/>
        <item m="1" x="4041"/>
        <item m="1" x="5221"/>
        <item m="1" x="395"/>
        <item m="1" x="5291"/>
        <item m="1" x="1134"/>
        <item m="1" x="1701"/>
        <item m="1" x="2452"/>
        <item m="1" x="2535"/>
        <item m="1" x="3488"/>
        <item m="1" x="4635"/>
        <item m="1" x="4702"/>
        <item m="1" x="5878"/>
        <item m="1" x="2601"/>
        <item m="1" x="3594"/>
        <item m="1" x="4779"/>
        <item m="1" x="4851"/>
        <item m="1" x="6034"/>
        <item m="1" x="1622"/>
        <item m="1" x="2377"/>
        <item m="1" x="3326"/>
        <item m="1" x="3386"/>
        <item m="1" x="4546"/>
        <item m="1" x="5745"/>
        <item m="1" x="5813"/>
        <item m="1" x="666"/>
        <item m="1" x="955"/>
        <item m="1" x="1441"/>
        <item m="1" x="2149"/>
        <item m="1" x="1509"/>
        <item m="1" x="2195"/>
        <item m="1" x="3081"/>
        <item m="1" x="4200"/>
        <item m="1" x="3195"/>
        <item m="1" x="4283"/>
        <item m="1" x="5475"/>
        <item m="1" x="509"/>
        <item m="1" x="597"/>
        <item m="1" x="865"/>
        <item m="1" x="1288"/>
        <item m="1" x="5049"/>
        <item m="1" x="913"/>
        <item m="1" x="1337"/>
        <item m="1" x="2009"/>
        <item m="1" x="2102"/>
        <item m="1" x="2928"/>
        <item m="1" x="3996"/>
        <item m="1" x="494"/>
        <item m="1" x="561"/>
        <item m="1" x="3562"/>
        <item m="1" x="4726"/>
        <item m="1" x="5902"/>
        <item m="1" x="818"/>
        <item m="1" x="1209"/>
        <item m="1" x="5965"/>
        <item m="1" x="1893"/>
        <item m="1" x="2673"/>
        <item m="1" x="938"/>
        <item m="1" x="1376"/>
        <item m="1" x="2048"/>
        <item m="1" x="2873"/>
        <item m="1" x="2132"/>
        <item m="1" x="2974"/>
        <item m="1" x="4042"/>
        <item m="1" x="5222"/>
        <item m="1" x="4115"/>
        <item m="1" x="5292"/>
        <item m="1" x="835"/>
        <item m="1" x="1235"/>
        <item m="1" x="5997"/>
        <item m="1" x="1926"/>
        <item m="1" x="2728"/>
        <item m="1" x="3818"/>
        <item m="1" x="4979"/>
        <item m="1" x="749"/>
        <item m="1" x="4493"/>
        <item m="1" x="5693"/>
        <item m="1" x="1745"/>
        <item m="1" x="3527"/>
        <item m="1" x="3041"/>
        <item m="1" x="4160"/>
        <item m="1" x="5366"/>
        <item m="1" x="5423"/>
        <item m="1" x="1313"/>
        <item m="1" x="1973"/>
        <item m="1" x="2814"/>
        <item m="1" x="3878"/>
        <item m="1" x="2874"/>
        <item m="1" x="3948"/>
        <item m="1" x="5144"/>
        <item m="1" x="5223"/>
        <item m="1" x="519"/>
        <item m="1" x="642"/>
        <item m="1" x="4128"/>
        <item m="1" x="5314"/>
        <item m="1" x="984"/>
        <item m="1" x="1470"/>
        <item m="1" x="2233"/>
        <item m="1" x="3124"/>
        <item m="1" x="1953"/>
        <item m="1" x="2783"/>
        <item m="1" x="3837"/>
        <item m="1" x="5002"/>
        <item m="1" x="3879"/>
        <item m="1" x="5073"/>
        <item m="1" x="1894"/>
        <item m="1" x="2674"/>
        <item m="1" x="3669"/>
        <item m="1" x="3785"/>
        <item m="1" x="4941"/>
        <item m="1" x="1135"/>
        <item m="1" x="1702"/>
        <item m="1" x="2453"/>
        <item m="1" x="2536"/>
        <item m="1" x="3489"/>
        <item m="1" x="4636"/>
        <item m="1" x="4703"/>
        <item m="1" x="5879"/>
        <item m="1" x="1015"/>
        <item m="1" x="1510"/>
        <item m="1" x="2295"/>
        <item m="1" x="3196"/>
        <item m="1" x="4375"/>
        <item m="1" x="5567"/>
        <item m="1" x="1623"/>
        <item m="1" x="2378"/>
        <item m="1" x="3327"/>
        <item m="1" x="3387"/>
        <item m="1" x="4547"/>
        <item m="1" x="5746"/>
        <item m="1" x="5814"/>
        <item m="1" x="667"/>
        <item m="1" x="956"/>
        <item m="1" x="1442"/>
        <item m="1" x="2150"/>
        <item m="1" x="1511"/>
        <item m="1" x="2196"/>
        <item m="1" x="3082"/>
        <item m="1" x="4201"/>
        <item m="1" x="3197"/>
        <item m="1" x="4284"/>
        <item m="1" x="5476"/>
        <item m="1" x="598"/>
        <item m="1" x="866"/>
        <item m="1" x="1289"/>
        <item m="1" x="5050"/>
        <item m="1" x="1338"/>
        <item m="1" x="2010"/>
        <item m="1" x="2929"/>
        <item m="1" x="3997"/>
        <item m="1" x="562"/>
        <item m="1" x="3563"/>
        <item m="1" x="4727"/>
        <item m="1" x="5903"/>
        <item m="1" x="1210"/>
        <item m="1" x="5966"/>
        <item m="1" x="2675"/>
        <item m="1" x="2339"/>
        <item m="1" x="3288"/>
        <item m="1" x="4406"/>
        <item m="1" x="4460"/>
        <item m="1" x="5666"/>
        <item m="1" x="694"/>
        <item m="1" x="1016"/>
        <item m="1" x="1512"/>
        <item m="1" x="1576"/>
        <item m="1" x="2296"/>
        <item m="1" x="3198"/>
        <item m="1" x="3273"/>
        <item m="1" x="4376"/>
        <item m="1" x="5568"/>
        <item m="1" x="634"/>
        <item m="1" x="3920"/>
        <item m="1" x="5109"/>
        <item m="1" x="1419"/>
        <item m="1" x="3018"/>
        <item m="1" x="2602"/>
        <item m="1" x="3595"/>
        <item m="1" x="4780"/>
        <item m="1" x="4852"/>
        <item m="1" x="6035"/>
        <item m="1" x="1624"/>
        <item m="1" x="2379"/>
        <item m="1" x="3328"/>
        <item m="1" x="3388"/>
        <item m="1" x="4548"/>
        <item m="1" x="5747"/>
        <item m="1" x="5815"/>
        <item m="1" x="668"/>
        <item m="1" x="957"/>
        <item m="1" x="1443"/>
        <item m="1" x="2151"/>
        <item m="1" x="1513"/>
        <item m="1" x="2197"/>
        <item m="1" x="3083"/>
        <item m="1" x="4202"/>
        <item m="1" x="3199"/>
        <item m="1" x="4285"/>
        <item m="1" x="5477"/>
        <item m="1" x="486"/>
        <item m="1" x="2340"/>
        <item m="1" x="3289"/>
        <item m="1" x="4407"/>
        <item m="1" x="739"/>
        <item m="1" x="4461"/>
        <item m="1" x="5667"/>
        <item m="1" x="1703"/>
        <item m="1" x="2234"/>
        <item m="1" x="3125"/>
        <item m="1" x="4231"/>
        <item m="1" x="4326"/>
        <item m="1" x="5518"/>
        <item m="1" x="939"/>
        <item m="1" x="1377"/>
        <item m="1" x="2049"/>
        <item m="1" x="2875"/>
        <item m="1" x="2133"/>
        <item m="1" x="2975"/>
        <item m="1" x="4043"/>
        <item m="1" x="5224"/>
        <item m="1" x="4116"/>
        <item m="1" x="5293"/>
        <item m="1" x="836"/>
        <item m="1" x="1236"/>
        <item m="1" x="5998"/>
        <item m="1" x="1927"/>
        <item m="1" x="2729"/>
        <item m="1" x="3819"/>
        <item m="1" x="4980"/>
        <item m="1" x="750"/>
        <item m="1" x="4494"/>
        <item m="1" x="5694"/>
        <item m="1" x="1746"/>
        <item m="1" x="3528"/>
        <item m="1" x="782"/>
        <item m="1" x="1171"/>
        <item m="1" x="1781"/>
        <item m="1" x="1834"/>
        <item m="1" x="2623"/>
        <item m="1" x="3624"/>
        <item m="1" x="3724"/>
        <item m="1" x="4892"/>
        <item m="1" x="536"/>
        <item m="1" x="703"/>
        <item m="1" x="1055"/>
        <item m="1" x="5620"/>
        <item m="1" x="1099"/>
        <item m="1" x="1650"/>
        <item m="1" x="2405"/>
        <item m="1" x="2492"/>
        <item m="1" x="3431"/>
        <item m="1" x="4580"/>
        <item m="1" x="520"/>
        <item m="1" x="643"/>
        <item m="1" x="4129"/>
        <item m="1" x="5315"/>
        <item m="1" x="985"/>
        <item m="1" x="1471"/>
        <item m="1" x="2235"/>
        <item m="1" x="3126"/>
        <item m="1" x="1954"/>
        <item m="1" x="2784"/>
        <item m="1" x="3838"/>
        <item m="1" x="5003"/>
        <item m="1" x="3880"/>
        <item m="1" x="5074"/>
        <item m="1" x="1895"/>
        <item m="1" x="2676"/>
        <item m="1" x="3670"/>
        <item m="1" x="3786"/>
        <item m="1" x="4942"/>
        <item m="1" x="4377"/>
        <item m="1" x="3921"/>
        <item m="1" x="5110"/>
        <item m="1" x="2603"/>
        <item m="1" x="3596"/>
        <item m="1" x="4781"/>
        <item m="1" x="4853"/>
        <item m="1" x="6036"/>
        <item m="1" x="1625"/>
        <item m="1" x="2380"/>
        <item m="1" x="3329"/>
        <item m="1" x="3389"/>
        <item m="1" x="4549"/>
        <item m="1" x="5748"/>
        <item m="1" x="5816"/>
        <item m="1" x="669"/>
        <item m="1" x="958"/>
        <item m="1" x="1444"/>
        <item m="1" x="2152"/>
        <item m="1" x="1514"/>
        <item m="1" x="2198"/>
        <item m="1" x="3084"/>
        <item m="1" x="4203"/>
        <item m="1" x="3200"/>
        <item m="1" x="4286"/>
        <item m="1" x="5478"/>
        <item m="1" x="599"/>
        <item m="1" x="867"/>
        <item m="1" x="1290"/>
        <item m="1" x="5051"/>
        <item m="1" x="1339"/>
        <item m="1" x="2011"/>
        <item m="1" x="2930"/>
        <item m="1" x="3998"/>
        <item m="1" x="2236"/>
        <item m="1" x="3127"/>
        <item m="1" x="4232"/>
        <item m="1" x="4327"/>
        <item m="1" x="5519"/>
        <item m="1" x="422"/>
        <item m="1" x="1378"/>
        <item m="1" x="2050"/>
        <item m="1" x="2876"/>
        <item m="1" x="2976"/>
        <item m="1" x="4044"/>
        <item m="1" x="5225"/>
        <item m="1" x="396"/>
        <item m="1" x="5294"/>
        <item m="1" x="1136"/>
        <item m="1" x="1704"/>
        <item m="1" x="2454"/>
        <item m="1" x="2537"/>
        <item m="1" x="3490"/>
        <item m="1" x="4637"/>
        <item m="1" x="4704"/>
        <item m="1" x="5880"/>
        <item m="1" x="695"/>
        <item m="1" x="1017"/>
        <item m="1" x="1515"/>
        <item m="1" x="1577"/>
        <item m="1" x="2297"/>
        <item m="1" x="3201"/>
        <item m="1" x="3274"/>
        <item m="1" x="4378"/>
        <item m="1" x="5569"/>
        <item m="1" x="635"/>
        <item m="1" x="3922"/>
        <item m="1" x="5111"/>
        <item m="1" x="1420"/>
        <item m="1" x="3019"/>
        <item m="1" x="670"/>
        <item m="1" x="959"/>
        <item m="1" x="1445"/>
        <item m="1" x="2153"/>
        <item m="1" x="1516"/>
        <item m="1" x="2199"/>
        <item m="1" x="3085"/>
        <item m="1" x="4204"/>
        <item m="1" x="3202"/>
        <item m="1" x="4287"/>
        <item m="1" x="5479"/>
        <item m="1" x="510"/>
        <item m="1" x="600"/>
        <item m="1" x="868"/>
        <item m="1" x="1291"/>
        <item m="1" x="5052"/>
        <item m="1" x="914"/>
        <item m="1" x="1340"/>
        <item m="1" x="2012"/>
        <item m="1" x="2103"/>
        <item m="1" x="2931"/>
        <item m="1" x="3999"/>
        <item m="1" x="495"/>
        <item m="1" x="563"/>
        <item m="1" x="3564"/>
        <item m="1" x="4728"/>
        <item m="1" x="5904"/>
        <item m="1" x="819"/>
        <item m="1" x="1211"/>
        <item m="1" x="5967"/>
        <item m="1" x="1896"/>
        <item m="1" x="2677"/>
        <item m="1" x="487"/>
        <item m="1" x="2341"/>
        <item m="1" x="3290"/>
        <item m="1" x="4408"/>
        <item m="1" x="740"/>
        <item m="1" x="4462"/>
        <item m="1" x="5668"/>
        <item m="1" x="1705"/>
        <item m="1" x="2237"/>
        <item m="1" x="3128"/>
        <item m="1" x="4233"/>
        <item m="1" x="4328"/>
        <item m="1" x="5520"/>
        <item m="1" x="751"/>
        <item m="1" x="4495"/>
        <item m="1" x="5695"/>
        <item m="1" x="1747"/>
        <item m="1" x="3529"/>
        <item m="1" x="3042"/>
        <item m="1" x="4161"/>
        <item m="1" x="5367"/>
        <item m="1" x="5424"/>
        <item m="1" x="1314"/>
        <item m="1" x="1974"/>
        <item m="1" x="2815"/>
        <item m="1" x="3881"/>
        <item m="1" x="2877"/>
        <item m="1" x="3949"/>
        <item m="1" x="5145"/>
        <item m="1" x="5226"/>
        <item m="1" x="783"/>
        <item m="1" x="1172"/>
        <item m="1" x="1782"/>
        <item m="1" x="1835"/>
        <item m="1" x="2624"/>
        <item m="1" x="3625"/>
        <item m="1" x="3725"/>
        <item m="1" x="4893"/>
        <item m="1" x="537"/>
        <item m="1" x="704"/>
        <item m="1" x="1056"/>
        <item m="1" x="5621"/>
        <item m="1" x="1100"/>
        <item m="1" x="1651"/>
        <item m="1" x="2406"/>
        <item m="1" x="2493"/>
        <item m="1" x="3432"/>
        <item m="1" x="4581"/>
        <item m="1" x="1897"/>
        <item m="1" x="2678"/>
        <item m="1" x="3671"/>
        <item m="1" x="3787"/>
        <item m="1" x="4943"/>
        <item m="1" x="1137"/>
        <item m="1" x="1706"/>
        <item m="1" x="2455"/>
        <item m="1" x="2538"/>
        <item m="1" x="3491"/>
        <item m="1" x="4638"/>
        <item m="1" x="4705"/>
        <item m="1" x="5881"/>
        <item m="1" x="1018"/>
        <item m="1" x="1517"/>
        <item m="1" x="2298"/>
        <item m="1" x="3203"/>
        <item m="1" x="4379"/>
        <item m="1" x="5570"/>
        <item m="1" x="3923"/>
        <item m="1" x="5112"/>
        <item m="1" x="2604"/>
        <item m="1" x="3597"/>
        <item m="1" x="4782"/>
        <item m="1" x="4854"/>
        <item m="1" x="6037"/>
        <item m="1" x="601"/>
        <item m="1" x="869"/>
        <item m="1" x="1292"/>
        <item m="1" x="5053"/>
        <item m="1" x="1341"/>
        <item m="1" x="2013"/>
        <item m="1" x="2932"/>
        <item m="1" x="4000"/>
        <item m="1" x="564"/>
        <item m="1" x="3565"/>
        <item m="1" x="4729"/>
        <item m="1" x="5905"/>
        <item m="1" x="1212"/>
        <item m="1" x="5968"/>
        <item m="1" x="2679"/>
        <item m="1" x="2342"/>
        <item m="1" x="3291"/>
        <item m="1" x="4409"/>
        <item m="1" x="4463"/>
        <item m="1" x="5669"/>
        <item m="1" x="2238"/>
        <item m="1" x="3129"/>
        <item m="1" x="4234"/>
        <item m="1" x="4329"/>
        <item m="1" x="5521"/>
        <item m="1" x="423"/>
        <item m="1" x="1138"/>
        <item m="1" x="1707"/>
        <item m="1" x="2456"/>
        <item m="1" x="2539"/>
        <item m="1" x="3492"/>
        <item m="1" x="4639"/>
        <item m="1" x="4706"/>
        <item m="1" x="5882"/>
        <item m="1" x="2605"/>
        <item m="1" x="3598"/>
        <item m="1" x="4783"/>
        <item m="1" x="4855"/>
        <item m="1" x="6038"/>
        <item m="1" x="1626"/>
        <item m="1" x="2381"/>
        <item m="1" x="3330"/>
        <item m="1" x="3390"/>
        <item m="1" x="4550"/>
        <item m="1" x="5749"/>
        <item m="1" x="5817"/>
        <item m="1" x="671"/>
        <item m="1" x="960"/>
        <item m="1" x="1446"/>
        <item m="1" x="2154"/>
        <item m="1" x="1518"/>
        <item m="1" x="2200"/>
        <item m="1" x="3086"/>
        <item m="1" x="4205"/>
        <item m="1" x="3204"/>
        <item m="1" x="4288"/>
        <item m="1" x="5480"/>
        <item m="1" x="511"/>
        <item m="1" x="602"/>
        <item m="1" x="870"/>
        <item m="1" x="1293"/>
        <item m="1" x="5054"/>
        <item m="1" x="915"/>
        <item m="1" x="1342"/>
        <item m="1" x="2014"/>
        <item m="1" x="2104"/>
        <item m="1" x="2933"/>
        <item m="1" x="4001"/>
        <item m="1" x="496"/>
        <item m="1" x="565"/>
        <item m="1" x="3566"/>
        <item m="1" x="4730"/>
        <item m="1" x="5906"/>
        <item m="1" x="820"/>
        <item m="1" x="1213"/>
        <item m="1" x="5969"/>
        <item m="1" x="1898"/>
        <item m="1" x="2680"/>
        <item m="1" x="940"/>
        <item m="1" x="1379"/>
        <item m="1" x="2051"/>
        <item m="1" x="2878"/>
        <item m="1" x="2134"/>
        <item m="1" x="2977"/>
        <item m="1" x="4045"/>
        <item m="1" x="5227"/>
        <item m="1" x="4117"/>
        <item m="1" x="5295"/>
        <item m="1" x="837"/>
        <item m="1" x="1237"/>
        <item m="1" x="5999"/>
        <item m="1" x="1928"/>
        <item m="1" x="2730"/>
        <item m="1" x="3820"/>
        <item m="1" x="4981"/>
        <item m="1" x="752"/>
        <item m="1" x="4496"/>
        <item m="1" x="5696"/>
        <item m="1" x="1748"/>
        <item m="1" x="3530"/>
        <item m="1" x="3043"/>
        <item m="1" x="4162"/>
        <item m="1" x="5368"/>
        <item m="1" x="5425"/>
        <item m="1" x="1315"/>
        <item m="1" x="1975"/>
        <item m="1" x="2816"/>
        <item m="1" x="3882"/>
        <item m="1" x="2879"/>
        <item m="1" x="3950"/>
        <item m="1" x="5146"/>
        <item m="1" x="5228"/>
        <item m="1" x="521"/>
        <item m="1" x="644"/>
        <item m="1" x="4130"/>
        <item m="1" x="5316"/>
        <item m="1" x="986"/>
        <item m="1" x="1472"/>
        <item m="1" x="2239"/>
        <item m="1" x="3130"/>
        <item m="1" x="1955"/>
        <item m="1" x="2785"/>
        <item m="1" x="3839"/>
        <item m="1" x="5004"/>
        <item m="1" x="3883"/>
        <item m="1" x="5075"/>
        <item m="1" x="1899"/>
        <item m="1" x="2681"/>
        <item m="1" x="3672"/>
        <item m="1" x="3788"/>
        <item m="1" x="4944"/>
        <item m="1" x="1139"/>
        <item m="1" x="1708"/>
        <item m="1" x="2457"/>
        <item m="1" x="2540"/>
        <item m="1" x="3493"/>
        <item m="1" x="4640"/>
        <item m="1" x="4707"/>
        <item m="1" x="5883"/>
        <item m="1" x="1019"/>
        <item m="1" x="1519"/>
        <item m="1" x="2299"/>
        <item m="1" x="3205"/>
        <item m="1" x="4380"/>
        <item m="1" x="5571"/>
        <item m="1" x="1627"/>
        <item m="1" x="2382"/>
        <item m="1" x="3331"/>
        <item m="1" x="3391"/>
        <item m="1" x="4551"/>
        <item m="1" x="5750"/>
        <item m="1" x="5818"/>
        <item m="1" x="672"/>
        <item m="1" x="961"/>
        <item m="1" x="1447"/>
        <item m="1" x="2155"/>
        <item m="1" x="1520"/>
        <item m="1" x="2201"/>
        <item m="1" x="3087"/>
        <item m="1" x="4206"/>
        <item m="1" x="3206"/>
        <item m="1" x="4289"/>
        <item m="1" x="5481"/>
        <item m="1" x="603"/>
        <item m="1" x="871"/>
        <item m="1" x="1294"/>
        <item m="1" x="5055"/>
        <item m="1" x="1343"/>
        <item m="1" x="2015"/>
        <item m="1" x="2934"/>
        <item m="1" x="4002"/>
        <item m="1" x="566"/>
        <item m="1" x="3567"/>
        <item m="1" x="4731"/>
        <item m="1" x="5907"/>
        <item m="1" x="1214"/>
        <item m="1" x="5970"/>
        <item m="1" x="2682"/>
        <item m="1" x="2343"/>
        <item m="1" x="3292"/>
        <item m="1" x="4410"/>
        <item m="1" x="4464"/>
        <item m="1" x="5670"/>
        <item m="1" x="1140"/>
        <item m="1" x="1709"/>
        <item m="1" x="2458"/>
        <item m="1" x="2541"/>
        <item m="1" x="3494"/>
        <item m="1" x="4641"/>
        <item m="1" x="4708"/>
        <item m="1" x="5884"/>
        <item m="1" x="696"/>
        <item m="1" x="1020"/>
        <item m="1" x="1521"/>
        <item m="1" x="1578"/>
        <item m="1" x="2300"/>
        <item m="1" x="3207"/>
        <item m="1" x="3275"/>
        <item m="1" x="4381"/>
        <item m="1" x="5572"/>
        <item m="1" x="636"/>
        <item m="1" x="3924"/>
        <item m="1" x="5113"/>
        <item m="1" x="1421"/>
        <item m="1" x="3020"/>
        <item m="1" x="2606"/>
        <item m="1" x="3599"/>
        <item m="1" x="4784"/>
        <item m="1" x="4856"/>
        <item m="1" x="6039"/>
        <item m="1" x="1628"/>
        <item m="1" x="2383"/>
        <item m="1" x="3332"/>
        <item m="1" x="3392"/>
        <item m="1" x="4552"/>
        <item m="1" x="5751"/>
        <item m="1" x="5819"/>
        <item m="1" x="497"/>
        <item m="1" x="567"/>
        <item m="1" x="3568"/>
        <item m="1" x="4732"/>
        <item m="1" x="5908"/>
        <item m="1" x="821"/>
        <item m="1" x="1215"/>
        <item m="1" x="5971"/>
        <item m="1" x="1900"/>
        <item m="1" x="2683"/>
        <item m="1" x="488"/>
        <item m="1" x="2344"/>
        <item m="1" x="3293"/>
        <item m="1" x="4411"/>
        <item m="1" x="741"/>
        <item m="1" x="4465"/>
        <item m="1" x="5671"/>
        <item m="1" x="1710"/>
        <item m="1" x="2240"/>
        <item m="1" x="3131"/>
        <item m="1" x="4235"/>
        <item m="1" x="4330"/>
        <item m="1" x="5522"/>
        <item m="1" x="941"/>
        <item m="1" x="1380"/>
        <item m="1" x="2052"/>
        <item m="1" x="2880"/>
        <item m="1" x="2135"/>
        <item m="1" x="2978"/>
        <item m="1" x="4046"/>
        <item m="1" x="5229"/>
        <item m="1" x="4118"/>
        <item m="1" x="5296"/>
        <item m="1" x="838"/>
        <item m="1" x="1238"/>
        <item m="1" x="6000"/>
        <item m="1" x="1929"/>
        <item m="1" x="2731"/>
        <item m="1" x="3821"/>
        <item m="1" x="4982"/>
        <item m="1" x="1316"/>
        <item m="1" x="1976"/>
        <item m="1" x="2817"/>
        <item m="1" x="3884"/>
        <item m="1" x="2881"/>
        <item m="1" x="3951"/>
        <item m="1" x="5147"/>
        <item m="1" x="5230"/>
        <item m="1" x="784"/>
        <item m="1" x="1173"/>
        <item m="1" x="1783"/>
        <item m="1" x="1836"/>
        <item m="1" x="2625"/>
        <item m="1" x="3626"/>
        <item m="1" x="3726"/>
        <item m="1" x="4894"/>
        <item m="1" x="538"/>
        <item m="1" x="705"/>
        <item m="1" x="1057"/>
        <item m="1" x="5622"/>
        <item m="1" x="1101"/>
        <item m="1" x="1652"/>
        <item m="1" x="2407"/>
        <item m="1" x="2494"/>
        <item m="1" x="3433"/>
        <item m="1" x="4582"/>
        <item m="1" x="522"/>
        <item m="1" x="645"/>
        <item m="1" x="4131"/>
        <item m="1" x="5317"/>
        <item m="1" x="987"/>
        <item m="1" x="1473"/>
        <item m="1" x="2241"/>
        <item m="1" x="3132"/>
        <item m="1" x="1956"/>
        <item m="1" x="2786"/>
        <item m="1" x="3840"/>
        <item m="1" x="5005"/>
        <item m="1" x="3885"/>
        <item m="1" x="5076"/>
        <item m="1" x="1021"/>
        <item m="1" x="1522"/>
        <item m="1" x="2301"/>
        <item m="1" x="3208"/>
        <item m="1" x="4382"/>
        <item m="1" x="5573"/>
        <item m="1" x="3925"/>
        <item m="1" x="5114"/>
        <item m="1" x="2607"/>
        <item m="1" x="3600"/>
        <item m="1" x="4785"/>
        <item m="1" x="4857"/>
        <item m="1" x="6040"/>
        <item m="1" x="1629"/>
        <item m="1" x="2384"/>
        <item m="1" x="3333"/>
        <item m="1" x="3393"/>
        <item m="1" x="4553"/>
        <item m="1" x="5752"/>
        <item m="1" x="5820"/>
        <item m="1" x="673"/>
        <item m="1" x="962"/>
        <item m="1" x="1448"/>
        <item m="1" x="2156"/>
        <item m="1" x="1523"/>
        <item m="1" x="2202"/>
        <item m="1" x="3088"/>
        <item m="1" x="4207"/>
        <item m="1" x="3209"/>
        <item m="1" x="4290"/>
        <item m="1" x="5482"/>
        <item m="1" x="2345"/>
        <item m="1" x="3294"/>
        <item m="1" x="4412"/>
        <item m="1" x="4466"/>
        <item m="1" x="5672"/>
        <item m="1" x="2242"/>
        <item m="1" x="3133"/>
        <item m="1" x="4236"/>
        <item m="1" x="4331"/>
        <item m="1" x="5523"/>
        <item m="1" x="424"/>
        <item m="1" x="1381"/>
        <item m="1" x="2053"/>
        <item m="1" x="2882"/>
        <item m="1" x="2979"/>
        <item m="1" x="4047"/>
        <item m="1" x="5231"/>
        <item m="1" x="397"/>
        <item m="1" x="5297"/>
        <item m="1" x="1141"/>
        <item m="1" x="1711"/>
        <item m="1" x="2459"/>
        <item m="1" x="2542"/>
        <item m="1" x="3495"/>
        <item m="1" x="4642"/>
        <item m="1" x="4709"/>
        <item m="1" x="5885"/>
        <item m="1" x="697"/>
        <item m="1" x="1022"/>
        <item m="1" x="1524"/>
        <item m="1" x="1579"/>
        <item m="1" x="2302"/>
        <item m="1" x="3210"/>
        <item m="1" x="3276"/>
        <item m="1" x="4383"/>
        <item m="1" x="5574"/>
        <item m="1" x="1630"/>
        <item m="1" x="2385"/>
        <item m="1" x="3334"/>
        <item m="1" x="3394"/>
        <item m="1" x="4554"/>
        <item m="1" x="5753"/>
        <item m="1" x="5821"/>
        <item m="1" x="674"/>
        <item m="1" x="963"/>
        <item m="1" x="1449"/>
        <item m="1" x="2157"/>
        <item m="1" x="1525"/>
        <item m="1" x="2203"/>
        <item m="1" x="3089"/>
        <item m="1" x="4208"/>
        <item m="1" x="3211"/>
        <item m="1" x="4291"/>
        <item m="1" x="5483"/>
        <item m="1" x="512"/>
        <item m="1" x="604"/>
        <item m="1" x="872"/>
        <item m="1" x="1295"/>
        <item m="1" x="5056"/>
        <item m="1" x="916"/>
        <item m="1" x="1344"/>
        <item m="1" x="2016"/>
        <item m="1" x="2105"/>
        <item m="1" x="2935"/>
        <item m="1" x="4003"/>
        <item m="1" x="498"/>
        <item m="1" x="568"/>
        <item m="1" x="3569"/>
        <item m="1" x="4733"/>
        <item m="1" x="5909"/>
        <item m="1" x="822"/>
        <item m="1" x="1216"/>
        <item m="1" x="5972"/>
        <item m="1" x="1901"/>
        <item m="1" x="2684"/>
        <item m="1" x="489"/>
        <item m="1" x="2346"/>
        <item m="1" x="3295"/>
        <item m="1" x="4413"/>
        <item m="1" x="742"/>
        <item m="1" x="4467"/>
        <item m="1" x="5673"/>
        <item m="1" x="1712"/>
        <item m="1" x="839"/>
        <item m="1" x="1239"/>
        <item m="1" x="6001"/>
        <item m="1" x="1930"/>
        <item m="1" x="2732"/>
        <item m="1" x="3822"/>
        <item m="1" x="4983"/>
        <item m="1" x="753"/>
        <item m="1" x="4497"/>
        <item m="1" x="5697"/>
        <item m="1" x="1749"/>
        <item m="1" x="3531"/>
        <item m="1" x="3044"/>
        <item m="1" x="4163"/>
        <item m="1" x="5369"/>
        <item m="1" x="5426"/>
        <item m="1" x="1317"/>
        <item m="1" x="1977"/>
        <item m="1" x="2818"/>
        <item m="1" x="3886"/>
        <item m="1" x="2883"/>
        <item m="1" x="3952"/>
        <item m="1" x="5148"/>
        <item m="1" x="5232"/>
        <item m="1" x="785"/>
        <item m="1" x="1174"/>
        <item m="1" x="1784"/>
        <item m="1" x="1837"/>
        <item m="1" x="2626"/>
        <item m="1" x="3627"/>
        <item m="1" x="3727"/>
        <item m="1" x="4895"/>
        <item m="1" x="1957"/>
        <item m="1" x="2787"/>
        <item m="1" x="3841"/>
        <item m="1" x="5006"/>
        <item m="1" x="3887"/>
        <item m="1" x="5077"/>
        <item m="1" x="1902"/>
        <item m="1" x="2685"/>
        <item m="1" x="3673"/>
        <item m="1" x="3789"/>
        <item m="1" x="4945"/>
        <item m="1" x="1142"/>
        <item m="1" x="1713"/>
        <item m="1" x="2460"/>
        <item m="1" x="2543"/>
        <item m="1" x="3496"/>
        <item m="1" x="4643"/>
        <item m="1" x="4710"/>
        <item m="1" x="5886"/>
        <item m="1" x="1023"/>
        <item m="1" x="1526"/>
        <item m="1" x="2303"/>
        <item m="1" x="3212"/>
        <item m="1" x="4384"/>
        <item m="1" x="5575"/>
        <item m="1" x="3926"/>
        <item m="1" x="5115"/>
        <item m="1" x="675"/>
        <item m="1" x="964"/>
        <item m="1" x="1450"/>
        <item m="1" x="2158"/>
        <item m="1" x="1527"/>
        <item m="1" x="2204"/>
        <item m="1" x="3090"/>
        <item m="1" x="4209"/>
        <item m="1" x="3213"/>
        <item m="1" x="4292"/>
        <item m="1" x="5484"/>
        <item m="1" x="605"/>
        <item m="1" x="873"/>
        <item m="1" x="1296"/>
        <item m="1" x="5057"/>
        <item m="1" x="1345"/>
        <item m="1" x="2017"/>
        <item m="1" x="2936"/>
        <item m="1" x="4004"/>
        <item m="1" x="569"/>
        <item m="1" x="3570"/>
        <item m="1" x="4734"/>
        <item m="1" x="5910"/>
        <item m="1" x="1217"/>
        <item m="1" x="5973"/>
        <item m="1" x="2686"/>
        <item m="1" x="2347"/>
        <item m="1" x="3296"/>
        <item m="1" x="4414"/>
        <item m="1" x="4468"/>
        <item m="1" x="5674"/>
        <item m="1" x="2243"/>
        <item m="1" x="3134"/>
        <item m="1" x="4237"/>
        <item m="1" x="4332"/>
        <item m="1" x="5524"/>
        <item m="1" x="425"/>
        <item m="1" x="637"/>
        <item m="1" x="3927"/>
        <item m="1" x="5116"/>
        <item m="1" x="1422"/>
        <item m="1" x="3021"/>
        <item m="1" x="1814"/>
        <item m="1" x="2608"/>
        <item m="1" x="3601"/>
        <item m="1" x="4786"/>
        <item m="1" x="3674"/>
        <item m="1" x="4858"/>
        <item m="1" x="6041"/>
        <item m="1" x="1087"/>
        <item m="1" x="1631"/>
        <item m="1" x="2386"/>
        <item m="1" x="3335"/>
        <item m="1" x="2461"/>
        <item m="1" x="3395"/>
        <item m="1" x="4555"/>
        <item m="1" x="4644"/>
        <item m="1" x="5822"/>
        <item m="1" x="676"/>
        <item m="1" x="965"/>
        <item m="1" x="1451"/>
        <item m="1" x="1528"/>
        <item m="1" x="2205"/>
        <item m="1" x="3091"/>
        <item m="1" x="3214"/>
        <item m="1" x="4293"/>
        <item m="1" x="5485"/>
        <item m="1" x="513"/>
        <item m="1" x="606"/>
        <item m="1" x="874"/>
        <item m="1" x="5058"/>
        <item m="1" x="917"/>
        <item m="1" x="1346"/>
        <item m="1" x="2018"/>
        <item m="1" x="2106"/>
        <item m="1" x="2937"/>
        <item m="1" x="4005"/>
        <item m="1" x="1551"/>
        <item m="1" x="2244"/>
        <item m="1" x="3135"/>
        <item m="1" x="3247"/>
        <item m="1" x="4333"/>
        <item m="1" x="5525"/>
        <item m="1" x="5603"/>
        <item m="1" x="942"/>
        <item m="1" x="1382"/>
        <item m="1" x="2054"/>
        <item m="1" x="2136"/>
        <item m="1" x="2980"/>
        <item m="1" x="4048"/>
        <item m="1" x="4119"/>
        <item m="1" x="5298"/>
        <item m="1" x="840"/>
        <item m="1" x="1240"/>
        <item m="1" x="6002"/>
        <item m="1" x="1931"/>
        <item m="1" x="2733"/>
        <item m="1" x="3823"/>
        <item m="1" x="4984"/>
        <item m="1" x="3356"/>
        <item m="1" x="4498"/>
        <item m="1" x="5698"/>
        <item m="1" x="5775"/>
        <item m="1" x="2172"/>
        <item m="1" x="3045"/>
        <item m="1" x="4164"/>
        <item m="1" x="4238"/>
        <item m="1" x="5427"/>
        <item m="1" x="539"/>
        <item m="1" x="706"/>
        <item m="1" x="4441"/>
        <item m="1" x="5623"/>
        <item m="1" x="1102"/>
        <item m="1" x="1653"/>
        <item m="1" x="2495"/>
        <item m="1" x="3434"/>
        <item m="1" x="523"/>
        <item m="1" x="3028"/>
        <item m="1" x="4132"/>
        <item m="1" x="5318"/>
        <item m="1" x="988"/>
        <item m="1" x="5370"/>
        <item m="1" x="2245"/>
        <item m="1" x="1958"/>
        <item m="1" x="2788"/>
        <item m="1" x="3842"/>
        <item m="1" x="3888"/>
        <item m="1" x="5078"/>
        <item m="1" x="1275"/>
        <item m="1" x="1903"/>
        <item m="1" x="2687"/>
        <item m="1" x="3675"/>
        <item m="1" x="2773"/>
        <item m="1" x="3790"/>
        <item m="1" x="4946"/>
        <item m="1" x="5038"/>
        <item m="1" x="1143"/>
        <item m="1" x="1714"/>
        <item m="1" x="2544"/>
        <item m="1" x="3497"/>
        <item m="1" x="4711"/>
        <item m="1" x="5887"/>
        <item m="1" x="1815"/>
        <item m="1" x="2609"/>
        <item m="1" x="3602"/>
        <item m="1" x="4787"/>
        <item m="1" x="3676"/>
        <item m="1" x="4859"/>
        <item m="1" x="6042"/>
        <item m="1" x="1088"/>
        <item m="1" x="1632"/>
        <item m="1" x="2387"/>
        <item m="1" x="3336"/>
        <item m="1" x="2462"/>
        <item m="1" x="3396"/>
        <item m="1" x="4556"/>
        <item m="1" x="4645"/>
        <item m="1" x="5823"/>
        <item m="1" x="677"/>
        <item m="1" x="966"/>
        <item m="1" x="1452"/>
        <item m="1" x="1529"/>
        <item m="1" x="2206"/>
        <item m="1" x="3092"/>
        <item m="1" x="3215"/>
        <item m="1" x="4294"/>
        <item m="1" x="5486"/>
        <item m="1" x="607"/>
        <item m="1" x="875"/>
        <item m="1" x="5059"/>
        <item m="1" x="1347"/>
        <item m="1" x="2019"/>
        <item m="1" x="2938"/>
        <item m="1" x="4006"/>
        <item m="1" x="570"/>
        <item m="1" x="2566"/>
        <item m="1" x="3571"/>
        <item m="1" x="4735"/>
        <item m="1" x="5911"/>
        <item m="1" x="4788"/>
        <item m="1" x="5974"/>
        <item m="1" x="1383"/>
        <item m="1" x="2055"/>
        <item m="1" x="2981"/>
        <item m="1" x="4049"/>
        <item m="1" x="5299"/>
        <item m="1" x="769"/>
        <item m="1" x="1144"/>
        <item m="1" x="1715"/>
        <item m="1" x="1773"/>
        <item m="1" x="2545"/>
        <item m="1" x="3498"/>
        <item m="1" x="3555"/>
        <item m="1" x="4712"/>
        <item m="1" x="5888"/>
        <item m="1" x="698"/>
        <item m="1" x="1024"/>
        <item m="1" x="5406"/>
        <item m="1" x="1580"/>
        <item m="1" x="2304"/>
        <item m="1" x="3277"/>
        <item m="1" x="4385"/>
        <item m="1" x="638"/>
        <item m="1" x="3928"/>
        <item m="1" x="5117"/>
        <item m="1" x="1423"/>
        <item m="1" x="3022"/>
        <item m="1" x="1816"/>
        <item m="1" x="2610"/>
        <item m="1" x="3603"/>
        <item m="1" x="4789"/>
        <item m="1" x="3677"/>
        <item m="1" x="4860"/>
        <item m="1" x="6043"/>
        <item m="1" x="514"/>
        <item m="1" x="608"/>
        <item m="1" x="876"/>
        <item m="1" x="5060"/>
        <item m="1" x="918"/>
        <item m="1" x="1348"/>
        <item m="1" x="2020"/>
        <item m="1" x="2107"/>
        <item m="1" x="2939"/>
        <item m="1" x="4007"/>
        <item m="1" x="499"/>
        <item m="1" x="571"/>
        <item m="1" x="2567"/>
        <item m="1" x="3572"/>
        <item m="1" x="4736"/>
        <item m="1" x="5912"/>
        <item m="1" x="823"/>
        <item m="1" x="4790"/>
        <item m="1" x="5975"/>
        <item m="1" x="1904"/>
        <item m="1" x="1586"/>
        <item m="1" x="2348"/>
        <item m="1" x="3297"/>
        <item m="1" x="4415"/>
        <item m="1" x="3337"/>
        <item m="1" x="4469"/>
        <item m="1" x="5675"/>
        <item m="1" x="1552"/>
        <item m="1" x="2246"/>
        <item m="1" x="3136"/>
        <item m="1" x="3248"/>
        <item m="1" x="4334"/>
        <item m="1" x="5526"/>
        <item m="1" x="5604"/>
        <item m="1" x="943"/>
        <item m="1" x="1384"/>
        <item m="1" x="2056"/>
        <item m="1" x="2137"/>
        <item m="1" x="2982"/>
        <item m="1" x="4050"/>
        <item m="1" x="4120"/>
        <item m="1" x="5300"/>
        <item m="1" x="2173"/>
        <item m="1" x="3046"/>
        <item m="1" x="4165"/>
        <item m="1" x="4239"/>
        <item m="1" x="5428"/>
        <item m="1" x="1318"/>
        <item m="1" x="1978"/>
        <item m="1" x="2819"/>
        <item m="1" x="2884"/>
        <item m="1" x="3953"/>
        <item m="1" x="5149"/>
        <item m="1" x="5233"/>
        <item m="1" x="583"/>
        <item m="1" x="786"/>
        <item m="1" x="1175"/>
        <item m="1" x="1785"/>
        <item m="1" x="1241"/>
        <item m="1" x="1838"/>
        <item m="1" x="2627"/>
        <item m="1" x="3628"/>
        <item m="1" x="2734"/>
        <item m="1" x="3728"/>
        <item m="1" x="4896"/>
        <item m="1" x="540"/>
        <item m="1" x="707"/>
        <item m="1" x="4442"/>
        <item m="1" x="5624"/>
        <item m="1" x="1103"/>
        <item m="1" x="1654"/>
        <item m="1" x="2496"/>
        <item m="1" x="3435"/>
        <item m="1" x="524"/>
        <item m="1" x="3029"/>
        <item m="1" x="4133"/>
        <item m="1" x="5319"/>
        <item m="1" x="989"/>
        <item m="1" x="5371"/>
        <item m="1" x="2247"/>
        <item m="1" x="1145"/>
        <item m="1" x="1716"/>
        <item m="1" x="2546"/>
        <item m="1" x="3499"/>
        <item m="1" x="4713"/>
        <item m="1" x="5889"/>
        <item m="1" x="1025"/>
        <item m="1" x="5407"/>
        <item m="1" x="2305"/>
        <item m="1" x="4386"/>
        <item m="1" x="3929"/>
        <item m="1" x="5118"/>
        <item m="1" x="1817"/>
        <item m="1" x="2611"/>
        <item m="1" x="3604"/>
        <item m="1" x="4791"/>
        <item m="1" x="3678"/>
        <item m="1" x="4861"/>
        <item m="1" x="6044"/>
        <item m="1" x="1089"/>
        <item m="1" x="1633"/>
        <item m="1" x="2388"/>
        <item m="1" x="3338"/>
        <item m="1" x="2463"/>
        <item m="1" x="3397"/>
        <item m="1" x="4557"/>
        <item m="1" x="4646"/>
        <item m="1" x="5824"/>
        <item m="1" x="572"/>
        <item m="1" x="2568"/>
        <item m="1" x="3573"/>
        <item m="1" x="4737"/>
        <item m="1" x="5913"/>
        <item m="1" x="4792"/>
        <item m="1" x="5976"/>
        <item m="1" x="1587"/>
        <item m="1" x="2349"/>
        <item m="1" x="3298"/>
        <item m="1" x="4416"/>
        <item m="1" x="3339"/>
        <item m="1" x="4470"/>
        <item m="1" x="5676"/>
        <item m="1" x="5754"/>
        <item m="1" x="1553"/>
        <item m="1" x="2248"/>
        <item m="1" x="3137"/>
        <item m="1" x="3249"/>
        <item m="1" x="4335"/>
        <item m="1" x="5527"/>
        <item m="1" x="426"/>
        <item m="1" x="5605"/>
        <item m="1" x="770"/>
        <item m="1" x="1146"/>
        <item m="1" x="1717"/>
        <item m="1" x="1774"/>
        <item m="1" x="2547"/>
        <item m="1" x="3500"/>
        <item m="1" x="3556"/>
        <item m="1" x="4714"/>
        <item m="1" x="5890"/>
        <item m="1" x="699"/>
        <item m="1" x="1026"/>
        <item m="1" x="5408"/>
        <item m="1" x="1581"/>
        <item m="1" x="2306"/>
        <item m="1" x="3278"/>
        <item m="1" x="4387"/>
        <item m="1" x="1090"/>
        <item m="1" x="1634"/>
        <item m="1" x="2389"/>
        <item m="1" x="3340"/>
        <item m="1" x="2464"/>
        <item m="1" x="3398"/>
        <item m="1" x="4558"/>
        <item m="1" x="4647"/>
        <item m="1" x="5825"/>
        <item m="1" x="678"/>
        <item m="1" x="967"/>
        <item m="1" x="1453"/>
        <item m="1" x="1530"/>
        <item m="1" x="2207"/>
        <item m="1" x="3093"/>
        <item m="1" x="3216"/>
        <item m="1" x="4295"/>
        <item m="1" x="5487"/>
        <item m="1" x="515"/>
        <item m="1" x="609"/>
        <item m="1" x="877"/>
        <item m="1" x="5061"/>
        <item m="1" x="919"/>
        <item m="1" x="1349"/>
        <item m="1" x="2021"/>
        <item m="1" x="2108"/>
        <item m="1" x="2940"/>
        <item m="1" x="4008"/>
        <item m="1" x="500"/>
        <item m="1" x="573"/>
        <item m="1" x="2569"/>
        <item m="1" x="3574"/>
        <item m="1" x="4738"/>
        <item m="1" x="5914"/>
        <item m="1" x="824"/>
        <item m="1" x="4793"/>
        <item m="1" x="5977"/>
        <item m="1" x="1905"/>
        <item m="1" x="1588"/>
        <item m="1" x="2350"/>
        <item m="1" x="3299"/>
        <item m="1" x="4417"/>
        <item m="1" x="3341"/>
        <item m="1" x="4471"/>
        <item m="1" x="5677"/>
        <item m="1" x="841"/>
        <item m="1" x="1242"/>
        <item m="1" x="6003"/>
        <item m="1" x="1932"/>
        <item m="1" x="2735"/>
        <item m="1" x="3824"/>
        <item m="1" x="4985"/>
        <item m="1" x="3357"/>
        <item m="1" x="4499"/>
        <item m="1" x="5699"/>
        <item m="1" x="5776"/>
        <item m="1" x="2174"/>
        <item m="1" x="3047"/>
        <item m="1" x="4166"/>
        <item m="1" x="4240"/>
        <item m="1" x="5429"/>
        <item m="1" x="1319"/>
        <item m="1" x="1979"/>
        <item m="1" x="2820"/>
        <item m="1" x="2885"/>
        <item m="1" x="3954"/>
        <item m="1" x="5150"/>
        <item m="1" x="5234"/>
        <item m="1" x="584"/>
        <item m="1" x="787"/>
        <item m="1" x="1176"/>
        <item m="1" x="1786"/>
        <item m="1" x="1243"/>
        <item m="1" x="1839"/>
        <item m="1" x="2628"/>
        <item m="1" x="3629"/>
        <item m="1" x="2736"/>
        <item m="1" x="3729"/>
        <item m="1" x="4897"/>
        <item m="1" x="1959"/>
        <item m="1" x="2789"/>
        <item m="1" x="3843"/>
        <item m="1" x="3889"/>
        <item m="1" x="5079"/>
        <item m="1" x="1276"/>
        <item m="1" x="1906"/>
        <item m="1" x="2688"/>
        <item m="1" x="3679"/>
        <item m="1" x="2774"/>
        <item m="1" x="3791"/>
        <item m="1" x="4947"/>
        <item m="1" x="5039"/>
        <item m="1" x="1147"/>
        <item m="1" x="1718"/>
        <item m="1" x="2548"/>
        <item m="1" x="3501"/>
        <item m="1" x="4715"/>
        <item m="1" x="5891"/>
        <item m="1" x="1027"/>
        <item m="1" x="5409"/>
        <item m="1" x="2307"/>
        <item m="1" x="4388"/>
        <item m="1" x="3930"/>
        <item m="1" x="5119"/>
        <item m="1" x="1531"/>
        <item m="1" x="2208"/>
        <item m="1" x="3094"/>
        <item m="1" x="3217"/>
        <item m="1" x="4296"/>
        <item m="1" x="5488"/>
        <item m="1" x="610"/>
        <item m="1" x="878"/>
        <item m="1" x="5062"/>
        <item m="1" x="1350"/>
        <item m="1" x="2022"/>
        <item m="1" x="2941"/>
        <item m="1" x="4009"/>
        <item m="1" x="574"/>
        <item m="1" x="2570"/>
        <item m="1" x="3575"/>
        <item m="1" x="4739"/>
        <item m="1" x="5915"/>
        <item m="1" x="4794"/>
        <item m="1" x="5978"/>
        <item m="1" x="1589"/>
        <item m="1" x="2351"/>
        <item m="1" x="3300"/>
        <item m="1" x="4418"/>
        <item m="1" x="3342"/>
        <item m="1" x="4472"/>
        <item m="1" x="5678"/>
        <item m="1" x="5755"/>
        <item m="1" x="1554"/>
        <item m="1" x="2249"/>
        <item m="1" x="3138"/>
        <item m="1" x="3250"/>
        <item m="1" x="4336"/>
        <item m="1" x="5528"/>
        <item m="1" x="427"/>
        <item m="1" x="5606"/>
        <item m="1" x="1943"/>
        <item m="1" x="2756"/>
        <item m="1" x="3753"/>
        <item m="1" x="3844"/>
        <item m="1" x="5007"/>
        <item m="1" x="760"/>
        <item m="1" x="4522"/>
        <item m="1" x="5721"/>
        <item m="1" x="1764"/>
        <item m="1" x="3546"/>
        <item m="1" x="3059"/>
        <item m="1" x="4178"/>
        <item m="1" x="5385"/>
        <item m="1" x="5451"/>
        <item m="1" x="1989"/>
        <item m="1" x="2830"/>
        <item m="1" x="3899"/>
        <item m="1" x="3974"/>
        <item m="1" x="5170"/>
        <item m="1" x="798"/>
        <item m="1" x="1187"/>
        <item m="1" x="1797"/>
        <item m="1" x="2582"/>
        <item m="1" x="1859"/>
        <item m="1" x="2648"/>
        <item m="1" x="3649"/>
        <item m="1" x="4830"/>
        <item m="1" x="3754"/>
        <item m="1" x="4921"/>
        <item m="1" x="501"/>
        <item m="1" x="2790"/>
        <item m="1" x="3852"/>
        <item m="1" x="5023"/>
        <item m="1" x="903"/>
        <item m="1" x="5089"/>
        <item m="1" x="2076"/>
        <item m="1" x="2701"/>
        <item m="1" x="3698"/>
        <item m="1" x="4874"/>
        <item m="1" x="4960"/>
        <item m="1" x="1153"/>
        <item m="1" x="1729"/>
        <item m="1" x="2474"/>
        <item m="1" x="3408"/>
        <item m="1" x="2554"/>
        <item m="1" x="3511"/>
        <item m="1" x="4657"/>
        <item m="1" x="5835"/>
        <item m="1" x="4740"/>
        <item m="1" x="5916"/>
        <item m="1" x="1032"/>
        <item m="1" x="1541"/>
        <item m="1" x="2320"/>
        <item m="1" x="3235"/>
        <item m="1" x="4419"/>
        <item m="1" x="5588"/>
        <item m="1" x="927"/>
        <item m="1" x="5131"/>
        <item m="1" x="2121"/>
        <item m="1" x="4104"/>
        <item m="1" x="973"/>
        <item m="1" x="1459"/>
        <item m="1" x="2164"/>
        <item m="1" x="2218"/>
        <item m="1" x="3104"/>
        <item m="1" x="4219"/>
        <item m="1" x="4314"/>
        <item m="1" x="5506"/>
        <item m="1" x="617"/>
        <item m="1" x="885"/>
        <item m="1" x="1303"/>
        <item m="1" x="1362"/>
        <item m="1" x="2034"/>
        <item m="1" x="2858"/>
        <item m="1" x="2960"/>
        <item m="1" x="4028"/>
        <item m="1" x="5207"/>
        <item m="1" x="575"/>
        <item m="1" x="773"/>
        <item m="1" x="4748"/>
        <item m="1" x="5930"/>
        <item m="1" x="1224"/>
        <item m="1" x="1824"/>
        <item m="1" x="2702"/>
        <item m="1" x="3699"/>
        <item m="1" x="2352"/>
        <item m="1" x="3301"/>
        <item m="1" x="4427"/>
        <item m="1" x="5596"/>
        <item m="1" x="4477"/>
        <item m="1" x="5683"/>
        <item m="1" x="2271"/>
        <item m="1" x="3160"/>
        <item m="1" x="4262"/>
        <item m="1" x="4359"/>
        <item m="1" x="5551"/>
        <item m="1" x="433"/>
        <item m="1" x="4523"/>
        <item m="1" x="5722"/>
        <item m="1" x="3060"/>
        <item m="1" x="4179"/>
        <item m="1" x="5386"/>
        <item m="1" x="5452"/>
        <item m="1" x="1990"/>
        <item m="1" x="2831"/>
        <item m="1" x="3900"/>
        <item m="1" x="3975"/>
        <item m="1" x="5171"/>
        <item m="1" x="799"/>
        <item m="1" x="1188"/>
        <item m="1" x="1798"/>
        <item m="1" x="2583"/>
        <item m="1" x="1860"/>
        <item m="1" x="2649"/>
        <item m="1" x="3650"/>
        <item m="1" x="4831"/>
        <item m="1" x="3755"/>
        <item m="1" x="4922"/>
        <item m="1" x="718"/>
        <item m="1" x="1068"/>
        <item m="1" x="1601"/>
        <item m="1" x="5640"/>
        <item m="1" x="1676"/>
        <item m="1" x="2429"/>
        <item m="1" x="3465"/>
        <item m="1" x="4612"/>
        <item m="1" x="2703"/>
        <item m="1" x="3700"/>
        <item m="1" x="4875"/>
        <item m="1" x="4961"/>
        <item m="1" x="461"/>
        <item m="1" x="1730"/>
        <item m="1" x="2475"/>
        <item m="1" x="3409"/>
        <item m="1" x="3512"/>
        <item m="1" x="4658"/>
        <item m="1" x="5836"/>
        <item m="1" x="451"/>
        <item m="1" x="5917"/>
        <item m="1" x="1399"/>
        <item m="1" x="2077"/>
        <item m="1" x="2905"/>
        <item m="1" x="2998"/>
        <item m="1" x="4073"/>
        <item m="1" x="5254"/>
        <item m="1" x="5320"/>
        <item m="1" x="847"/>
        <item m="1" x="1259"/>
        <item m="1" x="1861"/>
        <item m="1" x="1944"/>
        <item m="1" x="2757"/>
        <item m="1" x="3756"/>
        <item m="1" x="3845"/>
        <item m="1" x="5008"/>
        <item m="1" x="761"/>
        <item m="1" x="4524"/>
        <item m="1" x="5723"/>
        <item m="1" x="1765"/>
        <item m="1" x="3547"/>
        <item m="1" x="800"/>
        <item m="1" x="1189"/>
        <item m="1" x="1799"/>
        <item m="1" x="2584"/>
        <item m="1" x="1862"/>
        <item m="1" x="2650"/>
        <item m="1" x="3651"/>
        <item m="1" x="4832"/>
        <item m="1" x="3757"/>
        <item m="1" x="4923"/>
        <item m="1" x="547"/>
        <item m="1" x="719"/>
        <item m="1" x="1069"/>
        <item m="1" x="1602"/>
        <item m="1" x="5641"/>
        <item m="1" x="1121"/>
        <item m="1" x="1677"/>
        <item m="1" x="2430"/>
        <item m="1" x="2522"/>
        <item m="1" x="3466"/>
        <item m="1" x="4613"/>
        <item m="1" x="525"/>
        <item m="1" x="646"/>
        <item m="1" x="4136"/>
        <item m="1" x="5337"/>
        <item m="1" x="1001"/>
        <item m="1" x="1485"/>
        <item m="1" x="2272"/>
        <item m="1" x="3161"/>
        <item m="1" x="502"/>
        <item m="1" x="2791"/>
        <item m="1" x="3853"/>
        <item m="1" x="5024"/>
        <item m="1" x="904"/>
        <item m="1" x="5090"/>
        <item m="1" x="2078"/>
        <item m="1" x="2704"/>
        <item m="1" x="3701"/>
        <item m="1" x="4876"/>
        <item m="1" x="4962"/>
        <item m="1" x="928"/>
        <item m="1" x="5132"/>
        <item m="1" x="2122"/>
        <item m="1" x="4105"/>
        <item m="1" x="3612"/>
        <item m="1" x="4801"/>
        <item m="1" x="5985"/>
        <item m="1" x="6057"/>
        <item m="1" x="1639"/>
        <item m="1" x="2394"/>
        <item m="1" x="3347"/>
        <item m="1" x="4478"/>
        <item m="1" x="3410"/>
        <item m="1" x="4568"/>
        <item m="1" x="5765"/>
        <item m="1" x="5837"/>
        <item m="1" x="974"/>
        <item m="1" x="1460"/>
        <item m="1" x="2165"/>
        <item m="1" x="2219"/>
        <item m="1" x="3105"/>
        <item m="1" x="4220"/>
        <item m="1" x="4315"/>
        <item m="1" x="5507"/>
        <item m="1" x="618"/>
        <item m="1" x="886"/>
        <item m="1" x="1304"/>
        <item m="1" x="1363"/>
        <item m="1" x="2035"/>
        <item m="1" x="2859"/>
        <item m="1" x="2961"/>
        <item m="1" x="4029"/>
        <item m="1" x="5208"/>
        <item m="1" x="2273"/>
        <item m="1" x="3162"/>
        <item m="1" x="4263"/>
        <item m="1" x="4360"/>
        <item m="1" x="5552"/>
        <item m="1" x="434"/>
        <item m="1" x="1400"/>
        <item m="1" x="2079"/>
        <item m="1" x="2906"/>
        <item m="1" x="2999"/>
        <item m="1" x="4074"/>
        <item m="1" x="5255"/>
        <item m="1" x="404"/>
        <item m="1" x="5321"/>
        <item m="1" x="1260"/>
        <item m="1" x="1863"/>
        <item m="1" x="2758"/>
        <item m="1" x="3758"/>
        <item m="1" x="5009"/>
        <item m="1" x="4525"/>
        <item m="1" x="5724"/>
        <item m="1" x="3061"/>
        <item m="1" x="4180"/>
        <item m="1" x="5387"/>
        <item m="1" x="5453"/>
        <item m="1" x="720"/>
        <item m="1" x="1070"/>
        <item m="1" x="1603"/>
        <item m="1" x="5642"/>
        <item m="1" x="1678"/>
        <item m="1" x="2431"/>
        <item m="1" x="3467"/>
        <item m="1" x="4614"/>
        <item m="1" x="647"/>
        <item m="1" x="4137"/>
        <item m="1" x="5338"/>
        <item m="1" x="1486"/>
        <item m="1" x="3163"/>
        <item m="1" x="1401"/>
        <item m="1" x="2080"/>
        <item m="1" x="2907"/>
        <item m="1" x="3000"/>
        <item m="1" x="4075"/>
        <item m="1" x="5256"/>
        <item m="1" x="5322"/>
        <item m="1" x="848"/>
        <item m="1" x="1261"/>
        <item m="1" x="1864"/>
        <item m="1" x="1945"/>
        <item m="1" x="2759"/>
        <item m="1" x="3759"/>
        <item m="1" x="3846"/>
        <item m="1" x="5010"/>
        <item m="1" x="762"/>
        <item m="1" x="4526"/>
        <item m="1" x="5725"/>
        <item m="1" x="1766"/>
        <item m="1" x="3548"/>
        <item m="1" x="801"/>
        <item m="1" x="1190"/>
        <item m="1" x="1800"/>
        <item m="1" x="2585"/>
        <item m="1" x="1865"/>
        <item m="1" x="2651"/>
        <item m="1" x="3652"/>
        <item m="1" x="4833"/>
        <item m="1" x="3760"/>
        <item m="1" x="4924"/>
        <item m="1" x="548"/>
        <item m="1" x="721"/>
        <item m="1" x="1071"/>
        <item m="1" x="1604"/>
        <item m="1" x="5643"/>
        <item m="1" x="1122"/>
        <item m="1" x="1679"/>
        <item m="1" x="2432"/>
        <item m="1" x="2523"/>
        <item m="1" x="3468"/>
        <item m="1" x="4615"/>
        <item m="1" x="526"/>
        <item m="1" x="648"/>
        <item m="1" x="4138"/>
        <item m="1" x="5339"/>
        <item m="1" x="1002"/>
        <item m="1" x="1487"/>
        <item m="1" x="2274"/>
        <item m="1" x="3164"/>
        <item m="1" x="503"/>
        <item m="1" x="2792"/>
        <item m="1" x="3854"/>
        <item m="1" x="5025"/>
        <item m="1" x="905"/>
        <item m="1" x="5091"/>
        <item m="1" x="2081"/>
        <item m="1" x="2705"/>
        <item m="1" x="3702"/>
        <item m="1" x="4877"/>
        <item m="1" x="4963"/>
        <item m="1" x="929"/>
        <item m="1" x="5133"/>
        <item m="1" x="2123"/>
        <item m="1" x="4106"/>
        <item m="1" x="3613"/>
        <item m="1" x="4802"/>
        <item m="1" x="5986"/>
        <item m="1" x="6058"/>
        <item m="1" x="1640"/>
        <item m="1" x="2395"/>
        <item m="1" x="3348"/>
        <item m="1" x="4479"/>
        <item m="1" x="3411"/>
        <item m="1" x="4569"/>
        <item m="1" x="5766"/>
        <item m="1" x="5838"/>
        <item m="1" x="975"/>
        <item m="1" x="1461"/>
        <item m="1" x="2166"/>
        <item m="1" x="2220"/>
        <item m="1" x="3106"/>
        <item m="1" x="4221"/>
        <item m="1" x="4316"/>
        <item m="1" x="5508"/>
        <item m="1" x="619"/>
        <item m="1" x="887"/>
        <item m="1" x="1305"/>
        <item m="1" x="1364"/>
        <item m="1" x="2036"/>
        <item m="1" x="2860"/>
        <item m="1" x="2962"/>
        <item m="1" x="4030"/>
        <item m="1" x="5209"/>
        <item m="1" x="2275"/>
        <item m="1" x="3165"/>
        <item m="1" x="4264"/>
        <item m="1" x="4361"/>
        <item m="1" x="5553"/>
        <item m="1" x="435"/>
        <item m="1" x="1402"/>
        <item m="1" x="2082"/>
        <item m="1" x="2908"/>
        <item m="1" x="3001"/>
        <item m="1" x="4076"/>
        <item m="1" x="5257"/>
        <item m="1" x="405"/>
        <item m="1" x="5323"/>
        <item m="1" x="1262"/>
        <item m="1" x="1866"/>
        <item m="1" x="2760"/>
        <item m="1" x="3761"/>
        <item m="1" x="5011"/>
        <item m="1" x="4527"/>
        <item m="1" x="5726"/>
        <item m="1" x="3062"/>
        <item m="1" x="4181"/>
        <item m="1" x="5388"/>
        <item m="1" x="5454"/>
        <item m="1" x="722"/>
        <item m="1" x="1072"/>
        <item m="1" x="1605"/>
        <item m="1" x="5644"/>
        <item m="1" x="1680"/>
        <item m="1" x="2433"/>
        <item m="1" x="3469"/>
        <item m="1" x="4616"/>
        <item m="1" x="649"/>
        <item m="1" x="4139"/>
        <item m="1" x="5340"/>
        <item m="1" x="1488"/>
        <item m="1" x="3166"/>
        <item m="1" x="2793"/>
        <item m="1" x="3855"/>
        <item m="1" x="5026"/>
        <item m="1" x="5092"/>
        <item m="1" x="2706"/>
        <item m="1" x="3703"/>
        <item m="1" x="4878"/>
        <item m="1" x="4964"/>
        <item m="1" x="462"/>
        <item m="1" x="1731"/>
        <item m="1" x="2476"/>
        <item m="1" x="3412"/>
        <item m="1" x="3513"/>
        <item m="1" x="4659"/>
        <item m="1" x="5839"/>
        <item m="1" x="452"/>
        <item m="1" x="5918"/>
        <item m="1" x="763"/>
        <item m="1" x="4528"/>
        <item m="1" x="5727"/>
        <item m="1" x="1767"/>
        <item m="1" x="3549"/>
        <item m="1" x="3063"/>
        <item m="1" x="4182"/>
        <item m="1" x="5389"/>
        <item m="1" x="5455"/>
        <item m="1" x="1991"/>
        <item m="1" x="2832"/>
        <item m="1" x="3901"/>
        <item m="1" x="3976"/>
        <item m="1" x="5172"/>
        <item m="1" x="802"/>
        <item m="1" x="1191"/>
        <item m="1" x="1801"/>
        <item m="1" x="2586"/>
        <item m="1" x="1867"/>
        <item m="1" x="2652"/>
        <item m="1" x="3653"/>
        <item m="1" x="4834"/>
        <item m="1" x="3762"/>
        <item m="1" x="4925"/>
        <item m="1" x="549"/>
        <item m="1" x="723"/>
        <item m="1" x="1073"/>
        <item m="1" x="1606"/>
        <item m="1" x="5645"/>
        <item m="1" x="1123"/>
        <item m="1" x="1681"/>
        <item m="1" x="2434"/>
        <item m="1" x="2524"/>
        <item m="1" x="3470"/>
        <item m="1" x="4617"/>
        <item m="1" x="2707"/>
        <item m="1" x="3704"/>
        <item m="1" x="4879"/>
        <item m="1" x="4965"/>
        <item m="1" x="1154"/>
        <item m="1" x="1732"/>
        <item m="1" x="2477"/>
        <item m="1" x="3413"/>
        <item m="1" x="2555"/>
        <item m="1" x="3514"/>
        <item m="1" x="4660"/>
        <item m="1" x="5840"/>
        <item m="1" x="4741"/>
        <item m="1" x="5919"/>
        <item m="1" x="1033"/>
        <item m="1" x="1542"/>
        <item m="1" x="2321"/>
        <item m="1" x="3236"/>
        <item m="1" x="4420"/>
        <item m="1" x="5589"/>
        <item m="1" x="930"/>
        <item m="1" x="5134"/>
        <item m="1" x="2124"/>
        <item m="1" x="4107"/>
        <item sd="0" m="1" x="3614"/>
        <item m="1" x="4803"/>
        <item m="1" x="5987"/>
        <item m="1" x="6059"/>
        <item sd="0" m="1" x="620"/>
        <item m="1" x="888"/>
        <item m="1" x="1306"/>
        <item m="1" x="1365"/>
        <item m="1" x="2037"/>
        <item m="1" x="2861"/>
        <item sd="0" m="1" x="2963"/>
        <item m="1" x="4031"/>
        <item m="1" x="5210"/>
        <item m="1" x="576"/>
        <item m="1" x="774"/>
        <item m="1" x="4749"/>
        <item m="1" x="5931"/>
        <item m="1" x="1225"/>
        <item m="1" x="1825"/>
        <item m="1" x="2708"/>
        <item m="1" x="3705"/>
        <item m="1" x="2353"/>
        <item m="1" x="3302"/>
        <item m="1" x="4428"/>
        <item m="1" x="5597"/>
        <item m="1" x="4480"/>
        <item m="1" x="5684"/>
        <item m="1" x="2276"/>
        <item m="1" x="3167"/>
        <item m="1" x="4265"/>
        <item m="1" x="4362"/>
        <item m="1" x="5554"/>
        <item m="1" x="436"/>
        <item sd="0" m="1" x="1403"/>
        <item m="1" x="2083"/>
        <item m="1" x="2909"/>
        <item m="1" x="3002"/>
        <item m="1" x="4077"/>
        <item m="1" x="5258"/>
        <item m="1" x="406"/>
        <item m="1" x="5324"/>
        <item m="1" x="3064"/>
        <item m="1" x="4183"/>
        <item m="1" x="5390"/>
        <item m="1" x="5456"/>
        <item m="1" x="1992"/>
        <item m="1" x="2833"/>
        <item m="1" x="3902"/>
        <item sd="0" m="1" x="3977"/>
        <item m="1" x="5173"/>
        <item m="1" x="803"/>
        <item m="1" x="1192"/>
        <item m="1" x="1802"/>
        <item m="1" x="2587"/>
        <item m="1" x="1868"/>
        <item m="1" x="2653"/>
        <item m="1" x="3654"/>
        <item m="1" x="4835"/>
        <item m="1" x="3763"/>
        <item m="1" x="4926"/>
        <item m="1" x="724"/>
        <item m="1" x="1074"/>
        <item m="1" x="1607"/>
        <item m="1" x="5646"/>
        <item m="1" x="1682"/>
        <item m="1" x="2435"/>
        <item m="1" x="3471"/>
        <item m="1" x="4618"/>
        <item m="1" x="650"/>
        <item m="1" x="4140"/>
        <item m="1" x="5341"/>
        <item m="1" x="1489"/>
        <item m="1" x="3168"/>
        <item m="1" x="1404"/>
        <item m="1" x="2084"/>
        <item m="1" x="2910"/>
        <item m="1" x="3003"/>
        <item m="1" x="4078"/>
        <item m="1" x="5259"/>
        <item m="1" x="5325"/>
        <item m="1" x="849"/>
        <item m="1" x="1263"/>
        <item m="1" x="1869"/>
        <item m="1" x="1946"/>
        <item m="1" x="2761"/>
        <item m="1" x="3764"/>
        <item m="1" x="3847"/>
        <item m="1" x="5012"/>
        <item m="1" x="764"/>
        <item m="1" x="4529"/>
        <item m="1" x="5728"/>
        <item m="1" x="1768"/>
        <item m="1" x="3550"/>
        <item sd="0" m="1" x="3065"/>
        <item m="1" x="4184"/>
        <item m="1" x="5391"/>
        <item m="1" x="5457"/>
        <item m="1" x="1993"/>
        <item m="1" x="2834"/>
        <item m="1" x="3903"/>
        <item m="1" x="3978"/>
        <item m="1" x="5174"/>
        <item m="1" x="527"/>
        <item m="1" x="651"/>
        <item m="1" x="4141"/>
        <item m="1" x="5342"/>
        <item m="1" x="1003"/>
        <item m="1" x="1490"/>
        <item m="1" x="2277"/>
        <item m="1" x="3169"/>
        <item m="1" x="504"/>
        <item m="1" x="2794"/>
        <item m="1" x="3856"/>
        <item m="1" x="5027"/>
        <item m="1" x="906"/>
        <item m="1" x="5093"/>
        <item m="1" x="2085"/>
        <item m="1" x="2709"/>
        <item m="1" x="3706"/>
        <item m="1" x="4880"/>
        <item sd="0" m="1" x="4966"/>
        <item m="1" x="1155"/>
        <item m="1" x="1733"/>
        <item m="1" x="2478"/>
        <item m="1" x="3414"/>
        <item m="1" x="2556"/>
        <item m="1" x="3515"/>
        <item m="1" x="4661"/>
        <item m="1" x="5841"/>
        <item m="1" x="4742"/>
        <item m="1" x="5920"/>
        <item m="1" x="1034"/>
        <item m="1" x="1543"/>
        <item m="1" x="2322"/>
        <item m="1" x="3237"/>
        <item m="1" x="4421"/>
        <item m="1" x="5590"/>
        <item m="1" x="1641"/>
        <item m="1" x="2396"/>
        <item m="1" x="3349"/>
        <item m="1" x="4481"/>
        <item m="1" x="3415"/>
        <item m="1" x="4570"/>
        <item m="1" x="5767"/>
        <item m="1" x="5842"/>
        <item m="1" x="976"/>
        <item m="1" x="1462"/>
        <item m="1" x="2167"/>
        <item m="1" x="2221"/>
        <item m="1" x="3107"/>
        <item m="1" x="4222"/>
        <item m="1" x="4317"/>
        <item m="1" x="5509"/>
        <item sd="0" m="1" x="621"/>
        <item m="1" x="889"/>
        <item m="1" x="1307"/>
        <item m="1" x="1366"/>
        <item m="1" x="2038"/>
        <item m="1" x="2862"/>
        <item sd="0" m="1" x="2964"/>
        <item m="1" x="4032"/>
        <item m="1" x="5211"/>
        <item m="1" x="577"/>
        <item m="1" x="775"/>
        <item m="1" x="4750"/>
        <item m="1" x="5932"/>
        <item m="1" x="1226"/>
        <item m="1" x="1826"/>
        <item m="1" x="2710"/>
        <item m="1" x="3707"/>
        <item m="1" x="2354"/>
        <item m="1" x="3303"/>
        <item m="1" x="4429"/>
        <item m="1" x="5598"/>
        <item m="1" x="4482"/>
        <item m="1" x="5685"/>
        <item m="1" x="1264"/>
        <item m="1" x="1870"/>
        <item m="1" x="2762"/>
        <item m="1" x="3765"/>
        <item m="1" x="5013"/>
        <item m="1" x="4530"/>
        <item m="1" x="5729"/>
        <item m="1" x="3066"/>
        <item m="1" x="4185"/>
        <item m="1" x="5392"/>
        <item m="1" x="5458"/>
        <item m="1" x="1994"/>
        <item m="1" x="2835"/>
        <item m="1" x="3904"/>
        <item sd="0" m="1" x="3979"/>
        <item m="1" x="5175"/>
        <item m="1" x="804"/>
        <item m="1" x="1193"/>
        <item m="1" x="1803"/>
        <item m="1" x="2588"/>
        <item m="1" x="1871"/>
        <item m="1" x="2654"/>
        <item m="1" x="3655"/>
        <item m="1" x="4836"/>
        <item m="1" x="3766"/>
        <item m="1" x="4927"/>
        <item sd="0" m="1" x="2795"/>
        <item m="1" x="3857"/>
        <item m="1" x="5028"/>
        <item m="1" x="5094"/>
        <item m="1" x="2711"/>
        <item m="1" x="3708"/>
        <item m="1" x="4881"/>
        <item m="1" x="4967"/>
        <item m="1" x="463"/>
        <item m="1" x="1734"/>
        <item m="1" x="2479"/>
        <item m="1" x="3416"/>
        <item m="1" x="3516"/>
        <item m="1" x="4662"/>
        <item m="1" x="5843"/>
        <item m="1" x="453"/>
        <item m="1" x="5921"/>
        <item m="1" x="1405"/>
        <item m="1" x="2086"/>
        <item m="1" x="2911"/>
        <item m="1" x="3004"/>
        <item m="1" x="4079"/>
        <item m="1" x="5260"/>
        <item m="1" x="5326"/>
        <item m="1" x="850"/>
        <item m="1" x="1265"/>
        <item m="1" x="1872"/>
        <item m="1" x="1947"/>
        <item m="1" x="2763"/>
        <item m="1" x="3767"/>
        <item m="1" x="3848"/>
        <item m="1" x="5014"/>
        <item m="1" x="1995"/>
        <item m="1" x="2836"/>
        <item m="1" x="3905"/>
        <item m="1" x="3980"/>
        <item m="1" x="5176"/>
        <item m="1" x="805"/>
        <item m="1" x="1194"/>
        <item m="1" x="1804"/>
        <item m="1" x="2589"/>
        <item m="1" x="1873"/>
        <item m="1" x="2655"/>
        <item m="1" x="3656"/>
        <item m="1" x="4837"/>
        <item m="1" x="3768"/>
        <item m="1" x="4928"/>
        <item m="1" x="550"/>
        <item m="1" x="725"/>
        <item m="1" x="1075"/>
        <item m="1" x="1608"/>
        <item m="1" x="1124"/>
        <item m="1" x="1683"/>
        <item m="1" x="2436"/>
        <item m="1" x="2525"/>
        <item m="1" x="3472"/>
        <item m="1" x="4619"/>
        <item m="1" x="528"/>
        <item m="1" x="652"/>
        <item m="1" x="4142"/>
        <item m="1" x="5343"/>
        <item m="1" x="1004"/>
        <item m="1" x="1491"/>
        <item m="1" x="2278"/>
        <item m="1" x="3170"/>
        <item m="1" x="505"/>
        <item m="1" x="2796"/>
        <item m="1" x="3858"/>
        <item m="1" x="5029"/>
        <item m="1" x="907"/>
        <item m="1" x="5095"/>
        <item m="1" x="2087"/>
        <item m="1" x="1035"/>
        <item m="1" x="1544"/>
        <item m="1" x="2323"/>
        <item m="1" x="3238"/>
        <item m="1" x="4422"/>
        <item m="1" x="5591"/>
        <item m="1" x="931"/>
        <item m="1" x="5135"/>
        <item m="1" x="2125"/>
        <item m="1" x="4108"/>
        <item sd="0" m="1" x="3615"/>
        <item m="1" x="4804"/>
        <item m="1" x="5988"/>
        <item m="1" x="6060"/>
        <item m="1" x="1642"/>
        <item m="1" x="2397"/>
        <item m="1" x="3350"/>
        <item m="1" x="4483"/>
        <item m="1" x="3417"/>
        <item m="1" x="4571"/>
        <item m="1" x="5768"/>
        <item m="1" x="5844"/>
        <item m="1" x="977"/>
        <item m="1" x="1463"/>
        <item m="1" x="2168"/>
        <item m="1" x="2222"/>
        <item m="1" x="3108"/>
        <item m="1" x="4223"/>
        <item m="1" x="4318"/>
        <item m="1" x="5510"/>
        <item m="1" x="2355"/>
        <item m="1" x="3304"/>
        <item m="1" x="4430"/>
        <item m="1" x="5599"/>
        <item m="1" x="4484"/>
        <item m="1" x="5686"/>
        <item m="1" x="2279"/>
        <item m="1" x="3171"/>
        <item m="1" x="4266"/>
        <item m="1" x="4363"/>
        <item m="1" x="5555"/>
        <item m="1" x="437"/>
        <item sd="0" m="1" x="1406"/>
        <item m="1" x="2088"/>
        <item m="1" x="2912"/>
        <item m="1" x="3005"/>
        <item m="1" x="4080"/>
        <item m="1" x="5261"/>
        <item m="1" x="407"/>
        <item sd="0" m="1" x="5327"/>
        <item m="1" x="1266"/>
        <item m="1" x="1874"/>
        <item m="1" x="2764"/>
        <item m="1" x="3769"/>
        <item m="1" x="5015"/>
        <item m="1" x="4531"/>
        <item m="1" x="5730"/>
        <item m="1" x="806"/>
        <item m="1" x="1195"/>
        <item m="1" x="1805"/>
        <item m="1" x="2590"/>
        <item m="1" x="1875"/>
        <item m="1" x="2656"/>
        <item m="1" x="3657"/>
        <item m="1" x="4838"/>
        <item m="1" x="3770"/>
        <item m="1" x="4929"/>
        <item m="1" x="726"/>
        <item m="1" x="1076"/>
        <item m="1" x="1609"/>
        <item m="1" x="1684"/>
        <item m="1" x="2437"/>
        <item m="1" x="3473"/>
        <item m="1" x="4620"/>
        <item m="1" x="653"/>
        <item m="1" x="4143"/>
        <item m="1" x="5344"/>
        <item m="1" x="1492"/>
        <item m="1" x="3172"/>
        <item sd="0" m="1" x="2797"/>
        <item m="1" x="3859"/>
        <item m="1" x="5030"/>
        <item m="1" x="5096"/>
        <item m="1" x="2712"/>
        <item m="1" x="3709"/>
        <item m="1" x="4882"/>
        <item m="1" x="4968"/>
        <item m="1" x="464"/>
        <item m="1" x="765"/>
        <item m="1" x="4532"/>
        <item m="1" x="5731"/>
        <item m="1" x="1769"/>
        <item m="1" x="3551"/>
        <item sd="0" m="1" x="3067"/>
        <item m="1" x="4186"/>
        <item m="1" x="5393"/>
        <item m="1" x="5459"/>
        <item m="1" x="1996"/>
        <item m="1" x="2837"/>
        <item m="1" x="3906"/>
        <item m="1" x="3981"/>
        <item m="1" x="5177"/>
        <item m="1" x="807"/>
        <item m="1" x="1196"/>
        <item m="1" x="1806"/>
        <item m="1" x="2591"/>
        <item m="1" x="1876"/>
        <item m="1" x="2657"/>
        <item m="1" x="3658"/>
        <item m="1" x="4839"/>
        <item m="1" x="3771"/>
        <item m="1" x="4930"/>
        <item m="1" x="551"/>
        <item m="1" x="727"/>
        <item m="1" x="1077"/>
        <item m="1" x="1610"/>
        <item sd="0" m="1" x="5647"/>
        <item m="1" x="1125"/>
        <item m="1" x="1685"/>
        <item m="1" x="2438"/>
        <item m="1" x="2526"/>
        <item m="1" x="3474"/>
        <item m="1" x="4621"/>
        <item m="1" x="2713"/>
        <item m="1" x="3710"/>
        <item m="1" x="4883"/>
        <item sd="0" m="1" x="4969"/>
        <item m="1" x="1156"/>
        <item m="1" x="1735"/>
        <item m="1" x="2480"/>
        <item m="1" x="3418"/>
        <item m="1" x="2557"/>
        <item m="1" x="3517"/>
        <item m="1" x="4663"/>
        <item m="1" x="5845"/>
        <item m="1" x="4743"/>
        <item m="1" x="5922"/>
        <item m="1" x="1036"/>
        <item m="1" x="1545"/>
        <item m="1" x="2324"/>
        <item m="1" x="3239"/>
        <item m="1" x="4423"/>
        <item m="1" x="5592"/>
        <item m="1" x="932"/>
        <item m="1" x="5136"/>
        <item m="1" x="2126"/>
        <item m="1" x="4109"/>
        <item sd="0" m="1" x="3616"/>
        <item m="1" x="4805"/>
        <item m="1" x="5989"/>
        <item m="1" x="6061"/>
        <item sd="0" m="1" x="622"/>
        <item m="1" x="890"/>
        <item m="1" x="1308"/>
        <item m="1" x="1367"/>
        <item m="1" x="2039"/>
        <item m="1" x="2863"/>
        <item sd="0" m="1" x="2965"/>
        <item m="1" x="4033"/>
        <item m="1" x="5212"/>
        <item m="1" x="578"/>
        <item m="1" x="776"/>
        <item m="1" x="4751"/>
        <item m="1" x="5933"/>
        <item m="1" x="1227"/>
        <item m="1" x="1827"/>
        <item m="1" x="2714"/>
        <item m="1" x="3711"/>
        <item m="1" x="2356"/>
        <item m="1" x="3305"/>
        <item m="1" x="4431"/>
        <item m="1" x="5600"/>
        <item m="1" x="4485"/>
        <item m="1" x="5687"/>
        <item m="1" x="2280"/>
        <item m="1" x="3173"/>
        <item m="1" x="4267"/>
        <item m="1" x="4364"/>
        <item m="1" x="5556"/>
        <item m="1" x="438"/>
        <item sd="0" m="1" x="1407"/>
        <item m="1" x="2089"/>
        <item m="1" x="2913"/>
        <item m="1" x="3006"/>
        <item m="1" x="4081"/>
        <item m="1" x="5262"/>
        <item m="1" x="408"/>
        <item m="1" x="5328"/>
        <item m="1" x="3068"/>
        <item m="1" x="4187"/>
        <item m="1" x="5394"/>
        <item m="1" x="5460"/>
        <item m="1" x="1997"/>
        <item m="1" x="2838"/>
        <item m="1" x="3907"/>
        <item sd="0" m="1" x="3982"/>
        <item m="1" x="5178"/>
        <item m="1" x="808"/>
        <item m="1" x="1197"/>
        <item m="1" x="1807"/>
        <item m="1" x="2592"/>
        <item m="1" x="1877"/>
        <item m="1" x="2658"/>
        <item m="1" x="3659"/>
        <item m="1" x="4840"/>
        <item m="1" x="3772"/>
        <item m="1" x="4931"/>
        <item m="1" x="728"/>
        <item m="1" x="1078"/>
        <item m="1" x="1611"/>
        <item sd="0" m="1" x="5648"/>
        <item m="1" x="1686"/>
        <item m="1" x="2439"/>
        <item m="1" x="3475"/>
        <item m="1" x="4622"/>
        <item m="1" x="654"/>
        <item m="1" x="4144"/>
        <item m="1" x="5345"/>
        <item m="1" x="1493"/>
        <item m="1" x="3174"/>
        <item m="1" x="1736"/>
        <item m="1" x="2481"/>
        <item m="1" x="3419"/>
        <item m="1" x="3518"/>
        <item m="1" x="4664"/>
        <item m="1" x="5846"/>
        <item m="1" x="454"/>
        <item m="1" x="5923"/>
        <item m="1" x="1408"/>
        <item m="1" x="2090"/>
        <item m="1" x="2914"/>
        <item m="1" x="3007"/>
        <item m="1" x="4082"/>
        <item m="1" x="5263"/>
        <item m="1" x="5329"/>
        <item m="1" x="851"/>
        <item m="1" x="1267"/>
        <item m="1" x="1878"/>
        <item m="1" x="1948"/>
        <item m="1" x="2765"/>
        <item m="1" x="3773"/>
        <item m="1" x="3849"/>
        <item m="1" x="5016"/>
        <item m="1" x="766"/>
        <item m="1" x="4533"/>
        <item m="1" x="5732"/>
        <item m="1" x="1770"/>
        <item m="1" x="3552"/>
        <item sd="0" m="1" x="3069"/>
        <item m="1" x="4188"/>
        <item m="1" x="5395"/>
        <item m="1" x="5461"/>
        <item m="1" x="552"/>
        <item m="1" x="729"/>
        <item m="1" x="1079"/>
        <item m="1" x="1612"/>
        <item sd="0" m="1" x="5649"/>
        <item m="1" x="1126"/>
        <item m="1" x="1687"/>
        <item m="1" x="2440"/>
        <item m="1" x="2527"/>
        <item m="1" x="3476"/>
        <item m="1" x="4623"/>
        <item m="1" x="529"/>
        <item m="1" x="655"/>
        <item m="1" x="4145"/>
        <item m="1" x="5346"/>
        <item m="1" x="1005"/>
        <item m="1" x="1494"/>
        <item m="1" x="2281"/>
        <item m="1" x="3175"/>
        <item m="1" x="506"/>
        <item m="1" x="2798"/>
        <item m="1" x="3860"/>
        <item m="1" x="5031"/>
        <item m="1" x="908"/>
        <item m="1" x="5097"/>
        <item m="1" x="2091"/>
        <item m="1" x="2715"/>
        <item m="1" x="3712"/>
        <item m="1" x="4884"/>
        <item sd="0" m="1" x="4970"/>
        <item m="1" x="1157"/>
        <item m="1" x="1737"/>
        <item m="1" x="2482"/>
        <item m="1" x="3420"/>
        <item m="1" x="2558"/>
        <item m="1" x="3519"/>
        <item m="1" x="4665"/>
        <item m="1" x="5847"/>
        <item m="1" x="4744"/>
        <item m="1" x="5924"/>
        <item sd="0" m="1" x="3617"/>
        <item m="1" x="4806"/>
        <item m="1" x="5990"/>
        <item m="1" x="1643"/>
        <item m="1" x="2398"/>
        <item m="1" x="3351"/>
        <item m="1" x="4486"/>
        <item m="1" x="3421"/>
        <item m="1" x="4572"/>
        <item m="1" x="5769"/>
        <item m="1" x="5848"/>
        <item m="1" x="978"/>
        <item m="1" x="1464"/>
        <item m="1" x="2169"/>
        <item m="1" x="2223"/>
        <item m="1" x="3109"/>
        <item m="1" x="4224"/>
        <item m="1" x="4319"/>
        <item m="1" x="5511"/>
        <item sd="0" m="1" x="623"/>
        <item m="1" x="891"/>
        <item m="1" x="1309"/>
        <item m="1" x="1368"/>
        <item m="1" x="2040"/>
        <item m="1" x="2864"/>
        <item sd="0" m="1" x="2966"/>
        <item m="1" x="4034"/>
        <item m="1" x="5213"/>
        <item m="1" x="579"/>
        <item m="1" x="777"/>
        <item m="1" x="4752"/>
        <item m="1" x="5934"/>
        <item m="1" x="1228"/>
        <item m="1" x="1828"/>
        <item m="1" x="2716"/>
        <item m="1" x="3713"/>
        <item sd="0" m="1" x="1409"/>
        <item m="1" x="2092"/>
        <item m="1" x="2915"/>
        <item m="1" x="3008"/>
        <item m="1" x="4083"/>
        <item m="1" x="5264"/>
        <item m="1" x="409"/>
        <item sd="0" m="1" x="5330"/>
        <item m="1" x="1268"/>
        <item m="1" x="1879"/>
        <item m="1" x="2766"/>
        <item m="1" x="3774"/>
        <item m="1" x="5017"/>
        <item m="1" x="4534"/>
        <item m="1" x="5733"/>
        <item m="1" x="3070"/>
        <item m="1" x="4189"/>
        <item m="1" x="5396"/>
        <item m="1" x="5462"/>
        <item m="1" x="1998"/>
        <item m="1" x="2839"/>
        <item m="1" x="3908"/>
        <item sd="0" m="1" x="3983"/>
        <item m="1" x="5179"/>
        <item m="1" x="656"/>
        <item m="1" x="4146"/>
        <item m="1" x="5347"/>
        <item m="1" x="1495"/>
        <item m="1" x="3176"/>
        <item sd="0" m="1" x="2799"/>
        <item m="1" x="3861"/>
        <item m="1" x="5032"/>
        <item m="1" x="5098"/>
        <item m="1" x="2717"/>
        <item m="1" x="3714"/>
        <item m="1" x="4885"/>
        <item m="1" x="4971"/>
        <item m="1" x="465"/>
        <item m="1" x="1738"/>
        <item m="1" x="2483"/>
        <item m="1" x="3422"/>
        <item m="1" x="3520"/>
        <item m="1" x="4666"/>
        <item m="1" x="5849"/>
        <item m="1" x="455"/>
        <item m="1" x="5925"/>
        <item m="1" x="1410"/>
        <item m="1" x="2093"/>
        <item m="1" x="2916"/>
        <item m="1" x="3009"/>
        <item m="1" x="4084"/>
        <item m="1" x="5265"/>
        <item m="1" x="5331"/>
        <item sd="0" m="1" x="3071"/>
        <item m="1" x="4190"/>
        <item m="1" x="5397"/>
        <item m="1" x="5463"/>
        <item m="1" x="1999"/>
        <item m="1" x="2840"/>
        <item m="1" x="3909"/>
        <item m="1" x="3984"/>
        <item m="1" x="5180"/>
        <item m="1" x="809"/>
        <item m="1" x="1198"/>
        <item m="1" x="1808"/>
        <item m="1" x="2593"/>
        <item m="1" x="1880"/>
        <item m="1" x="2659"/>
        <item m="1" x="3660"/>
        <item m="1" x="4841"/>
        <item m="1" x="3775"/>
        <item m="1" x="4932"/>
        <item m="1" x="553"/>
        <item m="1" x="730"/>
        <item m="1" x="1080"/>
        <item m="1" x="1613"/>
        <item sd="0" m="1" x="5650"/>
        <item m="1" x="1127"/>
        <item m="1" x="1688"/>
        <item m="1" x="2441"/>
        <item m="1" x="2528"/>
        <item m="1" x="3477"/>
        <item m="1" x="4624"/>
        <item m="1" x="530"/>
        <item m="1" x="657"/>
        <item m="1" x="4147"/>
        <item m="1" x="5348"/>
        <item m="1" x="1006"/>
        <item m="1" x="1496"/>
        <item m="1" x="2282"/>
        <item m="1" x="3177"/>
        <item m="1" x="1158"/>
        <item m="1" x="1739"/>
        <item m="1" x="2484"/>
        <item m="1" x="3423"/>
        <item m="1" x="2559"/>
        <item m="1" x="3521"/>
        <item m="1" x="4667"/>
        <item m="1" x="5850"/>
        <item m="1" x="4745"/>
        <item m="1" x="5926"/>
        <item m="1" x="1037"/>
        <item m="1" x="1546"/>
        <item m="1" x="2325"/>
        <item m="1" x="3240"/>
        <item m="1" x="4424"/>
        <item m="1" x="5593"/>
        <item m="1" x="933"/>
        <item m="1" x="5137"/>
        <item m="1" x="2127"/>
        <item m="1" x="4110"/>
        <item sd="0" m="1" x="3618"/>
        <item m="1" x="4807"/>
        <item m="1" x="5991"/>
        <item m="1" x="1644"/>
        <item m="1" x="2399"/>
        <item m="1" x="3352"/>
        <item m="1" x="4487"/>
        <item m="1" x="3424"/>
        <item m="1" x="4573"/>
        <item m="1" x="5770"/>
        <item m="1" x="5851"/>
        <item m="1" x="580"/>
        <item m="1" x="778"/>
        <item m="1" x="4753"/>
        <item m="1" x="5935"/>
        <item m="1" x="1229"/>
        <item m="1" x="1829"/>
        <item m="1" x="2718"/>
        <item m="1" x="3715"/>
        <item m="1" x="2357"/>
        <item m="1" x="3306"/>
        <item m="1" x="4432"/>
        <item m="1" x="5601"/>
        <item m="1" x="4488"/>
        <item m="1" x="5688"/>
        <item m="1" x="2283"/>
        <item m="1" x="3178"/>
        <item m="1" x="4268"/>
        <item m="1" x="4365"/>
        <item m="1" x="5557"/>
        <item m="1" x="439"/>
        <item sd="0" m="1" x="1411"/>
        <item m="1" x="2094"/>
        <item m="1" x="2917"/>
        <item m="1" x="3010"/>
        <item m="1" x="4085"/>
        <item m="1" x="5266"/>
        <item m="1" x="410"/>
        <item sd="0" m="1" x="5332"/>
        <item m="1" x="1269"/>
        <item m="1" x="1881"/>
        <item m="1" x="2767"/>
        <item m="1" x="3776"/>
        <item m="1" x="5018"/>
        <item m="1" x="2000"/>
        <item m="1" x="2841"/>
        <item m="1" x="3910"/>
        <item sd="0" m="1" x="3985"/>
        <item m="1" x="5181"/>
        <item m="1" x="810"/>
        <item m="1" x="1199"/>
        <item m="1" x="1809"/>
        <item m="1" x="2594"/>
        <item m="1" x="1882"/>
        <item m="1" x="2660"/>
        <item m="1" x="3661"/>
        <item m="1" x="4842"/>
        <item m="1" x="3777"/>
        <item m="1" x="4933"/>
        <item m="1" x="731"/>
        <item m="1" x="1081"/>
        <item m="1" x="1614"/>
        <item sd="0" m="1" x="5651"/>
        <item m="1" x="1689"/>
        <item m="1" x="2442"/>
        <item m="1" x="3478"/>
        <item m="1" x="4625"/>
        <item m="1" x="658"/>
        <item m="1" x="4148"/>
        <item m="1" x="5349"/>
        <item m="1" x="1497"/>
        <item m="1" x="3179"/>
        <item sd="0" m="1" x="2800"/>
        <item m="1" x="3862"/>
        <item m="1" x="5033"/>
        <item m="1" x="5099"/>
        <item m="1" x="852"/>
        <item m="1" x="1270"/>
        <item m="1" x="6023"/>
        <item m="1" x="1949"/>
        <item m="1" x="2768"/>
        <item m="1" x="3850"/>
        <item m="1" x="5019"/>
        <item m="1" x="767"/>
        <item m="1" x="4535"/>
        <item m="1" x="5734"/>
        <item m="1" x="1771"/>
        <item m="1" x="3553"/>
        <item sd="0" m="1" x="2186"/>
        <item m="1" x="3072"/>
        <item m="1" x="4191"/>
        <item m="1" x="5398"/>
        <item m="1" x="4269"/>
        <item m="1" x="5464"/>
        <item m="1" x="1329"/>
        <item m="1" x="2001"/>
        <item m="1" x="2842"/>
        <item sd="0" m="1" x="2918"/>
        <item m="1" x="3986"/>
        <item m="1" x="5182"/>
        <item m="1" x="5267"/>
        <item m="1" x="811"/>
        <item m="1" x="1200"/>
        <item m="1" x="1810"/>
        <item m="1" x="1883"/>
        <item m="1" x="2661"/>
        <item m="1" x="3662"/>
        <item m="1" x="3778"/>
        <item m="1" x="4934"/>
        <item m="1" x="1960"/>
        <item m="1" x="2801"/>
        <item m="1" x="3863"/>
        <item m="1" x="5034"/>
        <item m="1" x="3911"/>
        <item m="1" x="5100"/>
        <item m="1" x="1919"/>
        <item m="1" x="2719"/>
        <item m="1" x="3716"/>
        <item m="1" x="3811"/>
        <item m="1" x="4972"/>
        <item m="1" x="1159"/>
        <item m="1" x="1740"/>
        <item m="1" x="2485"/>
        <item m="1" x="2560"/>
        <item m="1" x="3522"/>
        <item m="1" x="4668"/>
        <item m="1" x="4746"/>
        <item m="1" x="5927"/>
        <item m="1" x="1038"/>
        <item m="1" x="1547"/>
        <item m="1" x="2326"/>
        <item m="1" x="3241"/>
        <item m="1" x="4425"/>
        <item m="1" x="5594"/>
        <item sd="0" m="1" x="3942"/>
        <item m="1" x="5138"/>
        <item sd="0" m="1" x="684"/>
        <item m="1" x="979"/>
        <item m="1" x="1465"/>
        <item m="1" x="2170"/>
        <item m="1" x="1548"/>
        <item m="1" x="2224"/>
        <item m="1" x="3110"/>
        <item m="1" x="4225"/>
        <item sd="0" m="1" x="3242"/>
        <item m="1" x="4320"/>
        <item m="1" x="5512"/>
        <item m="1" x="624"/>
        <item m="1" x="892"/>
        <item m="1" x="5069"/>
        <item m="1" x="1369"/>
        <item m="1" x="2041"/>
        <item m="1" x="2967"/>
        <item m="1" x="4035"/>
        <item m="1" x="581"/>
        <item m="1" x="3576"/>
        <item m="1" x="4754"/>
        <item m="1" x="5936"/>
        <item m="1" x="1230"/>
        <item m="1" x="5992"/>
        <item m="1" x="2720"/>
        <item m="1" x="2358"/>
        <item m="1" x="3307"/>
        <item m="1" x="4433"/>
        <item m="1" x="4489"/>
        <item m="1" x="5689"/>
        <item sd="0" m="1" x="1570"/>
        <item m="1" x="2284"/>
        <item m="1" x="3180"/>
        <item m="1" x="4270"/>
        <item m="1" x="3267"/>
        <item m="1" x="4366"/>
        <item m="1" x="5558"/>
        <item m="1" x="440"/>
        <item m="1" x="5635"/>
        <item m="1" x="4536"/>
        <item m="1" x="5735"/>
        <item sd="0" m="1" x="2187"/>
        <item m="1" x="3073"/>
        <item m="1" x="4192"/>
        <item m="1" x="5399"/>
        <item sd="0" m="1" x="4271"/>
        <item m="1" x="5465"/>
        <item m="1" x="1330"/>
        <item m="1" x="2002"/>
        <item m="1" x="2843"/>
        <item m="1" x="2919"/>
        <item m="1" x="3987"/>
        <item m="1" x="5183"/>
        <item m="1" x="5268"/>
        <item m="1" x="812"/>
        <item m="1" x="1201"/>
        <item m="1" x="1811"/>
        <item m="1" x="1884"/>
        <item m="1" x="2662"/>
        <item m="1" x="3663"/>
        <item m="1" x="3779"/>
        <item m="1" x="4935"/>
        <item m="1" x="732"/>
        <item m="1" x="1082"/>
        <item m="1" x="5652"/>
        <item m="1" x="1690"/>
        <item m="1" x="2443"/>
        <item m="1" x="3479"/>
        <item m="1" x="4626"/>
        <item sd="0" m="1" x="1920"/>
        <item m="1" x="2721"/>
        <item m="1" x="3717"/>
        <item m="1" x="3812"/>
        <item m="1" x="4973"/>
        <item m="1" x="466"/>
        <item m="1" x="1741"/>
        <item m="1" x="2486"/>
        <item m="1" x="3523"/>
        <item m="1" x="4669"/>
        <item m="1" x="5928"/>
        <item sd="0" m="1" x="948"/>
        <item m="1" x="1412"/>
        <item m="1" x="2095"/>
        <item m="1" x="2142"/>
        <item m="1" x="3011"/>
        <item m="1" x="4086"/>
        <item sd="0" m="1" x="4134"/>
        <item m="1" x="5333"/>
        <item m="1" x="853"/>
        <item m="1" x="1271"/>
        <item m="1" x="6024"/>
        <item m="1" x="1950"/>
        <item m="1" x="2769"/>
        <item m="1" x="3851"/>
        <item m="1" x="5020"/>
        <item m="1" x="768"/>
        <item m="1" x="4537"/>
        <item m="1" x="5736"/>
        <item m="1" x="1772"/>
        <item m="1" x="3554"/>
        <item m="1" x="813"/>
        <item m="1" x="1202"/>
        <item m="1" x="1812"/>
        <item m="1" x="1885"/>
        <item m="1" x="2663"/>
        <item m="1" x="3664"/>
        <item m="1" x="3780"/>
        <item m="1" x="4936"/>
        <item m="1" x="554"/>
        <item m="1" x="733"/>
        <item m="1" x="1083"/>
        <item m="1" x="5653"/>
        <item m="1" x="1128"/>
        <item m="1" x="1691"/>
        <item m="1" x="2444"/>
        <item m="1" x="2529"/>
        <item m="1" x="3480"/>
        <item m="1" x="4627"/>
        <item m="1" x="531"/>
        <item m="1" x="659"/>
        <item sd="0" m="1" x="3030"/>
        <item m="1" x="4149"/>
        <item m="1" x="5350"/>
        <item m="1" x="1007"/>
        <item m="1" x="5400"/>
        <item m="1" x="2285"/>
        <item m="1" x="1961"/>
        <item m="1" x="2802"/>
        <item m="1" x="3864"/>
        <item m="1" x="5035"/>
        <item m="1" x="3912"/>
        <item m="1" x="5101"/>
        <item m="1" x="1921"/>
        <item m="1" x="2722"/>
        <item m="1" x="3718"/>
        <item m="1" x="3813"/>
        <item m="1" x="4974"/>
        <item sd="0" m="1" x="3943"/>
        <item m="1" x="5139"/>
        <item m="1" x="2618"/>
        <item m="1" x="3619"/>
        <item m="1" x="4808"/>
        <item m="1" x="4886"/>
        <item m="1" x="1645"/>
        <item m="1" x="2400"/>
        <item m="1" x="3353"/>
        <item m="1" x="3425"/>
        <item m="1" x="4574"/>
        <item m="1" x="5771"/>
        <item m="1" x="5852"/>
        <item sd="0" m="1" x="685"/>
        <item m="1" x="980"/>
        <item m="1" x="1466"/>
        <item m="1" x="2171"/>
        <item m="1" x="1549"/>
        <item m="1" x="2225"/>
        <item m="1" x="3111"/>
        <item m="1" x="4226"/>
        <item sd="0" m="1" x="3243"/>
        <item m="1" x="4321"/>
        <item m="1" x="5513"/>
        <item m="1" x="625"/>
        <item m="1" x="893"/>
        <item m="1" x="5070"/>
        <item m="1" x="1370"/>
        <item m="1" x="2042"/>
        <item m="1" x="2968"/>
        <item m="1" x="4036"/>
        <item sd="0" m="1" x="1571"/>
        <item m="1" x="2286"/>
        <item m="1" x="3181"/>
        <item m="1" x="4272"/>
        <item m="1" x="3268"/>
        <item m="1" x="4367"/>
        <item m="1" x="5559"/>
        <item m="1" x="441"/>
        <item sd="0" m="1" x="5636"/>
        <item m="1" x="1413"/>
        <item m="1" x="2096"/>
        <item m="1" x="3012"/>
        <item m="1" x="4087"/>
        <item m="1" x="411"/>
        <item m="1" x="5334"/>
        <item m="1" x="1272"/>
        <item m="1" x="6025"/>
        <item m="1" x="2770"/>
        <item m="1" x="5021"/>
        <item m="1" x="4538"/>
        <item m="1" x="5737"/>
        <item sd="0" m="1" x="2188"/>
        <item m="1" x="3074"/>
        <item m="1" x="4193"/>
        <item m="1" x="5401"/>
        <item sd="0" m="1" x="4273"/>
        <item m="1" x="5466"/>
        <item m="1" x="734"/>
        <item m="1" x="1084"/>
        <item m="1" x="5654"/>
        <item m="1" x="1692"/>
        <item m="1" x="2445"/>
        <item m="1" x="3481"/>
        <item m="1" x="4628"/>
        <item m="1" x="660"/>
        <item sd="0" m="1" x="3031"/>
        <item m="1" x="4150"/>
        <item m="1" x="5351"/>
        <item m="1" x="5402"/>
        <item m="1" x="6278"/>
        <item m="1" x="6762"/>
        <item m="1" x="7185"/>
        <item m="1" x="7513"/>
        <item m="1" x="7763"/>
        <item m="1" x="3182"/>
        <item m="1" x="4274"/>
        <item m="1" x="5467"/>
        <item m="1" x="6313"/>
        <item m="1" x="592"/>
        <item m="1" x="860"/>
        <item m="1" x="1283"/>
        <item m="1" x="1962"/>
        <item m="1" x="2803"/>
        <item m="1" x="3865"/>
        <item m="1" x="5036"/>
        <item m="1" x="6120"/>
        <item m="1" x="6617"/>
        <item m="1" x="7056"/>
        <item m="1" x="1331"/>
        <item m="1" x="2003"/>
        <item m="1" x="2844"/>
        <item m="1" x="3913"/>
        <item m="1" x="5102"/>
        <item m="1" x="6149"/>
        <item m="1" x="6646"/>
        <item m="1" x="7085"/>
        <item m="1" x="7437"/>
        <item m="1" x="7707"/>
        <item m="1" x="2920"/>
        <item m="1" x="3988"/>
        <item m="1" x="5184"/>
        <item m="1" x="6183"/>
        <item sd="0" m="1" x="1922"/>
        <item m="1" x="2723"/>
        <item m="1" x="3719"/>
        <item m="1" x="4887"/>
        <item m="1" x="6062"/>
        <item m="1" x="6567"/>
        <item m="1" x="7021"/>
        <item m="1" x="7397"/>
        <item m="1" x="7678"/>
        <item m="1" x="7871"/>
        <item m="1" x="3814"/>
        <item m="1" x="4975"/>
        <item m="1" x="6103"/>
        <item m="1" x="6600"/>
        <item m="1" x="7045"/>
        <item m="1" x="7420"/>
        <item m="1" x="7701"/>
        <item m="1" x="7894"/>
        <item m="1" x="7996"/>
        <item m="1" x="467"/>
        <item sd="0" m="1" x="6134"/>
        <item m="1" x="6631"/>
        <item m="1" x="7070"/>
        <item m="1" x="7426"/>
        <item sd="0" m="1" x="949"/>
        <item m="1" x="1414"/>
        <item m="1" x="2097"/>
        <item m="1" x="2921"/>
        <item m="1" x="3989"/>
        <item m="1" x="5185"/>
        <item m="1" x="6184"/>
        <item m="1" x="6680"/>
        <item m="1" x="7119"/>
        <item m="1" x="7470"/>
        <item m="1" x="2143"/>
        <item m="1" x="3013"/>
        <item m="1" x="4088"/>
        <item m="1" x="5269"/>
        <item m="1" x="6225"/>
        <item m="1" x="6710"/>
        <item m="1" x="7145"/>
        <item m="1" x="7496"/>
        <item m="1" x="7754"/>
        <item m="1" x="7922"/>
        <item m="1" x="4135"/>
        <item m="1" x="5335"/>
        <item m="1" x="6251"/>
        <item m="1" x="6735"/>
        <item m="1" x="691"/>
        <item m="1" x="1008"/>
        <item m="1" x="1498"/>
        <item sd="0" m="1" x="2189"/>
        <item m="1" x="3075"/>
        <item m="1" x="4194"/>
        <item m="1" x="5403"/>
        <item m="1" x="6279"/>
        <item m="1" x="6763"/>
        <item m="1" x="7186"/>
        <item m="1" x="1572"/>
        <item m="1" x="2287"/>
        <item m="1" x="3183"/>
        <item m="1" x="4275"/>
        <item m="1" x="5468"/>
        <item m="1" x="6314"/>
        <item m="1" x="6797"/>
        <item m="1" x="7220"/>
        <item m="1" x="7548"/>
        <item m="1" x="7786"/>
        <item m="1" x="3269"/>
        <item m="1" x="4368"/>
        <item m="1" x="5560"/>
        <item m="1" x="6358"/>
        <item m="1" x="631"/>
        <item m="1" x="909"/>
        <item m="1" x="1332"/>
        <item m="1" x="2004"/>
        <item m="1" x="2845"/>
        <item m="1" x="3914"/>
        <item m="1" x="5103"/>
        <item m="1" x="6150"/>
        <item m="1" x="6647"/>
        <item sd="0" m="1" x="7086"/>
        <item m="1" x="1415"/>
        <item m="1" x="2098"/>
        <item sd="0" m="1" x="2922"/>
        <item m="1" x="3990"/>
        <item m="1" x="5186"/>
        <item m="1" x="6185"/>
        <item m="1" x="6681"/>
        <item m="1" x="7120"/>
        <item m="1" x="7471"/>
        <item m="1" x="7729"/>
        <item m="1" x="3014"/>
        <item m="1" x="4089"/>
        <item m="1" x="5270"/>
        <item m="1" x="6226"/>
        <item m="1" x="591"/>
        <item m="1" x="814"/>
        <item m="1" x="1203"/>
        <item m="1" x="1813"/>
        <item m="1" x="2595"/>
        <item m="1" x="3588"/>
        <item m="1" x="4770"/>
        <item m="1" x="5956"/>
        <item sd="0" m="1" x="6525"/>
        <item m="1" x="6979"/>
        <item m="1" x="1273"/>
        <item m="1" x="1886"/>
        <item m="1" x="2664"/>
        <item m="1" x="3665"/>
        <item m="1" x="4843"/>
        <item m="1" x="6026"/>
        <item m="1" x="6552"/>
        <item m="1" x="7006"/>
        <item m="1" x="7382"/>
        <item m="1" x="7663"/>
        <item m="1" x="2771"/>
        <item m="1" x="3781"/>
        <item m="1" x="4937"/>
        <item m="1" x="6088"/>
        <item m="1" x="555"/>
        <item m="1" x="735"/>
        <item m="1" x="1085"/>
        <item m="1" x="1615"/>
        <item m="1" x="2370"/>
        <item m="1" x="3319"/>
        <item m="1" x="4453"/>
        <item m="1" x="5655"/>
        <item m="1" x="6396"/>
        <item m="1" x="6866"/>
        <item m="1" x="1129"/>
        <item m="1" x="1693"/>
        <item m="1" x="2446"/>
        <item m="1" x="3379"/>
        <item m="1" x="4539"/>
        <item m="1" x="5738"/>
        <item m="1" x="6433"/>
        <item m="1" x="6903"/>
        <item m="1" x="7301"/>
        <item m="1" x="7603"/>
        <item m="1" x="2530"/>
        <item m="1" x="3482"/>
        <item m="1" x="4629"/>
        <item m="1" x="5806"/>
        <item m="1" x="532"/>
        <item m="1" x="661"/>
        <item m="1" x="950"/>
        <item m="1" x="1436"/>
        <item m="1" x="2144"/>
        <item sd="0" m="1" x="3032"/>
        <item m="1" x="4151"/>
        <item m="1" x="5352"/>
        <item m="1" x="6253"/>
        <item m="1" x="6737"/>
        <item m="1" x="1009"/>
        <item m="1" x="1499"/>
        <item m="1" x="2190"/>
        <item m="1" x="3076"/>
        <item m="1" x="4195"/>
        <item m="1" x="5404"/>
        <item m="1" x="6280"/>
        <item m="1" x="6764"/>
        <item m="1" x="7187"/>
        <item m="1" x="7514"/>
        <item m="1" x="2288"/>
        <item m="1" x="3184"/>
        <item m="1" x="4276"/>
        <item m="1" x="5469"/>
        <item sd="0" m="1" x="1160"/>
        <item m="1" x="1742"/>
        <item m="1" x="2487"/>
        <item m="1" x="3426"/>
        <item m="1" x="4575"/>
        <item m="1" x="5772"/>
        <item m="1" x="6444"/>
        <item m="1" x="6914"/>
        <item m="1" x="7312"/>
        <item m="1" x="7614"/>
        <item m="1" x="2561"/>
        <item m="1" x="3524"/>
        <item m="1" x="4670"/>
        <item m="1" x="5853"/>
        <item m="1" x="6479"/>
        <item m="1" x="6940"/>
        <item m="1" x="7338"/>
        <item m="1" x="7640"/>
        <item m="1" x="7851"/>
        <item m="1" x="7976"/>
        <item sd="0" m="1" x="4747"/>
        <item m="1" x="5929"/>
        <item m="1" x="6505"/>
        <item m="1" x="6959"/>
        <item m="1" x="1039"/>
        <item m="1" x="1550"/>
        <item m="1" x="2226"/>
        <item m="1" x="3112"/>
        <item m="1" x="4227"/>
        <item m="1" x="5419"/>
        <item m="1" x="6291"/>
        <item m="1" x="6775"/>
        <item m="1" x="7198"/>
        <item m="1" x="7525"/>
        <item m="1" x="2327"/>
        <item m="1" x="3244"/>
        <item m="1" x="4322"/>
        <item m="1" x="5514"/>
        <item m="1" x="6335"/>
        <item m="1" x="6811"/>
        <item sd="0" m="1" x="7234"/>
        <item m="1" x="7562"/>
        <item m="1" x="7800"/>
        <item m="1" x="7945"/>
        <item m="1" x="4426"/>
        <item m="1" x="5595"/>
        <item m="1" x="6372"/>
        <item m="1" x="6842"/>
        <item m="1" x="934"/>
        <item m="1" x="1371"/>
        <item m="1" x="2043"/>
        <item m="1" x="2865"/>
        <item sd="0" m="1" x="3944"/>
        <item m="1" x="5140"/>
        <item m="1" x="6163"/>
        <item m="1" x="6660"/>
        <item m="1" x="7099"/>
        <item m="1" x="7450"/>
        <item m="1" x="2128"/>
        <item m="1" x="2969"/>
        <item m="1" x="4037"/>
        <item m="1" x="5214"/>
        <item m="1" x="6206"/>
        <item m="1" x="6695"/>
        <item m="1" x="7134"/>
        <item m="1" x="7485"/>
        <item m="1" x="7743"/>
        <item m="1" x="7911"/>
        <item m="1" x="4111"/>
        <item m="1" x="5287"/>
        <item m="1" x="6240"/>
        <item m="1" x="6724"/>
        <item m="1" x="832"/>
        <item m="1" x="1231"/>
        <item m="1" x="1830"/>
        <item m="1" x="2619"/>
        <item m="1" x="3620"/>
        <item m="1" x="4809"/>
        <item m="1" x="5993"/>
        <item m="1" x="6532"/>
        <item m="1" x="6986"/>
        <item m="1" x="7362"/>
        <item m="1" x="1923"/>
        <item m="1" x="2724"/>
        <item m="1" x="3720"/>
        <item m="1" x="4888"/>
        <item m="1" x="6063"/>
        <item m="1" x="6568"/>
        <item m="1" x="7022"/>
        <item m="1" x="7398"/>
        <item m="1" x="7679"/>
        <item m="1" x="7872"/>
        <item m="1" x="3815"/>
        <item m="1" x="4976"/>
        <item m="1" x="6104"/>
        <item m="1" x="6601"/>
        <item m="1" x="747"/>
        <item m="1" x="1095"/>
        <item m="1" x="1646"/>
        <item m="1" x="2401"/>
        <item m="1" x="3354"/>
        <item m="1" x="4490"/>
        <item m="1" x="5690"/>
        <item m="1" x="6410"/>
        <item m="1" x="6880"/>
        <item m="1" x="7278"/>
        <item m="1" x="1743"/>
        <item m="1" x="2488"/>
        <item sd="0" m="1" x="3427"/>
        <item m="1" x="4576"/>
        <item m="1" x="5773"/>
        <item m="1" x="6445"/>
        <item m="1" x="6915"/>
        <item m="1" x="7313"/>
        <item m="1" x="7615"/>
        <item m="1" x="7830"/>
        <item m="1" x="3525"/>
        <item m="1" x="4671"/>
        <item m="1" x="5854"/>
        <item m="1" x="6480"/>
        <item m="1" x="582"/>
        <item m="1" x="779"/>
        <item m="1" x="1168"/>
        <item m="1" x="1775"/>
        <item m="1" x="2571"/>
        <item m="1" x="3577"/>
        <item m="1" x="4755"/>
        <item m="1" x="5937"/>
        <item m="1" x="6506"/>
        <item m="1" x="6960"/>
        <item m="1" x="1232"/>
        <item m="1" x="1831"/>
        <item m="1" x="2620"/>
        <item m="1" x="3621"/>
        <item m="1" x="4810"/>
        <item m="1" x="5994"/>
        <item m="1" x="6533"/>
        <item m="1" x="6987"/>
        <item m="1" x="7363"/>
        <item m="1" x="7649"/>
        <item m="1" x="2725"/>
        <item m="1" x="3721"/>
        <item m="1" x="4889"/>
        <item m="1" x="6064"/>
        <item m="1" x="533"/>
        <item m="1" x="700"/>
        <item m="1" x="1052"/>
        <item m="1" x="1590"/>
        <item m="1" x="2359"/>
        <item m="1" x="3308"/>
        <item m="1" x="4434"/>
        <item m="1" x="5602"/>
        <item m="1" x="6373"/>
        <item m="1" x="6843"/>
        <item m="1" x="1096"/>
        <item m="1" x="1647"/>
        <item m="1" x="2402"/>
        <item m="1" x="3355"/>
        <item m="1" x="4491"/>
        <item m="1" x="5691"/>
        <item m="1" x="6411"/>
        <item m="1" x="6881"/>
        <item m="1" x="7279"/>
        <item m="1" x="7587"/>
        <item m="1" x="2489"/>
        <item m="1" x="3428"/>
        <item m="1" x="4577"/>
        <item m="1" x="5774"/>
        <item sd="0" m="1" x="1573"/>
        <item m="1" x="2289"/>
        <item m="1" x="3185"/>
        <item m="1" x="4277"/>
        <item m="1" x="5470"/>
        <item m="1" x="6315"/>
        <item m="1" x="6798"/>
        <item m="1" x="7221"/>
        <item sd="0" m="1" x="7549"/>
        <item m="1" x="7787"/>
        <item m="1" x="3270"/>
        <item m="1" x="4369"/>
        <item m="1" x="5561"/>
        <item m="1" x="6359"/>
        <item m="1" x="6829"/>
        <item m="1" x="7246"/>
        <item m="1" x="7574"/>
        <item m="1" x="7812"/>
        <item m="1" x="7957"/>
        <item m="1" x="442"/>
        <item sd="0" m="1" x="5637"/>
        <item m="1" x="6395"/>
        <item m="1" x="6865"/>
        <item m="1" x="7264"/>
        <item m="1" x="1416"/>
        <item m="1" x="2099"/>
        <item m="1" x="2923"/>
        <item m="1" x="3991"/>
        <item m="1" x="5187"/>
        <item m="1" x="6186"/>
        <item m="1" x="6682"/>
        <item m="1" x="7121"/>
        <item m="1" x="7472"/>
        <item m="1" x="7730"/>
        <item m="1" x="3015"/>
        <item m="1" x="4090"/>
        <item m="1" x="5271"/>
        <item m="1" x="6227"/>
        <item m="1" x="6711"/>
        <item m="1" x="7146"/>
        <item sd="0" m="1" x="7497"/>
        <item m="1" x="7755"/>
        <item m="1" x="7923"/>
        <item m="1" x="412"/>
        <item m="1" x="5336"/>
        <item m="1" x="6252"/>
        <item m="1" x="6736"/>
        <item m="1" x="7159"/>
        <item m="1" x="1274"/>
        <item m="1" x="1887"/>
        <item m="1" x="2665"/>
        <item m="1" x="3666"/>
        <item m="1" x="4844"/>
        <item m="1" x="6027"/>
        <item m="1" x="6553"/>
        <item m="1" x="7007"/>
        <item m="1" x="7383"/>
        <item m="1" x="7664"/>
        <item m="1" x="2772"/>
        <item m="1" x="3782"/>
        <item m="1" x="4938"/>
        <item m="1" x="6089"/>
        <item m="1" x="6587"/>
        <item m="1" x="7037"/>
        <item m="1" x="7413"/>
        <item m="1" x="7694"/>
        <item m="1" x="7887"/>
        <item m="1" x="7989"/>
        <item m="1" x="5022"/>
        <item m="1" x="6119"/>
        <item m="1" x="6616"/>
        <item m="1" x="7055"/>
        <item m="1" x="7355"/>
        <item m="1" x="1888"/>
        <item m="1" x="2666"/>
        <item m="1" x="3667"/>
        <item m="1" x="4845"/>
        <item m="1" x="6028"/>
        <item m="1" x="6554"/>
        <item m="1" x="7008"/>
        <item m="1" x="7384"/>
        <item m="1" x="7665"/>
        <item m="1" x="7864"/>
        <item sd="0" m="1" x="3783"/>
        <item m="1" x="4939"/>
        <item m="1" x="6090"/>
        <item m="1" x="6588"/>
        <item m="1" x="736"/>
        <item m="1" x="1086"/>
        <item m="1" x="1616"/>
        <item m="1" x="2371"/>
        <item m="1" x="3320"/>
        <item m="1" x="4454"/>
        <item m="1" x="5656"/>
        <item m="1" x="6397"/>
        <item m="1" x="6867"/>
        <item m="1" x="7265"/>
        <item m="1" x="1694"/>
        <item m="1" x="2447"/>
        <item m="1" x="3380"/>
        <item m="1" x="4540"/>
        <item m="1" x="5739"/>
        <item m="1" x="6434"/>
        <item m="1" x="6904"/>
        <item m="1" x="7302"/>
        <item m="1" x="7604"/>
        <item m="1" x="7825"/>
        <item m="1" x="3483"/>
        <item m="1" x="4630"/>
        <item m="1" x="5807"/>
        <item m="1" x="6469"/>
        <item m="1" x="662"/>
        <item m="1" x="951"/>
        <item m="1" x="1437"/>
        <item m="1" x="2145"/>
        <item sd="0" m="1" x="3033"/>
        <item m="1" x="4152"/>
        <item m="1" x="5353"/>
        <item m="1" x="6254"/>
        <item m="1" x="6738"/>
        <item m="1" x="7160"/>
        <item m="1" x="1500"/>
        <item m="1" x="2191"/>
        <item m="1" x="3077"/>
        <item m="1" x="4196"/>
        <item m="1" x="5405"/>
        <item m="1" x="6281"/>
        <item m="1" x="6765"/>
        <item m="1" x="7188"/>
        <item m="1" x="7515"/>
        <item m="1" x="7764"/>
        <item m="1" x="3186"/>
        <item m="1" x="4278"/>
        <item m="1" x="5471"/>
        <item m="1" x="6316"/>
        <item m="1" x="593"/>
        <item m="1" x="861"/>
        <item m="1" x="1284"/>
        <item m="1" x="1963"/>
        <item m="1" x="2804"/>
        <item m="1" x="3866"/>
        <item m="1" x="5037"/>
        <item m="1" x="6121"/>
        <item m="1" x="6618"/>
        <item m="1" x="7057"/>
        <item m="1" x="1333"/>
        <item m="1" x="2005"/>
        <item m="1" x="2846"/>
        <item m="1" x="3915"/>
        <item m="1" x="5104"/>
        <item m="1" x="6151"/>
        <item m="1" x="6648"/>
        <item m="1" x="7087"/>
        <item m="1" x="7438"/>
        <item m="1" x="7708"/>
        <item m="1" x="2924"/>
        <item m="1" x="3992"/>
        <item m="1" x="5188"/>
        <item m="1" x="6187"/>
        <item m="1" x="7526"/>
        <item m="1" x="2328"/>
        <item m="1" x="3251"/>
        <item m="1" x="4337"/>
        <item m="1" x="5529"/>
        <item m="1" x="6336"/>
        <item m="1" x="6812"/>
        <item m="1" x="7235"/>
        <item m="1" x="7563"/>
        <item m="1" x="7801"/>
        <item m="1" x="7946"/>
        <item m="1" x="4435"/>
        <item m="1" x="5607"/>
        <item m="1" x="6374"/>
        <item m="1" x="6844"/>
        <item m="1" x="944"/>
        <item m="1" x="1385"/>
        <item m="1" x="2057"/>
        <item m="1" x="2886"/>
        <item m="1" x="3955"/>
        <item m="1" x="5151"/>
        <item m="1" x="6164"/>
        <item m="1" x="6661"/>
        <item m="1" x="7100"/>
        <item m="1" x="7451"/>
        <item m="1" x="2138"/>
        <item m="1" x="2983"/>
        <item m="1" x="4051"/>
        <item m="1" x="5235"/>
        <item m="1" x="6207"/>
        <item m="1" x="6696"/>
        <item m="1" x="7135"/>
        <item m="1" x="7486"/>
        <item m="1" x="7744"/>
        <item m="1" x="7912"/>
        <item m="1" x="4121"/>
        <item m="1" x="5301"/>
        <item m="1" x="6241"/>
        <item m="1" x="6725"/>
        <item m="1" x="842"/>
        <item m="1" x="1244"/>
        <item m="1" x="1840"/>
        <item m="1" x="2629"/>
        <item sd="0" m="1" x="3630"/>
        <item m="1" x="4811"/>
        <item m="1" x="6004"/>
        <item m="1" x="6534"/>
        <item m="1" x="6988"/>
        <item m="1" x="7364"/>
        <item m="1" x="1933"/>
        <item m="1" x="2737"/>
        <item m="1" x="3730"/>
        <item m="1" x="4898"/>
        <item m="1" x="6065"/>
        <item m="1" x="6569"/>
        <item m="1" x="7023"/>
        <item m="1" x="7399"/>
        <item m="1" x="7680"/>
        <item m="1" x="7873"/>
        <item m="1" x="3825"/>
        <item m="1" x="4986"/>
        <item m="1" x="6105"/>
        <item m="1" x="6602"/>
        <item m="1" x="754"/>
        <item m="1" x="1104"/>
        <item m="1" x="1655"/>
        <item m="1" x="2408"/>
        <item m="1" x="3358"/>
        <item m="1" x="4500"/>
        <item m="1" x="5700"/>
        <item m="1" x="6412"/>
        <item m="1" x="6882"/>
        <item m="1" x="7280"/>
        <item m="1" x="1750"/>
        <item m="1" x="2497"/>
        <item m="1" x="3436"/>
        <item m="1" x="4583"/>
        <item m="1" x="5777"/>
        <item m="1" x="6446"/>
        <item m="1" x="6916"/>
        <item m="1" x="7314"/>
        <item m="1" x="7616"/>
        <item m="1" x="7831"/>
        <item m="1" x="3532"/>
        <item m="1" x="4679"/>
        <item m="1" x="5855"/>
        <item m="1" x="6481"/>
        <item m="1" x="585"/>
        <item m="1" x="788"/>
        <item m="1" x="1177"/>
        <item m="1" x="1787"/>
        <item m="1" x="2572"/>
        <item m="1" x="3578"/>
        <item m="1" x="4760"/>
        <item m="1" x="5946"/>
        <item m="1" x="6515"/>
        <item m="1" x="6969"/>
        <item m="1" x="1245"/>
        <item m="1" x="1841"/>
        <item m="1" x="2630"/>
        <item m="1" x="3631"/>
        <item m="1" x="4812"/>
        <item m="1" x="6005"/>
        <item sd="0" m="1" x="6535"/>
        <item m="1" x="6989"/>
        <item m="1" x="7365"/>
        <item m="1" x="7650"/>
        <item m="1" x="2738"/>
        <item m="1" x="3731"/>
        <item m="1" x="4899"/>
        <item m="1" x="6066"/>
        <item m="1" x="541"/>
        <item m="1" x="708"/>
        <item m="1" x="1058"/>
        <item m="1" x="1591"/>
        <item m="1" x="2360"/>
        <item m="1" x="3309"/>
        <item m="1" x="4443"/>
        <item m="1" x="5625"/>
        <item m="1" x="6385"/>
        <item m="1" x="6855"/>
        <item m="1" x="1105"/>
        <item m="1" x="1656"/>
        <item m="1" x="2409"/>
        <item m="1" x="3359"/>
        <item m="1" x="4501"/>
        <item m="1" x="5701"/>
        <item m="1" x="6413"/>
        <item m="1" x="6883"/>
        <item m="1" x="7281"/>
        <item m="1" x="7588"/>
        <item m="1" x="2498"/>
        <item m="1" x="3437"/>
        <item m="1" x="4584"/>
        <item m="1" x="5778"/>
        <item m="1" x="1582"/>
        <item m="1" x="2308"/>
        <item m="1" x="3218"/>
        <item m="1" x="4297"/>
        <item m="1" x="5489"/>
        <item m="1" x="6317"/>
        <item m="1" x="6799"/>
        <item m="1" x="7222"/>
        <item m="1" x="7550"/>
        <item m="1" x="7788"/>
        <item m="1" x="3279"/>
        <item m="1" x="4389"/>
        <item sd="0" m="1" x="5576"/>
        <item m="1" x="6360"/>
        <item m="1" x="6830"/>
        <item m="1" x="7247"/>
        <item m="1" x="7575"/>
        <item m="1" x="7813"/>
        <item m="1" x="7958"/>
        <item m="1" x="443"/>
        <item m="1" x="5657"/>
        <item m="1" x="6398"/>
        <item m="1" x="6868"/>
        <item m="1" x="7266"/>
        <item sd="0" m="1" x="1424"/>
        <item m="1" x="2109"/>
        <item m="1" x="2942"/>
        <item m="1" x="4010"/>
        <item m="1" x="5189"/>
        <item m="1" x="6188"/>
        <item m="1" x="6683"/>
        <item m="1" x="7122"/>
        <item sd="0" m="1" x="7473"/>
        <item m="1" x="7731"/>
        <item m="1" x="3023"/>
        <item m="1" x="4092"/>
        <item m="1" x="5272"/>
        <item m="1" x="6228"/>
        <item m="1" x="6712"/>
        <item m="1" x="7147"/>
        <item m="1" x="7498"/>
        <item m="1" x="7756"/>
        <item m="1" x="7924"/>
        <item m="1" x="413"/>
        <item sd="0" m="1" x="5354"/>
        <item m="1" x="6255"/>
        <item m="1" x="6739"/>
        <item m="1" x="7161"/>
        <item m="1" x="1277"/>
        <item m="1" x="1907"/>
        <item m="1" x="2689"/>
        <item m="1" x="3680"/>
        <item m="1" x="4862"/>
        <item m="1" x="6045"/>
        <item m="1" x="6555"/>
        <item m="1" x="7009"/>
        <item m="1" x="7385"/>
        <item m="1" x="7666"/>
        <item m="1" x="2775"/>
        <item m="1" x="3792"/>
        <item m="1" x="4948"/>
        <item m="1" x="6091"/>
        <item m="1" x="6589"/>
        <item m="1" x="7038"/>
        <item sd="0" m="1" x="7414"/>
        <item m="1" x="7695"/>
        <item m="1" x="7888"/>
        <item m="1" x="7990"/>
        <item m="1" x="5040"/>
        <item m="1" x="6122"/>
        <item m="1" x="6619"/>
        <item m="1" x="7058"/>
        <item m="1" x="920"/>
        <item m="1" x="1351"/>
        <item m="1" x="2023"/>
        <item m="1" x="2847"/>
        <item m="1" x="3931"/>
        <item m="1" x="5120"/>
        <item m="1" x="6152"/>
        <item m="1" x="6649"/>
        <item m="1" x="7088"/>
        <item m="1" x="7439"/>
        <item m="1" x="2110"/>
        <item m="1" x="2943"/>
        <item sd="0" m="1" x="4011"/>
        <item m="1" x="5190"/>
        <item m="1" x="6189"/>
        <item m="1" x="6684"/>
        <item m="1" x="7123"/>
        <item m="1" x="7474"/>
        <item m="1" x="7732"/>
        <item m="1" x="7904"/>
        <item m="1" x="4093"/>
        <item m="1" x="5273"/>
        <item m="1" x="6229"/>
        <item m="1" x="6713"/>
        <item m="1" x="825"/>
        <item m="1" x="1218"/>
        <item m="1" x="1818"/>
        <item m="1" x="2612"/>
        <item m="1" x="3605"/>
        <item m="1" x="4795"/>
        <item m="1" x="5979"/>
        <item m="1" x="6526"/>
        <item sd="0" m="1" x="6980"/>
        <item m="1" x="7356"/>
        <item m="1" x="1908"/>
        <item m="1" x="2690"/>
        <item m="1" x="3681"/>
        <item m="1" x="4863"/>
        <item m="1" x="6046"/>
        <item m="1" x="6556"/>
        <item m="1" x="7010"/>
        <item m="1" x="7386"/>
        <item m="1" x="7667"/>
        <item m="1" x="7865"/>
        <item m="1" x="3793"/>
        <item m="1" x="4949"/>
        <item m="1" x="6092"/>
        <item m="1" x="6590"/>
        <item sd="0" m="1" x="743"/>
        <item m="1" x="1091"/>
        <item m="1" x="1635"/>
        <item m="1" x="2390"/>
        <item m="1" x="3343"/>
        <item m="1" x="4473"/>
        <item m="1" x="5679"/>
        <item m="1" x="6406"/>
        <item m="1" x="6876"/>
        <item m="1" x="7274"/>
        <item m="1" x="1719"/>
        <item m="1" x="2465"/>
        <item m="1" x="3399"/>
        <item m="1" x="4559"/>
        <item m="1" x="5756"/>
        <item m="1" x="6435"/>
        <item m="1" x="6905"/>
        <item m="1" x="7303"/>
        <item m="1" x="7605"/>
        <item m="1" x="7826"/>
        <item sd="0" m="1" x="3502"/>
        <item m="1" x="4648"/>
        <item m="1" x="5826"/>
        <item m="1" x="6470"/>
        <item m="1" x="679"/>
        <item m="1" x="968"/>
        <item m="1" x="1454"/>
        <item m="1" x="2159"/>
        <item m="1" x="3034"/>
        <item m="1" x="4153"/>
        <item m="1" x="5359"/>
        <item m="1" x="6262"/>
        <item m="1" x="6746"/>
        <item m="1" x="7169"/>
        <item m="1" x="1532"/>
        <item m="1" x="2209"/>
        <item m="1" x="3095"/>
        <item m="1" x="4210"/>
        <item m="1" x="5410"/>
        <item m="1" x="6282"/>
        <item sd="0" m="1" x="6766"/>
        <item m="1" x="7189"/>
        <item m="1" x="7516"/>
        <item m="1" x="7765"/>
        <item m="1" x="3219"/>
        <item m="1" x="4298"/>
        <item m="1" x="5490"/>
        <item m="1" x="6318"/>
        <item m="1" x="611"/>
        <item m="1" x="879"/>
        <item m="1" x="1297"/>
        <item m="1" x="1964"/>
        <item m="1" x="2805"/>
        <item m="1" x="3867"/>
        <item m="1" x="5063"/>
        <item m="1" x="6128"/>
        <item m="1" x="6625"/>
        <item m="1" x="7064"/>
        <item m="1" x="1352"/>
        <item m="1" x="2024"/>
        <item m="1" x="2848"/>
        <item m="1" x="3932"/>
        <item m="1" x="5121"/>
        <item m="1" x="6153"/>
        <item m="1" x="6650"/>
        <item m="1" x="7089"/>
        <item m="1" x="7440"/>
        <item m="1" x="7709"/>
        <item m="1" x="2944"/>
        <item m="1" x="4012"/>
        <item m="1" x="5191"/>
        <item m="1" x="6190"/>
        <item m="1" x="1555"/>
        <item m="1" x="2250"/>
        <item m="1" x="3139"/>
        <item m="1" x="4241"/>
        <item m="1" x="5430"/>
        <item m="1" x="6292"/>
        <item m="1" x="6776"/>
        <item m="1" x="7199"/>
        <item m="1" x="7527"/>
        <item m="1" x="7770"/>
        <item m="1" x="3252"/>
        <item m="1" x="4338"/>
        <item m="1" x="5530"/>
        <item m="1" x="6337"/>
        <item m="1" x="6813"/>
        <item m="1" x="7236"/>
        <item sd="0" m="1" x="7564"/>
        <item m="1" x="7802"/>
        <item m="1" x="7947"/>
        <item m="1" x="428"/>
        <item m="1" x="5608"/>
        <item m="1" x="6375"/>
        <item m="1" x="6845"/>
        <item m="1" x="7255"/>
        <item m="1" x="1386"/>
        <item m="1" x="2058"/>
        <item m="1" x="2887"/>
        <item m="1" x="3956"/>
        <item m="1" x="5152"/>
        <item m="1" x="6165"/>
        <item m="1" x="6662"/>
        <item m="1" x="7101"/>
        <item m="1" x="7452"/>
        <item m="1" x="7715"/>
        <item m="1" x="2984"/>
        <item m="1" x="4052"/>
        <item m="1" x="5236"/>
        <item m="1" x="6208"/>
        <item m="1" x="6697"/>
        <item m="1" x="7136"/>
        <item m="1" x="7487"/>
        <item m="1" x="7745"/>
        <item m="1" x="7913"/>
        <item m="1" x="398"/>
        <item m="1" x="5302"/>
        <item m="1" x="6242"/>
        <item m="1" x="6726"/>
        <item m="1" x="7154"/>
        <item m="1" x="1246"/>
        <item m="1" x="1842"/>
        <item m="1" x="2631"/>
        <item m="1" x="3632"/>
        <item m="1" x="4813"/>
        <item m="1" x="6006"/>
        <item m="1" x="6536"/>
        <item m="1" x="6990"/>
        <item m="1" x="7366"/>
        <item m="1" x="7651"/>
        <item m="1" x="2739"/>
        <item m="1" x="3732"/>
        <item m="1" x="4900"/>
        <item m="1" x="6067"/>
        <item m="1" x="6570"/>
        <item m="1" x="7024"/>
        <item m="1" x="7400"/>
        <item m="1" x="7681"/>
        <item m="1" x="7874"/>
        <item m="1" x="7985"/>
        <item m="1" x="4987"/>
        <item m="1" x="6106"/>
        <item m="1" x="6603"/>
        <item m="1" x="7046"/>
        <item m="1" x="1106"/>
        <item m="1" x="1657"/>
        <item m="1" x="2410"/>
        <item m="1" x="3360"/>
        <item m="1" x="4502"/>
        <item m="1" x="5702"/>
        <item m="1" x="6414"/>
        <item m="1" x="6884"/>
        <item m="1" x="7282"/>
        <item m="1" x="7589"/>
        <item m="1" x="2499"/>
        <item m="1" x="3438"/>
        <item sd="0" m="1" x="4585"/>
        <item m="1" x="5779"/>
        <item m="1" x="6447"/>
        <item m="1" x="6917"/>
        <item m="1" x="7315"/>
        <item m="1" x="7617"/>
        <item m="1" x="7832"/>
        <item m="1" x="7966"/>
        <item m="1" x="4680"/>
        <item m="1" x="5856"/>
        <item m="1" x="6482"/>
        <item m="1" x="6941"/>
        <item sd="0" m="1" x="990"/>
        <item m="1" x="1474"/>
        <item m="1" x="2175"/>
        <item m="1" x="3048"/>
        <item m="1" x="4167"/>
        <item m="1" x="5372"/>
        <item m="1" x="6267"/>
        <item m="1" x="6751"/>
        <item sd="0" m="1" x="7174"/>
        <item m="1" x="7507"/>
        <item m="1" x="2251"/>
        <item m="1" x="3140"/>
        <item m="1" x="4242"/>
        <item m="1" x="5431"/>
        <item m="1" x="6293"/>
        <item m="1" x="6777"/>
        <item m="1" x="7200"/>
        <item m="1" x="7528"/>
        <item m="1" x="7771"/>
        <item m="1" x="7931"/>
        <item m="1" x="4339"/>
        <item m="1" x="5531"/>
        <item m="1" x="6338"/>
        <item m="1" x="6814"/>
        <item m="1" x="709"/>
        <item m="1" x="1059"/>
        <item m="1" x="1592"/>
        <item m="1" x="2361"/>
        <item sd="0" m="1" x="3310"/>
        <item m="1" x="4444"/>
        <item m="1" x="5626"/>
        <item m="1" x="6386"/>
        <item m="1" x="6856"/>
        <item m="1" x="7260"/>
        <item m="1" x="1658"/>
        <item m="1" x="2411"/>
        <item m="1" x="3361"/>
        <item m="1" x="4503"/>
        <item m="1" x="5703"/>
        <item m="1" x="6415"/>
        <item m="1" x="6885"/>
        <item m="1" x="7283"/>
        <item m="1" x="7590"/>
        <item m="1" x="7821"/>
        <item m="1" x="3439"/>
        <item m="1" x="4586"/>
        <item m="1" x="5780"/>
        <item m="1" x="6448"/>
        <item m="1" x="2309"/>
        <item m="1" x="3220"/>
        <item m="1" x="4299"/>
        <item m="1" x="5491"/>
        <item m="1" x="6319"/>
        <item m="1" x="6800"/>
        <item m="1" x="7223"/>
        <item m="1" x="7551"/>
        <item sd="0" m="1" x="7789"/>
        <item m="1" x="7937"/>
        <item m="1" x="4390"/>
        <item m="1" x="5577"/>
        <item m="1" x="6361"/>
        <item m="1" x="6831"/>
        <item m="1" x="7248"/>
        <item m="1" x="7576"/>
        <item m="1" x="7814"/>
        <item m="1" x="7959"/>
        <item m="1" x="444"/>
        <item m="1" x="478"/>
        <item m="1" x="6399"/>
        <item m="1" x="6869"/>
        <item m="1" x="7267"/>
        <item m="1" x="7583"/>
        <item m="1" x="2111"/>
        <item m="1" x="2945"/>
        <item m="1" x="4013"/>
        <item m="1" x="5192"/>
        <item m="1" x="6191"/>
        <item m="1" x="6685"/>
        <item m="1" x="7124"/>
        <item m="1" x="7475"/>
        <item m="1" x="7733"/>
        <item m="1" x="7905"/>
        <item m="1" x="4094"/>
        <item m="1" x="5274"/>
        <item m="1" x="6230"/>
        <item m="1" x="6714"/>
        <item m="1" x="7148"/>
        <item m="1" x="7499"/>
        <item m="1" x="7757"/>
        <item m="1" x="7925"/>
        <item m="1" x="414"/>
        <item m="1" x="476"/>
        <item m="1" x="6256"/>
        <item m="1" x="6740"/>
        <item m="1" x="7162"/>
        <item m="1" x="7505"/>
        <item m="1" x="1161"/>
        <item m="1" x="1751"/>
        <item m="1" x="2500"/>
        <item m="1" x="3440"/>
        <item m="1" x="4587"/>
        <item m="1" x="5781"/>
        <item m="1" x="6449"/>
        <item m="1" x="6918"/>
        <item sd="0" m="1" x="7316"/>
        <item m="1" x="7618"/>
        <item m="1" x="2562"/>
        <item m="1" x="3533"/>
        <item m="1" x="4681"/>
        <item m="1" x="5857"/>
        <item m="1" x="6483"/>
        <item m="1" x="6942"/>
        <item m="1" x="7339"/>
        <item m="1" x="7641"/>
        <item m="1" x="7852"/>
        <item m="1" x="7977"/>
        <item m="1" x="4756"/>
        <item m="1" x="5938"/>
        <item m="1" x="6507"/>
        <item m="1" x="6961"/>
        <item m="1" x="1040"/>
        <item m="1" x="1556"/>
        <item m="1" x="2252"/>
        <item m="1" x="3141"/>
        <item m="1" x="4243"/>
        <item m="1" x="5432"/>
        <item m="1" x="6294"/>
        <item m="1" x="6778"/>
        <item m="1" x="7201"/>
        <item m="1" x="7529"/>
        <item m="1" x="2329"/>
        <item m="1" x="3253"/>
        <item m="1" x="4340"/>
        <item m="1" x="5532"/>
        <item m="1" x="6339"/>
        <item m="1" x="6815"/>
        <item m="1" x="7237"/>
        <item m="1" x="7565"/>
        <item m="1" x="7803"/>
        <item m="1" x="7948"/>
        <item m="1" x="4436"/>
        <item m="1" x="5609"/>
        <item m="1" x="6376"/>
        <item m="1" x="6846"/>
        <item m="1" x="755"/>
        <item m="1" x="1107"/>
        <item m="1" x="1659"/>
        <item m="1" x="2412"/>
        <item m="1" x="3362"/>
        <item m="1" x="4504"/>
        <item m="1" x="5704"/>
        <item m="1" x="6416"/>
        <item m="1" x="6886"/>
        <item m="1" x="7284"/>
        <item m="1" x="1752"/>
        <item m="1" x="2501"/>
        <item m="1" x="3441"/>
        <item m="1" x="4588"/>
        <item m="1" x="5782"/>
        <item m="1" x="6450"/>
        <item m="1" x="6919"/>
        <item m="1" x="7317"/>
        <item m="1" x="7619"/>
        <item m="1" x="7833"/>
        <item m="1" x="3534"/>
        <item m="1" x="4682"/>
        <item m="1" x="5858"/>
        <item m="1" x="6484"/>
        <item m="1" x="686"/>
        <item sd="0" m="1" x="991"/>
        <item m="1" x="1475"/>
        <item m="1" x="2176"/>
        <item m="1" x="3049"/>
        <item m="1" x="4168"/>
        <item m="1" x="5373"/>
        <item m="1" x="6268"/>
        <item m="1" x="6752"/>
        <item m="1" x="7175"/>
        <item m="1" x="1557"/>
        <item m="1" x="2253"/>
        <item m="1" x="3142"/>
        <item m="1" x="4244"/>
        <item m="1" x="5433"/>
        <item m="1" x="6295"/>
        <item m="1" x="6779"/>
        <item m="1" x="7202"/>
        <item m="1" x="7530"/>
        <item m="1" x="7772"/>
        <item m="1" x="3254"/>
        <item m="1" x="4341"/>
        <item m="1" x="5533"/>
        <item m="1" x="6340"/>
        <item sd="0" m="1" x="626"/>
        <item m="1" x="894"/>
        <item m="1" x="1320"/>
        <item m="1" x="1980"/>
        <item m="1" x="2821"/>
        <item m="1" x="3890"/>
        <item m="1" x="5080"/>
        <item sd="0" m="1" x="6140"/>
        <item m="1" x="6637"/>
        <item m="1" x="7076"/>
        <item m="1" x="1387"/>
        <item m="1" x="2059"/>
        <item m="1" x="2888"/>
        <item m="1" x="3957"/>
        <item m="1" x="5153"/>
        <item m="1" x="6166"/>
        <item m="1" x="6663"/>
        <item m="1" x="7102"/>
        <item m="1" x="7453"/>
        <item m="1" x="7716"/>
        <item sd="0" m="1" x="2985"/>
        <item m="1" x="4053"/>
        <item m="1" x="5237"/>
        <item m="1" x="6209"/>
        <item m="1" x="586"/>
        <item m="1" x="789"/>
        <item m="1" x="1178"/>
        <item m="1" x="1788"/>
        <item m="1" x="2573"/>
        <item m="1" x="3579"/>
        <item m="1" x="4761"/>
        <item m="1" x="5947"/>
        <item m="1" x="6516"/>
        <item m="1" x="6970"/>
        <item m="1" x="1247"/>
        <item m="1" x="1843"/>
        <item m="1" x="2632"/>
        <item m="1" x="3633"/>
        <item m="1" x="4814"/>
        <item m="1" x="6007"/>
        <item sd="0" m="1" x="6537"/>
        <item m="1" x="6991"/>
        <item m="1" x="7367"/>
        <item m="1" x="7652"/>
        <item m="1" x="2740"/>
        <item m="1" x="3733"/>
        <item m="1" x="4901"/>
        <item m="1" x="6068"/>
        <item m="1" x="542"/>
        <item m="1" x="710"/>
        <item m="1" x="1060"/>
        <item m="1" x="1593"/>
        <item m="1" x="2362"/>
        <item m="1" x="3311"/>
        <item m="1" x="4445"/>
        <item m="1" x="5627"/>
        <item m="1" x="6387"/>
        <item m="1" x="6857"/>
        <item m="1" x="1108"/>
        <item m="1" x="1660"/>
        <item m="1" x="2413"/>
        <item m="1" x="3363"/>
        <item m="1" x="4505"/>
        <item m="1" x="5705"/>
        <item m="1" x="6417"/>
        <item m="1" x="6887"/>
        <item m="1" x="7285"/>
        <item m="1" x="7591"/>
        <item m="1" x="2502"/>
        <item m="1" x="3442"/>
        <item m="1" x="4589"/>
        <item m="1" x="5783"/>
        <item m="1" x="1278"/>
        <item m="1" x="1909"/>
        <item m="1" x="2691"/>
        <item m="1" x="3682"/>
        <item m="1" x="4864"/>
        <item m="1" x="6047"/>
        <item m="1" x="6557"/>
        <item m="1" x="7011"/>
        <item m="1" x="7387"/>
        <item m="1" x="7668"/>
        <item m="1" x="2776"/>
        <item m="1" x="3794"/>
        <item m="1" x="4950"/>
        <item m="1" x="6093"/>
        <item m="1" x="6591"/>
        <item m="1" x="7039"/>
        <item sd="0" m="1" x="7415"/>
        <item m="1" x="7696"/>
        <item m="1" x="7889"/>
        <item m="1" x="7991"/>
        <item m="1" x="5041"/>
        <item m="1" x="6123"/>
        <item m="1" x="6620"/>
        <item m="1" x="7059"/>
        <item m="1" x="1148"/>
        <item m="1" x="1720"/>
        <item m="1" x="2466"/>
        <item m="1" x="3400"/>
        <item m="1" x="4560"/>
        <item m="1" x="5757"/>
        <item m="1" x="6436"/>
        <item m="1" x="6906"/>
        <item m="1" x="7304"/>
        <item m="1" x="7606"/>
        <item m="1" x="2549"/>
        <item m="1" x="3503"/>
        <item m="1" x="4649"/>
        <item m="1" x="5827"/>
        <item m="1" x="6471"/>
        <item m="1" x="6935"/>
        <item m="1" x="7333"/>
        <item m="1" x="7635"/>
        <item m="1" x="7846"/>
        <item m="1" x="7971"/>
        <item m="1" x="4716"/>
        <item m="1" x="5892"/>
        <item m="1" x="6500"/>
        <item m="1" x="6954"/>
        <item m="1" x="1028"/>
        <item m="1" x="1533"/>
        <item m="1" x="2210"/>
        <item m="1" x="3096"/>
        <item sd="0" m="1" x="4211"/>
        <item m="1" x="5411"/>
        <item m="1" x="6283"/>
        <item m="1" x="6767"/>
        <item m="1" x="7190"/>
        <item m="1" x="7517"/>
        <item m="1" x="2310"/>
        <item m="1" x="3221"/>
        <item m="1" x="4300"/>
        <item m="1" x="5492"/>
        <item m="1" x="6320"/>
        <item m="1" x="6801"/>
        <item m="1" x="7224"/>
        <item m="1" x="7552"/>
        <item m="1" x="7790"/>
        <item m="1" x="7938"/>
        <item m="1" x="4391"/>
        <item m="1" x="5578"/>
        <item m="1" x="6362"/>
        <item m="1" x="6832"/>
        <item m="1" x="921"/>
        <item m="1" x="1353"/>
        <item m="1" x="2025"/>
        <item m="1" x="2849"/>
        <item m="1" x="3933"/>
        <item m="1" x="5122"/>
        <item m="1" x="6154"/>
        <item m="1" x="6651"/>
        <item m="1" x="7090"/>
        <item m="1" x="7441"/>
        <item m="1" x="2112"/>
        <item m="1" x="2946"/>
        <item sd="0" m="1" x="4014"/>
        <item m="1" x="5193"/>
        <item m="1" x="6192"/>
        <item m="1" x="6686"/>
        <item m="1" x="7125"/>
        <item m="1" x="7476"/>
        <item m="1" x="7734"/>
        <item m="1" x="7906"/>
        <item m="1" x="4095"/>
        <item m="1" x="5275"/>
        <item m="1" x="6231"/>
        <item m="1" x="6715"/>
        <item m="1" x="826"/>
        <item m="1" x="1219"/>
        <item m="1" x="1819"/>
        <item m="1" x="2613"/>
        <item m="1" x="3606"/>
        <item m="1" x="4796"/>
        <item m="1" x="5980"/>
        <item m="1" x="6527"/>
        <item sd="0" m="1" x="6981"/>
        <item m="1" x="7357"/>
        <item m="1" x="1910"/>
        <item m="1" x="2692"/>
        <item m="1" x="3683"/>
        <item m="1" x="4865"/>
        <item m="1" x="6048"/>
        <item m="1" x="6558"/>
        <item m="1" x="7012"/>
        <item m="1" x="7388"/>
        <item m="1" x="7669"/>
        <item m="1" x="7866"/>
        <item m="1" x="3795"/>
        <item m="1" x="4951"/>
        <item m="1" x="6094"/>
        <item m="1" x="6592"/>
        <item m="1" x="612"/>
        <item m="1" x="880"/>
        <item m="1" x="1298"/>
        <item m="1" x="1965"/>
        <item m="1" x="2806"/>
        <item m="1" x="3868"/>
        <item m="1" x="5064"/>
        <item m="1" x="6129"/>
        <item m="1" x="6626"/>
        <item m="1" x="7065"/>
        <item m="1" x="1354"/>
        <item m="1" x="2026"/>
        <item m="1" x="2850"/>
        <item m="1" x="3934"/>
        <item m="1" x="5123"/>
        <item m="1" x="6155"/>
        <item m="1" x="6652"/>
        <item m="1" x="7091"/>
        <item m="1" x="7442"/>
        <item m="1" x="7710"/>
        <item m="1" x="2947"/>
        <item m="1" x="4015"/>
        <item m="1" x="5194"/>
        <item m="1" x="6193"/>
        <item m="1" x="1934"/>
        <item m="1" x="2741"/>
        <item m="1" x="3734"/>
        <item m="1" x="4902"/>
        <item m="1" x="6069"/>
        <item m="1" x="6571"/>
        <item m="1" x="7025"/>
        <item m="1" x="7401"/>
        <item sd="0" m="1" x="7682"/>
        <item m="1" x="7875"/>
        <item m="1" x="3826"/>
        <item m="1" x="4988"/>
        <item m="1" x="6107"/>
        <item m="1" x="6604"/>
        <item m="1" x="7047"/>
        <item m="1" x="7421"/>
        <item m="1" x="7702"/>
        <item m="1" x="7895"/>
        <item m="1" x="7997"/>
        <item m="1" x="471"/>
        <item m="1" x="6135"/>
        <item m="1" x="6632"/>
        <item m="1" x="7071"/>
        <item m="1" x="7427"/>
        <item sd="0" m="1" x="1753"/>
        <item m="1" x="2503"/>
        <item m="1" x="3443"/>
        <item m="1" x="4590"/>
        <item m="1" x="5784"/>
        <item m="1" x="6451"/>
        <item m="1" x="6920"/>
        <item m="1" x="7318"/>
        <item m="1" x="7620"/>
        <item m="1" x="7834"/>
        <item m="1" x="3535"/>
        <item m="1" x="4683"/>
        <item m="1" x="5859"/>
        <item m="1" x="6485"/>
        <item m="1" x="6943"/>
        <item m="1" x="7340"/>
        <item m="1" x="7642"/>
        <item m="1" x="7853"/>
        <item m="1" x="7978"/>
        <item m="1" x="456"/>
        <item sd="0" m="1" x="5939"/>
        <item m="1" x="6508"/>
        <item m="1" x="6962"/>
        <item m="1" x="7347"/>
        <item m="1" x="1558"/>
        <item m="1" x="2254"/>
        <item m="1" x="3143"/>
        <item m="1" x="4245"/>
        <item m="1" x="5434"/>
        <item m="1" x="6296"/>
        <item m="1" x="6780"/>
        <item m="1" x="7203"/>
        <item m="1" x="7531"/>
        <item m="1" x="7773"/>
        <item m="1" x="3255"/>
        <item m="1" x="4342"/>
        <item m="1" x="5534"/>
        <item m="1" x="6341"/>
        <item m="1" x="6816"/>
        <item m="1" x="7238"/>
        <item sd="0" m="1" x="7566"/>
        <item m="1" x="7804"/>
        <item m="1" x="7949"/>
        <item m="1" x="429"/>
        <item m="1" x="5610"/>
        <item m="1" x="6377"/>
        <item m="1" x="6847"/>
        <item m="1" x="7256"/>
        <item m="1" x="1388"/>
        <item m="1" x="2060"/>
        <item m="1" x="2889"/>
        <item m="1" x="3958"/>
        <item m="1" x="5154"/>
        <item m="1" x="6167"/>
        <item m="1" x="6664"/>
        <item m="1" x="7103"/>
        <item m="1" x="7454"/>
        <item m="1" x="7717"/>
        <item m="1" x="2986"/>
        <item m="1" x="4054"/>
        <item m="1" x="5238"/>
        <item m="1" x="6210"/>
        <item m="1" x="6698"/>
        <item m="1" x="7137"/>
        <item m="1" x="7488"/>
        <item m="1" x="7746"/>
        <item m="1" x="7914"/>
        <item m="1" x="399"/>
        <item m="1" x="5303"/>
        <item m="1" x="6243"/>
        <item m="1" x="6727"/>
        <item m="1" x="7155"/>
        <item sd="0" m="1" x="992"/>
        <item m="1" x="1476"/>
        <item m="1" x="2177"/>
        <item m="1" x="3050"/>
        <item m="1" x="4169"/>
        <item m="1" x="5374"/>
        <item m="1" x="6269"/>
        <item m="1" x="6753"/>
        <item sd="0" m="1" x="7176"/>
        <item m="1" x="7508"/>
        <item m="1" x="2255"/>
        <item m="1" x="3144"/>
        <item m="1" x="4246"/>
        <item m="1" x="5435"/>
        <item m="1" x="6297"/>
        <item m="1" x="6781"/>
        <item m="1" x="7204"/>
        <item m="1" x="7532"/>
        <item m="1" x="7774"/>
        <item m="1" x="7932"/>
        <item sd="0" m="1" x="4343"/>
        <item m="1" x="5535"/>
        <item m="1" x="6342"/>
        <item m="1" x="6817"/>
        <item m="1" x="895"/>
        <item m="1" x="1321"/>
        <item m="1" x="1981"/>
        <item m="1" x="2822"/>
        <item m="1" x="3891"/>
        <item m="1" x="5081"/>
        <item sd="0" m="1" x="6141"/>
        <item m="1" x="6638"/>
        <item m="1" x="7077"/>
        <item m="1" x="7432"/>
        <item m="1" x="2061"/>
        <item m="1" x="2890"/>
        <item m="1" x="3959"/>
        <item m="1" x="5155"/>
        <item m="1" x="6168"/>
        <item m="1" x="6665"/>
        <item sd="0" m="1" x="7104"/>
        <item m="1" x="7455"/>
        <item m="1" x="7718"/>
        <item m="1" x="7900"/>
        <item m="1" x="4055"/>
        <item m="1" x="5239"/>
        <item m="1" x="6211"/>
        <item m="1" x="6699"/>
        <item m="1" x="790"/>
        <item m="1" x="1179"/>
        <item m="1" x="1789"/>
        <item m="1" x="2574"/>
        <item m="1" x="3580"/>
        <item m="1" x="4762"/>
        <item m="1" x="5948"/>
        <item m="1" x="6517"/>
        <item m="1" x="6971"/>
        <item m="1" x="7351"/>
        <item m="1" x="1844"/>
        <item m="1" x="2633"/>
        <item m="1" x="3634"/>
        <item m="1" x="4815"/>
        <item m="1" x="6008"/>
        <item m="1" x="6538"/>
        <item m="1" x="6992"/>
        <item m="1" x="7368"/>
        <item m="1" x="7653"/>
        <item m="1" x="7860"/>
        <item m="1" x="3735"/>
        <item m="1" x="4903"/>
        <item m="1" x="6070"/>
        <item m="1" x="6572"/>
        <item m="1" x="1162"/>
        <item m="1" x="1754"/>
        <item m="1" x="2504"/>
        <item m="1" x="3444"/>
        <item m="1" x="4591"/>
        <item m="1" x="5785"/>
        <item m="1" x="6452"/>
        <item m="1" x="6921"/>
        <item sd="0" m="1" x="7319"/>
        <item m="1" x="7621"/>
        <item m="1" x="2563"/>
        <item m="1" x="3536"/>
        <item m="1" x="4684"/>
        <item m="1" x="5860"/>
        <item m="1" x="6486"/>
        <item m="1" x="6944"/>
        <item m="1" x="7341"/>
        <item m="1" x="7643"/>
        <item m="1" x="7854"/>
        <item m="1" x="7979"/>
        <item m="1" x="4757"/>
        <item m="1" x="5940"/>
        <item m="1" x="6509"/>
        <item m="1" x="6963"/>
        <item m="1" x="1041"/>
        <item m="1" x="1559"/>
        <item m="1" x="2256"/>
        <item m="1" x="3145"/>
        <item m="1" x="4247"/>
        <item m="1" x="5436"/>
        <item m="1" x="6298"/>
        <item m="1" x="6782"/>
        <item m="1" x="7205"/>
        <item m="1" x="7533"/>
        <item m="1" x="2330"/>
        <item m="1" x="3256"/>
        <item m="1" x="4344"/>
        <item m="1" x="5536"/>
        <item m="1" x="6343"/>
        <item m="1" x="6818"/>
        <item m="1" x="7239"/>
        <item m="1" x="7567"/>
        <item m="1" x="7805"/>
        <item m="1" x="7950"/>
        <item m="1" x="4437"/>
        <item m="1" x="5611"/>
        <item m="1" x="6378"/>
        <item m="1" x="6848"/>
        <item m="1" x="756"/>
        <item m="1" x="1109"/>
        <item m="1" x="1661"/>
        <item m="1" x="2414"/>
        <item m="1" x="3364"/>
        <item m="1" x="4506"/>
        <item m="1" x="5706"/>
        <item m="1" x="6418"/>
        <item m="1" x="6888"/>
        <item m="1" x="7286"/>
        <item m="1" x="1755"/>
        <item m="1" x="2505"/>
        <item m="1" x="3445"/>
        <item m="1" x="4592"/>
        <item m="1" x="5786"/>
        <item m="1" x="6453"/>
        <item m="1" x="6922"/>
        <item m="1" x="7320"/>
        <item m="1" x="7622"/>
        <item m="1" x="7835"/>
        <item m="1" x="3537"/>
        <item m="1" x="4685"/>
        <item m="1" x="5861"/>
        <item m="1" x="6487"/>
        <item m="1" x="687"/>
        <item sd="0" m="1" x="993"/>
        <item m="1" x="1477"/>
        <item m="1" x="2178"/>
        <item m="1" x="3051"/>
        <item m="1" x="4170"/>
        <item m="1" x="5375"/>
        <item m="1" x="6270"/>
        <item m="1" x="6754"/>
        <item m="1" x="7177"/>
        <item m="1" x="1560"/>
        <item m="1" x="2257"/>
        <item m="1" x="3146"/>
        <item m="1" x="4248"/>
        <item m="1" x="5437"/>
        <item m="1" x="6299"/>
        <item m="1" x="6783"/>
        <item m="1" x="7206"/>
        <item m="1" x="7534"/>
        <item m="1" x="7775"/>
        <item m="1" x="3257"/>
        <item m="1" x="4345"/>
        <item m="1" x="5537"/>
        <item m="1" x="6344"/>
        <item sd="0" m="1" x="627"/>
        <item m="1" x="896"/>
        <item m="1" x="1322"/>
        <item m="1" x="1982"/>
        <item m="1" x="2823"/>
        <item m="1" x="3892"/>
        <item m="1" x="5082"/>
        <item sd="0" m="1" x="6142"/>
        <item m="1" x="6639"/>
        <item m="1" x="7078"/>
        <item m="1" x="1389"/>
        <item m="1" x="2062"/>
        <item m="1" x="2891"/>
        <item m="1" x="3960"/>
        <item m="1" x="5156"/>
        <item m="1" x="6169"/>
        <item m="1" x="6666"/>
        <item m="1" x="7105"/>
        <item m="1" x="7456"/>
        <item m="1" x="7719"/>
        <item sd="0" m="1" x="2987"/>
        <item m="1" x="4056"/>
        <item m="1" x="5240"/>
        <item m="1" x="6212"/>
        <item m="1" x="587"/>
        <item m="1" x="791"/>
        <item m="1" x="1180"/>
        <item m="1" x="1790"/>
        <item m="1" x="2575"/>
        <item m="1" x="3581"/>
        <item m="1" x="4763"/>
        <item m="1" x="5949"/>
        <item m="1" x="6518"/>
        <item m="1" x="6972"/>
        <item m="1" x="1248"/>
        <item m="1" x="1845"/>
        <item m="1" x="2634"/>
        <item m="1" x="3635"/>
        <item m="1" x="4816"/>
        <item m="1" x="6009"/>
        <item sd="0" m="1" x="6539"/>
        <item m="1" x="6993"/>
        <item m="1" x="7369"/>
        <item m="1" x="7654"/>
        <item m="1" x="2742"/>
        <item m="1" x="3736"/>
        <item m="1" x="4904"/>
        <item m="1" x="6071"/>
        <item m="1" x="543"/>
        <item m="1" x="711"/>
        <item m="1" x="1061"/>
        <item m="1" x="1594"/>
        <item m="1" x="2363"/>
        <item m="1" x="3312"/>
        <item m="1" x="4446"/>
        <item m="1" x="5628"/>
        <item m="1" x="6388"/>
        <item m="1" x="6858"/>
        <item m="1" x="1110"/>
        <item m="1" x="1662"/>
        <item m="1" x="2415"/>
        <item m="1" x="3365"/>
        <item m="1" x="4507"/>
        <item m="1" x="5707"/>
        <item m="1" x="6419"/>
        <item m="1" x="6889"/>
        <item m="1" x="7287"/>
        <item m="1" x="7592"/>
        <item m="1" x="2506"/>
        <item m="1" x="3446"/>
        <item m="1" x="4593"/>
        <item m="1" x="5787"/>
        <item m="1" x="7163"/>
        <item m="1" x="1279"/>
        <item m="1" x="1911"/>
        <item m="1" x="2693"/>
        <item m="1" x="3684"/>
        <item m="1" x="4866"/>
        <item m="1" x="6049"/>
        <item m="1" x="6559"/>
        <item m="1" x="7013"/>
        <item m="1" x="7389"/>
        <item m="1" x="7670"/>
        <item m="1" x="2777"/>
        <item m="1" x="3796"/>
        <item m="1" x="4952"/>
        <item m="1" x="6095"/>
        <item m="1" x="6593"/>
        <item m="1" x="7040"/>
        <item sd="0" m="1" x="7416"/>
        <item m="1" x="7697"/>
        <item m="1" x="7890"/>
        <item m="1" x="7992"/>
        <item m="1" x="5042"/>
        <item m="1" x="6124"/>
        <item m="1" x="6621"/>
        <item m="1" x="7060"/>
        <item m="1" x="1149"/>
        <item m="1" x="1721"/>
        <item m="1" x="2467"/>
        <item m="1" x="3401"/>
        <item m="1" x="4561"/>
        <item m="1" x="5758"/>
        <item m="1" x="6437"/>
        <item m="1" x="6907"/>
        <item m="1" x="7305"/>
        <item m="1" x="7607"/>
        <item m="1" x="2550"/>
        <item m="1" x="3504"/>
        <item m="1" x="4650"/>
        <item m="1" x="5828"/>
        <item m="1" x="6472"/>
        <item m="1" x="6936"/>
        <item m="1" x="7334"/>
        <item m="1" x="7636"/>
        <item m="1" x="7847"/>
        <item m="1" x="7972"/>
        <item m="1" x="4717"/>
        <item m="1" x="5893"/>
        <item m="1" x="6501"/>
        <item m="1" x="6955"/>
        <item m="1" x="1029"/>
        <item m="1" x="1534"/>
        <item m="1" x="2211"/>
        <item m="1" x="3097"/>
        <item sd="0" m="1" x="4212"/>
        <item m="1" x="5412"/>
        <item m="1" x="6284"/>
        <item m="1" x="6768"/>
        <item m="1" x="7191"/>
        <item m="1" x="7518"/>
        <item m="1" x="2311"/>
        <item m="1" x="3222"/>
        <item m="1" x="4301"/>
        <item m="1" x="5493"/>
        <item m="1" x="6321"/>
        <item m="1" x="6802"/>
        <item m="1" x="7225"/>
        <item m="1" x="7553"/>
        <item m="1" x="7791"/>
        <item m="1" x="7939"/>
        <item m="1" x="4392"/>
        <item m="1" x="5579"/>
        <item m="1" x="6363"/>
        <item m="1" x="6833"/>
        <item m="1" x="922"/>
        <item m="1" x="1355"/>
        <item m="1" x="2027"/>
        <item m="1" x="2851"/>
        <item m="1" x="3935"/>
        <item m="1" x="5124"/>
        <item m="1" x="6156"/>
        <item m="1" x="6653"/>
        <item m="1" x="7092"/>
        <item m="1" x="7443"/>
        <item m="1" x="2113"/>
        <item m="1" x="2948"/>
        <item sd="0" m="1" x="4016"/>
        <item m="1" x="5195"/>
        <item m="1" x="6194"/>
        <item m="1" x="6687"/>
        <item m="1" x="7126"/>
        <item m="1" x="7477"/>
        <item m="1" x="7735"/>
        <item m="1" x="7907"/>
        <item m="1" x="4096"/>
        <item m="1" x="5276"/>
        <item m="1" x="6232"/>
        <item m="1" x="6716"/>
        <item m="1" x="827"/>
        <item m="1" x="1220"/>
        <item m="1" x="1820"/>
        <item m="1" x="2614"/>
        <item m="1" x="3607"/>
        <item m="1" x="4797"/>
        <item m="1" x="5981"/>
        <item m="1" x="6528"/>
        <item sd="0" m="1" x="6982"/>
        <item m="1" x="7358"/>
        <item m="1" x="1912"/>
        <item m="1" x="2694"/>
        <item m="1" x="3685"/>
        <item m="1" x="4867"/>
        <item m="1" x="6050"/>
        <item m="1" x="6560"/>
        <item m="1" x="7014"/>
        <item m="1" x="7390"/>
        <item m="1" x="7671"/>
        <item m="1" x="7867"/>
        <item m="1" x="3797"/>
        <item m="1" x="4953"/>
        <item m="1" x="6096"/>
        <item m="1" x="6322"/>
        <item m="1" x="613"/>
        <item m="1" x="881"/>
        <item m="1" x="1299"/>
        <item m="1" x="1966"/>
        <item m="1" x="2807"/>
        <item m="1" x="3869"/>
        <item m="1" x="5065"/>
        <item m="1" x="6130"/>
        <item m="1" x="6627"/>
        <item m="1" x="7066"/>
        <item m="1" x="1356"/>
        <item m="1" x="2028"/>
        <item m="1" x="2852"/>
        <item m="1" x="3936"/>
        <item m="1" x="5125"/>
        <item m="1" x="6157"/>
        <item m="1" x="6654"/>
        <item m="1" x="7093"/>
        <item m="1" x="7444"/>
        <item m="1" x="7711"/>
        <item m="1" x="2949"/>
        <item m="1" x="4017"/>
        <item m="1" x="5196"/>
        <item m="1" x="6195"/>
        <item m="1" x="1935"/>
        <item m="1" x="2743"/>
        <item m="1" x="3737"/>
        <item m="1" x="4905"/>
        <item m="1" x="6072"/>
        <item m="1" x="6573"/>
        <item m="1" x="7026"/>
        <item m="1" x="7402"/>
        <item sd="0" m="1" x="7683"/>
        <item m="1" x="7876"/>
        <item m="1" x="3827"/>
        <item m="1" x="4989"/>
        <item m="1" x="6108"/>
        <item m="1" x="6605"/>
        <item m="1" x="7048"/>
        <item m="1" x="7422"/>
        <item m="1" x="7703"/>
        <item m="1" x="7896"/>
        <item m="1" x="7998"/>
        <item m="1" x="472"/>
        <item m="1" x="6136"/>
        <item m="1" x="6633"/>
        <item m="1" x="7072"/>
        <item m="1" x="7428"/>
        <item sd="0" m="1" x="1756"/>
        <item m="1" x="2507"/>
        <item m="1" x="3447"/>
        <item m="1" x="4594"/>
        <item m="1" x="5788"/>
        <item m="1" x="6454"/>
        <item m="1" x="6923"/>
        <item m="1" x="7321"/>
        <item m="1" x="7623"/>
        <item m="1" x="7836"/>
        <item m="1" x="3538"/>
        <item m="1" x="4686"/>
        <item m="1" x="5862"/>
        <item m="1" x="6488"/>
        <item m="1" x="6945"/>
        <item m="1" x="7342"/>
        <item m="1" x="7644"/>
        <item m="1" x="7855"/>
        <item m="1" x="7980"/>
        <item m="1" x="457"/>
        <item sd="0" m="1" x="5941"/>
        <item m="1" x="6510"/>
        <item m="1" x="6964"/>
        <item m="1" x="7348"/>
        <item m="1" x="1561"/>
        <item m="1" x="2258"/>
        <item m="1" x="3147"/>
        <item m="1" x="4249"/>
        <item m="1" x="5438"/>
        <item m="1" x="6300"/>
        <item m="1" x="6784"/>
        <item m="1" x="7207"/>
        <item m="1" x="7535"/>
        <item m="1" x="7776"/>
        <item m="1" x="3258"/>
        <item m="1" x="4346"/>
        <item m="1" x="5538"/>
        <item m="1" x="6345"/>
        <item m="1" x="6819"/>
        <item m="1" x="7240"/>
        <item sd="0" m="1" x="7568"/>
        <item m="1" x="7806"/>
        <item m="1" x="7951"/>
        <item m="1" x="430"/>
        <item m="1" x="5612"/>
        <item m="1" x="6379"/>
        <item m="1" x="6849"/>
        <item m="1" x="7257"/>
        <item m="1" x="1390"/>
        <item m="1" x="2063"/>
        <item m="1" x="2892"/>
        <item m="1" x="3961"/>
        <item m="1" x="5157"/>
        <item m="1" x="6170"/>
        <item m="1" x="6667"/>
        <item m="1" x="7106"/>
        <item m="1" x="7457"/>
        <item m="1" x="7720"/>
        <item m="1" x="2988"/>
        <item m="1" x="4057"/>
        <item m="1" x="5241"/>
        <item m="1" x="6213"/>
        <item m="1" x="6700"/>
        <item m="1" x="7138"/>
        <item m="1" x="7489"/>
        <item m="1" x="7747"/>
        <item m="1" x="7915"/>
        <item m="1" x="400"/>
        <item m="1" x="5304"/>
        <item m="1" x="6244"/>
        <item m="1" x="6728"/>
        <item sd="0" m="1" x="994"/>
        <item m="1" x="1478"/>
        <item m="1" x="2179"/>
        <item m="1" x="3052"/>
        <item m="1" x="4171"/>
        <item m="1" x="5376"/>
        <item m="1" x="6271"/>
        <item m="1" x="6755"/>
        <item sd="0" m="1" x="7178"/>
        <item m="1" x="7509"/>
        <item m="1" x="2259"/>
        <item m="1" x="3148"/>
        <item m="1" x="4250"/>
        <item m="1" x="5439"/>
        <item m="1" x="6301"/>
        <item m="1" x="6785"/>
        <item m="1" x="7208"/>
        <item m="1" x="7536"/>
        <item m="1" x="7777"/>
        <item m="1" x="7933"/>
        <item sd="0" m="1" x="4347"/>
        <item m="1" x="5539"/>
        <item m="1" x="6346"/>
        <item m="1" x="6820"/>
        <item m="1" x="897"/>
        <item m="1" x="1323"/>
        <item m="1" x="1983"/>
        <item m="1" x="2824"/>
        <item m="1" x="3893"/>
        <item m="1" x="5083"/>
        <item sd="0" m="1" x="6143"/>
        <item m="1" x="6640"/>
        <item m="1" x="7079"/>
        <item m="1" x="7433"/>
        <item m="1" x="2064"/>
        <item m="1" x="2893"/>
        <item m="1" x="3962"/>
        <item m="1" x="5158"/>
        <item m="1" x="6171"/>
        <item m="1" x="6668"/>
        <item sd="0" m="1" x="7107"/>
        <item m="1" x="7458"/>
        <item m="1" x="7721"/>
        <item m="1" x="7901"/>
        <item m="1" x="4058"/>
        <item m="1" x="5242"/>
        <item m="1" x="6214"/>
        <item m="1" x="6701"/>
        <item m="1" x="792"/>
        <item m="1" x="1181"/>
        <item m="1" x="1791"/>
        <item m="1" x="2576"/>
        <item m="1" x="3582"/>
        <item m="1" x="4764"/>
        <item m="1" x="5950"/>
        <item m="1" x="6519"/>
        <item m="1" x="6973"/>
        <item m="1" x="7352"/>
        <item m="1" x="1846"/>
        <item m="1" x="2635"/>
        <item m="1" x="3636"/>
        <item m="1" x="4817"/>
        <item m="1" x="6010"/>
        <item m="1" x="6540"/>
        <item m="1" x="6994"/>
        <item m="1" x="7370"/>
        <item m="1" x="7655"/>
        <item m="1" x="7861"/>
        <item m="1" x="3738"/>
        <item m="1" x="4906"/>
        <item m="1" x="6073"/>
        <item m="1" x="6574"/>
        <item m="1" x="712"/>
        <item m="1" x="1062"/>
        <item m="1" x="1595"/>
        <item m="1" x="2364"/>
        <item sd="0" m="1" x="3313"/>
        <item m="1" x="4447"/>
        <item m="1" x="5629"/>
        <item m="1" x="6389"/>
        <item m="1" x="6859"/>
        <item m="1" x="7261"/>
        <item m="1" x="1663"/>
        <item m="1" x="2416"/>
        <item m="1" x="3366"/>
        <item m="1" x="4508"/>
        <item m="1" x="5708"/>
        <item m="1" x="6420"/>
        <item m="1" x="6890"/>
        <item m="1" x="7288"/>
        <item m="1" x="7593"/>
        <item m="1" x="7822"/>
        <item m="1" x="3448"/>
        <item m="1" x="4595"/>
        <item m="1" x="5789"/>
        <item m="1" x="6455"/>
        <item m="1" x="2312"/>
        <item m="1" x="3223"/>
        <item m="1" x="4302"/>
        <item m="1" x="5494"/>
        <item m="1" x="6323"/>
        <item m="1" x="6803"/>
        <item m="1" x="7226"/>
        <item m="1" x="7554"/>
        <item sd="0" m="1" x="7792"/>
        <item m="1" x="7940"/>
        <item m="1" x="4393"/>
        <item m="1" x="5580"/>
        <item m="1" x="6364"/>
        <item m="1" x="6834"/>
        <item m="1" x="7249"/>
        <item m="1" x="7577"/>
        <item m="1" x="7815"/>
        <item m="1" x="7960"/>
        <item m="1" x="445"/>
        <item m="1" x="479"/>
        <item m="1" x="6400"/>
        <item m="1" x="6870"/>
        <item m="1" x="7268"/>
        <item m="1" x="7584"/>
        <item m="1" x="1042"/>
        <item m="1" x="1562"/>
        <item m="1" x="2260"/>
        <item m="1" x="3149"/>
        <item m="1" x="4251"/>
        <item m="1" x="5440"/>
        <item m="1" x="6302"/>
        <item m="1" x="6786"/>
        <item m="1" x="7209"/>
        <item m="1" x="7537"/>
        <item m="1" x="2331"/>
        <item m="1" x="3259"/>
        <item m="1" x="4348"/>
        <item m="1" x="5540"/>
        <item m="1" x="6347"/>
        <item m="1" x="6821"/>
        <item m="1" x="7241"/>
        <item m="1" x="7569"/>
        <item m="1" x="7807"/>
        <item m="1" x="7952"/>
        <item m="1" x="4438"/>
        <item m="1" x="5613"/>
        <item m="1" x="6380"/>
        <item m="1" x="6850"/>
        <item m="1" x="945"/>
        <item m="1" x="1391"/>
        <item m="1" x="2065"/>
        <item m="1" x="2894"/>
        <item m="1" x="3963"/>
        <item m="1" x="5159"/>
        <item m="1" x="6172"/>
        <item m="1" x="6669"/>
        <item m="1" x="7108"/>
        <item m="1" x="7459"/>
        <item m="1" x="2139"/>
        <item m="1" x="2989"/>
        <item m="1" x="4059"/>
        <item m="1" x="5243"/>
        <item m="1" x="6215"/>
        <item m="1" x="6702"/>
        <item m="1" x="7139"/>
        <item m="1" x="7490"/>
        <item m="1" x="7748"/>
        <item m="1" x="7916"/>
        <item m="1" x="4122"/>
        <item m="1" x="5305"/>
        <item m="1" x="6245"/>
        <item m="1" x="6729"/>
        <item m="1" x="843"/>
        <item m="1" x="1249"/>
        <item m="1" x="1847"/>
        <item m="1" x="2636"/>
        <item sd="0" m="1" x="3637"/>
        <item m="1" x="4818"/>
        <item m="1" x="6011"/>
        <item m="1" x="6541"/>
        <item m="1" x="6995"/>
        <item m="1" x="7371"/>
        <item m="1" x="1936"/>
        <item m="1" x="2744"/>
        <item m="1" x="3739"/>
        <item m="1" x="4907"/>
        <item m="1" x="6074"/>
        <item m="1" x="6575"/>
        <item m="1" x="7027"/>
        <item m="1" x="7403"/>
        <item m="1" x="7684"/>
        <item m="1" x="7877"/>
        <item m="1" x="3828"/>
        <item m="1" x="4990"/>
        <item m="1" x="6109"/>
        <item m="1" x="6606"/>
        <item m="1" x="757"/>
        <item m="1" x="1111"/>
        <item m="1" x="1664"/>
        <item m="1" x="2417"/>
        <item m="1" x="3367"/>
        <item m="1" x="4509"/>
        <item m="1" x="5709"/>
        <item m="1" x="6421"/>
        <item m="1" x="6891"/>
        <item m="1" x="7289"/>
        <item m="1" x="1757"/>
        <item m="1" x="2508"/>
        <item m="1" x="3449"/>
        <item m="1" x="4596"/>
        <item m="1" x="5790"/>
        <item m="1" x="6456"/>
        <item m="1" x="6924"/>
        <item m="1" x="7322"/>
        <item m="1" x="7624"/>
        <item m="1" x="7837"/>
        <item m="1" x="3539"/>
        <item m="1" x="4687"/>
        <item m="1" x="5863"/>
        <item m="1" x="6489"/>
        <item m="1" x="688"/>
        <item sd="0" m="1" x="995"/>
        <item m="1" x="1479"/>
        <item m="1" x="2180"/>
        <item m="1" x="3053"/>
        <item m="1" x="4172"/>
        <item m="1" x="5377"/>
        <item m="1" x="6272"/>
        <item m="1" x="6756"/>
        <item m="1" x="7179"/>
        <item m="1" x="1563"/>
        <item m="1" x="2261"/>
        <item m="1" x="3150"/>
        <item m="1" x="4252"/>
        <item m="1" x="5441"/>
        <item m="1" x="6303"/>
        <item m="1" x="6787"/>
        <item m="1" x="7210"/>
        <item m="1" x="7538"/>
        <item m="1" x="7778"/>
        <item m="1" x="3260"/>
        <item m="1" x="4349"/>
        <item m="1" x="5541"/>
        <item m="1" x="6348"/>
        <item m="1" x="544"/>
        <item m="1" x="713"/>
        <item m="1" x="1063"/>
        <item m="1" x="1596"/>
        <item m="1" x="2365"/>
        <item m="1" x="3314"/>
        <item m="1" x="4448"/>
        <item m="1" x="5630"/>
        <item m="1" x="6390"/>
        <item m="1" x="6860"/>
        <item m="1" x="1112"/>
        <item m="1" x="1665"/>
        <item m="1" x="2418"/>
        <item m="1" x="3368"/>
        <item m="1" x="4510"/>
        <item m="1" x="5710"/>
        <item m="1" x="6422"/>
        <item m="1" x="6892"/>
        <item m="1" x="7290"/>
        <item m="1" x="7594"/>
        <item m="1" x="2509"/>
        <item m="1" x="3450"/>
        <item m="1" x="4597"/>
        <item m="1" x="5791"/>
        <item m="1" x="1583"/>
        <item m="1" x="2313"/>
        <item m="1" x="3224"/>
        <item m="1" x="4303"/>
        <item m="1" x="5495"/>
        <item m="1" x="6324"/>
        <item m="1" x="6804"/>
        <item m="1" x="7227"/>
        <item m="1" x="7555"/>
        <item m="1" x="7793"/>
        <item m="1" x="3280"/>
        <item m="1" x="4394"/>
        <item sd="0" m="1" x="5581"/>
        <item m="1" x="6365"/>
        <item m="1" x="6835"/>
        <item m="1" x="7250"/>
        <item m="1" x="7578"/>
        <item m="1" x="7816"/>
        <item m="1" x="7961"/>
        <item m="1" x="446"/>
        <item m="1" x="5658"/>
        <item m="1" x="6401"/>
        <item m="1" x="6871"/>
        <item m="1" x="7269"/>
        <item sd="0" m="1" x="1425"/>
        <item m="1" x="2114"/>
        <item m="1" x="2950"/>
        <item m="1" x="4018"/>
        <item m="1" x="5197"/>
        <item m="1" x="6196"/>
        <item m="1" x="6688"/>
        <item m="1" x="7127"/>
        <item sd="0" m="1" x="7478"/>
        <item m="1" x="7736"/>
        <item m="1" x="3024"/>
        <item m="1" x="4097"/>
        <item m="1" x="5277"/>
        <item m="1" x="6233"/>
        <item m="1" x="6717"/>
        <item m="1" x="7149"/>
        <item m="1" x="7500"/>
        <item m="1" x="7758"/>
        <item m="1" x="7926"/>
        <item m="1" x="415"/>
        <item sd="0" m="1" x="5355"/>
        <item m="1" x="6257"/>
        <item m="1" x="6741"/>
        <item m="1" x="7164"/>
        <item m="1" x="1280"/>
        <item m="1" x="1913"/>
        <item m="1" x="2695"/>
        <item m="1" x="3686"/>
        <item m="1" x="4868"/>
        <item m="1" x="6051"/>
        <item m="1" x="6561"/>
        <item m="1" x="7015"/>
        <item m="1" x="7391"/>
        <item m="1" x="7672"/>
        <item m="1" x="2778"/>
        <item m="1" x="3798"/>
        <item m="1" x="4954"/>
        <item m="1" x="6097"/>
        <item m="1" x="6594"/>
        <item m="1" x="7041"/>
        <item sd="0" m="1" x="7417"/>
        <item m="1" x="7698"/>
        <item m="1" x="7891"/>
        <item m="1" x="7993"/>
        <item m="1" x="5043"/>
        <item m="1" x="6125"/>
        <item m="1" x="6622"/>
        <item m="1" x="7061"/>
        <item m="1" x="1150"/>
        <item m="1" x="1722"/>
        <item m="1" x="2468"/>
        <item m="1" x="3402"/>
        <item m="1" x="4562"/>
        <item m="1" x="5759"/>
        <item m="1" x="6438"/>
        <item m="1" x="6908"/>
        <item m="1" x="7306"/>
        <item m="1" x="7608"/>
        <item m="1" x="2551"/>
        <item m="1" x="3505"/>
        <item m="1" x="4651"/>
        <item m="1" x="5829"/>
        <item m="1" x="6473"/>
        <item m="1" x="6937"/>
        <item m="1" x="7335"/>
        <item m="1" x="7637"/>
        <item m="1" x="7848"/>
        <item m="1" x="7973"/>
        <item m="1" x="4718"/>
        <item m="1" x="5894"/>
        <item m="1" x="6502"/>
        <item m="1" x="6956"/>
        <item m="1" x="828"/>
        <item m="1" x="1221"/>
        <item m="1" x="1821"/>
        <item m="1" x="2615"/>
        <item m="1" x="3608"/>
        <item m="1" x="4798"/>
        <item m="1" x="5982"/>
        <item m="1" x="6529"/>
        <item sd="0" m="1" x="6983"/>
        <item m="1" x="7359"/>
        <item m="1" x="1914"/>
        <item m="1" x="2696"/>
        <item m="1" x="3687"/>
        <item m="1" x="4869"/>
        <item m="1" x="6052"/>
        <item m="1" x="6562"/>
        <item m="1" x="7016"/>
        <item m="1" x="7392"/>
        <item m="1" x="7673"/>
        <item m="1" x="7868"/>
        <item m="1" x="3799"/>
        <item m="1" x="4955"/>
        <item m="1" x="6098"/>
        <item m="1" x="6595"/>
        <item sd="0" m="1" x="744"/>
        <item m="1" x="1092"/>
        <item m="1" x="1636"/>
        <item m="1" x="2391"/>
        <item m="1" x="3344"/>
        <item m="1" x="4474"/>
        <item m="1" x="5680"/>
        <item m="1" x="6407"/>
        <item m="1" x="6877"/>
        <item m="1" x="7275"/>
        <item m="1" x="1723"/>
        <item m="1" x="2469"/>
        <item m="1" x="3403"/>
        <item m="1" x="4563"/>
        <item m="1" x="5760"/>
        <item m="1" x="6439"/>
        <item m="1" x="6909"/>
        <item m="1" x="7307"/>
        <item m="1" x="7609"/>
        <item m="1" x="7827"/>
        <item sd="0" m="1" x="3506"/>
        <item m="1" x="4652"/>
        <item m="1" x="5830"/>
        <item m="1" x="6474"/>
        <item m="1" x="680"/>
        <item m="1" x="969"/>
        <item m="1" x="1455"/>
        <item m="1" x="2160"/>
        <item m="1" x="3035"/>
        <item m="1" x="4154"/>
        <item m="1" x="5360"/>
        <item m="1" x="6263"/>
        <item m="1" x="6747"/>
        <item m="1" x="7170"/>
        <item m="1" x="1535"/>
        <item m="1" x="2212"/>
        <item m="1" x="3098"/>
        <item m="1" x="4213"/>
        <item m="1" x="5413"/>
        <item m="1" x="6285"/>
        <item sd="0" m="1" x="6769"/>
        <item m="1" x="7192"/>
        <item m="1" x="7519"/>
        <item m="1" x="7766"/>
        <item m="1" x="3225"/>
        <item m="1" x="4304"/>
        <item m="1" x="5496"/>
        <item m="1" x="6325"/>
        <item m="1" x="614"/>
        <item m="1" x="882"/>
        <item m="1" x="1300"/>
        <item m="1" x="1967"/>
        <item m="1" x="2808"/>
        <item m="1" x="3870"/>
        <item m="1" x="5066"/>
        <item m="1" x="6131"/>
        <item m="1" x="6628"/>
        <item m="1" x="7067"/>
        <item m="1" x="1357"/>
        <item m="1" x="2029"/>
        <item m="1" x="2853"/>
        <item m="1" x="3937"/>
        <item m="1" x="5126"/>
        <item m="1" x="6158"/>
        <item m="1" x="6655"/>
        <item m="1" x="7094"/>
        <item m="1" x="7445"/>
        <item m="1" x="7712"/>
        <item m="1" x="2951"/>
        <item m="1" x="4019"/>
        <item m="1" x="5198"/>
        <item m="1" x="6197"/>
        <item m="1" x="1937"/>
        <item m="1" x="2745"/>
        <item m="1" x="3740"/>
        <item m="1" x="4908"/>
        <item m="1" x="6075"/>
        <item m="1" x="6576"/>
        <item m="1" x="7028"/>
        <item m="1" x="7404"/>
        <item sd="0" m="1" x="7685"/>
        <item m="1" x="7878"/>
        <item m="1" x="3829"/>
        <item m="1" x="4991"/>
        <item m="1" x="6110"/>
        <item m="1" x="6607"/>
        <item m="1" x="7049"/>
        <item m="1" x="7423"/>
        <item m="1" x="7704"/>
        <item m="1" x="7897"/>
        <item m="1" x="7999"/>
        <item m="1" x="473"/>
        <item m="1" x="6137"/>
        <item m="1" x="6634"/>
        <item m="1" x="7073"/>
        <item m="1" x="7429"/>
        <item m="1" x="1392"/>
        <item m="1" x="2066"/>
        <item m="1" x="2895"/>
        <item m="1" x="3964"/>
        <item m="1" x="5160"/>
        <item m="1" x="6173"/>
        <item m="1" x="6670"/>
        <item m="1" x="7109"/>
        <item m="1" x="7460"/>
        <item m="1" x="7722"/>
        <item m="1" x="2990"/>
        <item m="1" x="4060"/>
        <item m="1" x="5244"/>
        <item m="1" x="6216"/>
        <item m="1" x="6703"/>
        <item m="1" x="7140"/>
        <item m="1" x="7491"/>
        <item m="1" x="7749"/>
        <item m="1" x="7917"/>
        <item m="1" x="401"/>
        <item m="1" x="5306"/>
        <item m="1" x="6246"/>
        <item m="1" x="6730"/>
        <item m="1" x="7156"/>
        <item m="1" x="1250"/>
        <item m="1" x="1848"/>
        <item m="1" x="2637"/>
        <item m="1" x="3638"/>
        <item m="1" x="4819"/>
        <item m="1" x="6012"/>
        <item m="1" x="6542"/>
        <item m="1" x="6996"/>
        <item m="1" x="7372"/>
        <item m="1" x="7656"/>
        <item m="1" x="2746"/>
        <item m="1" x="3741"/>
        <item m="1" x="4909"/>
        <item m="1" x="6076"/>
        <item m="1" x="6577"/>
        <item m="1" x="7029"/>
        <item m="1" x="7405"/>
        <item m="1" x="7686"/>
        <item m="1" x="7879"/>
        <item m="1" x="7986"/>
        <item m="1" x="4992"/>
        <item m="1" x="6111"/>
        <item m="1" x="6608"/>
        <item m="1" x="7050"/>
        <item m="1" x="1113"/>
        <item m="1" x="1666"/>
        <item m="1" x="2419"/>
        <item m="1" x="3369"/>
        <item m="1" x="4511"/>
        <item m="1" x="5711"/>
        <item m="1" x="6423"/>
        <item m="1" x="6893"/>
        <item m="1" x="7291"/>
        <item m="1" x="7595"/>
        <item m="1" x="2510"/>
        <item m="1" x="3451"/>
        <item sd="0" m="1" x="4598"/>
        <item m="1" x="5792"/>
        <item m="1" x="6457"/>
        <item m="1" x="6925"/>
        <item m="1" x="7323"/>
        <item m="1" x="7625"/>
        <item m="1" x="7838"/>
        <item m="1" x="7967"/>
        <item m="1" x="4688"/>
        <item m="1" x="5864"/>
        <item m="1" x="6490"/>
        <item m="1" x="6946"/>
        <item sd="0" m="1" x="996"/>
        <item m="1" x="1480"/>
        <item m="1" x="2181"/>
        <item m="1" x="3054"/>
        <item m="1" x="4173"/>
        <item m="1" x="5378"/>
        <item m="1" x="6273"/>
        <item m="1" x="6757"/>
        <item sd="0" m="1" x="7180"/>
        <item m="1" x="7510"/>
        <item m="1" x="2262"/>
        <item m="1" x="3151"/>
        <item m="1" x="4253"/>
        <item m="1" x="5442"/>
        <item m="1" x="6304"/>
        <item m="1" x="6788"/>
        <item m="1" x="7211"/>
        <item m="1" x="7539"/>
        <item m="1" x="7779"/>
        <item m="1" x="7934"/>
        <item sd="0" m="1" x="4350"/>
        <item m="1" x="5542"/>
        <item m="1" x="6349"/>
        <item m="1" x="6822"/>
        <item m="1" x="898"/>
        <item m="1" x="1324"/>
        <item m="1" x="1984"/>
        <item m="1" x="2825"/>
        <item m="1" x="3894"/>
        <item m="1" x="5084"/>
        <item sd="0" m="1" x="6144"/>
        <item m="1" x="6641"/>
        <item m="1" x="7080"/>
        <item m="1" x="7434"/>
        <item m="1" x="2067"/>
        <item m="1" x="2896"/>
        <item m="1" x="3965"/>
        <item m="1" x="5161"/>
        <item m="1" x="6174"/>
        <item m="1" x="6671"/>
        <item sd="0" m="1" x="7110"/>
        <item m="1" x="7461"/>
        <item m="1" x="7723"/>
        <item m="1" x="7902"/>
        <item m="1" x="4061"/>
        <item m="1" x="5245"/>
        <item m="1" x="6217"/>
        <item m="1" x="6704"/>
        <item m="1" x="2314"/>
        <item m="1" x="3226"/>
        <item m="1" x="4305"/>
        <item m="1" x="5497"/>
        <item m="1" x="6326"/>
        <item m="1" x="6805"/>
        <item m="1" x="7228"/>
        <item m="1" x="7556"/>
        <item sd="0" m="1" x="7794"/>
        <item m="1" x="7941"/>
        <item m="1" x="4395"/>
        <item m="1" x="5582"/>
        <item m="1" x="6366"/>
        <item m="1" x="6836"/>
        <item m="1" x="7251"/>
        <item m="1" x="7579"/>
        <item m="1" x="7817"/>
        <item m="1" x="7962"/>
        <item m="1" x="447"/>
        <item m="1" x="480"/>
        <item m="1" x="6402"/>
        <item m="1" x="6872"/>
        <item m="1" x="7270"/>
        <item m="1" x="7585"/>
        <item m="1" x="1163"/>
        <item m="1" x="1758"/>
        <item m="1" x="2511"/>
        <item m="1" x="3452"/>
        <item m="1" x="4599"/>
        <item m="1" x="5793"/>
        <item m="1" x="6458"/>
        <item m="1" x="6926"/>
        <item sd="0" m="1" x="7324"/>
        <item m="1" x="7626"/>
        <item m="1" x="2564"/>
        <item m="1" x="3540"/>
        <item m="1" x="4689"/>
        <item m="1" x="5865"/>
        <item m="1" x="6491"/>
        <item m="1" x="6947"/>
        <item m="1" x="7343"/>
        <item m="1" x="7645"/>
        <item m="1" x="7856"/>
        <item m="1" x="7981"/>
        <item m="1" x="4758"/>
        <item m="1" x="5942"/>
        <item m="1" x="6511"/>
        <item m="1" x="6965"/>
        <item m="1" x="1043"/>
        <item m="1" x="1564"/>
        <item m="1" x="2263"/>
        <item m="1" x="3152"/>
        <item m="1" x="4254"/>
        <item m="1" x="5443"/>
        <item m="1" x="6305"/>
        <item m="1" x="6789"/>
        <item m="1" x="7212"/>
        <item m="1" x="7540"/>
        <item m="1" x="2332"/>
        <item m="1" x="3261"/>
        <item m="1" x="4351"/>
        <item m="1" x="5543"/>
        <item m="1" x="6350"/>
        <item m="1" x="6823"/>
        <item m="1" x="7242"/>
        <item m="1" x="7570"/>
        <item m="1" x="7808"/>
        <item m="1" x="7953"/>
        <item m="1" x="4439"/>
        <item m="1" x="5614"/>
        <item m="1" x="6381"/>
        <item m="1" x="6851"/>
        <item m="1" x="946"/>
        <item m="1" x="1393"/>
        <item m="1" x="2068"/>
        <item m="1" x="2897"/>
        <item m="1" x="3966"/>
        <item m="1" x="5162"/>
        <item m="1" x="6175"/>
        <item m="1" x="6672"/>
        <item m="1" x="7111"/>
        <item m="1" x="7462"/>
        <item m="1" x="2140"/>
        <item m="1" x="2991"/>
        <item m="1" x="4062"/>
        <item m="1" x="5246"/>
        <item m="1" x="6218"/>
        <item m="1" x="6705"/>
        <item m="1" x="7141"/>
        <item m="1" x="7492"/>
        <item m="1" x="7750"/>
        <item m="1" x="7918"/>
        <item m="1" x="4123"/>
        <item m="1" x="5307"/>
        <item m="1" x="6247"/>
        <item m="1" x="6731"/>
        <item m="1" x="844"/>
        <item m="1" x="1251"/>
        <item m="1" x="1849"/>
        <item m="1" x="2638"/>
        <item sd="0" m="1" x="3639"/>
        <item m="1" x="4820"/>
        <item m="1" x="6013"/>
        <item m="1" x="6543"/>
        <item m="1" x="6997"/>
        <item m="1" x="7373"/>
        <item m="1" x="1938"/>
        <item m="1" x="2747"/>
        <item m="1" x="3742"/>
        <item m="1" x="4910"/>
        <item m="1" x="6077"/>
        <item m="1" x="6578"/>
        <item m="1" x="7030"/>
        <item m="1" x="7406"/>
        <item m="1" x="7687"/>
        <item m="1" x="7880"/>
        <item m="1" x="3830"/>
        <item m="1" x="4993"/>
        <item m="1" x="6112"/>
        <item m="1" x="6609"/>
        <item sd="0" m="1" x="628"/>
        <item m="1" x="899"/>
        <item m="1" x="1325"/>
        <item m="1" x="1985"/>
        <item m="1" x="2826"/>
        <item m="1" x="3895"/>
        <item m="1" x="5085"/>
        <item sd="0" m="1" x="6145"/>
        <item m="1" x="6642"/>
        <item m="1" x="7081"/>
        <item m="1" x="1394"/>
        <item m="1" x="2069"/>
        <item m="1" x="2898"/>
        <item m="1" x="3967"/>
        <item m="1" x="5163"/>
        <item m="1" x="6176"/>
        <item m="1" x="6673"/>
        <item m="1" x="7112"/>
        <item m="1" x="7463"/>
        <item m="1" x="7724"/>
        <item sd="0" m="1" x="2992"/>
        <item m="1" x="4063"/>
        <item m="1" x="5247"/>
        <item m="1" x="6219"/>
        <item m="1" x="588"/>
        <item m="1" x="793"/>
        <item m="1" x="1182"/>
        <item m="1" x="1792"/>
        <item m="1" x="2577"/>
        <item m="1" x="3583"/>
        <item m="1" x="4765"/>
        <item m="1" x="5951"/>
        <item m="1" x="6520"/>
        <item m="1" x="6974"/>
        <item m="1" x="1252"/>
        <item m="1" x="1850"/>
        <item m="1" x="2639"/>
        <item m="1" x="3640"/>
        <item m="1" x="4821"/>
        <item m="1" x="6014"/>
        <item sd="0" m="1" x="6544"/>
        <item m="1" x="6998"/>
        <item m="1" x="7374"/>
        <item m="1" x="7657"/>
        <item m="1" x="2748"/>
        <item m="1" x="3743"/>
        <item m="1" x="4911"/>
        <item m="1" x="6078"/>
        <item m="1" x="545"/>
        <item m="1" x="714"/>
        <item m="1" x="1064"/>
        <item m="1" x="1597"/>
        <item m="1" x="2366"/>
        <item m="1" x="3315"/>
        <item m="1" x="4449"/>
        <item m="1" x="5631"/>
        <item m="1" x="6391"/>
        <item m="1" x="6861"/>
        <item m="1" x="1114"/>
        <item m="1" x="1667"/>
        <item m="1" x="2420"/>
        <item m="1" x="3370"/>
        <item m="1" x="4512"/>
        <item m="1" x="5712"/>
        <item m="1" x="6424"/>
        <item m="1" x="6894"/>
        <item m="1" x="7292"/>
        <item m="1" x="7596"/>
        <item m="1" x="2512"/>
        <item m="1" x="3453"/>
        <item m="1" x="4600"/>
        <item m="1" x="5794"/>
        <item m="1" x="1584"/>
        <item m="1" x="2315"/>
        <item m="1" x="3227"/>
        <item m="1" x="4306"/>
        <item m="1" x="5498"/>
        <item m="1" x="6327"/>
        <item m="1" x="6806"/>
        <item m="1" x="7229"/>
        <item m="1" x="7557"/>
        <item m="1" x="7795"/>
        <item m="1" x="3281"/>
        <item m="1" x="4396"/>
        <item sd="0" m="1" x="5583"/>
        <item m="1" x="6367"/>
        <item m="1" x="6837"/>
        <item m="1" x="7252"/>
        <item m="1" x="7580"/>
        <item m="1" x="7818"/>
        <item m="1" x="7963"/>
        <item m="1" x="448"/>
        <item m="1" x="5659"/>
        <item m="1" x="6403"/>
        <item m="1" x="6873"/>
        <item m="1" x="7271"/>
        <item sd="0" m="1" x="1426"/>
        <item m="1" x="2115"/>
        <item m="1" x="2952"/>
        <item m="1" x="4020"/>
        <item m="1" x="5199"/>
        <item m="1" x="6198"/>
        <item m="1" x="6689"/>
        <item m="1" x="7128"/>
        <item sd="0" m="1" x="7479"/>
        <item m="1" x="7737"/>
        <item m="1" x="3025"/>
        <item m="1" x="4098"/>
        <item m="1" x="5278"/>
        <item m="1" x="6234"/>
        <item m="1" x="6718"/>
        <item m="1" x="7150"/>
        <item m="1" x="7501"/>
        <item m="1" x="7759"/>
        <item m="1" x="7927"/>
        <item m="1" x="416"/>
        <item m="1" x="5356"/>
        <item m="1" x="6258"/>
        <item m="1" x="6742"/>
        <item m="1" x="7165"/>
        <item m="1" x="1030"/>
        <item m="1" x="1536"/>
        <item m="1" x="2213"/>
        <item m="1" x="3099"/>
        <item sd="0" m="1" x="4214"/>
        <item m="1" x="5414"/>
        <item m="1" x="6286"/>
        <item m="1" x="6770"/>
        <item m="1" x="7193"/>
        <item m="1" x="7520"/>
        <item m="1" x="2316"/>
        <item m="1" x="3228"/>
        <item m="1" x="4307"/>
        <item m="1" x="5499"/>
        <item m="1" x="6328"/>
        <item m="1" x="6807"/>
        <item m="1" x="7230"/>
        <item m="1" x="7558"/>
        <item m="1" x="7796"/>
        <item m="1" x="7942"/>
        <item m="1" x="4397"/>
        <item m="1" x="5584"/>
        <item m="1" x="6368"/>
        <item m="1" x="6838"/>
        <item m="1" x="923"/>
        <item m="1" x="1358"/>
        <item m="1" x="2030"/>
        <item m="1" x="2854"/>
        <item m="1" x="3938"/>
        <item m="1" x="5127"/>
        <item m="1" x="6159"/>
        <item m="1" x="6656"/>
        <item m="1" x="7095"/>
        <item m="1" x="7446"/>
        <item m="1" x="2116"/>
        <item m="1" x="2953"/>
        <item sd="0" m="1" x="4021"/>
        <item m="1" x="5200"/>
        <item m="1" x="6199"/>
        <item m="1" x="6690"/>
        <item m="1" x="7129"/>
        <item m="1" x="7480"/>
        <item m="1" x="7738"/>
        <item m="1" x="7908"/>
        <item m="1" x="4099"/>
        <item m="1" x="5279"/>
        <item m="1" x="6235"/>
        <item m="1" x="6719"/>
        <item m="1" x="829"/>
        <item m="1" x="1222"/>
        <item m="1" x="1822"/>
        <item m="1" x="2616"/>
        <item m="1" x="3609"/>
        <item m="1" x="4799"/>
        <item m="1" x="5983"/>
        <item m="1" x="6530"/>
        <item sd="0" m="1" x="6984"/>
        <item m="1" x="7360"/>
        <item m="1" x="1915"/>
        <item m="1" x="2697"/>
        <item m="1" x="3688"/>
        <item m="1" x="4870"/>
        <item m="1" x="6053"/>
        <item m="1" x="6563"/>
        <item m="1" x="7017"/>
        <item m="1" x="7393"/>
        <item m="1" x="7674"/>
        <item m="1" x="7869"/>
        <item m="1" x="3800"/>
        <item m="1" x="4956"/>
        <item m="1" x="6099"/>
        <item m="1" x="6596"/>
        <item sd="0" m="1" x="745"/>
        <item m="1" x="1093"/>
        <item m="1" x="1637"/>
        <item m="1" x="2392"/>
        <item m="1" x="3345"/>
        <item m="1" x="4475"/>
        <item m="1" x="5681"/>
        <item m="1" x="6408"/>
        <item m="1" x="6878"/>
        <item m="1" x="7276"/>
        <item m="1" x="1724"/>
        <item m="1" x="2470"/>
        <item m="1" x="3404"/>
        <item m="1" x="4564"/>
        <item m="1" x="5761"/>
        <item m="1" x="6440"/>
        <item m="1" x="6910"/>
        <item m="1" x="7308"/>
        <item m="1" x="7610"/>
        <item m="1" x="7828"/>
        <item sd="0" m="1" x="3507"/>
        <item m="1" x="4653"/>
        <item m="1" x="5831"/>
        <item m="1" x="6475"/>
        <item m="1" x="681"/>
        <item m="1" x="970"/>
        <item m="1" x="1456"/>
        <item m="1" x="2161"/>
        <item m="1" x="3036"/>
        <item m="1" x="4155"/>
        <item m="1" x="5361"/>
        <item m="1" x="6264"/>
        <item m="1" x="6748"/>
        <item m="1" x="7171"/>
        <item m="1" x="1537"/>
        <item m="1" x="2214"/>
        <item m="1" x="3100"/>
        <item m="1" x="4215"/>
        <item m="1" x="5415"/>
        <item m="1" x="6287"/>
        <item sd="0" m="1" x="6771"/>
        <item m="1" x="7194"/>
        <item m="1" x="7521"/>
        <item m="1" x="7767"/>
        <item m="1" x="3229"/>
        <item m="1" x="4308"/>
        <item m="1" x="5500"/>
        <item m="1" x="6329"/>
        <item sd="0" m="1" x="1759"/>
        <item m="1" x="2513"/>
        <item m="1" x="3454"/>
        <item m="1" x="4601"/>
        <item m="1" x="5795"/>
        <item m="1" x="6459"/>
        <item m="1" x="6927"/>
        <item m="1" x="7325"/>
        <item m="1" x="7627"/>
        <item m="1" x="7839"/>
        <item m="1" x="3541"/>
        <item m="1" x="4690"/>
        <item m="1" x="5866"/>
        <item m="1" x="6492"/>
        <item m="1" x="6948"/>
        <item m="1" x="7344"/>
        <item m="1" x="7646"/>
        <item m="1" x="7857"/>
        <item m="1" x="7982"/>
        <item m="1" x="458"/>
        <item sd="0" m="1" x="5943"/>
        <item m="1" x="6512"/>
        <item m="1" x="6966"/>
        <item m="1" x="7349"/>
        <item m="1" x="1565"/>
        <item m="1" x="2264"/>
        <item m="1" x="3153"/>
        <item m="1" x="4255"/>
        <item m="1" x="5444"/>
        <item m="1" x="6306"/>
        <item m="1" x="6790"/>
        <item m="1" x="7213"/>
        <item m="1" x="7541"/>
        <item m="1" x="7780"/>
        <item m="1" x="3262"/>
        <item m="1" x="4352"/>
        <item m="1" x="5544"/>
        <item m="1" x="6351"/>
        <item m="1" x="6824"/>
        <item m="1" x="7243"/>
        <item sd="0" m="1" x="7571"/>
        <item m="1" x="7809"/>
        <item m="1" x="7954"/>
        <item m="1" x="431"/>
        <item m="1" x="5615"/>
        <item m="1" x="6382"/>
        <item m="1" x="6852"/>
        <item m="1" x="7258"/>
        <item m="1" x="1395"/>
        <item m="1" x="2070"/>
        <item m="1" x="2899"/>
        <item m="1" x="3968"/>
        <item m="1" x="5164"/>
        <item m="1" x="6177"/>
        <item m="1" x="6674"/>
        <item m="1" x="7113"/>
        <item m="1" x="7464"/>
        <item m="1" x="7725"/>
        <item m="1" x="2993"/>
        <item m="1" x="4064"/>
        <item m="1" x="5248"/>
        <item m="1" x="6220"/>
        <item m="1" x="6706"/>
        <item m="1" x="7142"/>
        <item m="1" x="7493"/>
        <item m="1" x="7751"/>
        <item m="1" x="7919"/>
        <item m="1" x="402"/>
        <item m="1" x="5308"/>
        <item m="1" x="6248"/>
        <item m="1" x="6732"/>
        <item m="1" x="7157"/>
        <item m="1" x="1253"/>
        <item m="1" x="1851"/>
        <item m="1" x="2640"/>
        <item m="1" x="3641"/>
        <item m="1" x="4822"/>
        <item m="1" x="6015"/>
        <item m="1" x="6545"/>
        <item m="1" x="6999"/>
        <item m="1" x="7375"/>
        <item m="1" x="7658"/>
        <item m="1" x="2749"/>
        <item m="1" x="3744"/>
        <item m="1" x="4912"/>
        <item m="1" x="6079"/>
        <item m="1" x="6579"/>
        <item m="1" x="7031"/>
        <item m="1" x="7407"/>
        <item m="1" x="7688"/>
        <item m="1" x="7881"/>
        <item m="1" x="7987"/>
        <item m="1" x="4994"/>
        <item m="1" x="6113"/>
        <item m="1" x="6610"/>
        <item m="1" x="7051"/>
        <item m="1" x="1115"/>
        <item m="1" x="1668"/>
        <item m="1" x="2421"/>
        <item m="1" x="3371"/>
        <item m="1" x="4513"/>
        <item m="1" x="5713"/>
        <item m="1" x="6425"/>
        <item m="1" x="6895"/>
        <item m="1" x="7293"/>
        <item m="1" x="7597"/>
        <item m="1" x="2514"/>
        <item m="1" x="3455"/>
        <item sd="0" m="1" x="4602"/>
        <item m="1" x="5796"/>
        <item m="1" x="6460"/>
        <item m="1" x="6928"/>
        <item m="1" x="7326"/>
        <item m="1" x="7628"/>
        <item m="1" x="7840"/>
        <item m="1" x="7968"/>
        <item m="1" x="4691"/>
        <item m="1" x="5867"/>
        <item m="1" x="6493"/>
        <item m="1" x="6949"/>
        <item m="1" x="794"/>
        <item m="1" x="1183"/>
        <item m="1" x="1793"/>
        <item m="1" x="2578"/>
        <item m="1" x="3584"/>
        <item m="1" x="4766"/>
        <item m="1" x="5952"/>
        <item m="1" x="6521"/>
        <item m="1" x="6975"/>
        <item m="1" x="7353"/>
        <item m="1" x="1852"/>
        <item m="1" x="2641"/>
        <item m="1" x="3642"/>
        <item m="1" x="4823"/>
        <item m="1" x="6016"/>
        <item m="1" x="6546"/>
        <item m="1" x="7000"/>
        <item m="1" x="7376"/>
        <item m="1" x="7659"/>
        <item m="1" x="7862"/>
        <item m="1" x="3745"/>
        <item m="1" x="4913"/>
        <item m="1" x="6080"/>
        <item m="1" x="6580"/>
        <item m="1" x="715"/>
        <item m="1" x="1065"/>
        <item m="1" x="1598"/>
        <item m="1" x="2367"/>
        <item sd="0" m="1" x="3316"/>
        <item m="1" x="4450"/>
        <item m="1" x="5632"/>
        <item m="1" x="6392"/>
        <item m="1" x="6862"/>
        <item m="1" x="7262"/>
        <item m="1" x="1669"/>
        <item m="1" x="2422"/>
        <item m="1" x="3372"/>
        <item m="1" x="4514"/>
        <item m="1" x="5714"/>
        <item m="1" x="6426"/>
        <item m="1" x="6896"/>
        <item m="1" x="7294"/>
        <item m="1" x="7598"/>
        <item m="1" x="7823"/>
        <item m="1" x="3456"/>
        <item m="1" x="4603"/>
        <item m="1" x="5797"/>
        <item m="1" x="6461"/>
        <item m="1" x="2317"/>
        <item m="1" x="3230"/>
        <item m="1" x="4309"/>
        <item m="1" x="5501"/>
        <item m="1" x="6330"/>
        <item m="1" x="6808"/>
        <item m="1" x="7231"/>
        <item m="1" x="7559"/>
        <item m="1" x="7797"/>
        <item m="1" x="7943"/>
        <item m="1" x="4398"/>
        <item m="1" x="5585"/>
        <item m="1" x="6369"/>
        <item m="1" x="6839"/>
        <item m="1" x="7253"/>
        <item m="1" x="7581"/>
        <item m="1" x="7819"/>
        <item m="1" x="7964"/>
        <item m="1" x="449"/>
        <item m="1" x="481"/>
        <item m="1" x="6404"/>
        <item m="1" x="6874"/>
        <item m="1" x="7272"/>
        <item m="1" x="7586"/>
        <item m="1" x="2117"/>
        <item m="1" x="2954"/>
        <item m="1" x="4022"/>
        <item m="1" x="5201"/>
        <item m="1" x="6200"/>
        <item m="1" x="6691"/>
        <item m="1" x="7130"/>
        <item m="1" x="7481"/>
        <item m="1" x="7739"/>
        <item m="1" x="7909"/>
        <item m="1" x="4100"/>
        <item m="1" x="5280"/>
        <item m="1" x="6236"/>
        <item m="1" x="6720"/>
        <item m="1" x="7151"/>
        <item m="1" x="7502"/>
        <item m="1" x="7760"/>
        <item m="1" x="7928"/>
        <item m="1" x="417"/>
        <item m="1" x="477"/>
        <item m="1" x="6259"/>
        <item m="1" x="6743"/>
        <item m="1" x="7166"/>
        <item m="1" x="7506"/>
        <item m="1" x="1164"/>
        <item m="1" x="1760"/>
        <item m="1" x="2515"/>
        <item m="1" x="3457"/>
        <item m="1" x="4604"/>
        <item m="1" x="5798"/>
        <item m="1" x="6462"/>
        <item m="1" x="6929"/>
        <item m="1" x="7327"/>
        <item m="1" x="7629"/>
        <item m="1" x="2565"/>
        <item m="1" x="3542"/>
        <item m="1" x="4692"/>
        <item m="1" x="5868"/>
        <item m="1" x="6494"/>
        <item m="1" x="6950"/>
        <item m="1" x="7345"/>
        <item m="1" x="7647"/>
        <item m="1" x="7858"/>
        <item m="1" x="7983"/>
        <item m="1" x="4759"/>
        <item m="1" x="5944"/>
        <item m="1" x="6513"/>
        <item m="1" x="6967"/>
        <item m="1" x="845"/>
        <item m="1" x="1254"/>
        <item m="1" x="1853"/>
        <item m="1" x="2642"/>
        <item m="1" x="3643"/>
        <item m="1" x="4824"/>
        <item m="1" x="6017"/>
        <item m="1" x="6547"/>
        <item m="1" x="7001"/>
        <item m="1" x="7377"/>
        <item m="1" x="1939"/>
        <item m="1" x="2750"/>
        <item m="1" x="3746"/>
        <item m="1" x="4914"/>
        <item m="1" x="6081"/>
        <item m="1" x="6581"/>
        <item m="1" x="7032"/>
        <item m="1" x="7408"/>
        <item m="1" x="7689"/>
        <item m="1" x="7882"/>
        <item m="1" x="3831"/>
        <item m="1" x="4995"/>
        <item m="1" x="6114"/>
        <item m="1" x="6611"/>
        <item m="1" x="758"/>
        <item m="1" x="1116"/>
        <item m="1" x="1670"/>
        <item m="1" x="2423"/>
        <item m="1" x="3373"/>
        <item m="1" x="4515"/>
        <item m="1" x="5715"/>
        <item m="1" x="6427"/>
        <item m="1" x="6897"/>
        <item m="1" x="7295"/>
        <item m="1" x="1761"/>
        <item m="1" x="2516"/>
        <item m="1" x="3458"/>
        <item m="1" x="4605"/>
        <item m="1" x="5799"/>
        <item m="1" x="6463"/>
        <item m="1" x="6930"/>
        <item m="1" x="7328"/>
        <item m="1" x="7630"/>
        <item m="1" x="7841"/>
        <item m="1" x="3543"/>
        <item m="1" x="4693"/>
        <item m="1" x="5869"/>
        <item m="1" x="6495"/>
        <item m="1" x="689"/>
        <item sd="0" m="1" x="997"/>
        <item m="1" x="1481"/>
        <item m="1" x="2182"/>
        <item m="1" x="3055"/>
        <item m="1" x="4174"/>
        <item m="1" x="5379"/>
        <item m="1" x="6274"/>
        <item m="1" x="6758"/>
        <item m="1" x="7181"/>
        <item m="1" x="1566"/>
        <item m="1" x="2265"/>
        <item m="1" x="3154"/>
        <item m="1" x="4256"/>
        <item m="1" x="5445"/>
        <item m="1" x="6307"/>
        <item m="1" x="6791"/>
        <item m="1" x="7214"/>
        <item m="1" x="7542"/>
        <item m="1" x="7781"/>
        <item m="1" x="3263"/>
        <item m="1" x="4353"/>
        <item m="1" x="5545"/>
        <item m="1" x="6352"/>
        <item m="1" x="629"/>
        <item m="1" x="900"/>
        <item m="1" x="1326"/>
        <item m="1" x="1986"/>
        <item m="1" x="2827"/>
        <item m="1" x="3896"/>
        <item m="1" x="5086"/>
        <item sd="0" m="1" x="6146"/>
        <item m="1" x="6643"/>
        <item m="1" x="7082"/>
        <item m="1" x="1396"/>
        <item m="1" x="2071"/>
        <item m="1" x="2900"/>
        <item m="1" x="3969"/>
        <item m="1" x="5165"/>
        <item m="1" x="6178"/>
        <item m="1" x="6675"/>
        <item m="1" x="7114"/>
        <item m="1" x="7465"/>
        <item m="1" x="7726"/>
        <item m="1" x="2994"/>
        <item m="1" x="4065"/>
        <item m="1" x="5249"/>
        <item m="1" x="6221"/>
        <item m="1" x="589"/>
        <item m="1" x="795"/>
        <item m="1" x="1184"/>
        <item m="1" x="1794"/>
        <item m="1" x="2579"/>
        <item m="1" x="3585"/>
        <item m="1" x="4767"/>
        <item m="1" x="5953"/>
        <item m="1" x="6522"/>
        <item m="1" x="6976"/>
        <item m="1" x="1255"/>
        <item m="1" x="1854"/>
        <item m="1" x="2643"/>
        <item m="1" x="3644"/>
        <item m="1" x="4825"/>
        <item m="1" x="6018"/>
        <item m="1" x="6548"/>
        <item m="1" x="7002"/>
        <item m="1" x="7378"/>
        <item m="1" x="7660"/>
        <item m="1" x="2751"/>
        <item m="1" x="3747"/>
        <item m="1" x="4915"/>
        <item m="1" x="6082"/>
        <item m="1" x="1427"/>
        <item m="1" x="2118"/>
        <item m="1" x="2955"/>
        <item m="1" x="4023"/>
        <item m="1" x="5202"/>
        <item m="1" x="6201"/>
        <item m="1" x="6692"/>
        <item m="1" x="7131"/>
        <item m="1" x="7482"/>
        <item m="1" x="7740"/>
        <item m="1" x="3026"/>
        <item m="1" x="4101"/>
        <item m="1" x="5281"/>
        <item m="1" x="6237"/>
        <item m="1" x="6721"/>
        <item m="1" x="7152"/>
        <item m="1" x="7503"/>
        <item m="1" x="7761"/>
        <item m="1" x="7929"/>
        <item m="1" x="418"/>
        <item m="1" x="5357"/>
        <item m="1" x="6260"/>
        <item m="1" x="6744"/>
        <item m="1" x="7167"/>
        <item m="1" x="1281"/>
        <item m="1" x="1916"/>
        <item m="1" x="2698"/>
        <item m="1" x="3689"/>
        <item m="1" x="4871"/>
        <item m="1" x="6054"/>
        <item m="1" x="6564"/>
        <item m="1" x="7018"/>
        <item m="1" x="7394"/>
        <item m="1" x="7675"/>
        <item m="1" x="2779"/>
        <item m="1" x="3801"/>
        <item m="1" x="4957"/>
        <item m="1" x="6100"/>
        <item m="1" x="6597"/>
        <item m="1" x="7042"/>
        <item m="1" x="7418"/>
        <item m="1" x="7699"/>
        <item m="1" x="7892"/>
        <item m="1" x="7994"/>
        <item m="1" x="5044"/>
        <item m="1" x="6126"/>
        <item m="1" x="6623"/>
        <item m="1" x="7062"/>
        <item m="1" x="1151"/>
        <item m="1" x="1725"/>
        <item m="1" x="2471"/>
        <item m="1" x="3405"/>
        <item m="1" x="4565"/>
        <item m="1" x="5762"/>
        <item m="1" x="6441"/>
        <item m="1" x="6911"/>
        <item m="1" x="7309"/>
        <item m="1" x="7611"/>
        <item m="1" x="2552"/>
        <item m="1" x="3508"/>
        <item m="1" x="4654"/>
        <item m="1" x="5832"/>
        <item m="1" x="6476"/>
        <item m="1" x="6938"/>
        <item m="1" x="7336"/>
        <item m="1" x="7638"/>
        <item m="1" x="7849"/>
        <item m="1" x="7974"/>
        <item m="1" x="4719"/>
        <item m="1" x="5895"/>
        <item m="1" x="6503"/>
        <item m="1" x="6957"/>
        <item m="1" x="1031"/>
        <item m="1" x="1538"/>
        <item m="1" x="2215"/>
        <item m="1" x="3101"/>
        <item m="1" x="4216"/>
        <item m="1" x="5416"/>
        <item m="1" x="6288"/>
        <item m="1" x="6772"/>
        <item m="1" x="7195"/>
        <item m="1" x="7522"/>
        <item m="1" x="2318"/>
        <item m="1" x="3231"/>
        <item m="1" x="4310"/>
        <item m="1" x="5502"/>
        <item m="1" x="6331"/>
        <item m="1" x="6809"/>
        <item m="1" x="7232"/>
        <item m="1" x="7560"/>
        <item m="1" x="7798"/>
        <item m="1" x="7944"/>
        <item m="1" x="4399"/>
        <item m="1" x="5586"/>
        <item m="1" x="6370"/>
        <item m="1" x="6840"/>
        <item m="1" x="924"/>
        <item m="1" x="1359"/>
        <item m="1" x="2031"/>
        <item m="1" x="2855"/>
        <item m="1" x="3939"/>
        <item m="1" x="5128"/>
        <item m="1" x="6160"/>
        <item m="1" x="6657"/>
        <item m="1" x="7096"/>
        <item m="1" x="7447"/>
        <item m="1" x="2119"/>
        <item m="1" x="2956"/>
        <item m="1" x="4024"/>
        <item m="1" x="5203"/>
        <item m="1" x="6202"/>
        <item m="1" x="6693"/>
        <item m="1" x="7132"/>
        <item m="1" x="7483"/>
        <item m="1" x="7741"/>
        <item m="1" x="7910"/>
        <item m="1" x="4102"/>
        <item m="1" x="5282"/>
        <item m="1" x="6238"/>
        <item m="1" x="6722"/>
        <item m="1" x="682"/>
        <item m="1" x="971"/>
        <item m="1" x="1457"/>
        <item m="1" x="2162"/>
        <item m="1" x="3037"/>
        <item m="1" x="4156"/>
        <item m="1" x="5362"/>
        <item m="1" x="6265"/>
        <item m="1" x="6749"/>
        <item m="1" x="7172"/>
        <item m="1" x="1539"/>
        <item m="1" x="2216"/>
        <item m="1" x="3102"/>
        <item m="1" x="4217"/>
        <item m="1" x="5417"/>
        <item m="1" x="6289"/>
        <item m="1" x="6773"/>
        <item m="1" x="7196"/>
        <item m="1" x="7523"/>
        <item m="1" x="7768"/>
        <item m="1" x="3232"/>
        <item m="1" x="4311"/>
        <item m="1" x="5503"/>
        <item m="1" x="6332"/>
        <item m="1" x="615"/>
        <item m="1" x="883"/>
        <item m="1" x="1301"/>
        <item m="1" x="1968"/>
        <item m="1" x="2809"/>
        <item m="1" x="3871"/>
        <item m="1" x="5067"/>
        <item m="1" x="6132"/>
        <item m="1" x="6629"/>
        <item m="1" x="7068"/>
        <item m="1" x="1360"/>
        <item m="1" x="2032"/>
        <item m="1" x="2856"/>
        <item m="1" x="3940"/>
        <item m="1" x="5129"/>
        <item m="1" x="6161"/>
        <item m="1" x="6658"/>
        <item m="1" x="7097"/>
        <item m="1" x="7448"/>
        <item m="1" x="7713"/>
        <item m="1" x="2957"/>
        <item m="1" x="4025"/>
        <item m="1" x="5204"/>
        <item m="1" x="6203"/>
        <item m="1" x="1940"/>
        <item m="1" x="2752"/>
        <item m="1" x="3748"/>
        <item m="1" x="4916"/>
        <item m="1" x="6083"/>
        <item m="1" x="6582"/>
        <item m="1" x="7033"/>
        <item m="1" x="7409"/>
        <item m="1" x="7690"/>
        <item m="1" x="7883"/>
        <item m="1" x="3832"/>
        <item m="1" x="4996"/>
        <item m="1" x="6115"/>
        <item m="1" x="6612"/>
        <item m="1" x="7052"/>
        <item m="1" x="7424"/>
        <item m="1" x="7705"/>
        <item m="1" x="7898"/>
        <item m="1" x="474"/>
        <item m="1" x="6138"/>
        <item m="1" x="6635"/>
        <item m="1" x="7074"/>
        <item m="1" x="7430"/>
        <item m="1" x="1762"/>
        <item m="1" x="2517"/>
        <item m="1" x="3459"/>
        <item m="1" x="4606"/>
        <item m="1" x="5800"/>
        <item m="1" x="6464"/>
        <item m="1" x="6931"/>
        <item m="1" x="7329"/>
        <item m="1" x="7631"/>
        <item m="1" x="7842"/>
        <item m="1" x="3544"/>
        <item m="1" x="4694"/>
        <item m="1" x="5870"/>
        <item m="1" x="6496"/>
        <item m="1" x="6951"/>
        <item m="1" x="7346"/>
        <item m="1" x="7648"/>
        <item m="1" x="7859"/>
        <item m="1" x="7984"/>
        <item m="1" x="459"/>
        <item m="1" x="5945"/>
        <item m="1" x="6514"/>
        <item m="1" x="6968"/>
        <item m="1" x="7350"/>
        <item m="1" x="1567"/>
        <item m="1" x="2266"/>
        <item m="1" x="3155"/>
        <item m="1" x="4257"/>
        <item m="1" x="5446"/>
        <item m="1" x="6308"/>
        <item m="1" x="6792"/>
        <item m="1" x="7215"/>
        <item m="1" x="7543"/>
        <item m="1" x="7782"/>
        <item m="1" x="3264"/>
        <item m="1" x="4354"/>
        <item m="1" x="5546"/>
        <item m="1" x="6353"/>
        <item m="1" x="6825"/>
        <item m="1" x="7244"/>
        <item m="1" x="7572"/>
        <item m="1" x="7810"/>
        <item m="1" x="7955"/>
        <item m="1" x="432"/>
        <item m="1" x="5616"/>
        <item m="1" x="6383"/>
        <item m="1" x="6853"/>
        <item m="1" x="7259"/>
        <item m="1" x="1117"/>
        <item m="1" x="1671"/>
        <item m="1" x="2424"/>
        <item m="1" x="3374"/>
        <item m="1" x="4516"/>
        <item m="1" x="5716"/>
        <item m="1" x="6428"/>
        <item m="1" x="6898"/>
        <item m="1" x="7296"/>
        <item m="1" x="7599"/>
        <item m="1" x="2518"/>
        <item m="1" x="3460"/>
        <item m="1" x="4607"/>
        <item m="1" x="5801"/>
        <item m="1" x="6465"/>
        <item m="1" x="6932"/>
        <item m="1" x="7330"/>
        <item m="1" x="7632"/>
        <item m="1" x="7843"/>
        <item m="1" x="7969"/>
        <item m="1" x="4695"/>
        <item m="1" x="5871"/>
        <item m="1" x="6497"/>
        <item m="1" x="6952"/>
        <item sd="0" m="1" x="998"/>
        <item m="1" x="1482"/>
        <item m="1" x="2183"/>
        <item m="1" x="3056"/>
        <item m="1" x="4175"/>
        <item m="1" x="5380"/>
        <item m="1" x="6275"/>
        <item m="1" x="6759"/>
        <item m="1" x="7182"/>
        <item m="1" x="7511"/>
        <item m="1" x="2267"/>
        <item m="1" x="3156"/>
        <item m="1" x="4258"/>
        <item m="1" x="5447"/>
        <item m="1" x="6309"/>
        <item m="1" x="6793"/>
        <item m="1" x="7216"/>
        <item m="1" x="7544"/>
        <item m="1" x="7783"/>
        <item m="1" x="7935"/>
        <item m="1" x="4355"/>
        <item m="1" x="5547"/>
        <item m="1" x="6354"/>
        <item m="1" x="6826"/>
        <item m="1" x="901"/>
        <item m="1" x="1327"/>
        <item m="1" x="1987"/>
        <item m="1" x="2828"/>
        <item m="1" x="3897"/>
        <item m="1" x="5087"/>
        <item sd="0" m="1" x="6147"/>
        <item sd="0" m="1" x="6644"/>
        <item m="1" x="7083"/>
        <item m="1" x="7435"/>
        <item m="1" x="2072"/>
        <item m="1" x="2901"/>
        <item m="1" x="3970"/>
        <item m="1" x="5166"/>
        <item m="1" x="6179"/>
        <item m="1" x="6676"/>
        <item sd="0" m="1" x="7115"/>
        <item sd="0" m="1" x="7466"/>
        <item m="1" x="7727"/>
        <item m="1" x="7903"/>
        <item m="1" x="4066"/>
        <item m="1" x="5250"/>
        <item m="1" x="6222"/>
        <item m="1" x="6707"/>
        <item m="1" x="796"/>
        <item m="1" x="1185"/>
        <item m="1" x="1795"/>
        <item m="1" x="2580"/>
        <item m="1" x="3586"/>
        <item sd="0" m="1" x="4768"/>
        <item m="1" x="5954"/>
        <item m="1" x="6523"/>
        <item m="1" x="6977"/>
        <item m="1" x="7354"/>
        <item m="1" x="1855"/>
        <item m="1" x="2644"/>
        <item m="1" x="3645"/>
        <item m="1" x="4826"/>
        <item m="1" x="6019"/>
        <item sd="0" m="1" x="6549"/>
        <item m="1" x="7003"/>
        <item m="1" x="7379"/>
        <item m="1" x="7661"/>
        <item m="1" x="7863"/>
        <item m="1" x="3749"/>
        <item m="1" x="4917"/>
        <item m="1" x="6084"/>
        <item m="1" x="6583"/>
        <item m="1" x="716"/>
        <item m="1" x="1066"/>
        <item m="1" x="1599"/>
        <item m="1" x="2368"/>
        <item sd="0" m="1" x="3317"/>
        <item m="1" x="4451"/>
        <item m="1" x="5633"/>
        <item m="1" x="6393"/>
        <item m="1" x="6863"/>
        <item m="1" x="7263"/>
        <item m="1" x="1672"/>
        <item m="1" x="2425"/>
        <item m="1" x="3375"/>
        <item m="1" x="4517"/>
        <item sd="0" m="1" x="5717"/>
        <item m="1" x="6429"/>
        <item m="1" x="6899"/>
        <item m="1" x="7297"/>
        <item m="1" x="7600"/>
        <item m="1" x="7824"/>
        <item m="1" x="3461"/>
        <item m="1" x="4608"/>
        <item m="1" x="5802"/>
        <item m="1" x="6466"/>
        <item m="1" x="1044"/>
        <item m="1" x="1568"/>
        <item m="1" x="2268"/>
        <item m="1" x="3157"/>
        <item m="1" x="4259"/>
        <item m="1" x="5448"/>
        <item m="1" x="6310"/>
        <item m="1" x="6794"/>
        <item m="1" x="7217"/>
        <item m="1" x="7545"/>
        <item m="1" x="2333"/>
        <item m="1" x="3265"/>
        <item m="1" x="4356"/>
        <item m="1" x="5548"/>
        <item m="1" x="6355"/>
        <item m="1" x="6827"/>
        <item m="1" x="7245"/>
        <item m="1" x="7573"/>
        <item m="1" x="7811"/>
        <item m="1" x="7956"/>
        <item m="1" x="4440"/>
        <item m="1" x="5617"/>
        <item m="1" x="6384"/>
        <item m="1" x="6854"/>
        <item m="1" x="947"/>
        <item m="1" x="1397"/>
        <item m="1" x="2073"/>
        <item m="1" x="2902"/>
        <item m="1" x="3971"/>
        <item m="1" x="5167"/>
        <item m="1" x="6180"/>
        <item m="1" x="6677"/>
        <item m="1" x="7116"/>
        <item m="1" x="7467"/>
        <item m="1" x="2141"/>
        <item m="1" x="2995"/>
        <item m="1" x="4067"/>
        <item m="1" x="5251"/>
        <item m="1" x="6223"/>
        <item m="1" x="6708"/>
        <item m="1" x="7143"/>
        <item m="1" x="7494"/>
        <item m="1" x="7752"/>
        <item m="1" x="7920"/>
        <item m="1" x="4124"/>
        <item m="1" x="5309"/>
        <item m="1" x="6249"/>
        <item m="1" x="6733"/>
        <item m="1" x="846"/>
        <item m="1" x="1256"/>
        <item m="1" x="1856"/>
        <item m="1" x="2645"/>
        <item m="1" x="3646"/>
        <item m="1" x="4827"/>
        <item m="1" x="6020"/>
        <item m="1" x="6550"/>
        <item m="1" x="7004"/>
        <item m="1" x="7380"/>
        <item m="1" x="1941"/>
        <item m="1" x="2753"/>
        <item m="1" x="3750"/>
        <item m="1" x="4918"/>
        <item m="1" x="6085"/>
        <item m="1" x="6584"/>
        <item m="1" x="7034"/>
        <item m="1" x="7410"/>
        <item m="1" x="7691"/>
        <item m="1" x="7884"/>
        <item m="1" x="3833"/>
        <item m="1" x="4997"/>
        <item m="1" x="6116"/>
        <item m="1" x="6613"/>
        <item m="1" x="759"/>
        <item m="1" x="1118"/>
        <item m="1" x="1673"/>
        <item m="1" x="2426"/>
        <item m="1" x="3376"/>
        <item m="1" x="4518"/>
        <item m="1" x="5718"/>
        <item m="1" x="6430"/>
        <item m="1" x="6900"/>
        <item m="1" x="7298"/>
        <item m="1" x="1763"/>
        <item m="1" x="2519"/>
        <item m="1" x="3462"/>
        <item m="1" x="4609"/>
        <item m="1" x="5803"/>
        <item m="1" x="6467"/>
        <item m="1" x="6933"/>
        <item m="1" x="7331"/>
        <item m="1" x="7633"/>
        <item m="1" x="7844"/>
        <item m="1" x="3545"/>
        <item m="1" x="4696"/>
        <item m="1" x="5872"/>
        <item m="1" x="6498"/>
        <item m="1" x="690"/>
        <item sd="0" m="1" x="999"/>
        <item m="1" x="1483"/>
        <item m="1" x="2184"/>
        <item m="1" x="3057"/>
        <item m="1" x="4176"/>
        <item m="1" x="5381"/>
        <item m="1" x="6276"/>
        <item m="1" x="6760"/>
        <item m="1" x="7183"/>
        <item m="1" x="1569"/>
        <item m="1" x="2269"/>
        <item m="1" x="3158"/>
        <item m="1" x="4260"/>
        <item m="1" x="5449"/>
        <item m="1" x="6311"/>
        <item m="1" x="6795"/>
        <item m="1" x="7218"/>
        <item m="1" x="7546"/>
        <item m="1" x="7784"/>
        <item m="1" x="3266"/>
        <item m="1" x="4357"/>
        <item m="1" x="5549"/>
        <item m="1" x="6356"/>
        <item m="1" x="546"/>
        <item m="1" x="717"/>
        <item m="1" x="1067"/>
        <item m="1" x="1600"/>
        <item m="1" x="2369"/>
        <item m="1" x="3318"/>
        <item m="1" x="4452"/>
        <item m="1" x="5634"/>
        <item m="1" x="6394"/>
        <item m="1" x="6864"/>
        <item m="1" x="1119"/>
        <item m="1" x="1674"/>
        <item m="1" x="2427"/>
        <item m="1" x="3377"/>
        <item m="1" x="4519"/>
        <item m="1" x="5719"/>
        <item m="1" x="6431"/>
        <item m="1" x="6901"/>
        <item m="1" x="7299"/>
        <item m="1" x="7601"/>
        <item m="1" x="2520"/>
        <item m="1" x="3463"/>
        <item m="1" x="4610"/>
        <item m="1" x="5804"/>
        <item m="1" x="1585"/>
        <item m="1" x="2319"/>
        <item m="1" x="3233"/>
        <item m="1" x="4312"/>
        <item m="1" x="5504"/>
        <item m="1" x="6333"/>
        <item m="1" x="6810"/>
        <item m="1" x="7233"/>
        <item m="1" x="7561"/>
        <item m="1" x="7799"/>
        <item m="1" x="3282"/>
        <item m="1" x="4400"/>
        <item m="1" x="5587"/>
        <item m="1" x="6371"/>
        <item m="1" x="6841"/>
        <item m="1" x="7254"/>
        <item m="1" x="7582"/>
        <item m="1" x="7820"/>
        <item m="1" x="7965"/>
        <item m="1" x="450"/>
        <item m="1" x="5660"/>
        <item m="1" x="6405"/>
        <item m="1" x="6875"/>
        <item m="1" x="7273"/>
        <item m="1" x="1428"/>
        <item m="1" x="2120"/>
        <item m="1" x="2958"/>
        <item m="1" x="4026"/>
        <item m="1" x="5205"/>
        <item m="1" x="6204"/>
        <item m="1" x="6694"/>
        <item m="1" x="7133"/>
        <item m="1" x="7484"/>
        <item m="1" x="7742"/>
        <item m="1" x="3027"/>
        <item m="1" x="4103"/>
        <item m="1" x="5283"/>
        <item m="1" x="6239"/>
        <item m="1" x="6723"/>
        <item m="1" x="7153"/>
        <item m="1" x="7504"/>
        <item m="1" x="7762"/>
        <item m="1" x="7930"/>
        <item m="1" x="419"/>
        <item m="1" x="5358"/>
        <item m="1" x="6261"/>
        <item m="1" x="6745"/>
        <item m="1" x="7168"/>
        <item m="1" x="1282"/>
        <item m="1" x="1917"/>
        <item m="1" x="2699"/>
        <item m="1" x="3690"/>
        <item m="1" x="4872"/>
        <item m="1" x="6055"/>
        <item m="1" x="6565"/>
        <item m="1" x="7019"/>
        <item m="1" x="7395"/>
        <item m="1" x="7676"/>
        <item m="1" x="2780"/>
        <item m="1" x="3802"/>
        <item m="1" x="4958"/>
        <item m="1" x="6101"/>
        <item m="1" x="6598"/>
        <item m="1" x="7043"/>
        <item m="1" x="7419"/>
        <item m="1" x="7700"/>
        <item m="1" x="7893"/>
        <item m="1" x="7995"/>
        <item m="1" x="5045"/>
        <item m="1" x="6127"/>
        <item m="1" x="6624"/>
        <item m="1" x="7063"/>
        <item m="1" x="1152"/>
        <item m="1" x="1726"/>
        <item m="1" x="2472"/>
        <item m="1" x="3406"/>
        <item m="1" x="4566"/>
        <item m="1" x="5763"/>
        <item m="1" x="6442"/>
        <item m="1" x="6912"/>
        <item m="1" x="7310"/>
        <item m="1" x="7612"/>
        <item m="1" x="2553"/>
        <item m="1" x="3509"/>
        <item m="1" x="4655"/>
        <item m="1" x="5833"/>
        <item m="1" x="6477"/>
        <item m="1" x="6939"/>
        <item m="1" x="7337"/>
        <item m="1" x="7639"/>
        <item m="1" x="7850"/>
        <item m="1" x="7975"/>
        <item m="1" x="4720"/>
        <item m="1" x="5896"/>
        <item m="1" x="6504"/>
        <item m="1" x="6958"/>
        <item m="1" x="830"/>
        <item m="1" x="1223"/>
        <item m="1" x="1823"/>
        <item m="1" x="2617"/>
        <item m="1" x="3610"/>
        <item m="1" x="4800"/>
        <item m="1" x="5984"/>
        <item m="1" x="6531"/>
        <item m="1" x="6985"/>
        <item m="1" x="7361"/>
        <item m="1" x="1918"/>
        <item m="1" x="2700"/>
        <item m="1" x="3691"/>
        <item m="1" x="4873"/>
        <item m="1" x="6056"/>
        <item m="1" x="6566"/>
        <item m="1" x="7020"/>
        <item m="1" x="7396"/>
        <item m="1" x="7677"/>
        <item m="1" x="7870"/>
        <item m="1" x="3803"/>
        <item m="1" x="4959"/>
        <item m="1" x="6102"/>
        <item m="1" x="6599"/>
        <item m="1" x="746"/>
        <item m="1" x="1094"/>
        <item m="1" x="1638"/>
        <item m="1" x="2393"/>
        <item m="1" x="3346"/>
        <item m="1" x="4476"/>
        <item m="1" x="5682"/>
        <item m="1" x="6409"/>
        <item m="1" x="6879"/>
        <item m="1" x="7277"/>
        <item m="1" x="1727"/>
        <item m="1" x="2473"/>
        <item m="1" x="3407"/>
        <item m="1" x="4567"/>
        <item m="1" x="5764"/>
        <item m="1" x="6443"/>
        <item m="1" x="6913"/>
        <item m="1" x="7311"/>
        <item m="1" x="7613"/>
        <item m="1" x="7829"/>
        <item m="1" x="3510"/>
        <item m="1" x="4656"/>
        <item m="1" x="5834"/>
        <item m="1" x="6478"/>
        <item m="1" x="683"/>
        <item m="1" x="972"/>
        <item m="1" x="1458"/>
        <item m="1" x="2163"/>
        <item m="1" x="3038"/>
        <item m="1" x="4157"/>
        <item m="1" x="5363"/>
        <item m="1" x="6266"/>
        <item m="1" x="6750"/>
        <item m="1" x="7173"/>
        <item m="1" x="1540"/>
        <item m="1" x="2217"/>
        <item m="1" x="3103"/>
        <item m="1" x="4218"/>
        <item m="1" x="5418"/>
        <item m="1" x="6290"/>
        <item m="1" x="6774"/>
        <item m="1" x="7197"/>
        <item m="1" x="7524"/>
        <item m="1" x="7769"/>
        <item m="1" x="3234"/>
        <item m="1" x="4313"/>
        <item m="1" x="5505"/>
        <item m="1" x="6334"/>
        <item m="1" x="616"/>
        <item m="1" x="884"/>
        <item m="1" x="1302"/>
        <item m="1" x="1969"/>
        <item m="1" x="2810"/>
        <item m="1" x="3872"/>
        <item m="1" x="5068"/>
        <item m="1" x="6133"/>
        <item m="1" x="6630"/>
        <item m="1" x="7069"/>
        <item m="1" x="1361"/>
        <item m="1" x="2033"/>
        <item m="1" x="2857"/>
        <item m="1" x="3941"/>
        <item m="1" x="5130"/>
        <item m="1" x="6162"/>
        <item m="1" x="6659"/>
        <item m="1" x="7098"/>
        <item m="1" x="7449"/>
        <item m="1" x="7714"/>
        <item m="1" x="2959"/>
        <item m="1" x="4027"/>
        <item m="1" x="5206"/>
        <item m="1" x="6205"/>
        <item m="1" x="1942"/>
        <item m="1" x="2754"/>
        <item m="1" x="3751"/>
        <item m="1" x="4919"/>
        <item m="1" x="6086"/>
        <item m="1" x="6585"/>
        <item m="1" x="7035"/>
        <item m="1" x="7411"/>
        <item m="1" x="7692"/>
        <item m="1" x="7885"/>
        <item m="1" x="3834"/>
        <item m="1" x="4998"/>
        <item m="1" x="6117"/>
        <item m="1" x="6614"/>
        <item m="1" x="7053"/>
        <item m="1" x="7425"/>
        <item m="1" x="7706"/>
        <item m="1" x="7899"/>
        <item m="1" x="475"/>
        <item m="1" x="6139"/>
        <item m="1" x="6636"/>
        <item m="1" x="7075"/>
        <item m="1" x="7431"/>
        <item m="1" x="1398"/>
        <item m="1" x="2074"/>
        <item m="1" x="2903"/>
        <item m="1" x="3972"/>
        <item m="1" x="5168"/>
        <item m="1" x="6181"/>
        <item m="1" x="6678"/>
        <item m="1" x="7117"/>
        <item m="1" x="7468"/>
        <item m="1" x="7728"/>
        <item m="1" x="2996"/>
        <item m="1" x="4068"/>
        <item m="1" x="5252"/>
        <item m="1" x="6224"/>
        <item m="1" x="6709"/>
        <item m="1" x="7144"/>
        <item m="1" x="7495"/>
        <item m="1" x="7753"/>
        <item m="1" x="7921"/>
        <item m="1" x="403"/>
        <item m="1" x="5310"/>
        <item m="1" x="6250"/>
        <item m="1" x="6734"/>
        <item m="1" x="7158"/>
        <item m="1" x="1257"/>
        <item m="1" x="1857"/>
        <item m="1" x="2646"/>
        <item m="1" x="3647"/>
        <item m="1" x="4828"/>
        <item m="1" x="6021"/>
        <item m="1" x="6551"/>
        <item m="1" x="7005"/>
        <item m="1" x="7381"/>
        <item m="1" x="7662"/>
        <item m="1" x="2755"/>
        <item m="1" x="3752"/>
        <item m="1" x="4920"/>
        <item m="1" x="6087"/>
        <item m="1" x="6586"/>
        <item m="1" x="7036"/>
        <item m="1" x="7412"/>
        <item m="1" x="7693"/>
        <item m="1" x="7886"/>
        <item m="1" x="7988"/>
        <item m="1" x="4999"/>
        <item m="1" x="6118"/>
        <item m="1" x="6615"/>
        <item m="1" x="7054"/>
        <item m="1" x="1120"/>
        <item m="1" x="1675"/>
        <item m="1" x="2428"/>
        <item m="1" x="3378"/>
        <item m="1" x="4520"/>
        <item m="1" x="5720"/>
        <item m="1" x="6432"/>
        <item m="1" x="6902"/>
        <item m="1" x="7300"/>
        <item m="1" x="7602"/>
        <item m="1" x="2521"/>
        <item m="1" x="3464"/>
        <item m="1" x="4611"/>
        <item m="1" x="5805"/>
        <item m="1" x="6468"/>
        <item m="1" x="6934"/>
        <item m="1" x="7332"/>
        <item m="1" x="7634"/>
        <item m="1" x="7845"/>
        <item m="1" x="7970"/>
        <item m="1" x="4697"/>
        <item m="1" x="5873"/>
        <item m="1" x="6499"/>
        <item m="1" x="6953"/>
        <item sd="0" m="1" x="1000"/>
        <item m="1" x="1484"/>
        <item m="1" x="2185"/>
        <item m="1" x="3058"/>
        <item m="1" x="4177"/>
        <item m="1" x="5382"/>
        <item m="1" x="6277"/>
        <item m="1" x="6761"/>
        <item m="1" x="7184"/>
        <item m="1" x="7512"/>
        <item m="1" x="2270"/>
        <item m="1" x="3159"/>
        <item m="1" x="4261"/>
        <item m="1" x="5450"/>
        <item m="1" x="6312"/>
        <item m="1" x="6796"/>
        <item m="1" x="7219"/>
        <item m="1" x="7547"/>
        <item m="1" x="7785"/>
        <item m="1" x="7936"/>
        <item m="1" x="4358"/>
        <item m="1" x="5550"/>
        <item m="1" x="6357"/>
        <item m="1" x="6828"/>
        <item m="1" x="902"/>
        <item m="1" x="1328"/>
        <item m="1" x="1988"/>
        <item m="1" x="2829"/>
        <item m="1" x="3898"/>
        <item m="1" x="5088"/>
        <item sd="0" m="1" x="6148"/>
        <item m="1" x="6645"/>
        <item m="1" x="7084"/>
        <item m="1" x="7436"/>
        <item m="1" x="2075"/>
        <item m="1" x="2904"/>
        <item m="1" x="3973"/>
        <item m="1" x="5169"/>
        <item m="1" x="6182"/>
        <item m="1" x="6679"/>
        <item m="1" x="7118"/>
        <item m="1" x="7469"/>
        <item m="1" x="4069"/>
        <item m="1" x="5253"/>
        <item m="1" x="590"/>
        <item m="1" x="797"/>
        <item m="1" x="1186"/>
        <item m="1" x="1796"/>
        <item m="1" x="2581"/>
        <item m="1" x="3587"/>
        <item m="1" x="4769"/>
        <item m="1" x="5955"/>
        <item m="1" x="6524"/>
        <item m="1" x="6978"/>
        <item m="1" x="1258"/>
        <item m="1" x="1858"/>
        <item m="1" x="2647"/>
        <item m="1" x="3648"/>
        <item m="1" x="4829"/>
        <item m="1" x="6022"/>
        <item x="375"/>
        <item x="376"/>
        <item x="377"/>
        <item x="378"/>
        <item x="379"/>
        <item x="380"/>
        <item x="381"/>
        <item x="199"/>
        <item x="200"/>
        <item x="201"/>
        <item x="202"/>
        <item x="203"/>
        <item x="204"/>
        <item x="205"/>
        <item x="206"/>
        <item x="207"/>
        <item x="208"/>
        <item x="209"/>
        <item x="210"/>
        <item x="211"/>
        <item x="212"/>
        <item x="213"/>
        <item x="214"/>
        <item x="215"/>
        <item x="216"/>
        <item x="217"/>
        <item x="218"/>
        <item x="219"/>
        <item x="220"/>
        <item x="221"/>
        <item x="90"/>
        <item x="91"/>
        <item x="92"/>
        <item x="93"/>
        <item x="94"/>
        <item x="95"/>
        <item x="96"/>
        <item x="97"/>
        <item x="98"/>
        <item x="99"/>
        <item x="100"/>
        <item x="101"/>
        <item x="102"/>
        <item x="103"/>
        <item x="104"/>
        <item x="105"/>
        <item x="106"/>
        <item x="107"/>
        <item x="108"/>
        <item x="109"/>
        <item x="110"/>
        <item x="111"/>
        <item x="112"/>
        <item x="304"/>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83"/>
        <item x="284"/>
        <item x="285"/>
        <item x="286"/>
        <item x="287"/>
        <item x="288"/>
        <item x="289"/>
        <item x="290"/>
        <item x="291"/>
        <item x="292"/>
        <item x="293"/>
        <item x="294"/>
        <item x="295"/>
        <item x="296"/>
        <item x="297"/>
        <item x="298"/>
        <item x="299"/>
        <item x="306"/>
        <item x="307"/>
        <item x="308"/>
        <item x="309"/>
        <item x="310"/>
        <item x="311"/>
        <item x="312"/>
        <item x="313"/>
        <item x="314"/>
        <item x="315"/>
        <item x="316"/>
        <item x="317"/>
        <item x="318"/>
        <item x="319"/>
        <item x="320"/>
        <item x="321"/>
        <item x="322"/>
        <item x="323"/>
        <item x="324"/>
        <item x="325"/>
        <item x="326"/>
        <item x="113"/>
        <item x="114"/>
        <item x="115"/>
        <item x="116"/>
        <item x="117"/>
        <item x="118"/>
        <item x="119"/>
        <item x="120"/>
        <item x="121"/>
        <item x="122"/>
        <item x="123"/>
        <item x="124"/>
        <item x="125"/>
        <item x="126"/>
        <item x="127"/>
        <item x="128"/>
        <item x="129"/>
        <item x="130"/>
        <item x="131"/>
        <item x="132"/>
        <item x="133"/>
        <item x="134"/>
        <item x="135"/>
        <item x="136"/>
        <item x="137"/>
        <item x="138"/>
        <item x="222"/>
        <item x="223"/>
        <item x="224"/>
        <item x="225"/>
        <item x="226"/>
        <item x="227"/>
        <item x="228"/>
        <item x="229"/>
        <item x="230"/>
        <item x="231"/>
        <item x="232"/>
        <item x="233"/>
        <item x="234"/>
        <item x="235"/>
        <item x="236"/>
        <item x="237"/>
        <item x="238"/>
        <item x="239"/>
        <item x="240"/>
        <item x="241"/>
        <item x="242"/>
        <item x="243"/>
        <item x="244"/>
        <item x="245"/>
        <item x="24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4"/>
        <item x="365"/>
        <item x="366"/>
        <item x="367"/>
        <item x="368"/>
        <item x="369"/>
        <item x="370"/>
        <item x="371"/>
        <item x="372"/>
        <item x="373"/>
        <item x="374"/>
        <item x="305"/>
        <item x="60"/>
        <item x="61"/>
        <item x="62"/>
        <item x="63"/>
        <item x="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5"/>
        <item x="66"/>
        <item x="67"/>
        <item x="68"/>
        <item x="69"/>
        <item x="70"/>
        <item x="71"/>
        <item x="72"/>
        <item x="73"/>
        <item x="74"/>
        <item x="75"/>
        <item x="76"/>
        <item x="77"/>
        <item x="78"/>
        <item x="79"/>
        <item x="80"/>
        <item x="81"/>
        <item x="82"/>
        <item x="83"/>
        <item x="84"/>
        <item x="85"/>
        <item x="86"/>
        <item x="87"/>
        <item x="88"/>
        <item x="302"/>
        <item x="303"/>
        <item x="361"/>
        <item x="362"/>
        <item x="363"/>
        <item x="382"/>
        <item x="383"/>
        <item x="384"/>
        <item x="385"/>
        <item x="386"/>
        <item x="387"/>
        <item x="388"/>
        <item x="389"/>
        <item x="390"/>
        <item x="391"/>
        <item x="392"/>
        <item x="393"/>
        <item m="1" x="630"/>
        <item m="1" x="2997"/>
        <item m="1" x="5420"/>
        <item m="1" x="490"/>
        <item m="1" x="771"/>
        <item m="1" x="1728"/>
        <item x="89"/>
        <item x="300"/>
        <item x="301"/>
        <item m="1" x="772"/>
        <item m="1" x="3611"/>
        <item m="1" x="7044"/>
        <item m="1" x="394"/>
        <item m="1" x="831"/>
        <item m="1" x="420"/>
        <item m="1" x="910"/>
        <item m="1" x="4091"/>
        <item m="1" x="1045"/>
        <item m="1" x="4521"/>
        <item m="1" x="460"/>
        <item t="default" sd="0"/>
      </items>
    </pivotField>
    <pivotField showAll="0" defaultSubtotal="0"/>
    <pivotField axis="axisRow" showAll="0">
      <items count="5">
        <item sd="0" m="1" x="2"/>
        <item sd="0" x="1"/>
        <item sd="0" x="0"/>
        <item sd="0" m="1" x="3"/>
        <item t="default" sd="0"/>
      </items>
    </pivotField>
    <pivotField showAll="0"/>
    <pivotField showAll="0"/>
    <pivotField showAll="0"/>
    <pivotField showAll="0"/>
    <pivotField showAll="0"/>
    <pivotField showAll="0"/>
    <pivotField showAll="0"/>
    <pivotField dataField="1" showAll="0"/>
    <pivotField dataField="1" showAll="0"/>
    <pivotField dataField="1" showAll="0"/>
  </pivotFields>
  <rowFields count="3">
    <field x="8"/>
    <field x="11"/>
    <field x="9"/>
  </rowFields>
  <rowItems count="7">
    <i>
      <x/>
    </i>
    <i r="1">
      <x v="1"/>
    </i>
    <i r="1">
      <x v="2"/>
    </i>
    <i>
      <x v="1"/>
    </i>
    <i r="1">
      <x v="1"/>
    </i>
    <i r="1">
      <x v="2"/>
    </i>
    <i t="grand">
      <x/>
    </i>
  </rowItems>
  <colFields count="1">
    <field x="-2"/>
  </colFields>
  <colItems count="3">
    <i>
      <x/>
    </i>
    <i i="1">
      <x v="1"/>
    </i>
    <i i="2">
      <x v="2"/>
    </i>
  </colItems>
  <dataFields count="3">
    <dataField name="Average of ACTUALBASE" fld="19" subtotal="average" baseField="8" baseItem="7" numFmtId="164"/>
    <dataField name="Average of PREDICTEDBASE" fld="20" subtotal="average" baseField="8" baseItem="7" numFmtId="164"/>
    <dataField name="Average of ERRORBASE" fld="21" subtotal="average" baseField="8" baseItem="7" numFmtId="164"/>
  </dataFields>
  <chartFormats count="3">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M1:AT26" firstHeaderRow="0" firstDataRow="1" firstDataCol="1"/>
  <pivotFields count="14">
    <pivotField numFmtId="22" showAll="0"/>
    <pivotField showAll="0"/>
    <pivotField showAll="0"/>
    <pivotField showAll="0"/>
    <pivotField axis="axisRow" showAll="0" sortType="ascending">
      <items count="138">
        <item m="1" x="113"/>
        <item m="1" x="124"/>
        <item m="1" x="115"/>
        <item m="1" x="126"/>
        <item m="1" x="134"/>
        <item m="1" x="52"/>
        <item m="1" x="62"/>
        <item m="1" x="71"/>
        <item m="1" x="82"/>
        <item m="1" x="72"/>
        <item m="1" x="95"/>
        <item m="1" x="105"/>
        <item m="1" x="119"/>
        <item m="1" x="131"/>
        <item m="1" x="26"/>
        <item m="1" x="37"/>
        <item m="1" x="47"/>
        <item m="1" x="56"/>
        <item m="1" x="65"/>
        <item m="1" x="75"/>
        <item m="1" x="114"/>
        <item m="1" x="101"/>
        <item m="1" x="34"/>
        <item m="1" x="79"/>
        <item m="1" x="120"/>
        <item m="1" x="51"/>
        <item m="1" x="91"/>
        <item m="1" x="135"/>
        <item m="1" x="66"/>
        <item m="1" x="104"/>
        <item m="1" x="39"/>
        <item m="1" x="60"/>
        <item m="1" x="99"/>
        <item m="1" x="31"/>
        <item m="1" x="76"/>
        <item m="1" x="117"/>
        <item m="1" x="49"/>
        <item m="1" x="89"/>
        <item m="1" x="133"/>
        <item m="1" x="64"/>
        <item m="1" x="103"/>
        <item m="1" x="128"/>
        <item m="1" x="57"/>
        <item m="1" x="96"/>
        <item m="1" x="29"/>
        <item m="1" x="111"/>
        <item m="1" x="45"/>
        <item m="1" x="88"/>
        <item m="1" x="132"/>
        <item m="1" x="61"/>
        <item m="1" x="100"/>
        <item m="1" x="32"/>
        <item m="1" x="77"/>
        <item m="1" x="118"/>
        <item m="1" x="50"/>
        <item m="1" x="69"/>
        <item m="1" x="109"/>
        <item m="1" x="42"/>
        <item m="1" x="85"/>
        <item m="1" x="129"/>
        <item m="1" x="58"/>
        <item m="1" x="97"/>
        <item m="1" x="30"/>
        <item m="1" x="74"/>
        <item m="1" x="116"/>
        <item m="1" x="24"/>
        <item m="1" x="67"/>
        <item m="1" x="106"/>
        <item m="1" x="40"/>
        <item m="1" x="123"/>
        <item m="1" x="55"/>
        <item m="1" x="94"/>
        <item m="1" x="27"/>
        <item m="1" x="70"/>
        <item m="1" x="110"/>
        <item m="1" x="43"/>
        <item m="1" x="86"/>
        <item m="1" x="130"/>
        <item m="1" x="59"/>
        <item m="1" x="81"/>
        <item m="1" x="122"/>
        <item m="1" x="53"/>
        <item m="1" x="92"/>
        <item m="1" x="25"/>
        <item m="1" x="68"/>
        <item m="1" x="107"/>
        <item m="1" x="41"/>
        <item m="1" x="84"/>
        <item m="1" x="127"/>
        <item m="1" x="35"/>
        <item m="1" x="80"/>
        <item m="1" x="121"/>
        <item x="0"/>
        <item x="1"/>
        <item x="2"/>
        <item x="3"/>
        <item x="4"/>
        <item x="5"/>
        <item x="6"/>
        <item x="7"/>
        <item x="8"/>
        <item x="9"/>
        <item x="10"/>
        <item x="11"/>
        <item x="12"/>
        <item x="13"/>
        <item x="14"/>
        <item x="15"/>
        <item x="16"/>
        <item x="17"/>
        <item x="18"/>
        <item x="19"/>
        <item x="20"/>
        <item x="21"/>
        <item x="22"/>
        <item x="23"/>
        <item m="1" x="125"/>
        <item m="1" x="136"/>
        <item m="1" x="33"/>
        <item m="1" x="44"/>
        <item m="1" x="54"/>
        <item m="1" x="63"/>
        <item m="1" x="73"/>
        <item m="1" x="83"/>
        <item m="1" x="90"/>
        <item m="1" x="98"/>
        <item m="1" x="108"/>
        <item m="1" x="28"/>
        <item m="1" x="36"/>
        <item m="1" x="46"/>
        <item m="1" x="38"/>
        <item m="1" x="48"/>
        <item m="1" x="78"/>
        <item m="1" x="87"/>
        <item m="1" x="93"/>
        <item m="1" x="102"/>
        <item m="1" x="112"/>
        <item t="default"/>
      </items>
    </pivotField>
    <pivotField dataField="1" showAll="0"/>
    <pivotField dataField="1" showAll="0"/>
    <pivotField dataField="1" showAll="0"/>
    <pivotField dataField="1" showAll="0"/>
    <pivotField dataField="1" showAll="0"/>
    <pivotField dataField="1" showAll="0"/>
    <pivotField dataField="1" showAll="0"/>
    <pivotField showAll="0"/>
    <pivotField showAll="0" defaultSubtotal="0"/>
  </pivotFields>
  <rowFields count="1">
    <field x="4"/>
  </rowFields>
  <rowItems count="25">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2"/>
  </colFields>
  <colItems count="7">
    <i>
      <x/>
    </i>
    <i i="1">
      <x v="1"/>
    </i>
    <i i="2">
      <x v="2"/>
    </i>
    <i i="3">
      <x v="3"/>
    </i>
    <i i="4">
      <x v="4"/>
    </i>
    <i i="5">
      <x v="5"/>
    </i>
    <i i="6">
      <x v="6"/>
    </i>
  </colItems>
  <dataFields count="7">
    <dataField name="actH" fld="5" subtotal="average" baseField="4" baseItem="0" numFmtId="164"/>
    <dataField name="prdH" fld="6" subtotal="average" baseField="4" baseItem="0" numFmtId="164"/>
    <dataField name="errH" fld="7" subtotal="average" baseField="4" baseItem="0" numFmtId="164"/>
    <dataField name="actL" fld="8" subtotal="average" baseField="4" baseItem="0" numFmtId="164"/>
    <dataField name="prdL" fld="9" subtotal="average" baseField="4" baseItem="0" numFmtId="164"/>
    <dataField name="errL" fld="10" subtotal="average" baseField="4" baseItem="0" numFmtId="164"/>
    <dataField name="profit" fld="11" subtotal="average" baseField="4" baseItem="0" numFmtId="165"/>
  </dataFields>
  <formats count="7">
    <format dxfId="18">
      <pivotArea field="4" grandRow="1" outline="0" collapsedLevelsAreSubtotals="1" axis="axisRow" fieldPosition="0">
        <references count="1">
          <reference field="4294967294" count="1" selected="0">
            <x v="2"/>
          </reference>
        </references>
      </pivotArea>
    </format>
    <format dxfId="17">
      <pivotArea field="4" grandRow="1" outline="0" collapsedLevelsAreSubtotals="1" axis="axisRow" fieldPosition="0">
        <references count="1">
          <reference field="4294967294" count="1" selected="0">
            <x v="5"/>
          </reference>
        </references>
      </pivotArea>
    </format>
    <format dxfId="15">
      <pivotArea field="4" grandRow="1" outline="0" collapsedLevelsAreSubtotals="1" axis="axisRow" fieldPosition="0">
        <references count="1">
          <reference field="4294967294" count="1" selected="0">
            <x v="0"/>
          </reference>
        </references>
      </pivotArea>
    </format>
    <format dxfId="14">
      <pivotArea field="4" grandRow="1" outline="0" collapsedLevelsAreSubtotals="1" axis="axisRow" fieldPosition="0">
        <references count="1">
          <reference field="4294967294" count="1" selected="0">
            <x v="1"/>
          </reference>
        </references>
      </pivotArea>
    </format>
    <format dxfId="13">
      <pivotArea field="4" grandRow="1" outline="0" collapsedLevelsAreSubtotals="1" axis="axisRow" fieldPosition="0">
        <references count="1">
          <reference field="4294967294" count="1" selected="0">
            <x v="3"/>
          </reference>
        </references>
      </pivotArea>
    </format>
    <format dxfId="12">
      <pivotArea field="4" grandRow="1" outline="0" collapsedLevelsAreSubtotals="1" axis="axisRow" fieldPosition="0">
        <references count="1">
          <reference field="4294967294" count="1" selected="0">
            <x v="4"/>
          </reference>
        </references>
      </pivotArea>
    </format>
    <format dxfId="11">
      <pivotArea field="4" grandRow="1" outline="0" collapsedLevelsAreSubtotals="1" axis="axisRow" fieldPosition="0">
        <references count="1">
          <reference field="4294967294" count="1" selected="0">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1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P1:V26" firstHeaderRow="0" firstDataRow="1" firstDataCol="1"/>
  <pivotFields count="13">
    <pivotField numFmtId="22" showAll="0"/>
    <pivotField showAll="0"/>
    <pivotField showAll="0"/>
    <pivotField showAll="0"/>
    <pivotField axis="axisRow" showAll="0" sortType="ascending">
      <items count="100">
        <item m="1" x="83"/>
        <item m="1" x="75"/>
        <item m="1" x="32"/>
        <item m="1" x="60"/>
        <item m="1" x="88"/>
        <item m="1" x="43"/>
        <item m="1" x="68"/>
        <item m="1" x="98"/>
        <item m="1" x="52"/>
        <item m="1" x="77"/>
        <item m="1" x="34"/>
        <item m="1" x="49"/>
        <item m="1" x="73"/>
        <item m="1" x="30"/>
        <item m="1" x="58"/>
        <item m="1" x="86"/>
        <item m="1" x="41"/>
        <item m="1" x="67"/>
        <item m="1" x="97"/>
        <item m="1" x="51"/>
        <item m="1" x="76"/>
        <item m="1" x="93"/>
        <item m="1" x="46"/>
        <item m="1" x="71"/>
        <item m="1" x="28"/>
        <item m="1" x="82"/>
        <item m="1" x="40"/>
        <item m="1" x="66"/>
        <item m="1" x="96"/>
        <item m="1" x="50"/>
        <item m="1" x="74"/>
        <item m="1" x="31"/>
        <item m="1" x="59"/>
        <item m="1" x="87"/>
        <item m="1" x="42"/>
        <item m="1" x="55"/>
        <item m="1" x="80"/>
        <item m="1" x="38"/>
        <item m="1" x="64"/>
        <item m="1" x="94"/>
        <item m="1" x="47"/>
        <item m="1" x="72"/>
        <item m="1" x="29"/>
        <item m="1" x="57"/>
        <item m="1" x="85"/>
        <item m="1" x="24"/>
        <item m="1" x="53"/>
        <item m="1" x="78"/>
        <item m="1" x="35"/>
        <item m="1" x="91"/>
        <item m="1" x="45"/>
        <item m="1" x="70"/>
        <item m="1" x="27"/>
        <item m="1" x="56"/>
        <item m="1" x="81"/>
        <item m="1" x="39"/>
        <item m="1" x="65"/>
        <item m="1" x="95"/>
        <item m="1" x="48"/>
        <item m="1" x="62"/>
        <item m="1" x="90"/>
        <item m="1" x="44"/>
        <item m="1" x="69"/>
        <item m="1" x="25"/>
        <item m="1" x="54"/>
        <item m="1" x="79"/>
        <item m="1" x="36"/>
        <item m="1" x="63"/>
        <item m="1" x="92"/>
        <item m="1" x="33"/>
        <item m="1" x="61"/>
        <item m="1" x="89"/>
        <item x="14"/>
        <item x="13"/>
        <item x="16"/>
        <item x="3"/>
        <item x="1"/>
        <item x="12"/>
        <item x="8"/>
        <item x="0"/>
        <item x="7"/>
        <item x="5"/>
        <item x="2"/>
        <item x="10"/>
        <item x="9"/>
        <item x="21"/>
        <item x="6"/>
        <item x="18"/>
        <item x="4"/>
        <item x="23"/>
        <item x="15"/>
        <item x="22"/>
        <item x="19"/>
        <item x="11"/>
        <item x="20"/>
        <item x="17"/>
        <item m="1" x="37"/>
        <item m="1" x="84"/>
        <item m="1" x="26"/>
        <item t="default"/>
      </items>
    </pivotField>
    <pivotField dataField="1" showAll="0"/>
    <pivotField dataField="1" showAll="0"/>
    <pivotField dataField="1" showAll="0"/>
    <pivotField dataField="1" showAll="0"/>
    <pivotField dataField="1" showAll="0"/>
    <pivotField dataField="1" showAll="0"/>
    <pivotField showAll="0"/>
    <pivotField showAll="0"/>
  </pivotFields>
  <rowFields count="1">
    <field x="4"/>
  </rowFields>
  <rowItems count="25">
    <i>
      <x v="72"/>
    </i>
    <i>
      <x v="73"/>
    </i>
    <i>
      <x v="74"/>
    </i>
    <i>
      <x v="75"/>
    </i>
    <i>
      <x v="76"/>
    </i>
    <i>
      <x v="77"/>
    </i>
    <i>
      <x v="78"/>
    </i>
    <i>
      <x v="79"/>
    </i>
    <i>
      <x v="80"/>
    </i>
    <i>
      <x v="81"/>
    </i>
    <i>
      <x v="82"/>
    </i>
    <i>
      <x v="83"/>
    </i>
    <i>
      <x v="84"/>
    </i>
    <i>
      <x v="85"/>
    </i>
    <i>
      <x v="86"/>
    </i>
    <i>
      <x v="87"/>
    </i>
    <i>
      <x v="88"/>
    </i>
    <i>
      <x v="89"/>
    </i>
    <i>
      <x v="90"/>
    </i>
    <i>
      <x v="91"/>
    </i>
    <i>
      <x v="92"/>
    </i>
    <i>
      <x v="93"/>
    </i>
    <i>
      <x v="94"/>
    </i>
    <i>
      <x v="95"/>
    </i>
    <i t="grand">
      <x/>
    </i>
  </rowItems>
  <colFields count="1">
    <field x="-2"/>
  </colFields>
  <colItems count="6">
    <i>
      <x/>
    </i>
    <i i="1">
      <x v="1"/>
    </i>
    <i i="2">
      <x v="2"/>
    </i>
    <i i="3">
      <x v="3"/>
    </i>
    <i i="4">
      <x v="4"/>
    </i>
    <i i="5">
      <x v="5"/>
    </i>
  </colItems>
  <dataFields count="6">
    <dataField name="actH" fld="5" subtotal="average" baseField="4" baseItem="10" numFmtId="164"/>
    <dataField name="prdH" fld="6" subtotal="average" baseField="4" baseItem="72" numFmtId="164"/>
    <dataField name="errH" fld="7" subtotal="average" baseField="4" baseItem="1" numFmtId="164"/>
    <dataField name="actL" fld="8" subtotal="average" baseField="4" baseItem="1" numFmtId="164"/>
    <dataField name="prdL" fld="9" subtotal="average" baseField="4" baseItem="1" numFmtId="164"/>
    <dataField name="errL" fld="10" subtotal="average" baseField="4" baseItem="1" numFmtId="164"/>
  </dataFields>
  <formats count="5">
    <format dxfId="20">
      <pivotArea field="4" grandRow="1" outline="0" collapsedLevelsAreSubtotals="1" axis="axisRow" fieldPosition="0">
        <references count="1">
          <reference field="4294967294" count="1" selected="0">
            <x v="5"/>
          </reference>
        </references>
      </pivotArea>
    </format>
    <format dxfId="19">
      <pivotArea field="4" grandRow="1" outline="0" collapsedLevelsAreSubtotals="1" axis="axisRow" fieldPosition="0">
        <references count="1">
          <reference field="4294967294" count="1" selected="0">
            <x v="2"/>
          </reference>
        </references>
      </pivotArea>
    </format>
    <format dxfId="10">
      <pivotArea field="4" grandRow="1" outline="0" collapsedLevelsAreSubtotals="1" axis="axisRow" fieldPosition="0">
        <references count="1">
          <reference field="4294967294" count="2" selected="0">
            <x v="0"/>
            <x v="1"/>
          </reference>
        </references>
      </pivotArea>
    </format>
    <format dxfId="9">
      <pivotArea field="4" grandRow="1" outline="0" collapsedLevelsAreSubtotals="1" axis="axisRow" fieldPosition="0">
        <references count="1">
          <reference field="4294967294" count="1" selected="0">
            <x v="3"/>
          </reference>
        </references>
      </pivotArea>
    </format>
    <format dxfId="8">
      <pivotArea field="4" grandRow="1" outline="0" collapsedLevelsAreSubtotals="1" axis="axisRow" fieldPosition="0">
        <references count="1">
          <reference field="4294967294" count="1" selected="0">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rowHeaderCaption="select" fieldListSortAscending="1">
  <location ref="A1:C148" firstHeaderRow="2" firstDataRow="2" firstDataCol="2"/>
  <pivotFields count="21">
    <pivotField axis="axisRow" compact="0" outline="0" showAll="0" sortType="ascending">
      <items count="1695">
        <item m="1" x="1614"/>
        <item m="1" x="1603"/>
        <item m="1" x="1592"/>
        <item m="1" x="1575"/>
        <item x="1052"/>
        <item m="1" x="1610"/>
        <item m="1" x="1657"/>
        <item m="1" x="1692"/>
        <item m="1" x="1639"/>
        <item m="1" x="1638"/>
        <item m="1" x="1576"/>
        <item m="1" x="1618"/>
        <item m="1" x="1681"/>
        <item m="1" x="1673"/>
        <item m="1" x="1629"/>
        <item x="550"/>
        <item m="1" x="1587"/>
        <item m="1" x="1577"/>
        <item m="1" x="1571"/>
        <item m="1" x="1662"/>
        <item m="1" x="1649"/>
        <item m="1" x="1691"/>
        <item m="1" x="1653"/>
        <item m="1" x="1665"/>
        <item m="1" x="1601"/>
        <item m="1" x="1648"/>
        <item m="1" x="1640"/>
        <item m="1" x="1594"/>
        <item m="1" x="1655"/>
        <item m="1" x="1621"/>
        <item m="1" x="1671"/>
        <item m="1" x="1635"/>
        <item m="1" x="1590"/>
        <item m="1" x="1643"/>
        <item m="1" x="1676"/>
        <item x="358"/>
        <item m="1" x="1573"/>
        <item m="1" x="1680"/>
        <item m="1" x="1656"/>
        <item m="1" x="1583"/>
        <item m="1" x="1641"/>
        <item m="1" x="1634"/>
        <item m="1" x="1664"/>
        <item m="1" x="1609"/>
        <item m="1" x="1628"/>
        <item x="455"/>
        <item m="1" x="1670"/>
        <item x="1330"/>
        <item m="1" x="1602"/>
        <item x="1186"/>
        <item m="1" x="1650"/>
        <item m="1" x="1678"/>
        <item m="1" x="1642"/>
        <item x="1313"/>
        <item m="1" x="1682"/>
        <item m="1" x="1687"/>
        <item x="773"/>
        <item m="1" x="1688"/>
        <item x="406"/>
        <item x="1434"/>
        <item m="1" x="1668"/>
        <item m="1" x="1581"/>
        <item m="1" x="1604"/>
        <item m="1" x="1672"/>
        <item x="101"/>
        <item m="1" x="1651"/>
        <item m="1" x="1582"/>
        <item x="1323"/>
        <item x="558"/>
        <item m="1" x="1684"/>
        <item x="437"/>
        <item m="1" x="1632"/>
        <item m="1" x="1595"/>
        <item m="1" x="1644"/>
        <item m="1" x="1599"/>
        <item m="1" x="1689"/>
        <item x="278"/>
        <item x="473"/>
        <item m="1" x="1625"/>
        <item m="1" x="1646"/>
        <item x="924"/>
        <item m="1" x="1584"/>
        <item m="1" x="1605"/>
        <item m="1" x="1659"/>
        <item x="46"/>
        <item m="1" x="1669"/>
        <item x="1075"/>
        <item x="678"/>
        <item m="1" x="1619"/>
        <item x="816"/>
        <item x="1030"/>
        <item m="1" x="1626"/>
        <item x="979"/>
        <item m="1" x="1660"/>
        <item x="494"/>
        <item m="1" x="1630"/>
        <item m="1" x="1593"/>
        <item m="1" x="1572"/>
        <item x="317"/>
        <item m="1" x="1617"/>
        <item m="1" x="1607"/>
        <item m="1" x="1666"/>
        <item m="1" x="1600"/>
        <item m="1" x="1633"/>
        <item x="160"/>
        <item m="1" x="1579"/>
        <item m="1" x="1631"/>
        <item x="1312"/>
        <item x="431"/>
        <item x="1210"/>
        <item m="1" x="1612"/>
        <item m="1" x="1679"/>
        <item x="1399"/>
        <item x="525"/>
        <item x="206"/>
        <item m="1" x="1596"/>
        <item m="1" x="1661"/>
        <item x="741"/>
        <item x="73"/>
        <item x="1200"/>
        <item x="723"/>
        <item m="1" x="1685"/>
        <item m="1" x="1693"/>
        <item m="1" x="1645"/>
        <item m="1" x="1686"/>
        <item x="782"/>
        <item m="1" x="1677"/>
        <item m="1" x="1570"/>
        <item m="1" x="1667"/>
        <item m="1" x="1622"/>
        <item x="408"/>
        <item m="1" x="1586"/>
        <item m="1" x="1627"/>
        <item x="689"/>
        <item x="705"/>
        <item m="1" x="1620"/>
        <item m="1" x="1690"/>
        <item m="1" x="1647"/>
        <item m="1" x="1616"/>
        <item m="1" x="1597"/>
        <item x="665"/>
        <item m="1" x="1611"/>
        <item x="1019"/>
        <item m="1" x="1588"/>
        <item m="1" x="1683"/>
        <item m="1" x="1569"/>
        <item m="1" x="1589"/>
        <item m="1" x="1580"/>
        <item m="1" x="1608"/>
        <item m="1" x="1591"/>
        <item m="1" x="1574"/>
        <item m="1" x="1624"/>
        <item x="1276"/>
        <item m="1" x="1654"/>
        <item m="1" x="1658"/>
        <item m="1" x="1585"/>
        <item x="1489"/>
        <item m="1" x="1674"/>
        <item m="1" x="1637"/>
        <item m="1" x="1636"/>
        <item m="1" x="1652"/>
        <item m="1" x="1675"/>
        <item m="1" x="1613"/>
        <item m="1" x="1578"/>
        <item m="1" x="1598"/>
        <item m="1" x="1623"/>
        <item x="1479"/>
        <item m="1" x="1615"/>
        <item x="1561"/>
        <item m="1" x="1663"/>
        <item m="1" x="16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7"/>
        <item x="48"/>
        <item x="49"/>
        <item x="50"/>
        <item x="51"/>
        <item x="52"/>
        <item x="53"/>
        <item x="54"/>
        <item x="55"/>
        <item x="56"/>
        <item x="57"/>
        <item x="58"/>
        <item x="59"/>
        <item x="60"/>
        <item x="61"/>
        <item x="62"/>
        <item x="63"/>
        <item x="64"/>
        <item x="65"/>
        <item x="66"/>
        <item x="67"/>
        <item x="68"/>
        <item x="69"/>
        <item x="70"/>
        <item x="71"/>
        <item x="72"/>
        <item x="74"/>
        <item x="75"/>
        <item x="76"/>
        <item x="77"/>
        <item x="78"/>
        <item x="79"/>
        <item x="80"/>
        <item x="81"/>
        <item x="82"/>
        <item x="83"/>
        <item x="84"/>
        <item x="85"/>
        <item x="86"/>
        <item x="87"/>
        <item x="88"/>
        <item x="89"/>
        <item x="90"/>
        <item x="91"/>
        <item x="92"/>
        <item x="93"/>
        <item x="94"/>
        <item x="95"/>
        <item x="96"/>
        <item x="97"/>
        <item x="98"/>
        <item x="99"/>
        <item x="100"/>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7"/>
        <item x="409"/>
        <item x="410"/>
        <item x="411"/>
        <item x="412"/>
        <item x="413"/>
        <item x="414"/>
        <item x="415"/>
        <item x="416"/>
        <item x="417"/>
        <item x="418"/>
        <item x="419"/>
        <item x="420"/>
        <item x="421"/>
        <item x="422"/>
        <item x="423"/>
        <item x="424"/>
        <item x="425"/>
        <item x="426"/>
        <item x="427"/>
        <item x="428"/>
        <item x="429"/>
        <item x="430"/>
        <item x="432"/>
        <item x="433"/>
        <item x="434"/>
        <item x="435"/>
        <item x="436"/>
        <item x="438"/>
        <item x="439"/>
        <item x="440"/>
        <item x="441"/>
        <item x="442"/>
        <item x="443"/>
        <item x="444"/>
        <item x="445"/>
        <item x="446"/>
        <item x="447"/>
        <item x="448"/>
        <item x="449"/>
        <item x="450"/>
        <item x="451"/>
        <item x="452"/>
        <item x="453"/>
        <item x="454"/>
        <item x="456"/>
        <item x="457"/>
        <item x="458"/>
        <item x="459"/>
        <item x="460"/>
        <item x="461"/>
        <item x="462"/>
        <item x="463"/>
        <item x="464"/>
        <item x="465"/>
        <item x="466"/>
        <item x="467"/>
        <item x="468"/>
        <item x="469"/>
        <item x="470"/>
        <item x="471"/>
        <item x="472"/>
        <item x="474"/>
        <item x="475"/>
        <item x="476"/>
        <item x="477"/>
        <item x="478"/>
        <item x="479"/>
        <item x="480"/>
        <item x="481"/>
        <item x="482"/>
        <item x="483"/>
        <item x="484"/>
        <item x="485"/>
        <item x="486"/>
        <item x="487"/>
        <item x="488"/>
        <item x="489"/>
        <item x="490"/>
        <item x="491"/>
        <item x="492"/>
        <item x="493"/>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6"/>
        <item x="527"/>
        <item x="528"/>
        <item x="529"/>
        <item x="530"/>
        <item x="531"/>
        <item x="532"/>
        <item x="533"/>
        <item x="534"/>
        <item x="535"/>
        <item x="536"/>
        <item x="537"/>
        <item x="538"/>
        <item x="539"/>
        <item x="540"/>
        <item x="541"/>
        <item x="542"/>
        <item x="543"/>
        <item x="544"/>
        <item x="545"/>
        <item x="546"/>
        <item x="547"/>
        <item x="548"/>
        <item x="549"/>
        <item x="551"/>
        <item x="552"/>
        <item x="553"/>
        <item x="554"/>
        <item x="555"/>
        <item x="556"/>
        <item x="557"/>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6"/>
        <item x="667"/>
        <item x="668"/>
        <item x="669"/>
        <item x="670"/>
        <item x="671"/>
        <item x="672"/>
        <item x="673"/>
        <item x="674"/>
        <item x="675"/>
        <item x="676"/>
        <item x="677"/>
        <item x="679"/>
        <item x="680"/>
        <item x="681"/>
        <item x="682"/>
        <item x="683"/>
        <item x="684"/>
        <item x="685"/>
        <item x="686"/>
        <item x="687"/>
        <item x="688"/>
        <item x="690"/>
        <item x="691"/>
        <item x="692"/>
        <item x="693"/>
        <item x="694"/>
        <item x="695"/>
        <item x="696"/>
        <item x="697"/>
        <item x="698"/>
        <item x="699"/>
        <item x="700"/>
        <item x="701"/>
        <item x="702"/>
        <item x="703"/>
        <item x="704"/>
        <item x="706"/>
        <item x="707"/>
        <item x="708"/>
        <item x="709"/>
        <item x="710"/>
        <item x="711"/>
        <item x="712"/>
        <item x="713"/>
        <item x="714"/>
        <item x="715"/>
        <item x="716"/>
        <item x="717"/>
        <item x="718"/>
        <item x="719"/>
        <item x="720"/>
        <item x="721"/>
        <item x="722"/>
        <item x="724"/>
        <item x="725"/>
        <item x="726"/>
        <item x="727"/>
        <item x="728"/>
        <item x="729"/>
        <item x="730"/>
        <item x="731"/>
        <item x="732"/>
        <item x="733"/>
        <item x="734"/>
        <item x="735"/>
        <item x="736"/>
        <item x="737"/>
        <item x="738"/>
        <item x="739"/>
        <item x="740"/>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4"/>
        <item x="775"/>
        <item x="776"/>
        <item x="777"/>
        <item x="778"/>
        <item x="779"/>
        <item x="780"/>
        <item x="781"/>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20"/>
        <item x="1021"/>
        <item x="1022"/>
        <item x="1023"/>
        <item x="1024"/>
        <item x="1025"/>
        <item x="1026"/>
        <item x="1027"/>
        <item x="1028"/>
        <item x="1029"/>
        <item x="1031"/>
        <item x="1032"/>
        <item x="1033"/>
        <item x="1034"/>
        <item x="1035"/>
        <item x="1036"/>
        <item x="1037"/>
        <item x="1038"/>
        <item x="1039"/>
        <item x="1040"/>
        <item x="1041"/>
        <item x="1042"/>
        <item x="1043"/>
        <item x="1044"/>
        <item x="1045"/>
        <item x="1046"/>
        <item x="1047"/>
        <item x="1048"/>
        <item x="1049"/>
        <item x="1050"/>
        <item x="1051"/>
        <item x="1053"/>
        <item x="1054"/>
        <item x="1055"/>
        <item x="1056"/>
        <item x="1057"/>
        <item x="1058"/>
        <item x="1059"/>
        <item x="1060"/>
        <item x="1061"/>
        <item x="1062"/>
        <item x="1063"/>
        <item x="1064"/>
        <item x="1065"/>
        <item x="1066"/>
        <item x="1067"/>
        <item x="1068"/>
        <item x="1069"/>
        <item x="1070"/>
        <item x="1071"/>
        <item x="1072"/>
        <item x="1073"/>
        <item x="1074"/>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7"/>
        <item x="1188"/>
        <item x="1189"/>
        <item x="1190"/>
        <item x="1191"/>
        <item x="1192"/>
        <item x="1193"/>
        <item x="1194"/>
        <item x="1195"/>
        <item x="1196"/>
        <item x="1197"/>
        <item x="1198"/>
        <item x="1199"/>
        <item x="1201"/>
        <item x="1202"/>
        <item x="1203"/>
        <item x="1204"/>
        <item x="1205"/>
        <item x="1206"/>
        <item x="1207"/>
        <item x="1208"/>
        <item x="1209"/>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4"/>
        <item x="1315"/>
        <item x="1316"/>
        <item x="1317"/>
        <item x="1318"/>
        <item x="1319"/>
        <item x="1320"/>
        <item x="1321"/>
        <item x="1322"/>
        <item x="1324"/>
        <item x="1325"/>
        <item x="1326"/>
        <item x="1327"/>
        <item x="1328"/>
        <item x="1329"/>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80"/>
        <item x="1481"/>
        <item x="1482"/>
        <item x="1483"/>
        <item x="1484"/>
        <item x="1485"/>
        <item x="1486"/>
        <item x="1487"/>
        <item x="1488"/>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2"/>
        <item x="1563"/>
        <item x="1564"/>
        <item x="1565"/>
        <item x="1566"/>
        <item x="1567"/>
        <item x="1568"/>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axis="axisRow" compact="0" outline="0" showAll="0" sortType="ascending">
      <items count="167">
        <item sd="0" x="25"/>
        <item sd="0" m="1" x="148"/>
        <item sd="0" m="1" x="151"/>
        <item sd="0" m="1" x="162"/>
        <item sd="0" m="1" x="160"/>
        <item sd="0" m="1" x="149"/>
        <item sd="0" m="1" x="161"/>
        <item sd="0" m="1" x="147"/>
        <item sd="0" m="1" x="154"/>
        <item sd="0" m="1" x="163"/>
        <item sd="0" m="1" x="156"/>
        <item sd="0" m="1" x="150"/>
        <item sd="0" m="1" x="158"/>
        <item sd="0" m="1" x="152"/>
        <item sd="0" m="1" x="153"/>
        <item sd="0" m="1" x="157"/>
        <item sd="0" m="1" x="155"/>
        <item sd="0" m="1" x="159"/>
        <item sd="0" m="1" x="145"/>
        <item sd="0" m="1" x="165"/>
        <item sd="0" m="1" x="164"/>
        <item sd="0" m="1" x="14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t="default" sd="0"/>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s>
  <rowFields count="2">
    <field x="3"/>
    <field x="0"/>
  </rowFields>
  <rowItems count="146">
    <i>
      <x v="65"/>
    </i>
    <i>
      <x v="52"/>
    </i>
    <i>
      <x v="46"/>
    </i>
    <i>
      <x v="89"/>
    </i>
    <i>
      <x v="75"/>
    </i>
    <i>
      <x v="86"/>
    </i>
    <i>
      <x v="74"/>
    </i>
    <i>
      <x v="59"/>
    </i>
    <i>
      <x v="98"/>
    </i>
    <i>
      <x v="93"/>
    </i>
    <i>
      <x v="45"/>
    </i>
    <i>
      <x v="88"/>
    </i>
    <i>
      <x v="50"/>
    </i>
    <i>
      <x v="58"/>
    </i>
    <i>
      <x v="85"/>
    </i>
    <i>
      <x v="73"/>
    </i>
    <i>
      <x v="43"/>
    </i>
    <i>
      <x v="95"/>
    </i>
    <i>
      <x v="44"/>
    </i>
    <i>
      <x v="84"/>
    </i>
    <i>
      <x v="70"/>
    </i>
    <i>
      <x v="55"/>
    </i>
    <i>
      <x v="28"/>
    </i>
    <i>
      <x v="71"/>
    </i>
    <i>
      <x v="61"/>
    </i>
    <i>
      <x v="56"/>
    </i>
    <i>
      <x v="60"/>
    </i>
    <i>
      <x v="72"/>
    </i>
    <i>
      <x v="29"/>
    </i>
    <i>
      <x v="92"/>
    </i>
    <i>
      <x v="27"/>
    </i>
    <i>
      <x v="30"/>
    </i>
    <i>
      <x v="31"/>
    </i>
    <i>
      <x v="23"/>
    </i>
    <i>
      <x v="24"/>
    </i>
    <i>
      <x v="97"/>
    </i>
    <i>
      <x v="25"/>
    </i>
    <i>
      <x v="33"/>
    </i>
    <i>
      <x v="22"/>
    </i>
    <i>
      <x v="26"/>
    </i>
    <i>
      <x v="162"/>
    </i>
    <i>
      <x v="37"/>
    </i>
    <i>
      <x v="49"/>
    </i>
    <i>
      <x v="108"/>
    </i>
    <i>
      <x v="99"/>
    </i>
    <i>
      <x v="117"/>
    </i>
    <i>
      <x v="47"/>
    </i>
    <i>
      <x v="116"/>
    </i>
    <i>
      <x v="34"/>
    </i>
    <i>
      <x v="112"/>
    </i>
    <i>
      <x v="90"/>
    </i>
    <i>
      <x v="82"/>
    </i>
    <i>
      <x v="96"/>
    </i>
    <i>
      <x v="110"/>
    </i>
    <i>
      <x v="164"/>
    </i>
    <i>
      <x v="111"/>
    </i>
    <i>
      <x v="125"/>
    </i>
    <i>
      <x v="106"/>
    </i>
    <i>
      <x v="127"/>
    </i>
    <i>
      <x v="134"/>
    </i>
    <i>
      <x v="124"/>
    </i>
    <i>
      <x v="129"/>
    </i>
    <i>
      <x v="113"/>
    </i>
    <i>
      <x v="76"/>
    </i>
    <i>
      <x v="157"/>
    </i>
    <i>
      <x v="109"/>
    </i>
    <i>
      <x v="128"/>
    </i>
    <i>
      <x v="122"/>
    </i>
    <i>
      <x v="119"/>
    </i>
    <i>
      <x v="121"/>
    </i>
    <i>
      <x v="123"/>
    </i>
    <i>
      <x v="114"/>
    </i>
    <i>
      <x v="94"/>
    </i>
    <i>
      <x v="126"/>
    </i>
    <i>
      <x v="107"/>
    </i>
    <i>
      <x v="163"/>
    </i>
    <i>
      <x v="131"/>
    </i>
    <i>
      <x v="139"/>
    </i>
    <i>
      <x v="132"/>
    </i>
    <i>
      <x v="165"/>
    </i>
    <i>
      <x v="57"/>
    </i>
    <i>
      <x v="120"/>
    </i>
    <i>
      <x v="105"/>
    </i>
    <i>
      <x v="35"/>
    </i>
    <i>
      <x v="81"/>
    </i>
    <i>
      <x v="39"/>
    </i>
    <i>
      <x v="133"/>
    </i>
    <i>
      <x v="36"/>
    </i>
    <i>
      <x v="51"/>
    </i>
    <i>
      <x v="135"/>
    </i>
    <i>
      <x v="62"/>
    </i>
    <i>
      <x v="48"/>
    </i>
    <i>
      <x v="118"/>
    </i>
    <i>
      <x v="138"/>
    </i>
    <i>
      <x v="91"/>
    </i>
    <i>
      <x v="137"/>
    </i>
    <i>
      <x v="100"/>
    </i>
    <i>
      <x v="101"/>
    </i>
    <i>
      <x v="104"/>
    </i>
    <i>
      <x v="115"/>
    </i>
    <i>
      <x v="53"/>
    </i>
    <i>
      <x v="78"/>
    </i>
    <i>
      <x v="79"/>
    </i>
    <i>
      <x v="80"/>
    </i>
    <i>
      <x v="102"/>
    </i>
    <i>
      <x v="69"/>
    </i>
    <i>
      <x v="38"/>
    </i>
    <i>
      <x v="68"/>
    </i>
    <i>
      <x v="67"/>
    </i>
    <i>
      <x v="103"/>
    </i>
    <i>
      <x v="66"/>
    </i>
    <i>
      <x v="64"/>
    </i>
    <i>
      <x v="42"/>
    </i>
    <i>
      <x v="40"/>
    </i>
    <i>
      <x v="136"/>
    </i>
    <i>
      <x v="130"/>
    </i>
    <i>
      <x v="146"/>
    </i>
    <i>
      <x v="147"/>
    </i>
    <i>
      <x v="142"/>
    </i>
    <i>
      <x v="156"/>
    </i>
    <i>
      <x v="148"/>
    </i>
    <i>
      <x v="153"/>
    </i>
    <i>
      <x v="149"/>
    </i>
    <i>
      <x v="140"/>
    </i>
    <i>
      <x v="141"/>
    </i>
    <i>
      <x v="154"/>
    </i>
    <i>
      <x v="150"/>
    </i>
    <i>
      <x v="145"/>
    </i>
    <i>
      <x v="144"/>
    </i>
    <i>
      <x v="152"/>
    </i>
    <i>
      <x v="143"/>
    </i>
    <i>
      <x v="158"/>
    </i>
    <i>
      <x v="151"/>
    </i>
    <i>
      <x v="155"/>
    </i>
    <i>
      <x v="159"/>
    </i>
    <i>
      <x v="161"/>
    </i>
    <i>
      <x v="160"/>
    </i>
    <i>
      <x v="32"/>
    </i>
    <i>
      <x/>
    </i>
    <i>
      <x v="41"/>
    </i>
    <i>
      <x v="87"/>
    </i>
    <i>
      <x v="77"/>
    </i>
    <i>
      <x v="63"/>
    </i>
    <i>
      <x v="54"/>
    </i>
    <i>
      <x v="83"/>
    </i>
    <i t="grand">
      <x/>
    </i>
  </rowItems>
  <colItems count="1">
    <i/>
  </colItems>
  <dataFields count="1">
    <dataField name="Error" fld="20" subtotal="average" baseField="3"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9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D14" firstHeaderRow="1" firstDataRow="2" firstDataCol="1"/>
  <pivotFields count="73">
    <pivotField dataField="1" compact="0" outline="0" showAll="0" defaultSubtotal="0"/>
    <pivotField compact="0" outline="0" showAll="0" defaultSubtotal="0"/>
    <pivotField compact="0" outline="0" showAll="0" defaultSubtotal="0">
      <items count="4">
        <item m="1" x="1"/>
        <item m="1" x="3"/>
        <item x="0"/>
        <item m="1" x="2"/>
      </items>
    </pivotField>
    <pivotField compact="0" outline="0" showAll="0" defaultSubtotal="0">
      <items count="4">
        <item x="1"/>
        <item x="0"/>
        <item m="1" x="2"/>
        <item m="1"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0"/>
        <item m="1" x="1"/>
      </items>
    </pivotField>
    <pivotField compact="0" outline="0" showAll="0" defaultSubtotal="0">
      <items count="2">
        <item x="0"/>
        <item x="1"/>
      </items>
    </pivotField>
    <pivotField compact="0" outline="0" showAll="0" defaultSubtotal="0"/>
    <pivotField compact="0" outline="0" showAll="0" defaultSubtotal="0">
      <items count="15">
        <item x="3"/>
        <item x="2"/>
        <item x="0"/>
        <item x="1"/>
        <item m="1" x="13"/>
        <item m="1" x="5"/>
        <item m="1" x="7"/>
        <item m="1" x="8"/>
        <item m="1" x="9"/>
        <item m="1" x="10"/>
        <item m="1" x="11"/>
        <item m="1" x="12"/>
        <item m="1" x="14"/>
        <item m="1" x="4"/>
        <item m="1" x="6"/>
      </items>
    </pivotField>
    <pivotField compact="0" outline="0" showAll="0" defaultSubtotal="0"/>
    <pivotField compact="0" outline="0" showAll="0" defaultSubtotal="0">
      <items count="10">
        <item x="0"/>
        <item x="1"/>
        <item x="2"/>
        <item x="3"/>
        <item x="4"/>
        <item x="5"/>
        <item x="6"/>
        <item x="7"/>
        <item x="8"/>
        <item x="9"/>
      </items>
    </pivotField>
    <pivotField compact="0" outline="0" showAll="0" defaultSubtotal="0">
      <items count="5">
        <item x="1"/>
        <item x="2"/>
        <item x="4"/>
        <item x="3"/>
        <item x="0"/>
      </items>
    </pivotField>
    <pivotField compact="0" outline="0" showAll="0" defaultSubtotal="0"/>
    <pivotField compact="0" outline="0" showAll="0" defaultSubtotal="0"/>
    <pivotField compact="0" outline="0" showAll="0" defaultSubtotal="0"/>
    <pivotField compact="0" outline="0" showAll="0" defaultSubtotal="0">
      <items count="4">
        <item x="0"/>
        <item m="1" x="3"/>
        <item m="1" x="1"/>
        <item m="1" x="2"/>
      </items>
    </pivotField>
    <pivotField compact="0" outline="0" showAll="0" defaultSubtotal="0"/>
    <pivotField compact="0" outline="0" showAll="0" defaultSubtotal="0">
      <items count="2">
        <item x="0"/>
        <item m="1" x="1"/>
      </items>
    </pivotField>
    <pivotField compact="0" outline="0" showAll="0" defaultSubtotal="0"/>
    <pivotField compact="0" outline="0" showAll="0" defaultSubtotal="0">
      <items count="6">
        <item x="2"/>
        <item x="1"/>
        <item m="1" x="3"/>
        <item m="1" x="5"/>
        <item x="0"/>
        <item m="1" x="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8">
        <item x="1"/>
        <item x="2"/>
        <item x="7"/>
        <item x="4"/>
        <item x="6"/>
        <item x="5"/>
        <item x="0"/>
        <item x="3"/>
      </items>
    </pivotField>
    <pivotField axis="axisRow" compact="0" outline="0" showAll="0" defaultSubtotal="0">
      <items count="94">
        <item m="1" x="30"/>
        <item m="1" x="70"/>
        <item m="1" x="87"/>
        <item m="1" x="89"/>
        <item m="1" x="45"/>
        <item m="1" x="80"/>
        <item m="1" x="11"/>
        <item m="1" x="42"/>
        <item m="1" x="55"/>
        <item m="1" x="16"/>
        <item m="1" x="12"/>
        <item m="1" x="36"/>
        <item m="1" x="68"/>
        <item m="1" x="71"/>
        <item m="1" x="86"/>
        <item m="1" x="64"/>
        <item m="1" x="73"/>
        <item m="1" x="69"/>
        <item m="1" x="58"/>
        <item m="1" x="79"/>
        <item m="1" x="60"/>
        <item m="1" x="39"/>
        <item m="1" x="46"/>
        <item m="1" x="43"/>
        <item m="1" x="13"/>
        <item m="1" x="63"/>
        <item m="1" x="75"/>
        <item m="1" x="61"/>
        <item m="1" x="88"/>
        <item m="1" x="59"/>
        <item m="1" x="40"/>
        <item m="1" x="31"/>
        <item m="1" x="85"/>
        <item m="1" x="53"/>
        <item m="1" x="66"/>
        <item m="1" x="90"/>
        <item m="1" x="33"/>
        <item m="1" x="56"/>
        <item m="1" x="67"/>
        <item m="1" x="17"/>
        <item m="1" x="14"/>
        <item m="1" x="41"/>
        <item m="1" x="77"/>
        <item m="1" x="29"/>
        <item m="1" x="18"/>
        <item m="1" x="74"/>
        <item m="1" x="32"/>
        <item m="1" x="57"/>
        <item m="1" x="28"/>
        <item m="1" x="20"/>
        <item m="1" x="81"/>
        <item m="1" x="76"/>
        <item m="1" x="91"/>
        <item m="1" x="15"/>
        <item m="1" x="25"/>
        <item m="1" x="65"/>
        <item m="1" x="21"/>
        <item m="1" x="48"/>
        <item m="1" x="49"/>
        <item m="1" x="24"/>
        <item m="1" x="35"/>
        <item m="1" x="22"/>
        <item m="1" x="78"/>
        <item m="1" x="44"/>
        <item m="1" x="82"/>
        <item m="1" x="83"/>
        <item m="1" x="51"/>
        <item m="1" x="26"/>
        <item m="1" x="84"/>
        <item m="1" x="34"/>
        <item m="1" x="93"/>
        <item m="1" x="19"/>
        <item m="1" x="52"/>
        <item m="1" x="50"/>
        <item m="1" x="54"/>
        <item m="1" x="23"/>
        <item m="1" x="72"/>
        <item m="1" x="27"/>
        <item m="1" x="62"/>
        <item m="1" x="47"/>
        <item m="1" x="37"/>
        <item m="1" x="38"/>
        <item m="1" x="92"/>
        <item x="0"/>
        <item x="1"/>
        <item x="2"/>
        <item x="3"/>
        <item x="4"/>
        <item x="5"/>
        <item x="8"/>
        <item x="10"/>
        <item x="6"/>
        <item x="9"/>
        <item x="7"/>
      </items>
    </pivotField>
    <pivotField compact="0" outline="0" showAll="0" defaultSubtotal="0">
      <items count="2">
        <item m="1" x="1"/>
        <item x="0"/>
      </items>
    </pivotField>
    <pivotField compact="0" outline="0" showAll="0" defaultSubtotal="0">
      <items count="149">
        <item m="1" x="28"/>
        <item m="1" x="128"/>
        <item m="1" x="136"/>
        <item m="1" x="143"/>
        <item m="1" x="11"/>
        <item m="1" x="52"/>
        <item m="1" x="60"/>
        <item m="1" x="68"/>
        <item m="1" x="81"/>
        <item m="1" x="85"/>
        <item m="1" x="98"/>
        <item m="1" x="104"/>
        <item m="1" x="108"/>
        <item m="1" x="114"/>
        <item m="1" x="119"/>
        <item m="1" x="125"/>
        <item m="1" x="131"/>
        <item m="1" x="139"/>
        <item m="1" x="147"/>
        <item m="1" x="14"/>
        <item m="1" x="18"/>
        <item m="1" x="29"/>
        <item m="1" x="30"/>
        <item m="1" x="35"/>
        <item m="1" x="38"/>
        <item m="1" x="41"/>
        <item m="1" x="46"/>
        <item m="1" x="50"/>
        <item m="1" x="57"/>
        <item m="1" x="66"/>
        <item m="1" x="77"/>
        <item m="1" x="82"/>
        <item m="1" x="93"/>
        <item m="1" x="100"/>
        <item m="1" x="116"/>
        <item m="1" x="121"/>
        <item m="1" x="127"/>
        <item m="1" x="133"/>
        <item m="1" x="141"/>
        <item m="1" x="39"/>
        <item m="1" x="42"/>
        <item m="1" x="47"/>
        <item m="1" x="51"/>
        <item m="1" x="58"/>
        <item m="1" x="67"/>
        <item m="1" x="78"/>
        <item m="1" x="83"/>
        <item m="1" x="94"/>
        <item m="1" x="101"/>
        <item m="1" x="107"/>
        <item m="1" x="112"/>
        <item m="1" x="117"/>
        <item m="1" x="123"/>
        <item m="1" x="129"/>
        <item m="1" x="137"/>
        <item m="1" x="144"/>
        <item m="1" x="86"/>
        <item m="1" x="109"/>
        <item m="1" x="25"/>
        <item m="1" x="49"/>
        <item m="1" x="12"/>
        <item m="1" x="134"/>
        <item m="1" x="115"/>
        <item m="1" x="138"/>
        <item m="1" x="69"/>
        <item m="1" x="90"/>
        <item m="1" x="70"/>
        <item m="1" x="113"/>
        <item m="1" x="105"/>
        <item m="1" x="87"/>
        <item m="1" x="56"/>
        <item m="1" x="61"/>
        <item m="1" x="48"/>
        <item m="1" x="95"/>
        <item m="1" x="126"/>
        <item m="1" x="96"/>
        <item m="1" x="91"/>
        <item m="1" x="62"/>
        <item m="1" x="124"/>
        <item m="1" x="19"/>
        <item m="1" x="135"/>
        <item m="1" x="72"/>
        <item m="1" x="140"/>
        <item m="1" x="45"/>
        <item m="1" x="23"/>
        <item m="1" x="99"/>
        <item m="1" x="73"/>
        <item m="1" x="79"/>
        <item m="1" x="20"/>
        <item m="1" x="84"/>
        <item m="1" x="36"/>
        <item m="1" x="145"/>
        <item m="1" x="33"/>
        <item m="1" x="146"/>
        <item m="1" x="26"/>
        <item m="1" x="97"/>
        <item m="1" x="106"/>
        <item m="1" x="63"/>
        <item m="1" x="27"/>
        <item m="1" x="21"/>
        <item m="1" x="31"/>
        <item m="1" x="74"/>
        <item m="1" x="22"/>
        <item m="1" x="59"/>
        <item m="1" x="64"/>
        <item m="1" x="40"/>
        <item m="1" x="122"/>
        <item m="1" x="37"/>
        <item m="1" x="44"/>
        <item m="1" x="118"/>
        <item m="1" x="142"/>
        <item m="1" x="17"/>
        <item m="1" x="15"/>
        <item m="1" x="13"/>
        <item m="1" x="75"/>
        <item m="1" x="34"/>
        <item m="1" x="71"/>
        <item m="1" x="120"/>
        <item m="1" x="102"/>
        <item m="1" x="53"/>
        <item m="1" x="32"/>
        <item m="1" x="103"/>
        <item m="1" x="54"/>
        <item m="1" x="148"/>
        <item m="1" x="80"/>
        <item m="1" x="92"/>
        <item m="1" x="16"/>
        <item m="1" x="55"/>
        <item m="1" x="76"/>
        <item m="1" x="65"/>
        <item m="1" x="43"/>
        <item m="1" x="24"/>
        <item m="1" x="110"/>
        <item m="1" x="132"/>
        <item m="1" x="111"/>
        <item m="1" x="88"/>
        <item m="1" x="130"/>
        <item m="1" x="89"/>
        <item x="1"/>
        <item x="4"/>
        <item x="2"/>
        <item x="10"/>
        <item x="0"/>
        <item x="8"/>
        <item x="5"/>
        <item x="3"/>
        <item x="6"/>
        <item x="9"/>
        <item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m="1"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items count="7">
        <item x="6"/>
        <item x="5"/>
        <item x="1"/>
        <item x="3"/>
        <item x="2"/>
        <item x="0"/>
        <item x="4"/>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
    <field x="45"/>
  </rowFields>
  <rowItems count="12">
    <i>
      <x v="83"/>
    </i>
    <i>
      <x v="84"/>
    </i>
    <i>
      <x v="85"/>
    </i>
    <i>
      <x v="86"/>
    </i>
    <i>
      <x v="87"/>
    </i>
    <i>
      <x v="88"/>
    </i>
    <i>
      <x v="89"/>
    </i>
    <i>
      <x v="90"/>
    </i>
    <i>
      <x v="91"/>
    </i>
    <i>
      <x v="92"/>
    </i>
    <i>
      <x v="93"/>
    </i>
    <i t="grand">
      <x/>
    </i>
  </rowItems>
  <colFields count="1">
    <field x="-2"/>
  </colFields>
  <colItems count="3">
    <i>
      <x/>
    </i>
    <i i="1">
      <x v="1"/>
    </i>
    <i i="2">
      <x v="2"/>
    </i>
  </colItems>
  <dataFields count="3">
    <dataField name="Count of PROCESSID" fld="0" subtotal="count" baseField="2" baseItem="0"/>
    <dataField name="Average of LASTMSE" fld="62" subtotal="average" baseField="20" baseItem="1" numFmtId="169"/>
    <dataField name="Average of LASTEPOCH" fld="61" subtotal="average" baseField="45" baseItem="8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growShrinkType="overwriteClear" connectionId="3" autoFormatId="16" applyNumberFormats="0" applyBorderFormats="0" applyFontFormats="0" applyPatternFormats="0" applyAlignmentFormats="0" applyWidthHeightFormats="0">
  <queryTableRefresh nextId="14">
    <queryTableFields count="13">
      <queryTableField id="1" name="CLIENTSTART" tableColumnId="1"/>
      <queryTableField id="2" name="PROCESSID" tableColumnId="2"/>
      <queryTableField id="3" name="THREADID" tableColumnId="3"/>
      <queryTableField id="4" name="SEQUENCEID" tableColumnId="4"/>
      <queryTableField id="5" name="LASTTIME" tableColumnId="5"/>
      <queryTableField id="6" name="ACTUALH" tableColumnId="6"/>
      <queryTableField id="7" name="FORECASTH" tableColumnId="7"/>
      <queryTableField id="8" name="ERRORH" tableColumnId="8"/>
      <queryTableField id="9" name="ACTUALL" tableColumnId="9"/>
      <queryTableField id="10" name="FORECASTL" tableColumnId="10"/>
      <queryTableField id="11" name="ERRORL" tableColumnId="11"/>
      <queryTableField id="12" name="TRADEPROFIT" tableColumnId="12"/>
      <queryTableField id="13" name="TRADERESULT" tableColumnId="13"/>
    </queryTableFields>
  </queryTableRefresh>
</queryTable>
</file>

<file path=xl/queryTables/queryTable2.xml><?xml version="1.0" encoding="utf-8"?>
<queryTable xmlns="http://schemas.openxmlformats.org/spreadsheetml/2006/main" name="Query from Algo_1" connectionId="4" autoFormatId="16" applyNumberFormats="0" applyBorderFormats="0" applyFontFormats="0" applyPatternFormats="0" applyAlignmentFormats="0" applyWidthHeightFormats="0">
  <queryTableRefresh nextId="15">
    <queryTableFields count="14">
      <queryTableField id="1" name="CLIENTSTART" tableColumnId="1"/>
      <queryTableField id="2" name="PROCESSID" tableColumnId="2"/>
      <queryTableField id="3" name="THREADID" tableColumnId="3"/>
      <queryTableField id="4" name="SEQUENCEID" tableColumnId="4"/>
      <queryTableField id="5" name="LASTTIME" tableColumnId="5"/>
      <queryTableField id="6" name="ACTUALH" tableColumnId="6"/>
      <queryTableField id="7" name="FORECASTH" tableColumnId="7"/>
      <queryTableField id="8" name="ERRORH" tableColumnId="8"/>
      <queryTableField id="9" name="ACTUALL" tableColumnId="9"/>
      <queryTableField id="10" name="FORECASTL" tableColumnId="10"/>
      <queryTableField id="11" name="ERRORL" tableColumnId="11"/>
      <queryTableField id="12" name="TRADEPROFIT" tableColumnId="12"/>
      <queryTableField id="13" name="TRADERESULT" tableColumnId="13"/>
      <queryTableField id="14" name="OUTCOME" tableColumnId="14"/>
    </queryTableFields>
  </queryTableRefresh>
</queryTable>
</file>

<file path=xl/queryTables/queryTable3.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4.xml><?xml version="1.0" encoding="utf-8"?>
<queryTable xmlns="http://schemas.openxmlformats.org/spreadsheetml/2006/main" name="ExternalData_1" connectionId="9"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4" name="PivotTable1"/>
  </pivotTables>
  <data>
    <tabular pivotCacheId="2">
      <items count="844">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s="1"/>
        <i x="207"/>
        <i x="530" nd="1"/>
        <i x="403" nd="1"/>
        <i x="349" nd="1"/>
        <i x="618" nd="1"/>
        <i x="259" nd="1"/>
        <i x="443" nd="1"/>
        <i x="404" nd="1"/>
        <i x="830" nd="1"/>
        <i x="768" nd="1"/>
        <i x="759" nd="1"/>
        <i x="351" nd="1"/>
        <i x="335" nd="1"/>
        <i x="387" nd="1"/>
        <i x="507" nd="1"/>
        <i x="550" nd="1"/>
        <i x="664" nd="1"/>
        <i x="375" nd="1"/>
        <i x="655" nd="1"/>
        <i x="434" nd="1"/>
        <i x="620" nd="1"/>
        <i x="607" nd="1"/>
        <i x="713" nd="1"/>
        <i x="343" nd="1"/>
        <i x="257" nd="1"/>
        <i x="304" nd="1"/>
        <i x="642" nd="1"/>
        <i x="785" nd="1"/>
        <i x="823" nd="1"/>
        <i x="225" nd="1"/>
        <i x="395" nd="1"/>
        <i x="513" nd="1"/>
        <i x="594" nd="1"/>
        <i x="276" nd="1"/>
        <i x="651" nd="1"/>
        <i x="301" nd="1"/>
        <i x="356" nd="1"/>
        <i x="380" nd="1"/>
        <i x="405" nd="1"/>
        <i x="625" nd="1"/>
        <i x="711" nd="1"/>
        <i x="751" nd="1"/>
        <i x="221" nd="1"/>
        <i x="455" nd="1"/>
        <i x="613" nd="1"/>
        <i x="760" nd="1"/>
        <i x="233" nd="1"/>
        <i x="426" nd="1"/>
        <i x="497" nd="1"/>
        <i x="389" nd="1"/>
        <i x="413" nd="1"/>
        <i x="471" nd="1"/>
        <i x="593" nd="1"/>
        <i x="685" nd="1"/>
        <i x="827" nd="1"/>
        <i x="232" nd="1"/>
        <i x="622" nd="1"/>
        <i x="695" nd="1"/>
        <i x="747" nd="1"/>
        <i x="216" nd="1"/>
        <i x="283" nd="1"/>
        <i x="308" nd="1"/>
        <i x="468" nd="1"/>
        <i x="646" nd="1"/>
        <i x="702" nd="1"/>
        <i x="781" nd="1"/>
        <i x="839" nd="1"/>
        <i x="214" nd="1"/>
        <i x="242" nd="1"/>
        <i x="294" nd="1"/>
        <i x="322" nd="1"/>
        <i x="540" nd="1"/>
        <i x="599" nd="1"/>
        <i x="745" nd="1"/>
        <i x="240" nd="1"/>
        <i x="264" nd="1"/>
        <i x="320" nd="1"/>
        <i x="347" nd="1"/>
        <i x="421" nd="1"/>
        <i x="435" nd="1"/>
        <i x="564" nd="1"/>
        <i x="571" nd="1"/>
        <i x="589" nd="1"/>
        <i x="653" nd="1"/>
        <i x="694" nd="1"/>
        <i x="779" nd="1"/>
        <i x="263" nd="1"/>
        <i x="815" nd="1"/>
        <i x="371" nd="1"/>
        <i x="597" nd="1"/>
        <i x="698" nd="1"/>
        <i x="707" nd="1"/>
        <i x="744" nd="1"/>
        <i x="765" nd="1"/>
        <i x="250" nd="1"/>
        <i x="410" nd="1"/>
        <i x="587" nd="1"/>
        <i x="621" nd="1"/>
        <i x="636" nd="1"/>
        <i x="662" nd="1"/>
        <i x="691" nd="1"/>
        <i x="731" nd="1"/>
        <i x="778" nd="1"/>
        <i x="788" nd="1"/>
        <i x="360" nd="1"/>
        <i x="409" nd="1"/>
        <i x="459" nd="1"/>
        <i x="482" nd="1"/>
        <i x="515" nd="1"/>
        <i x="669" nd="1"/>
        <i x="777" nd="1"/>
        <i x="262" nd="1"/>
        <i x="293" nd="1"/>
        <i x="318" nd="1"/>
        <i x="464" nd="1"/>
        <i x="489" nd="1"/>
        <i x="546" nd="1"/>
        <i x="585" nd="1"/>
        <i x="681" nd="1"/>
        <i x="824" nd="1"/>
        <i x="843" nd="1"/>
        <i x="211" nd="1"/>
        <i x="279" nd="1"/>
        <i x="317" nd="1"/>
        <i x="331" nd="1"/>
        <i x="358" nd="1"/>
        <i x="385" nd="1"/>
        <i x="451" nd="1"/>
        <i x="488" nd="1"/>
        <i x="528" nd="1"/>
        <i x="537" nd="1"/>
        <i x="577" nd="1"/>
        <i x="643" nd="1"/>
        <i x="689" nd="1"/>
        <i x="712" nd="1"/>
        <i x="601" nd="1"/>
        <i x="227" nd="1"/>
        <i x="249" nd="1"/>
        <i x="258" nd="1"/>
        <i x="369" nd="1"/>
        <i x="417" nd="1"/>
        <i x="475" nd="1"/>
        <i x="501" nd="1"/>
        <i x="237" nd="1"/>
        <i x="606" nd="1"/>
        <i x="291" nd="1"/>
        <i x="652" nd="1"/>
        <i x="661" nd="1"/>
        <i x="330" nd="1"/>
        <i x="432" nd="1"/>
        <i x="776" nd="1"/>
        <i x="834" nd="1"/>
        <i x="226" nd="1"/>
        <i x="382" nd="1"/>
        <i x="396" nd="1"/>
        <i x="584" nd="1"/>
        <i x="236" nd="1"/>
        <i x="329" nd="1"/>
        <i x="679" nd="1"/>
        <i x="442" nd="1"/>
        <i x="485" nd="1"/>
        <i x="500" nd="1"/>
        <i x="832" nd="1"/>
        <i x="841" nd="1"/>
        <i x="248" nd="1"/>
        <i x="256" nd="1"/>
        <i x="277" nd="1"/>
        <i x="302" nd="1"/>
        <i x="218" nd="1"/>
        <i x="314" nd="1"/>
        <i x="705" nd="1"/>
        <i x="415" nd="1"/>
        <i x="727" nd="1"/>
        <i x="462" nd="1"/>
        <i x="804" nd="1"/>
        <i x="511" nd="1"/>
        <i x="811" nd="1"/>
        <i x="632" nd="1"/>
        <i x="313" nd="1"/>
        <i x="339" nd="1"/>
        <i x="676" nd="1"/>
        <i x="563" nd="1"/>
        <i x="406" nd="1"/>
        <i x="449" nd="1"/>
        <i x="775" nd="1"/>
        <i x="510" nd="1"/>
        <i x="260" nd="1"/>
        <i x="534" nd="1"/>
        <i x="831" nd="1"/>
        <i x="557" nd="1"/>
        <i x="223" nd="1"/>
        <i x="582" nd="1"/>
        <i x="288" nd="1"/>
        <i x="739" nd="1"/>
        <i x="474" nd="1"/>
        <i x="533" nd="1"/>
        <i x="575" nd="1"/>
        <i x="581" nd="1"/>
        <i x="624" nd="1"/>
        <i x="274" nd="1"/>
        <i x="641" nd="1"/>
        <i x="244" nd="1"/>
        <i x="338" nd="1"/>
        <i x="366" nd="1"/>
        <i x="697" nd="1"/>
        <i x="392" nd="1"/>
        <i x="710" nd="1"/>
        <i x="719" nd="1"/>
        <i x="441" nd="1"/>
        <i x="456" nd="1"/>
        <i x="461" nd="1"/>
        <i x="484" nd="1"/>
        <i x="795" nd="1"/>
        <i x="800" nd="1"/>
        <i x="555" nd="1"/>
        <i x="234" nd="1"/>
        <i x="604" nd="1"/>
        <i x="614" nd="1"/>
        <i x="268" nd="1"/>
        <i x="286" nd="1"/>
        <i x="337" nd="1"/>
        <i x="427" nd="1"/>
        <i x="784" nd="1"/>
        <i x="498" nd="1"/>
        <i x="554" nd="1"/>
        <i x="220" nd="1"/>
        <i x="580" nd="1"/>
        <i x="623" nd="1"/>
        <i x="354" nd="1"/>
        <i x="687" nd="1"/>
        <i x="718" nd="1"/>
        <i x="323" nd="1"/>
        <i x="440" nd="1"/>
        <i x="750" nd="1"/>
        <i x="483" nd="1"/>
        <i x="810" nd="1"/>
        <i x="532" nd="1"/>
        <i x="821" nd="1"/>
        <i x="494" nd="1"/>
        <i x="246" nd="1"/>
        <i x="612" nd="1"/>
        <i x="300" nd="1"/>
        <i x="213" nd="1"/>
        <i x="311" nd="1"/>
        <i x="666" nd="1"/>
        <i x="709" nd="1"/>
        <i x="402" nd="1"/>
        <i x="717" nd="1"/>
        <i x="726" nd="1"/>
        <i x="683" nd="1"/>
        <i x="472" nd="1"/>
        <i x="509" nd="1"/>
        <i x="809" nd="1"/>
        <i x="521" nd="1"/>
        <i x="754" nd="1"/>
        <i x="543" nd="1"/>
        <i x="219" nd="1"/>
        <i x="603" nd="1"/>
        <i x="298" nd="1"/>
        <i x="327" nd="1"/>
        <i x="353" nd="1"/>
        <i x="686" nd="1"/>
        <i x="696" nd="1"/>
        <i x="378" nd="1"/>
        <i x="390" nd="1"/>
        <i x="321" nd="1"/>
        <i x="425" nd="1"/>
        <i x="769" nd="1"/>
        <i x="460" nd="1"/>
        <i x="790" nd="1"/>
        <i x="306" nd="1"/>
        <i x="495" nd="1"/>
        <i x="820" nd="1"/>
        <i x="542" nd="1"/>
        <i x="553" nd="1"/>
        <i x="491" nd="1"/>
        <i x="253" nd="1"/>
        <i x="657" nd="1"/>
        <i x="388" nd="1"/>
        <i x="401" nd="1"/>
        <i x="424" nd="1"/>
        <i x="447" nd="1"/>
        <i x="799" nd="1"/>
        <i x="531" nd="1"/>
        <i x="828" nd="1"/>
        <i x="552" nd="1"/>
        <i x="245" nd="1"/>
        <i x="602" nd="1"/>
        <i x="272" nd="1"/>
        <i x="629" nd="1"/>
        <i x="285" nd="1"/>
        <i x="640" nd="1"/>
        <i x="296" nd="1"/>
        <i x="229" nd="1"/>
        <i x="326" nd="1"/>
        <i x="675" nd="1"/>
        <i x="376" nd="1"/>
        <i x="725" nd="1"/>
        <i x="749" nd="1"/>
        <i x="767" nd="1"/>
        <i x="699" nd="1"/>
        <i x="411" nd="1"/>
        <i x="732" nd="1"/>
        <i x="819" nd="1"/>
        <i x="541" nd="1"/>
        <i x="567" nd="1"/>
        <i x="209" nd="1"/>
        <i x="217" nd="1"/>
        <i x="579" nd="1"/>
        <i x="592" nd="1"/>
        <i x="266" nd="1"/>
        <i x="271" nd="1"/>
        <i x="284" nd="1"/>
        <i x="639" nd="1"/>
        <i x="648" nd="1"/>
        <i x="310" nd="1"/>
        <i x="363" nd="1"/>
        <i x="703" nd="1"/>
        <i x="736" nd="1"/>
        <i x="439" nd="1"/>
        <i x="748" nd="1"/>
        <i x="758" nd="1"/>
        <i x="766" nd="1"/>
        <i x="470" nd="1"/>
        <i x="479" nd="1"/>
        <i x="520" nd="1"/>
        <i x="840" nd="1"/>
        <i x="477" nd="1"/>
        <i x="611" nd="1"/>
        <i x="309" nd="1"/>
        <i x="665" nd="1"/>
        <i x="350" nd="1"/>
        <i x="412" nd="1"/>
        <i x="423" nd="1"/>
        <i x="438" nd="1"/>
        <i x="446" nd="1"/>
        <i x="757" nd="1"/>
        <i x="469" nd="1"/>
        <i x="783" nd="1"/>
        <i x="798" nd="1"/>
        <i x="808" nd="1"/>
        <i x="566" nd="1"/>
        <i x="574" nd="1"/>
        <i x="600" nd="1"/>
        <i x="295" nd="1"/>
        <i x="647" nd="1"/>
        <i x="325" nd="1"/>
        <i x="336" nd="1"/>
        <i x="684" nd="1"/>
        <i x="724" nd="1"/>
        <i x="735" nd="1"/>
        <i x="332" nd="1"/>
        <i x="746" nd="1"/>
        <i x="445" nd="1"/>
        <i x="756" nd="1"/>
        <i x="773" nd="1"/>
        <i x="467" nd="1"/>
        <i x="782" nd="1"/>
        <i x="626" nd="1"/>
        <i x="771" nd="1"/>
        <i x="797" nd="1"/>
        <i x="508" nd="1"/>
        <i x="807" nd="1"/>
        <i x="357" nd="1"/>
        <i x="688" nd="1"/>
        <i x="368" nd="1"/>
        <i x="465" nd="1"/>
        <i x="408" nd="1"/>
        <i x="573" nd="1"/>
        <i x="720" nd="1"/>
        <i x="215" nd="1"/>
        <i x="729" nd="1"/>
        <i x="243" nd="1"/>
        <i x="752" nd="1"/>
        <i x="450" nd="1"/>
        <i x="764" nd="1"/>
        <i x="458" nd="1"/>
        <i x="463" nd="1"/>
        <i x="786" nd="1"/>
        <i x="645" nd="1"/>
        <i x="487" nd="1"/>
        <i x="324" nd="1"/>
        <i x="674" nd="1"/>
        <i x="527" nd="1"/>
        <i x="816" nd="1"/>
        <i x="536" nd="1"/>
        <i x="545" nd="1"/>
        <i x="803" nd="1"/>
        <i x="835" nd="1"/>
        <i x="559" nd="1"/>
        <i x="569" nd="1"/>
        <i x="576" nd="1"/>
        <i x="723" nd="1"/>
        <i x="734" nd="1"/>
        <i x="437" nd="1"/>
        <i x="755" nd="1"/>
        <i x="453" nd="1"/>
        <i x="617" nd="1"/>
        <i x="634" nd="1"/>
        <i x="303" nd="1"/>
        <i x="315" nd="1"/>
        <i x="506" nd="1"/>
        <i x="519" nd="1"/>
        <i x="680" nd="1"/>
        <i x="383" nd="1"/>
        <i x="397" nd="1"/>
        <i x="208" nd="1"/>
        <i x="407" nd="1"/>
        <i x="591" nd="1"/>
        <i x="836" nd="1"/>
        <i x="241" nd="1"/>
        <i x="610" nd="1"/>
        <i x="763" nd="1"/>
        <i x="265" nd="1"/>
        <i x="270" nd="1"/>
        <i x="282" nd="1"/>
        <i x="644" nd="1"/>
        <i x="796" nd="1"/>
        <i x="806" nd="1"/>
        <i x="334" nd="1"/>
        <i x="514" nd="1"/>
        <i x="544" nd="1"/>
        <i x="701" nd="1"/>
        <i x="386" nd="1"/>
        <i x="672" nd="1"/>
        <i x="422" nd="1"/>
        <i x="436" nd="1"/>
        <i x="596" nd="1"/>
        <i x="452" nd="1"/>
        <i x="222" nd="1"/>
        <i x="627" nd="1"/>
        <i x="772" nd="1"/>
        <i x="466" nd="1"/>
        <i x="789" nd="1"/>
        <i x="493" nd="1"/>
        <i x="660" nd="1"/>
        <i x="505" nd="1"/>
        <i x="341" nd="1"/>
        <i x="818" nd="1"/>
        <i x="549" nd="1"/>
        <i x="572" nd="1"/>
        <i x="416" nd="1"/>
        <i x="231" nd="1"/>
        <i x="431" nd="1"/>
        <i x="741" nd="1"/>
        <i x="252" nd="1"/>
        <i x="281" nd="1"/>
        <i x="638" nd="1"/>
        <i x="486" nd="1"/>
        <i x="656" nd="1"/>
        <i x="805" nd="1"/>
        <i x="348" nd="1"/>
        <i x="535" nd="1"/>
        <i x="374" nd="1"/>
        <i x="700" nd="1"/>
        <i x="833" nd="1"/>
        <i x="558" nd="1"/>
        <i x="842" nd="1"/>
        <i x="400" nd="1"/>
        <i x="224" nd="1"/>
        <i x="583" nd="1"/>
        <i x="595" nd="1"/>
        <i x="278" nd="1"/>
        <i x="290" nd="1"/>
        <i x="478" nd="1"/>
        <i x="492" nd="1"/>
        <i x="504" nd="1"/>
        <i x="340" nd="1"/>
        <i x="518" nd="1"/>
        <i x="678" nd="1"/>
        <i x="367" nd="1"/>
        <i x="539" nd="1"/>
        <i x="548" nd="1"/>
        <i x="706" nd="1"/>
        <i x="565" nd="1"/>
        <i x="728" nd="1"/>
        <i x="230" nd="1"/>
        <i x="430" nd="1"/>
        <i x="590" nd="1"/>
        <i x="770" nd="1"/>
        <i x="269" nd="1"/>
        <i x="637" nd="1"/>
        <i x="792" nd="1"/>
        <i x="307" nd="1"/>
        <i x="654" nd="1"/>
        <i x="319" nd="1"/>
        <i x="512" nd="1"/>
        <i x="812" nd="1"/>
        <i x="526" nd="1"/>
        <i x="373" nd="1"/>
        <i x="708" nd="1"/>
        <i x="715" nd="1"/>
        <i x="210" nd="1"/>
        <i x="722" nd="1"/>
        <i x="420" nd="1"/>
        <i x="733" nd="1"/>
        <i x="235" nd="1"/>
        <i x="247" nd="1"/>
        <i x="616" nd="1"/>
        <i x="275" nd="1"/>
        <i x="633" nd="1"/>
        <i x="780" nd="1"/>
        <i x="289" nd="1"/>
        <i x="650" nd="1"/>
        <i x="490" nd="1"/>
        <i x="517" nd="1"/>
        <i x="677" nd="1"/>
        <i x="817" nd="1"/>
        <i x="381" nd="1"/>
        <i x="668" nd="1"/>
        <i x="838" nd="1"/>
        <i x="394" nd="1"/>
        <i x="740" nd="1"/>
        <i x="457" nd="1"/>
        <i x="586" nd="1"/>
        <i x="499" nd="1"/>
        <i x="663" nd="1"/>
        <i x="673" nd="1"/>
        <i x="525" nd="1"/>
        <i x="361" nd="1"/>
        <i x="693" nd="1"/>
        <i x="372" nd="1"/>
        <i x="419" nd="1"/>
        <i x="649" nd="1"/>
        <i x="659" nd="1"/>
        <i x="355" nd="1"/>
        <i x="826" nd="1"/>
        <i x="837" nd="1"/>
        <i x="212" nd="1"/>
        <i x="429" nd="1"/>
        <i x="588" nd="1"/>
        <i x="239" nd="1"/>
        <i x="598" nd="1"/>
        <i x="251" nd="1"/>
        <i x="609" nd="1"/>
        <i x="762" nd="1"/>
        <i x="774" nd="1"/>
        <i x="802" nd="1"/>
        <i x="556" nd="1"/>
        <i x="359" nd="1"/>
        <i x="255" nd="1"/>
        <i x="631" nd="1"/>
        <i x="287" nd="1"/>
        <i x="312" nd="1"/>
        <i x="393" nd="1"/>
        <i x="562" nd="1"/>
        <i x="414" nd="1"/>
        <i x="228" nd="1"/>
        <i x="738" nd="1"/>
        <i x="473" nd="1"/>
        <i x="801" nd="1"/>
        <i x="524" nd="1"/>
        <i x="692" nd="1"/>
        <i x="399" nd="1"/>
        <i x="444" nd="1"/>
        <i x="605" nd="1"/>
        <i x="753" nd="1"/>
        <i x="615" nd="1"/>
        <i x="658" nd="1"/>
        <i x="516" nd="1"/>
        <i x="529" nd="1"/>
        <i x="825" nd="1"/>
        <i x="379" nd="1"/>
        <i x="547" nd="1"/>
        <i x="428" nd="1"/>
        <i x="761" nd="1"/>
        <i x="481" nd="1"/>
        <i x="791" nd="1"/>
        <i x="346" nd="1"/>
        <i x="370" nd="1"/>
        <i x="267" nd="1"/>
        <i x="297" nd="1"/>
        <i x="365" nd="1"/>
        <i x="377" nd="1"/>
        <i x="670" nd="1"/>
        <i x="743" nd="1"/>
        <i x="273" nd="1"/>
        <i x="742" nd="1"/>
        <i x="503" nd="1"/>
        <i x="667" nd="1"/>
        <i x="476" nd="1"/>
        <i x="364" nd="1"/>
        <i x="704" nd="1"/>
        <i x="448" nd="1"/>
        <i x="628" nd="1"/>
        <i x="635" nd="1"/>
        <i x="794" nd="1"/>
        <i x="496" nd="1"/>
        <i x="292" nd="1"/>
        <i x="522" nd="1"/>
        <i x="690" nd="1"/>
        <i x="829" nd="1"/>
        <i x="398" nd="1"/>
        <i x="814" nd="1"/>
        <i x="299" nd="1"/>
        <i x="328" nd="1"/>
        <i x="391" nd="1"/>
        <i x="608" nd="1"/>
        <i x="793" nd="1"/>
        <i x="345" nd="1"/>
        <i x="630" nd="1"/>
        <i x="502" nd="1"/>
        <i x="538" nd="1"/>
        <i x="578" nd="1"/>
        <i x="619" nd="1"/>
        <i x="480" nd="1"/>
        <i x="305" nd="1"/>
        <i x="682" nd="1"/>
        <i x="568" nd="1"/>
        <i x="714" nd="1"/>
        <i x="721" nd="1"/>
        <i x="418" nd="1"/>
        <i x="787" nd="1"/>
        <i x="352" nd="1"/>
        <i x="737" nd="1"/>
        <i x="261" nd="1"/>
        <i x="280" nd="1"/>
        <i x="433" nd="1"/>
        <i x="454" nd="1"/>
        <i x="344" nd="1"/>
        <i x="384" nd="1"/>
        <i x="730" nd="1"/>
        <i x="560" nd="1"/>
        <i x="238" nd="1"/>
        <i x="551" nd="1"/>
        <i x="716" nd="1"/>
        <i x="822" nd="1"/>
        <i x="316" nd="1"/>
        <i x="342" nd="1"/>
        <i x="362" nd="1"/>
        <i x="523" nd="1"/>
        <i x="254" nd="1"/>
        <i x="813" nd="1"/>
        <i x="570" nd="1"/>
        <i x="561" nd="1"/>
        <i x="333" nd="1"/>
        <i x="67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4" name="PivotTable1"/>
  </pivotTables>
  <data>
    <tabular pivotCacheId="2">
      <items count="88">
        <i x="57" s="1"/>
        <i x="39" s="1" nd="1"/>
        <i x="25" s="1" nd="1"/>
        <i x="32" s="1" nd="1"/>
        <i x="72" s="1" nd="1"/>
        <i x="18" s="1" nd="1"/>
        <i x="1" s="1" nd="1"/>
        <i x="41" s="1" nd="1"/>
        <i x="79" s="1" nd="1"/>
        <i x="61" s="1" nd="1"/>
        <i x="3" s="1" nd="1"/>
        <i x="87" s="1" nd="1"/>
        <i x="64" s="1" nd="1"/>
        <i x="5" s="1" nd="1"/>
        <i x="10" s="1" nd="1"/>
        <i x="71" s="1" nd="1"/>
        <i x="15" s="1" nd="1"/>
        <i x="7" s="1" nd="1"/>
        <i x="47" s="1" nd="1"/>
        <i x="33" s="1" nd="1"/>
        <i x="68" s="1" nd="1"/>
        <i x="17" s="1" nd="1"/>
        <i x="28" s="1" nd="1"/>
        <i x="67" s="1" nd="1"/>
        <i x="60" s="1" nd="1"/>
        <i x="34" s="1" nd="1"/>
        <i x="78" s="1" nd="1"/>
        <i x="74" s="1" nd="1"/>
        <i x="48" s="1" nd="1"/>
        <i x="63" s="1" nd="1"/>
        <i x="62" s="1" nd="1"/>
        <i x="2" s="1" nd="1"/>
        <i x="31" s="1" nd="1"/>
        <i x="16" s="1" nd="1"/>
        <i x="52" s="1" nd="1"/>
        <i x="45" s="1" nd="1"/>
        <i x="51" s="1" nd="1"/>
        <i x="53" s="1" nd="1"/>
        <i x="4" s="1" nd="1"/>
        <i x="82" s="1" nd="1"/>
        <i x="80" s="1" nd="1"/>
        <i x="77" s="1" nd="1"/>
        <i x="75" s="1" nd="1"/>
        <i x="70" s="1" nd="1"/>
        <i x="69" s="1" nd="1"/>
        <i x="54" s="1" nd="1"/>
        <i x="59" s="1" nd="1"/>
        <i x="58" s="1" nd="1"/>
        <i x="86" s="1" nd="1"/>
        <i x="84" s="1" nd="1"/>
        <i x="81" s="1" nd="1"/>
        <i x="19" s="1" nd="1"/>
        <i x="76" s="1" nd="1"/>
        <i x="73" s="1" nd="1"/>
        <i x="50" s="1" nd="1"/>
        <i x="8" s="1" nd="1"/>
        <i x="30" s="1" nd="1"/>
        <i x="38" s="1" nd="1"/>
        <i x="56" s="1" nd="1"/>
        <i x="13" s="1" nd="1"/>
        <i x="6" s="1" nd="1"/>
        <i x="55" s="1" nd="1"/>
        <i x="44" s="1" nd="1"/>
        <i x="12" s="1" nd="1"/>
        <i x="85" s="1" nd="1"/>
        <i x="66" s="1" nd="1"/>
        <i x="35" s="1" nd="1"/>
        <i x="14" s="1" nd="1"/>
        <i x="26" s="1" nd="1"/>
        <i x="40" s="1" nd="1"/>
        <i x="65" s="1" nd="1"/>
        <i x="37" s="1" nd="1"/>
        <i x="11" s="1" nd="1"/>
        <i x="36" s="1" nd="1"/>
        <i x="22" s="1" nd="1"/>
        <i x="23" s="1" nd="1"/>
        <i x="83" s="1" nd="1"/>
        <i x="0" s="1" nd="1"/>
        <i x="42" s="1" nd="1"/>
        <i x="46" s="1" nd="1"/>
        <i x="43" s="1" nd="1"/>
        <i x="24" s="1" nd="1"/>
        <i x="21" s="1" nd="1"/>
        <i x="9" s="1" nd="1"/>
        <i x="27" s="1" nd="1"/>
        <i x="49" s="1" nd="1"/>
        <i x="29" s="1" nd="1"/>
        <i x="2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EATURE31" sourceName="FEATURE">
  <pivotTables>
    <pivotTable tabId="6" name="PivotTable1"/>
  </pivotTables>
  <data>
    <tabular pivotCacheId="11">
      <items count="4">
        <i x="1" s="1"/>
        <i x="0" s="1"/>
        <i x="2" s="1"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EQUENCEID211" sourceName="SEQUENCEID">
  <pivotTables>
    <pivotTable tabId="6" name="PivotTable1"/>
  </pivotTables>
  <data>
    <tabular pivotCacheId="11">
      <items count="88">
        <i x="0" s="1"/>
        <i x="51" s="1" nd="1"/>
        <i x="23" s="1" nd="1"/>
        <i x="53" s="1" nd="1"/>
        <i x="83" s="1" nd="1"/>
        <i x="11" s="1" nd="1"/>
        <i x="25" s="1" nd="1"/>
        <i x="37" s="1" nd="1"/>
        <i x="55" s="1" nd="1"/>
        <i x="64" s="1" nd="1"/>
        <i x="71" s="1" nd="1"/>
        <i x="76" s="1" nd="1"/>
        <i x="85" s="1" nd="1"/>
        <i x="4" s="1" nd="1"/>
        <i x="12" s="1" nd="1"/>
        <i x="19" s="1" nd="1"/>
        <i x="26" s="1" nd="1"/>
        <i x="28" s="1" nd="1"/>
        <i x="30" s="1" nd="1"/>
        <i x="34" s="1" nd="1"/>
        <i x="39" s="1" nd="1"/>
        <i x="43" s="1" nd="1"/>
        <i x="47" s="1" nd="1"/>
        <i x="52" s="1" nd="1"/>
        <i x="58" s="1" nd="1"/>
        <i x="62" s="1" nd="1"/>
        <i x="67" s="1" nd="1"/>
        <i x="69" s="1" nd="1"/>
        <i x="73" s="1" nd="1"/>
        <i x="74" s="1" nd="1"/>
        <i x="78" s="1" nd="1"/>
        <i x="81" s="1" nd="1"/>
        <i x="86" s="1" nd="1"/>
        <i x="42" s="1" nd="1"/>
        <i x="2" s="1" nd="1"/>
        <i x="45" s="1" nd="1"/>
        <i x="6" s="1" nd="1"/>
        <i x="49" s="1" nd="1"/>
        <i x="9" s="1" nd="1"/>
        <i x="56" s="1" nd="1"/>
        <i x="14" s="1" nd="1"/>
        <i x="60" s="1" nd="1"/>
        <i x="17" s="1" nd="1"/>
        <i x="65" s="1" nd="1"/>
        <i x="21" s="1" nd="1"/>
        <i x="68" s="1" nd="1"/>
        <i x="24" s="1" nd="1"/>
        <i x="72" s="1" nd="1"/>
        <i x="77" s="1" nd="1"/>
        <i x="32" s="1" nd="1"/>
        <i x="80" s="1" nd="1"/>
        <i x="36" s="1" nd="1"/>
        <i x="41" s="1" nd="1"/>
        <i x="1" s="1" nd="1"/>
        <i x="44" s="1" nd="1"/>
        <i x="5" s="1" nd="1"/>
        <i x="48" s="1" nd="1"/>
        <i x="8" s="1" nd="1"/>
        <i x="54" s="1" nd="1"/>
        <i x="13" s="1" nd="1"/>
        <i x="59" s="1" nd="1"/>
        <i x="33" s="1" nd="1"/>
        <i x="16" s="1" nd="1"/>
        <i x="82" s="1" nd="1"/>
        <i x="63" s="1" nd="1"/>
        <i x="38" s="1" nd="1"/>
        <i x="20" s="1" nd="1"/>
        <i x="87" s="1" nd="1"/>
        <i x="3" s="1" nd="1"/>
        <i x="70" s="1" nd="1"/>
        <i x="46" s="1" nd="1"/>
        <i x="27" s="1" nd="1"/>
        <i x="7" s="1" nd="1"/>
        <i x="50" s="1" nd="1"/>
        <i x="29" s="1" nd="1"/>
        <i x="10" s="1" nd="1"/>
        <i x="75" s="1" nd="1"/>
        <i x="57" s="1" nd="1"/>
        <i x="31" s="1" nd="1"/>
        <i x="15" s="1" nd="1"/>
        <i x="79" s="1" nd="1"/>
        <i x="61" s="1" nd="1"/>
        <i x="35" s="1" nd="1"/>
        <i x="18" s="1" nd="1"/>
        <i x="84" s="1" nd="1"/>
        <i x="66" s="1" nd="1"/>
        <i x="40" s="1" nd="1"/>
        <i x="2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131" sourceName="PROCESSID">
  <pivotTables>
    <pivotTable tabId="6" name="PivotTable1"/>
  </pivotTables>
  <data>
    <tabular pivotCacheId="11">
      <items count="793">
        <i x="15" s="1"/>
        <i x="12" s="1"/>
        <i x="3" s="1"/>
        <i x="18" s="1"/>
        <i x="0" s="1"/>
        <i x="13" s="1"/>
        <i x="21" s="1"/>
        <i x="4" s="1"/>
        <i x="14" s="1"/>
        <i x="20" s="1"/>
        <i x="22" s="1"/>
        <i x="17" s="1"/>
        <i x="7" s="1"/>
        <i x="10" s="1"/>
        <i x="8" s="1"/>
        <i x="5" s="1"/>
        <i x="11" s="1"/>
        <i x="23" s="1"/>
        <i x="1" s="1"/>
        <i x="19" s="1"/>
        <i x="2" s="1"/>
        <i x="9" s="1"/>
        <i x="6" s="1"/>
        <i x="16" s="1"/>
        <i x="380" s="1" nd="1"/>
        <i x="178" s="1" nd="1"/>
        <i x="356" s="1" nd="1"/>
        <i x="692" s="1" nd="1"/>
        <i x="267" s="1" nd="1"/>
        <i x="334" s="1" nd="1"/>
        <i x="721" s="1" nd="1"/>
        <i x="114" s="1" nd="1"/>
        <i x="476" s="1" nd="1"/>
        <i x="562" s="1" nd="1"/>
        <i x="739" s="1" nd="1"/>
        <i x="750" s="1" nd="1"/>
        <i x="766" s="1" nd="1"/>
        <i x="293" s="1" nd="1"/>
        <i x="560" s="1" nd="1"/>
        <i x="223" s="1" nd="1"/>
        <i x="395" s="1" nd="1"/>
        <i x="435" s="1" nd="1"/>
        <i x="290" s="1" nd="1"/>
        <i x="582" s="1" nd="1"/>
        <i x="568" s="1" nd="1"/>
        <i x="745" s="1" nd="1"/>
        <i x="80" s="1" nd="1"/>
        <i x="256" s="1" nd="1"/>
        <i x="392" s="1" nd="1"/>
        <i x="500" s="1" nd="1"/>
        <i x="688" s="1" nd="1"/>
        <i x="761" s="1" nd="1"/>
        <i x="490" s="1" nd="1"/>
        <i x="532" s="1" nd="1"/>
        <i x="28" s="1" nd="1"/>
        <i x="104" s="1" nd="1"/>
        <i x="183" s="1" nd="1"/>
        <i x="564" s="1" nd="1"/>
        <i x="265" s="1" nd="1"/>
        <i x="309" s="1" nd="1"/>
        <i x="529" s="1" nd="1"/>
        <i x="452" s="1" nd="1"/>
        <i x="79" s="1" nd="1"/>
        <i x="390" s="1" nd="1"/>
        <i x="262" s="1" nd="1"/>
        <i x="633" s="1" nd="1"/>
        <i x="642" s="1" nd="1"/>
        <i x="286" s="1" nd="1"/>
        <i x="659" s="1" nd="1"/>
        <i x="682" s="1" nd="1"/>
        <i x="237" s="1" nd="1"/>
        <i x="307" s="1" nd="1"/>
        <i x="464" s="1" nd="1"/>
        <i x="511" s="1" nd="1"/>
        <i x="769" s="1" nd="1"/>
        <i x="55" s="1" nd="1"/>
        <i x="778" s="1" nd="1"/>
        <i x="412" s="1" nd="1"/>
        <i x="144" s="1" nd="1"/>
        <i x="167" s="1" nd="1"/>
        <i x="727" s="1" nd="1"/>
        <i x="88" s="1" nd="1"/>
        <i x="235" s="1" nd="1"/>
        <i x="585" s="1" nd="1"/>
        <i x="605" s="1" nd="1"/>
        <i x="72" s="1" nd="1"/>
        <i x="112" s="1" nd="1"/>
        <i x="232" s="1" nd="1"/>
        <i x="326" s="1" nd="1"/>
        <i x="596" s="1" nd="1"/>
        <i x="792" s="1" nd="1"/>
        <i x="48" s="1" nd="1"/>
        <i x="247" s="1" nd="1"/>
        <i x="317" s="1" nd="1"/>
        <i x="368" s="1" nd="1"/>
        <i x="482" s="1" nd="1"/>
        <i x="548" s="1" nd="1"/>
        <i x="165" s="1" nd="1"/>
        <i x="204" s="1" nd="1"/>
        <i x="292" s="1" nd="1"/>
        <i x="195" s="1" nd="1"/>
        <i x="445" s="1" nd="1"/>
        <i x="616" s="1" nd="1"/>
        <i x="764" s="1" nd="1"/>
        <i x="495" s="1" nd="1"/>
        <i x="570" s="1" nd="1"/>
        <i x="273" s="1" nd="1"/>
        <i x="453" s="1" nd="1"/>
        <i x="521" s="1" nd="1"/>
        <i x="152" s="1" nd="1"/>
        <i x="93" s="1" nd="1"/>
        <i x="291" s="1" nd="1"/>
        <i x="316" s="1" nd="1"/>
        <i x="338" s="1" nd="1"/>
        <i x="470" s="1" nd="1"/>
        <i x="569" s="1" nd="1"/>
        <i x="270" s="1" nd="1"/>
        <i x="451" s="1" nd="1"/>
        <i x="639" s="1" nd="1"/>
        <i x="690" s="1" nd="1"/>
        <i x="202" s="1" nd="1"/>
        <i x="628" s="1" nd="1"/>
        <i x="787" s="1" nd="1"/>
        <i x="67" s="1" nd="1"/>
        <i x="201" s="1" nd="1"/>
        <i x="383" s="1" nd="1"/>
        <i x="534" s="1" nd="1"/>
        <i x="722" s="1" nd="1"/>
        <i x="423" s="1" nd="1"/>
        <i x="607" s="1" nd="1"/>
        <i x="45" s="1" nd="1"/>
        <i x="137" s="1" nd="1"/>
        <i x="211" s="1" nd="1"/>
        <i x="243" s="1" nd="1"/>
        <i x="51" s="1" nd="1"/>
        <i x="335" s="1" nd="1"/>
        <i x="279" s="1" nd="1"/>
        <i x="352" s="1" nd="1"/>
        <i x="373" s="1" nd="1"/>
        <i x="306" s="1" nd="1"/>
        <i x="149" s="1" nd="1"/>
        <i x="626" s="1" nd="1"/>
        <i x="638" s="1" nd="1"/>
        <i x="647" s="1" nd="1"/>
        <i x="287" s="1" nd="1"/>
        <i x="457" s="1" nd="1"/>
        <i x="266" s="1" nd="1"/>
        <i x="405" s="1" nd="1"/>
        <i x="479" s="1" nd="1"/>
        <i x="106" s="1" nd="1"/>
        <i x="401" s="1" nd="1"/>
        <i x="491" s="1" nd="1"/>
        <i x="555" s="1" nd="1"/>
        <i x="254" s="1" nd="1"/>
        <i x="772" s="1" nd="1"/>
        <i x="783" s="1" nd="1"/>
        <i x="135" s="1" nd="1"/>
        <i x="514" s="1" nd="1"/>
        <i x="580" s="1" nd="1"/>
        <i x="313" s="1" nd="1"/>
        <i x="646" s="1" nd="1"/>
        <i x="215" s="1" nd="1"/>
        <i x="27" s="1" nd="1"/>
        <i x="328" s="1" nd="1"/>
        <i x="421" s="1" nd="1"/>
        <i x="148" s="1" nd="1"/>
        <i x="543" s="1" nd="1"/>
        <i x="253" s="1" nd="1"/>
        <i x="644" s="1" nd="1"/>
        <i x="89" s="1" nd="1"/>
        <i x="612" s="1" nd="1"/>
        <i x="635" s="1" nd="1"/>
        <i x="661" s="1" nd="1"/>
        <i x="708" s="1" nd="1"/>
        <i x="283" s="1" nd="1"/>
        <i x="382" s="1" nd="1"/>
        <i x="40" s="1" nd="1"/>
        <i x="182" s="1" nd="1"/>
        <i x="264" s="1" nd="1"/>
        <i x="207" s="1" nd="1"/>
        <i x="26" s="1" nd="1"/>
        <i x="419" s="1" nd="1"/>
        <i x="751" s="1" nd="1"/>
        <i x="191" s="1" nd="1"/>
        <i x="330" s="1" nd="1"/>
        <i x="39" s="1" nd="1"/>
        <i x="357" s="1" nd="1"/>
        <i x="78" s="1" nd="1"/>
        <i x="418" s="1" nd="1"/>
        <i x="512" s="1" nd="1"/>
        <i x="339" s="1" nd="1"/>
        <i x="378" s="1" nd="1"/>
        <i x="553" s="1" nd="1"/>
        <i x="263" s="1" nd="1"/>
        <i x="643" s="1" nd="1"/>
        <i x="683" s="1" nd="1"/>
        <i x="617" s="1" nd="1"/>
        <i x="438" s="1" nd="1"/>
        <i x="526" s="1" nd="1"/>
        <i x="210" s="1" nd="1"/>
        <i x="484" s="1" nd="1"/>
        <i x="609" s="1" nd="1"/>
        <i x="138" s="1" nd="1"/>
        <i x="38" s="1" nd="1"/>
        <i x="341" s="1" nd="1"/>
        <i x="132" s="1" nd="1"/>
        <i x="622" s="1" nd="1"/>
        <i x="108" s="1" nd="1"/>
        <i x="680" s="1" nd="1"/>
        <i x="389" s="1" nd="1"/>
        <i x="440" s="1" nd="1"/>
        <i x="475" s="1" nd="1"/>
        <i x="102" s="1" nd="1"/>
        <i x="519" s="1" nd="1"/>
        <i x="550" s="1" nd="1"/>
        <i x="99" s="1" nd="1"/>
        <i x="608" s="1" nd="1"/>
        <i x="620" s="1" nd="1"/>
        <i x="572" s="1" nd="1"/>
        <i x="670" s="1" nd="1"/>
        <i x="679" s="1" nd="1"/>
        <i x="779" s="1" nd="1"/>
        <i x="37" s="1" nd="1"/>
        <i x="439" s="1" nd="1"/>
        <i x="725" s="1" nd="1"/>
        <i x="509" s="1" nd="1"/>
        <i x="82" s="1" nd="1"/>
        <i x="190" s="1" nd="1"/>
        <i x="656" s="1" nd="1"/>
        <i x="296" s="1" nd="1"/>
        <i x="320" s="1" nd="1"/>
        <i x="695" s="1" nd="1"/>
        <i x="327" s="1" nd="1"/>
        <i x="245" s="1" nd="1"/>
        <i x="343" s="1" nd="1"/>
        <i x="387" s="1" nd="1"/>
        <i x="768" s="1" nd="1"/>
        <i x="485" s="1" nd="1"/>
        <i x="518" s="1" nd="1"/>
        <i x="208" s="1" nd="1"/>
        <i x="677" s="1" nd="1"/>
        <i x="52" s="1" nd="1"/>
        <i x="128" s="1" nd="1"/>
        <i x="62" s="1" nd="1"/>
        <i x="233" s="1" nd="1"/>
        <i x="606" s="1" nd="1"/>
        <i x="153" s="1" nd="1"/>
        <i x="249" s="1" nd="1"/>
        <i x="667" s="1" nd="1"/>
        <i x="557" s="1" nd="1"/>
        <i x="603" s="1" nd="1"/>
        <i x="653" s="1" nd="1"/>
        <i x="702" s="1" nd="1"/>
        <i x="752" s="1" nd="1"/>
        <i x="199" s="1" nd="1"/>
        <i x="50" s="1" nd="1"/>
        <i x="627" s="1" nd="1"/>
        <i x="73" s="1" nd="1"/>
        <i x="301" s="1" nd="1"/>
        <i x="323" s="1" nd="1"/>
        <i x="362" s="1" nd="1"/>
        <i x="177" s="1" nd="1"/>
        <i x="374" s="1" nd="1"/>
        <i x="743" s="1" nd="1"/>
        <i x="762" s="1" nd="1"/>
        <i x="206" s="1" nd="1"/>
        <i x="719" s="1" nd="1"/>
        <i x="406" s="1" nd="1"/>
        <i x="44" s="1" nd="1"/>
        <i x="618" s="1" nd="1"/>
        <i x="260" s="1" nd="1"/>
        <i x="246" s="1" nd="1"/>
        <i x="294" s="1" nd="1"/>
        <i x="480" s="1" nd="1"/>
        <i x="119" s="1" nd="1"/>
        <i x="594" s="1" nd="1"/>
        <i x="358" s="1" nd="1"/>
        <i x="533" s="1" nd="1"/>
        <i x="171" s="1" nd="1"/>
        <i x="545" s="1" nd="1"/>
        <i x="386" s="1" nd="1"/>
        <i x="255" s="1" nd="1"/>
        <i x="447" s="1" nd="1"/>
        <i x="461" s="1" nd="1"/>
        <i x="648" s="1" nd="1"/>
        <i x="85" s="1" nd="1"/>
        <i x="288" s="1" nd="1"/>
        <i x="310" s="1" nd="1"/>
        <i x="696" s="1" nd="1"/>
        <i x="143" s="1" nd="1"/>
        <i x="711" s="1" nd="1"/>
        <i x="524" s="1" nd="1"/>
        <i x="372" s="1" nd="1"/>
        <i x="515" s="1" nd="1"/>
        <i x="575" s="1" nd="1"/>
        <i x="672" s="1" nd="1"/>
        <i x="248" s="1" nd="1"/>
        <i x="58" s="1" nd="1"/>
        <i x="95" s="1" nd="1"/>
        <i x="714" s="1" nd="1"/>
        <i x="170" s="1" nd="1"/>
        <i x="736" s="1" nd="1"/>
        <i x="185" s="1" nd="1"/>
        <i x="556" s="1" nd="1"/>
        <i x="531" s="1" nd="1"/>
        <i x="776" s="1" nd="1"/>
        <i x="554" s="1" nd="1"/>
        <i x="636" s="1" nd="1"/>
        <i x="71" s="1" nd="1"/>
        <i x="437" s="1" nd="1"/>
        <i x="472" s="1" nd="1"/>
        <i x="516" s="1" nd="1"/>
        <i x="350" s="1" nd="1"/>
        <i x="541" s="1" nd="1"/>
        <i x="175" s="1" nd="1"/>
        <i x="584" s="1" nd="1"/>
        <i x="784" s="1" nd="1"/>
        <i x="595" s="1" nd="1"/>
        <i x="43" s="1" nd="1"/>
        <i x="275" s="1" nd="1"/>
        <i x="230" s="1" nd="1"/>
        <i x="281" s="1" nd="1"/>
        <i x="654" s="1" nd="1"/>
        <i x="305" s="1" nd="1"/>
        <i x="675" s="1" nd="1"/>
        <i x="379" s="1" nd="1"/>
        <i x="197" s="1" nd="1"/>
        <i x="340" s="1" nd="1"/>
        <i x="384" s="1" nd="1"/>
        <i x="581" s="1" nd="1"/>
        <i x="791" s="1" nd="1"/>
        <i x="227" s="1" nd="1"/>
        <i x="625" s="1" nd="1"/>
        <i x="277" s="1" nd="1"/>
        <i x="663" s="1" nd="1"/>
        <i x="300" s="1" nd="1"/>
        <i x="483" s="1" nd="1"/>
        <i x="686" s="1" nd="1"/>
        <i x="155" s="1" nd="1"/>
        <i x="361" s="1" nd="1"/>
        <i x="549" s="1" nd="1"/>
        <i x="187" s="1" nd="1"/>
        <i x="760" s="1" nd="1"/>
        <i x="573" s="1" nd="1"/>
        <i x="29" s="1" nd="1"/>
        <i x="771" s="1" nd="1"/>
        <i x="57" s="1" nd="1"/>
        <i x="404" s="1" nd="1"/>
        <i x="668" s="1" nd="1"/>
        <i x="105" s="1" nd="1"/>
        <i x="116" s="1" nd="1"/>
        <i x="497" s="1" nd="1"/>
        <i x="325" s="1" nd="1"/>
        <i x="354" s="1" nd="1"/>
        <i x="629" s="1" nd="1"/>
        <i x="184" s="1" nd="1"/>
        <i x="159" s="1" nd="1"/>
        <i x="775" s="1" nd="1"/>
        <i x="219" s="1" nd="1"/>
        <i x="610" s="1" nd="1"/>
        <i x="662" s="1" nd="1"/>
        <i x="47" s="1" nd="1"/>
        <i x="100" s="1" nd="1"/>
        <i x="586" s="1" nd="1"/>
        <i x="685" s="1" nd="1"/>
        <i x="349" s="1" nd="1"/>
        <i x="720" s="1" nd="1"/>
        <i x="539" s="1" nd="1"/>
        <i x="125" s="1" nd="1"/>
        <i x="742" s="1" nd="1"/>
        <i x="139" s="1" nd="1"/>
        <i x="782" s="1" nd="1"/>
        <i x="259" s="1" nd="1"/>
        <i x="640" s="1" nd="1"/>
        <i x="115" s="1" nd="1"/>
        <i x="134" s="1" nd="1"/>
        <i x="465" s="1" nd="1"/>
        <i x="652" s="1" nd="1"/>
        <i x="522" s="1" nd="1"/>
        <i x="726" s="1" nd="1"/>
        <i x="747" s="1" nd="1"/>
        <i x="565" s="1" nd="1"/>
        <i x="765" s="1" nd="1"/>
        <i x="773" s="1" nd="1"/>
        <i x="220" s="1" nd="1"/>
        <i x="790" s="1" nd="1"/>
        <i x="34" s="1" nd="1"/>
        <i x="63" s="1" nd="1"/>
        <i x="69" s="1" nd="1"/>
        <i x="459" s="1" nd="1"/>
        <i x="645" s="1" nd="1"/>
        <i x="239" s="1" nd="1"/>
        <i x="709" s="1" nd="1"/>
        <i x="348" s="1" nd="1"/>
        <i x="186" s="1" nd="1"/>
        <i x="214" s="1" nd="1"/>
        <i x="41" s="1" nd="1"/>
        <i x="56" s="1" nd="1"/>
        <i x="455" s="1" nd="1"/>
        <i x="280" s="1" nd="1"/>
        <i x="468" s="1" nd="1"/>
        <i x="429" s="1" nd="1"/>
        <i x="478" s="1" nd="1"/>
        <i x="147" s="1" nd="1"/>
        <i x="488" s="1" nd="1"/>
        <i x="724" s="1" nd="1"/>
        <i x="242" s="1" nd="1"/>
        <i x="158" s="1" nd="1"/>
        <i x="446" s="1" nd="1"/>
        <i x="734" s="1" nd="1"/>
        <i x="129" s="1" nd="1"/>
        <i x="252" s="1" nd="1"/>
        <i x="473" s="1" nd="1"/>
        <i x="684" s="1" nd="1"/>
        <i x="506" s="1" nd="1"/>
        <i x="332" s="1" nd="1"/>
        <i x="205" s="1" nd="1"/>
        <i x="164" s="1" nd="1"/>
        <i x="538" s="1" nd="1"/>
        <i x="571" s="1" nd="1"/>
        <i x="213" s="1" nd="1"/>
        <i x="694" s="1" nd="1"/>
        <i x="420" s="1" nd="1"/>
        <i x="631" s="1" nd="1"/>
        <i x="274" s="1" nd="1"/>
        <i x="454" s="1" nd="1"/>
        <i x="133" s="1" nd="1"/>
        <i x="487" s="1" nd="1"/>
        <i x="169" s="1" nd="1"/>
        <i x="194" s="1" nd="1"/>
        <i x="396" s="1" nd="1"/>
        <i x="579" s="1" nd="1"/>
        <i x="723" s="1" nd="1"/>
        <i x="417" s="1" nd="1"/>
        <i x="241" s="1" nd="1"/>
        <i x="634" s="1" nd="1"/>
        <i x="458" s="1" nd="1"/>
        <i x="598" s="1" nd="1"/>
        <i x="660" s="1" nd="1"/>
        <i x="299" s="1" nd="1"/>
        <i x="110" s="1" nd="1"/>
        <i x="322" s="1" nd="1"/>
        <i x="505" s="1" nd="1"/>
        <i x="285" s="1" nd="1"/>
        <i x="97" s="1" nd="1"/>
        <i x="154" s="1" nd="1"/>
        <i x="494" s="1" nd="1"/>
        <i x="537" s="1" nd="1"/>
        <i x="122" s="1" nd="1"/>
        <i x="758" s="1" nd="1"/>
        <i x="203" s="1" nd="1"/>
        <i x="583" s="1" nd="1"/>
        <i x="467" s="1" nd="1"/>
        <i x="666" s="1" nd="1"/>
        <i x="103" s="1" nd="1"/>
        <i x="602" s="1" nd="1"/>
        <i x="651" s="1" nd="1"/>
        <i x="131" s="1" nd="1"/>
        <i x="181" s="1" nd="1"/>
        <i x="192" s="1" nd="1"/>
        <i x="577" s="1" nd="1"/>
        <i x="70" s="1" nd="1"/>
        <i x="127" s="1" nd="1"/>
        <i x="601" s="1" nd="1"/>
        <i x="504" s="1" nd="1"/>
        <i x="140" s="1" nd="1"/>
        <i x="346" s="1" nd="1"/>
        <i x="481" s="1" nd="1"/>
        <i x="718" s="1" nd="1"/>
        <i x="107" s="1" nd="1"/>
        <i x="163" s="1" nd="1"/>
        <i x="729" s="1" nd="1"/>
        <i x="547" s="1" nd="1"/>
        <i x="229" s="1" nd="1"/>
        <i x="430" s="1" nd="1"/>
        <i x="64" s="1" nd="1"/>
        <i x="271" s="1" nd="1"/>
        <i x="94" s="1" nd="1"/>
        <i x="513" s="1" nd="1"/>
        <i x="700" s="1" nd="1"/>
        <i x="528" s="1" nd="1"/>
        <i x="312" s="1" nd="1"/>
        <i x="364" s="1" nd="1"/>
        <i x="130" s="1" nd="1"/>
        <i x="226" s="1" nd="1"/>
        <i x="376" s="1" nd="1"/>
        <i x="416" s="1" nd="1"/>
        <i x="600" s="1" nd="1"/>
        <i x="240" s="1" nd="1"/>
        <i x="250" s="1" nd="1"/>
        <i x="308" s="1" nd="1"/>
        <i x="123" s="1" nd="1"/>
        <i x="345" s="1" nd="1"/>
        <i x="717" s="1" nd="1"/>
        <i x="120" s="1" nd="1"/>
        <i x="740" s="1" nd="1"/>
        <i x="559" s="1" nd="1"/>
        <i x="212" s="1" nd="1"/>
        <i x="402" s="1" nd="1"/>
        <i x="415" s="1" nd="1"/>
        <i x="630" s="1" nd="1"/>
        <i x="737" s="1" nd="1"/>
        <i x="53" s="1" nd="1"/>
        <i x="777" s="1" nd="1"/>
        <i x="527" s="1" nd="1"/>
        <i x="552" s="1" nd="1"/>
        <i x="83" s="1" nd="1"/>
        <i x="563" s="1" nd="1"/>
        <i x="394" s="1" nd="1"/>
        <i x="788" s="1" nd="1"/>
        <i x="225" s="1" nd="1"/>
        <i x="599" s="1" nd="1"/>
        <i x="746" s="1" nd="1"/>
        <i x="623" s="1" nd="1"/>
        <i x="503" s="1" nd="1"/>
        <i x="716" s="1" nd="1"/>
        <i x="536" s="1" nd="1"/>
        <i x="370" s="1" nd="1"/>
        <i x="117" s="1" nd="1"/>
        <i x="25" s="1" nd="1"/>
        <i x="228" s="1" nd="1"/>
        <i x="753" s="1" nd="1"/>
        <i x="200" s="1" nd="1"/>
        <i x="426" s="1" nd="1"/>
        <i x="257" s="1" nd="1"/>
        <i x="24" s="1" nd="1"/>
        <i x="76" s="1" nd="1"/>
        <i x="530" s="1" nd="1"/>
        <i x="314" s="1" nd="1"/>
        <i x="650" s="1" nd="1"/>
        <i x="699" s="1" nd="1"/>
        <i x="713" s="1" nd="1"/>
        <i x="542" s="1" nd="1"/>
        <i x="732" s="1" nd="1"/>
        <i x="166" s="1" nd="1"/>
        <i x="218" s="1" nd="1"/>
        <i x="443" s="1" nd="1"/>
        <i x="658" s="1" nd="1"/>
        <i x="574" s="1" nd="1"/>
        <i x="671" s="1" nd="1"/>
        <i x="681" s="1" nd="1"/>
        <i x="502" s="1" nd="1"/>
        <i x="329" s="1" nd="1"/>
        <i x="756" s="1" nd="1"/>
        <i x="715" s="1" nd="1"/>
        <i x="413" s="1" nd="1"/>
        <i x="449" s="1" nd="1"/>
        <i x="75" s="1" nd="1"/>
        <i x="463" s="1" nd="1"/>
        <i x="304" s="1" nd="1"/>
        <i x="486" s="1" nd="1"/>
        <i x="113" s="1" nd="1"/>
        <i x="689" s="1" nd="1"/>
        <i x="510" s="1" nd="1"/>
        <i x="336" s="1" nd="1"/>
        <i x="179" s="1" nd="1"/>
        <i x="508" s="1" nd="1"/>
        <i x="156" s="1" nd="1"/>
        <i x="209" s="1" nd="1"/>
        <i x="32" s="1" nd="1"/>
        <i x="621" s="1" nd="1"/>
        <i x="60" s="1" nd="1"/>
        <i x="442" s="1" nd="1"/>
        <i x="68" s="1" nd="1"/>
        <i x="284" s="1" nd="1"/>
        <i x="344" s="1" nd="1"/>
        <i x="360" s="1" nd="1"/>
        <i x="388" s="1" nd="1"/>
        <i x="489" s="1" nd="1"/>
        <i x="54" s="1" nd="1"/>
        <i x="448" s="1" nd="1"/>
        <i x="748" s="1" nd="1"/>
        <i x="303" s="1" nd="1"/>
        <i x="698" s="1" nd="1"/>
        <i x="525" s="1" nd="1"/>
        <i x="311" s="1" nd="1"/>
        <i x="351" s="1" nd="1"/>
        <i x="216" s="1" nd="1"/>
        <i x="176" s="1" nd="1"/>
        <i x="261" s="1" nd="1"/>
        <i x="121" s="1" nd="1"/>
        <i x="641" s="1" nd="1"/>
        <i x="705" s="1" nd="1"/>
        <i x="150" s="1" nd="1"/>
        <i x="173" s="1" nd="1"/>
        <i x="369" s="1" nd="1"/>
        <i x="755" s="1" nd="1"/>
        <i x="591" s="1" nd="1"/>
        <i x="701" s="1" nd="1"/>
        <i x="36" s="1" nd="1"/>
        <i x="90" s="1" nd="1"/>
        <i x="49" s="1" nd="1"/>
        <i x="712" s="1" nd="1"/>
        <i x="189" s="1" nd="1"/>
        <i x="561" s="1" nd="1"/>
        <i x="393" s="1" nd="1"/>
        <i x="407" s="1" nd="1"/>
        <i x="424" s="1" nd="1"/>
        <i x="59" s="1" nd="1"/>
        <i x="96" s="1" nd="1"/>
        <i x="282" s="1" nd="1"/>
        <i x="359" s="1" nd="1"/>
        <i x="546" s="1" nd="1"/>
        <i x="754" s="1" nd="1"/>
        <i x="767" s="1" nd="1"/>
        <i x="400" s="1" nd="1"/>
        <i x="590" s="1" nd="1"/>
        <i x="244" s="1" nd="1"/>
        <i x="614" s="1" nd="1"/>
        <i x="613" s="1" nd="1"/>
        <i x="101" s="1" nd="1"/>
        <i x="157" s="1" nd="1"/>
        <i x="731" s="1" nd="1"/>
        <i x="188" s="1" nd="1"/>
        <i x="786" s="1" nd="1"/>
        <i x="31" s="1" nd="1"/>
        <i x="234" s="1" nd="1"/>
        <i x="619" s="1" nd="1"/>
        <i x="81" s="1" nd="1"/>
        <i x="431" s="1" nd="1"/>
        <i x="342" s="1" nd="1"/>
        <i x="523" s="1" nd="1"/>
        <i x="161" s="1" nd="1"/>
        <i x="738" s="1" nd="1"/>
        <i x="399" s="1" nd="1"/>
        <i x="353" s="1" nd="1"/>
        <i x="146" s="1" nd="1"/>
        <i x="168" s="1" nd="1"/>
        <i x="649" s="1" nd="1"/>
        <i x="87" s="1" nd="1"/>
        <i x="193" s="1" nd="1"/>
        <i x="637" s="1" nd="1"/>
        <i x="665" s="1" nd="1"/>
        <i x="302" s="1" nd="1"/>
        <i x="377" s="1" nd="1"/>
        <i x="578" s="1" nd="1"/>
        <i x="588" s="1" nd="1"/>
        <i x="324" s="1" nd="1"/>
        <i x="697" s="1" nd="1"/>
        <i x="425" s="1" nd="1"/>
        <i x="517" s="1" nd="1"/>
        <i x="611" s="1" nd="1"/>
        <i x="789" s="1" nd="1"/>
        <i x="251" s="1" nd="1"/>
        <i x="436" s="1" nd="1"/>
        <i x="444" s="1" nd="1"/>
        <i x="375" s="1" nd="1"/>
        <i x="624" s="1" nd="1"/>
        <i x="744" s="1" nd="1"/>
        <i x="471" s="1" nd="1"/>
        <i x="321" s="1" nd="1"/>
        <i x="597" s="1" nd="1"/>
        <i x="141" s="1" nd="1"/>
        <i x="331" s="1" nd="1"/>
        <i x="347" s="1" nd="1"/>
        <i x="757" s="1" nd="1"/>
        <i x="295" s="1" nd="1"/>
        <i x="381" s="1" nd="1"/>
        <i x="403" s="1" nd="1"/>
        <i x="493" s="1" nd="1"/>
        <i x="780" s="1" nd="1"/>
        <i x="222" s="1" nd="1"/>
        <i x="501" s="1" nd="1"/>
        <i x="693" s="1" nd="1"/>
        <i x="704" s="1" nd="1"/>
        <i x="160" s="1" nd="1"/>
        <i x="258" s="1" nd="1"/>
        <i x="65" s="1" nd="1"/>
        <i x="172" s="1" nd="1"/>
        <i x="272" s="1" nd="1"/>
        <i x="427" s="1" nd="1"/>
        <i x="466" s="1" nd="1"/>
        <i x="366" s="1" nd="1"/>
        <i x="385" s="1" nd="1"/>
        <i x="411" s="1" nd="1"/>
        <i x="520" s="1" nd="1"/>
        <i x="589" s="1" nd="1"/>
        <i x="365" s="1" nd="1"/>
        <i x="278" s="1" nd="1"/>
        <i x="462" s="1" nd="1"/>
        <i x="86" s="1" nd="1"/>
        <i x="474" s="1" nd="1"/>
        <i x="763" s="1" nd="1"/>
        <i x="409" s="1" nd="1"/>
        <i x="434" s="1" nd="1"/>
        <i x="730" s="1" nd="1"/>
        <i x="298" s="1" nd="1"/>
        <i x="391" s="1" nd="1"/>
        <i x="124" s="1" nd="1"/>
        <i x="604" s="1" nd="1"/>
        <i x="151" s="1" nd="1"/>
        <i x="432" s="1" nd="1"/>
        <i x="162" s="1" nd="1"/>
        <i x="678" s="1" nd="1"/>
        <i x="706" s="1" nd="1"/>
        <i x="728" s="1" nd="1"/>
        <i x="759" s="1" nd="1"/>
        <i x="781" s="1" nd="1"/>
        <i x="42" s="1" nd="1"/>
        <i x="66" s="1" nd="1"/>
        <i x="174" s="1" nd="1"/>
        <i x="741" s="1" nd="1"/>
        <i x="535" s="1" nd="1"/>
        <i x="669" s="1" nd="1"/>
        <i x="770" s="1" nd="1"/>
        <i x="676" s="1" nd="1"/>
        <i x="118" s="1" nd="1"/>
        <i x="221" s="1" nd="1"/>
        <i x="319" s="1" nd="1"/>
        <i x="499" s="1" nd="1"/>
        <i x="77" s="1" nd="1"/>
        <i x="355" s="1" nd="1"/>
        <i x="450" s="1" nd="1"/>
        <i x="477" s="1" nd="1"/>
        <i x="398" s="1" nd="1"/>
        <i x="315" s="1" nd="1"/>
        <i x="410" s="1" nd="1"/>
        <i x="496" s="1" nd="1"/>
        <i x="691" s="1" nd="1"/>
        <i x="363" s="1" nd="1"/>
        <i x="84" s="1" nd="1"/>
        <i x="33" s="1" nd="1"/>
        <i x="111" s="1" nd="1"/>
        <i x="142" s="1" nd="1"/>
        <i x="238" s="1" nd="1"/>
        <i x="710" s="1" nd="1"/>
        <i x="433" s="1" nd="1"/>
        <i x="507" s="1" nd="1"/>
        <i x="61" s="1" nd="1"/>
        <i x="540" s="1" nd="1"/>
        <i x="109" s="1" nd="1"/>
        <i x="785" s="1" nd="1"/>
        <i x="231" s="1" nd="1"/>
        <i x="422" s="1" nd="1"/>
        <i x="441" s="1" nd="1"/>
        <i x="469" s="1" nd="1"/>
        <i x="655" s="1" nd="1"/>
        <i x="492" s="1" nd="1"/>
        <i x="318" s="1" nd="1"/>
        <i x="703" s="1" nd="1"/>
        <i x="428" s="1" nd="1"/>
        <i x="92" s="1" nd="1"/>
        <i x="198" s="1" nd="1"/>
        <i x="567" s="1" nd="1"/>
        <i x="74" s="1" nd="1"/>
        <i x="673" s="1" nd="1"/>
        <i x="774" s="1" nd="1"/>
        <i x="35" s="1" nd="1"/>
        <i x="145" s="1" nd="1"/>
        <i x="337" s="1" nd="1"/>
        <i x="733" s="1" nd="1"/>
        <i x="180" s="1" nd="1"/>
        <i x="460" s="1" nd="1"/>
        <i x="551" s="1" nd="1"/>
        <i x="664" s="1" nd="1"/>
        <i x="576" s="1" nd="1"/>
        <i x="408" s="1" nd="1"/>
        <i x="587" s="1" nd="1"/>
        <i x="687" s="1" nd="1"/>
        <i x="98" s="1" nd="1"/>
        <i x="126" s="1" nd="1"/>
        <i x="224" s="1" nd="1"/>
        <i x="217" s="1" nd="1"/>
        <i x="236" s="1" nd="1"/>
        <i x="46" s="1" nd="1"/>
        <i x="333" s="1" nd="1"/>
        <i x="371" s="1" nd="1"/>
        <i x="456" s="1" nd="1"/>
        <i x="276" s="1" nd="1"/>
        <i x="297" s="1" nd="1"/>
        <i x="657" s="1" nd="1"/>
        <i x="30" s="1" nd="1"/>
        <i x="707" s="1" nd="1"/>
        <i x="632" s="1" nd="1"/>
        <i x="558" s="1" nd="1"/>
        <i x="674" s="1" nd="1"/>
        <i x="414" s="1" nd="1"/>
        <i x="498" s="1" nd="1"/>
        <i x="593" s="1" nd="1"/>
        <i x="136" s="1" nd="1"/>
        <i x="544" s="1" nd="1"/>
        <i x="592" s="1" nd="1"/>
        <i x="615" s="1" nd="1"/>
        <i x="269" s="1" nd="1"/>
        <i x="367" s="1" nd="1"/>
        <i x="749" s="1" nd="1"/>
        <i x="91" s="1" nd="1"/>
        <i x="196" s="1" nd="1"/>
        <i x="268" s="1" nd="1"/>
        <i x="289" s="1" nd="1"/>
        <i x="566" s="1" nd="1"/>
        <i x="735" s="1" nd="1"/>
        <i x="397"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6" name="PivotTable1"/>
  </pivotTables>
  <data>
    <tabular pivotCacheId="11">
      <items count="668">
        <i x="6" s="1"/>
        <i x="13" s="1"/>
        <i x="1" s="1"/>
        <i x="22" s="1"/>
        <i x="4" s="1"/>
        <i x="14" s="1"/>
        <i x="21" s="1"/>
        <i x="12" s="1"/>
        <i x="23" s="1"/>
        <i x="15" s="1"/>
        <i x="7" s="1"/>
        <i x="11" s="1"/>
        <i x="19" s="1"/>
        <i x="9" s="1"/>
        <i x="3" s="1"/>
        <i x="10" s="1"/>
        <i x="8" s="1"/>
        <i x="5" s="1"/>
        <i x="18" s="1"/>
        <i x="2" s="1"/>
        <i x="20" s="1"/>
        <i x="16" s="1"/>
        <i x="0" s="1"/>
        <i x="17" s="1"/>
        <i x="199" s="1" nd="1"/>
        <i x="145" s="1" nd="1"/>
        <i x="316" s="1" nd="1"/>
        <i x="59" s="1" nd="1"/>
        <i x="397" s="1" nd="1"/>
        <i x="623" s="1" nd="1"/>
        <i x="124" s="1" nd="1"/>
        <i x="651" s="1" nd="1"/>
        <i x="317" s="1" nd="1"/>
        <i x="121" s="1" nd="1"/>
        <i x="94" s="1" nd="1"/>
        <i x="264" s="1" nd="1"/>
        <i x="294" s="1" nd="1"/>
        <i x="381" s="1" nd="1"/>
        <i x="528" s="1" nd="1"/>
        <i x="31" s="1" nd="1"/>
        <i x="227" s="1" nd="1"/>
        <i x="585" s="1" nd="1"/>
        <i x="148" s="1" nd="1"/>
        <i x="476" s="1" nd="1"/>
        <i x="592" s="1" nd="1"/>
        <i x="130" s="1" nd="1"/>
        <i x="284" s="1" nd="1"/>
        <i x="271" s="1" nd="1"/>
        <i x="68" s="1" nd="1"/>
        <i x="114" s="1" nd="1"/>
        <i x="213" s="1" nd="1"/>
        <i x="282" s="1" nd="1"/>
        <i x="493" s="1" nd="1"/>
        <i x="56" s="1" nd="1"/>
        <i x="319" s="1" nd="1"/>
        <i x="560" s="1" nd="1"/>
        <i x="208" s="1" nd="1"/>
        <i x="325" s="1" nd="1"/>
        <i x="407" s="1" nd="1"/>
        <i x="425" s="1" nd="1"/>
        <i x="490" s="1" nd="1"/>
        <i x="649" s="1" nd="1"/>
        <i x="99" s="1" nd="1"/>
        <i x="299" s="1" nd="1"/>
        <i x="442" s="1" nd="1"/>
        <i x="639" s="1" nd="1"/>
        <i x="218" s="1" nd="1"/>
        <i x="547" s="1" nd="1"/>
        <i x="163" s="1" nd="1"/>
        <i x="184" s="1" nd="1"/>
        <i x="348" s="1" nd="1"/>
        <i x="604" s="1" nd="1"/>
        <i x="638" s="1" nd="1"/>
        <i x="63" s="1" nd="1"/>
        <i x="206" s="1" nd="1"/>
        <i x="241" s="1" nd="1"/>
        <i x="373" s="1" nd="1"/>
        <i x="505" s="1" nd="1"/>
        <i x="559" s="1" nd="1"/>
        <i x="429" s="1" nd="1"/>
        <i x="454" s="1" nd="1"/>
        <i x="486" s="1" nd="1"/>
        <i x="518" s="1" nd="1"/>
        <i x="529" s="1" nd="1"/>
        <i x="558" s="1" nd="1"/>
        <i x="601" s="1" nd="1"/>
        <i x="616" s="1" nd="1"/>
        <i x="73" s="1" nd="1"/>
        <i x="84" s="1" nd="1"/>
        <i x="170" s="1" nd="1"/>
        <i x="310" s="1" nd="1"/>
        <i x="355" s="1" nd="1"/>
        <i x="60" s="1" nd="1"/>
        <i x="105" s="1" nd="1"/>
        <i x="204" s="1" nd="1"/>
        <i x="216" s="1" nd="1"/>
        <i x="544" s="1" nd="1"/>
        <i x="624" s="1" nd="1"/>
        <i x="71" s="1" nd="1"/>
        <i x="161" s="1" nd="1"/>
        <i x="203" s="1" nd="1"/>
        <i x="477" s="1" nd="1"/>
        <i x="215" s="1" nd="1"/>
        <i x="292" s="1" nd="1"/>
        <i x="159" s="1" nd="1"/>
        <i x="499" s="1" nd="1"/>
        <i x="543" s="1" nd="1"/>
        <i x="553" s="1" nd="1"/>
        <i x="247" s="1" nd="1"/>
        <i x="574" s="1" nd="1"/>
        <i x="614" s="1" nd="1"/>
        <i x="361" s="1" nd="1"/>
        <i x="27" s="1" nd="1"/>
        <i x="47" s="1" nd="1"/>
        <i x="402" s="1" nd="1"/>
        <i x="237" s="1" nd="1"/>
        <i x="39" s="1" nd="1"/>
        <i x="451" s="1" nd="1"/>
        <i x="536" s="1" nd="1"/>
        <i x="245" s="1" nd="1"/>
        <i x="307" s="1" nd="1"/>
        <i x="342" s="1" nd="1"/>
        <i x="393" s="1" nd="1"/>
        <i x="418" s="1" nd="1"/>
        <i x="91" s="1" nd="1"/>
        <i x="511" s="1" nd="1"/>
        <i x="514" s="1" nd="1"/>
        <i x="562" s="1" nd="1"/>
        <i x="573" s="1" nd="1"/>
        <i x="572" s="1" nd="1"/>
        <i x="611" s="1" nd="1"/>
        <i x="322" s="1" nd="1"/>
        <i x="368" s="1" nd="1"/>
        <i x="57" s="1" nd="1"/>
        <i x="410" s="1" nd="1"/>
        <i x="128" s="1" nd="1"/>
        <i x="582" s="1" nd="1"/>
        <i x="646" s="1" nd="1"/>
        <i x="367" s="1" nd="1"/>
        <i x="66" s="1" nd="1"/>
        <i x="101" s="1" nd="1"/>
        <i x="113" s="1" nd="1"/>
        <i x="447" s="1" nd="1"/>
        <i x="494" s="1" nd="1"/>
        <i x="177" s="1" nd="1"/>
        <i x="212" s="1" nd="1"/>
        <i x="633" s="1" nd="1"/>
        <i x="339" s="1" nd="1"/>
        <i x="523" s="1" nd="1"/>
        <i x="211" s="1" nd="1"/>
        <i x="539" s="1" nd="1"/>
        <i x="550" s="1" nd="1"/>
        <i x="609" s="1" nd="1"/>
        <i x="320" s="1" nd="1"/>
        <i x="630" s="1" nd="1"/>
        <i x="643" s="1" nd="1"/>
        <i x="376" s="1" nd="1"/>
        <i x="136" s="1" nd="1"/>
        <i x="196" s="1" nd="1"/>
        <i x="580" s="1" nd="1"/>
        <i x="598" s="1" nd="1"/>
        <i x="286" s="1" nd="1"/>
        <i x="303" s="1" nd="1"/>
        <i x="318" s="1" nd="1"/>
        <i x="358" s="1" nd="1"/>
        <i x="25" s="1" nd="1"/>
        <i x="388" s="1" nd="1"/>
        <i x="408" s="1" nd="1"/>
        <i x="110" s="1" nd="1"/>
        <i x="123" s="1" nd="1"/>
        <i x="459" s="1" nd="1"/>
        <i x="223" s="1" nd="1"/>
        <i x="549" s="1" nd="1"/>
        <i x="279" s="1" nd="1"/>
        <i x="608" s="1" nd="1"/>
        <i x="302" s="1" nd="1"/>
        <i x="444" s="1" nd="1"/>
        <i x="466" s="1" nd="1"/>
        <i x="301" s="1" nd="1"/>
        <i x="629" s="1" nd="1"/>
        <i x="87" s="1" nd="1"/>
        <i x="154" s="1" nd="1"/>
        <i x="234" s="1" nd="1"/>
        <i x="256" s="1" nd="1"/>
        <i x="579" s="1" nd="1"/>
        <i x="619" s="1" nd="1"/>
        <i x="351" s="1" nd="1"/>
        <i x="126" s="1" nd="1"/>
        <i x="176" s="1" nd="1"/>
        <i x="243" s="1" nd="1"/>
        <i x="607" s="1" nd="1"/>
        <i x="139" s="1" nd="1"/>
        <i x="337" s="1" nd="1"/>
        <i x="641" s="1" nd="1"/>
        <i x="356" s="1" nd="1"/>
        <i x="516" s="1" nd="1"/>
        <i x="202" s="1" nd="1"/>
        <i x="465" s="1" nd="1"/>
        <i x="481" s="1" nd="1"/>
        <i x="489" s="1" nd="1"/>
        <i x="509" s="1" nd="1"/>
        <i x="194" s="1" nd="1"/>
        <i x="548" s="1" nd="1"/>
        <i x="83" s="1" nd="1"/>
        <i x="255" s="1" nd="1"/>
        <i x="422" s="1" nd="1"/>
        <i x="588" s="1" nd="1"/>
        <i x="438" s="1" nd="1"/>
        <i x="300" s="1" nd="1"/>
        <i x="472" s="1" nd="1"/>
        <i x="160" s="1" nd="1"/>
        <i x="500" s="1" nd="1"/>
        <i x="35" s="1" nd="1"/>
        <i x="386" s="1" nd="1"/>
        <i x="54" s="1" nd="1"/>
        <i x="226" s="1" nd="1"/>
        <i x="554" s="1" nd="1"/>
        <i x="248" s="1" nd="1"/>
        <i x="97" s="1" nd="1"/>
        <i x="273" s="1" nd="1"/>
        <i x="432" s="1" nd="1"/>
        <i x="122" s="1" nd="1"/>
        <i x="622" s="1" nd="1"/>
        <i x="152" s="1" nd="1"/>
        <i x="344" s="1" nd="1"/>
        <i x="521" s="1" nd="1"/>
        <i x="50" s="1" nd="1"/>
        <i x="396" s="1" nd="1"/>
        <i x="82" s="1" nd="1"/>
        <i x="421" s="1" nd="1"/>
        <i x="578" s="1" nd="1"/>
        <i x="267" s="1" nd="1"/>
        <i x="596" s="1" nd="1"/>
        <i x="115" s="1" nd="1"/>
        <i x="606" s="1" nd="1"/>
        <i x="470" s="1" nd="1"/>
        <i x="138" s="1" nd="1"/>
        <i x="475" s="1" nd="1"/>
        <i x="201" s="1" nd="1"/>
        <i x="225" s="1" nd="1"/>
        <i x="246" s="1" nd="1"/>
        <i x="413" s="1" nd="1"/>
        <i x="424" s="1" nd="1"/>
        <i x="431" s="1" nd="1"/>
        <i x="109" s="1" nd="1"/>
        <i x="323" s="1" nd="1"/>
        <i x="329" s="1" nd="1"/>
        <i x="165" s="1" nd="1"/>
        <i x="507" s="1" nd="1"/>
        <i x="653" s="1" nd="1"/>
        <i x="193" s="1" nd="1"/>
        <i x="41" s="1" nd="1"/>
        <i x="48" s="1" nd="1"/>
        <i x="219" s="1" nd="1"/>
        <i x="242" s="1" nd="1"/>
        <i x="570" s="1" nd="1"/>
        <i x="266" s="1" nd="1"/>
        <i x="132" s="1" nd="1"/>
        <i x="350" s="1" nd="1"/>
        <i x="189" s="1" nd="1"/>
        <i x="384" s="1" nd="1"/>
        <i x="542" s="1" nd="1"/>
        <i x="238" s="1" nd="1"/>
        <i x="260" s="1" nd="1"/>
        <i x="96" s="1" nd="1"/>
        <i x="591" s="1" nd="1"/>
        <i x="290" s="1" nd="1"/>
        <i x="480" s="1" nd="1"/>
        <i x="370" s="1" nd="1"/>
        <i x="531" s="1" nd="1"/>
        <i x="58" s="1" nd="1"/>
        <i x="233" s="1" nd="1"/>
        <i x="569" s="1" nd="1"/>
        <i x="92" s="1" nd="1"/>
        <i x="265" s="1" nd="1"/>
        <i x="453" s="1" nd="1"/>
        <i x="298" s="1" nd="1"/>
        <i x="461" s="1" nd="1"/>
        <i x="349" s="1" nd="1"/>
        <i x="169" s="1" nd="1"/>
        <i x="180" s="1" nd="1"/>
        <i x="364" s="1" nd="1"/>
        <i x="526" s="1" nd="1"/>
        <i x="541" s="1" nd="1"/>
        <i x="53" s="1" nd="1"/>
        <i x="405" s="1" nd="1"/>
        <i x="75" s="1" nd="1"/>
        <i x="86" s="1" nd="1"/>
        <i x="583" s="1" nd="1"/>
        <i x="441" s="1" nd="1"/>
        <i x="289" s="1" nd="1"/>
        <i x="135" s="1" nd="1"/>
        <i x="343" s="1" nd="1"/>
        <i x="174" s="1" nd="1"/>
        <i x="378" s="1" nd="1"/>
        <i x="530" s="1" nd="1"/>
        <i x="40" s="1" nd="1"/>
        <i x="546" s="1" nd="1"/>
        <i x="420" s="1" nd="1"/>
        <i x="587" s="1" nd="1"/>
        <i x="452" s="1" nd="1"/>
        <i x="605" s="1" nd="1"/>
        <i x="129" s="1" nd="1"/>
        <i x="658" s="1" nd="1"/>
        <i x="33" s="1" nd="1"/>
        <i x="214" s="1" nd="1"/>
        <i x="540" s="1" nd="1"/>
        <i x="404" s="1" nd="1"/>
        <i x="563" s="1" nd="1"/>
        <i x="74" s="1" nd="1"/>
        <i x="272" s="1" nd="1"/>
        <i x="599" s="1" nd="1"/>
        <i x="513" s="1" nd="1"/>
        <i x="665" s="1" nd="1"/>
        <i x="377" s="1" nd="1"/>
        <i x="46" s="1" nd="1"/>
        <i x="232" s="1" nd="1"/>
        <i x="419" s="1" nd="1"/>
        <i x="437" s="1" nd="1"/>
        <i x="450" s="1" nd="1"/>
        <i x="618" s="1" nd="1"/>
        <i x="313" s="1" nd="1"/>
        <i x="626" s="1" nd="1"/>
        <i x="474" s="1" nd="1"/>
        <i x="496" s="1" nd="1"/>
        <i x="657" s="1" nd="1"/>
        <i x="179" s="1" nd="1"/>
        <i x="363" s="1" nd="1"/>
        <i x="85" s="1" nd="1"/>
        <i x="95" s="1" nd="1"/>
        <i x="125" s="1" nd="1"/>
        <i x="328" s="1" nd="1"/>
        <i x="151" s="1" nd="1"/>
        <i x="341" s="1" nd="1"/>
        <i x="506" s="1" nd="1"/>
        <i x="664" s="1" nd="1"/>
        <i x="519" s="1" nd="1"/>
        <i x="392" s="1" nd="1"/>
        <i x="231" s="1" nd="1"/>
        <i x="254" s="1" nd="1"/>
        <i x="417" s="1" nd="1"/>
        <i x="90" s="1" nd="1"/>
        <i x="427" s="1" nd="1"/>
        <i x="102" s="1" nd="1"/>
        <i x="285" s="1" nd="1"/>
        <i x="312" s="1" nd="1"/>
        <i x="157" s="1" nd="1"/>
        <i x="178" s="1" nd="1"/>
        <i x="552" s="1" nd="1"/>
        <i x="236" s="1" nd="1"/>
        <i x="259" s="1" nd="1"/>
        <i x="270" s="1" nd="1"/>
        <i x="288" s="1" nd="1"/>
        <i x="134" s="1" nd="1"/>
        <i x="634" s="1" nd="1"/>
        <i x="150" s="1" nd="1"/>
        <i x="173" s="1" nd="1"/>
        <i x="369" s="1" nd="1"/>
        <i x="230" s="1" nd="1"/>
        <i x="568" s="1" nd="1"/>
        <i x="577" s="1" nd="1"/>
        <i x="449" s="1" nd="1"/>
        <i x="311" s="1" nd="1"/>
        <i x="469" s="1" nd="1"/>
        <i x="625" s="1" nd="1"/>
        <i x="156" s="1" nd="1"/>
        <i x="495" s="1" nd="1"/>
        <i x="168" s="1" nd="1"/>
        <i x="258" s="1" nd="1"/>
        <i x="430" s="1" nd="1"/>
        <i x="283" s="1" nd="1"/>
        <i x="120" s="1" nd="1"/>
        <i x="455" s="1" nd="1"/>
        <i x="610" s="1" nd="1"/>
        <i x="503" s="1" nd="1"/>
        <i x="652" s="1" nd="1"/>
        <i x="172" s="1" nd="1"/>
        <i x="183" s="1" nd="1"/>
        <i x="26" s="1" nd="1"/>
        <i x="192" s="1" nd="1"/>
        <i x="401" s="1" nd="1"/>
        <i x="67" s="1" nd="1"/>
        <i x="239" s="1" nd="1"/>
        <i x="80" s="1" nd="1"/>
        <i x="436" s="1" nd="1"/>
        <i x="595" s="1" nd="1"/>
        <i x="448" s="1" nd="1"/>
        <i x="602" s="1" nd="1"/>
        <i x="460" s="1" nd="1"/>
        <i x="468" s="1" nd="1"/>
        <i x="667" s="1" nd="1"/>
        <i x="525" s="1" nd="1"/>
        <i x="198" s="1" nd="1"/>
        <i x="551" s="1" nd="1"/>
        <i x="423" s="1" nd="1"/>
        <i x="107" s="1" nd="1"/>
        <i x="621" s="1" nd="1"/>
        <i x="340" s="1" nd="1"/>
        <i x="537" s="1" nd="1"/>
        <i x="545" s="1" nd="1"/>
        <i x="228" s="1" nd="1"/>
        <i x="79" s="1" nd="1"/>
        <i x="253" s="1" nd="1"/>
        <i x="575" s="1" nd="1"/>
        <i x="593" s="1" nd="1"/>
        <i x="524" s="1" nd="1"/>
        <i x="43" s="1" nd="1"/>
        <i x="399" s="1" nd="1"/>
        <i x="61" s="1" nd="1"/>
        <i x="581" s="1" nd="1"/>
        <i x="464" s="1" nd="1"/>
        <i x="321" s="1" nd="1"/>
        <i x="484" s="1" nd="1"/>
        <i x="644" s="1" nd="1"/>
        <i x="390" s="1" nd="1"/>
        <i x="45" s="1" nd="1"/>
        <i x="217" s="1" nd="1"/>
        <i x="557" s="1" nd="1"/>
        <i x="567" s="1" nd="1"/>
        <i x="252" s="1" nd="1"/>
        <i x="88" s="1" nd="1"/>
        <i x="100" s="1" nd="1"/>
        <i x="275" s="1" nd="1"/>
        <i x="434" s="1" nd="1"/>
        <i x="111" s="1" nd="1"/>
        <i x="467" s="1" nd="1"/>
        <i x="636" s="1" nd="1"/>
        <i x="346" s="1" nd="1"/>
        <i x="510" s="1" nd="1"/>
        <i x="187" s="1" nd="1"/>
        <i x="32" s="1" nd="1"/>
        <i x="380" s="1" nd="1"/>
        <i x="209" s="1" nd="1"/>
        <i x="561" s="1" nd="1"/>
        <i x="93" s="1" nd="1"/>
        <i x="269" s="1" nd="1"/>
        <i x="280" s="1" nd="1"/>
        <i x="440" s="1" nd="1"/>
        <i x="118" s="1" nd="1"/>
        <i x="304" s="1" nd="1"/>
        <i x="463" s="1" nd="1"/>
        <i x="642" s="1" nd="1"/>
        <i x="512" s="1" nd="1"/>
        <i x="661" s="1" nd="1"/>
        <i x="181" s="1" nd="1"/>
        <i x="527" s="1" nd="1"/>
        <i x="37" s="1" nd="1"/>
        <i x="262" s="1" nd="1"/>
        <i x="586" s="1" nd="1"/>
        <i x="445" s="1" nd="1"/>
        <i x="333" s="1" nd="1"/>
        <i x="155" s="1" nd="1"/>
        <i x="167" s="1" nd="1"/>
        <i x="354" s="1" nd="1"/>
        <i x="538" s="1" nd="1"/>
        <i x="51" s="1" nd="1"/>
        <i x="439" s="1" nd="1"/>
        <i x="133" s="1" nd="1"/>
        <i x="140" s="1" nd="1"/>
        <i x="326" s="1" nd="1"/>
        <i x="149" s="1" nd="1"/>
        <i x="357" s="1" nd="1"/>
        <i x="191" s="1" nd="1"/>
        <i x="205" s="1" nd="1"/>
        <i x="555" s="1" nd="1"/>
        <i x="251" s="1" nd="1"/>
        <i x="415" s="1" nd="1"/>
        <i x="261" s="1" nd="1"/>
        <i x="433" s="1" nd="1"/>
        <i x="458" s="1" nd="1"/>
        <i x="127" s="1" nd="1"/>
        <i x="632" s="1" nd="1"/>
        <i x="332" s="1" nd="1"/>
        <i x="647" s="1" nd="1"/>
        <i x="522" s="1" nd="1"/>
        <i x="30" s="1" nd="1"/>
        <i x="195" s="1" nd="1"/>
        <i x="379" s="1" nd="1"/>
        <i x="222" s="1" nd="1"/>
        <i x="411" s="1" nd="1"/>
        <i x="104" s="1" nd="1"/>
        <i x="478" s="1" nd="1"/>
        <i x="366" s="1" nd="1"/>
        <i x="517" s="1" nd="1"/>
        <i x="387" s="1" nd="1"/>
        <i x="250" s="1" nd="1"/>
        <i x="443" s="1" nd="1"/>
        <i x="600" s="1" nd="1"/>
        <i x="309" s="1" nd="1"/>
        <i x="331" s="1" nd="1"/>
        <i x="482" s="1" nd="1"/>
        <i x="492" s="1" nd="1"/>
        <i x="186" s="1" nd="1"/>
        <i x="221" s="1" nd="1"/>
        <i x="257" s="1" nd="1"/>
        <i x="117" s="1" nd="1"/>
        <i x="162" s="1" nd="1"/>
        <i x="365" s="1" nd="1"/>
        <i x="374" s="1" nd="1"/>
        <i x="65" s="1" nd="1"/>
        <i x="153" s="1" nd="1"/>
        <i x="491" s="1" nd="1"/>
        <i x="666" s="1" nd="1"/>
        <i x="185" s="1" nd="1"/>
        <i x="42" s="1" nd="1"/>
        <i x="207" s="1" nd="1"/>
        <i x="220" s="1" nd="1"/>
        <i x="70" s="1" nd="1"/>
        <i x="268" s="1" nd="1"/>
        <i x="628" s="1" nd="1"/>
        <i x="650" s="1" nd="1"/>
        <i x="190" s="1" nd="1"/>
        <i x="36" s="1" nd="1"/>
        <i x="297" s="1" nd="1"/>
        <i x="64" s="1" nd="1"/>
        <i x="334" s="1" nd="1"/>
        <i x="565" s="1" nd="1"/>
        <i x="77" s="1" nd="1"/>
        <i x="648" s="1" nd="1"/>
        <i x="274" s="1" nd="1"/>
        <i x="457" s="1" nd="1"/>
        <i x="44" s="1" nd="1"/>
        <i x="473" s="1" nd="1"/>
        <i x="244" s="1" nd="1"/>
        <i x="345" s="1" nd="1"/>
        <i x="412" s="1" nd="1"/>
        <i x="166" s="1" nd="1"/>
        <i x="655" s="1" nd="1"/>
        <i x="108" s="1" nd="1"/>
        <i x="29" s="1" nd="1"/>
        <i x="306" s="1" nd="1"/>
        <i x="142" s="1" nd="1"/>
        <i x="69" s="1" nd="1"/>
        <i x="487" s="1" nd="1"/>
        <i x="352" s="1" nd="1"/>
        <i x="504" s="1" nd="1"/>
        <i x="360" s="1" nd="1"/>
        <i x="663" s="1" nd="1"/>
        <i x="103" s="1" nd="1"/>
        <i x="38" s="1" nd="1"/>
        <i x="229" s="1" nd="1"/>
        <i x="240" s="1" nd="1"/>
        <i x="409" s="1" nd="1"/>
        <i x="640" s="1" nd="1"/>
        <i x="576" s="1" nd="1"/>
        <i x="89" s="1" nd="1"/>
        <i x="263" s="1" nd="1"/>
        <i x="660" s="1" nd="1"/>
        <i x="277" s="1" nd="1"/>
        <i x="515" s="1" nd="1"/>
        <i x="24" s="1" nd="1"/>
        <i x="603" s="1" nd="1"/>
        <i x="296" s="1" nd="1"/>
        <i x="406" s="1" nd="1"/>
        <i x="76" s="1" nd="1"/>
        <i x="249" s="1" nd="1"/>
        <i x="347" s="1" nd="1"/>
        <i x="414" s="1" nd="1"/>
        <i x="98" s="1" nd="1"/>
        <i x="291" s="1" nd="1"/>
        <i x="383" s="1" nd="1"/>
        <i x="52" s="1" nd="1"/>
        <i x="400" s="1" nd="1"/>
        <i x="62" s="1" nd="1"/>
        <i x="144" s="1" nd="1"/>
        <i x="330" s="1" nd="1"/>
        <i x="508" s="1" nd="1"/>
        <i x="654" s="1" nd="1"/>
        <i x="590" s="1" nd="1"/>
        <i x="28" s="1" nd="1"/>
        <i x="534" s="1" nd="1"/>
        <i x="141" s="1" nd="1"/>
        <i x="327" s="1" nd="1"/>
        <i x="479" s="1" nd="1"/>
        <i x="502" s="1" nd="1"/>
        <i x="171" s="1" nd="1"/>
        <i x="182" s="1" nd="1"/>
        <i x="597" s="1" nd="1"/>
        <i x="116" s="1" nd="1"/>
        <i x="462" s="1" nd="1"/>
        <i x="471" s="1" nd="1"/>
        <i x="627" s="1" nd="1"/>
        <i x="336" s="1" nd="1"/>
        <i x="416" s="1" nd="1"/>
        <i x="498" s="1" nd="1"/>
        <i x="435" s="1" nd="1"/>
        <i x="594" s="1" nd="1"/>
        <i x="446" s="1" nd="1"/>
        <i x="295" s="1" nd="1"/>
        <i x="617" s="1" nd="1"/>
        <i x="324" s="1" nd="1"/>
        <i x="483" s="1" nd="1"/>
        <i x="564" s="1" nd="1"/>
        <i x="637" s="1" nd="1"/>
        <i x="656" s="1" nd="1"/>
        <i x="188" s="1" nd="1"/>
        <i x="372" s="1" nd="1"/>
        <i x="197" s="1" nd="1"/>
        <i x="382" s="1" nd="1"/>
        <i x="613" s="1" nd="1"/>
        <i x="143" s="1" nd="1"/>
        <i x="235" s="1" nd="1"/>
        <i x="403" s="1" nd="1"/>
        <i x="488" s="1" nd="1"/>
        <i x="353" s="1" nd="1"/>
        <i x="175" s="1" nd="1"/>
        <i x="589" s="1" nd="1"/>
        <i x="106" s="1" nd="1"/>
        <i x="520" s="1" nd="1"/>
        <i x="119" s="1" nd="1"/>
        <i x="287" s="1" nd="1"/>
        <i x="533" s="1" nd="1"/>
        <i x="394" s="1" nd="1"/>
        <i x="49" s="1" nd="1"/>
        <i x="485" s="1" nd="1"/>
        <i x="645" s="1" nd="1"/>
        <i x="501" s="1" nd="1"/>
        <i x="359" s="1" nd="1"/>
        <i x="428" s="1" nd="1"/>
        <i x="662" s="1" nd="1"/>
        <i x="278" s="1" nd="1"/>
        <i x="391" s="1" nd="1"/>
        <i x="315" s="1" nd="1"/>
        <i x="335" s="1" nd="1"/>
        <i x="78" s="1" nd="1"/>
        <i x="659" s="1" nd="1"/>
        <i x="276" s="1" nd="1"/>
        <i x="112" s="1" nd="1"/>
        <i x="34" s="1" nd="1"/>
        <i x="200" s="1" nd="1"/>
        <i x="293" s="1" nd="1"/>
        <i x="385" s="1" nd="1"/>
        <i x="615" s="1" nd="1"/>
        <i x="137" s="1" nd="1"/>
        <i x="146" s="1" nd="1"/>
        <i x="584" s="1" nd="1"/>
        <i x="362" s="1" nd="1"/>
        <i x="371" s="1" nd="1"/>
        <i x="456" s="1" nd="1"/>
        <i x="535" s="1" nd="1"/>
        <i x="612" s="1" nd="1"/>
        <i x="210" s="1" nd="1"/>
        <i x="308" s="1" nd="1"/>
        <i x="224" s="1" nd="1"/>
        <i x="398" s="1" nd="1"/>
        <i x="631" s="1" nd="1"/>
        <i x="635" s="1" nd="1"/>
        <i x="72" s="1" nd="1"/>
        <i x="571" s="1" nd="1"/>
        <i x="164" s="1" nd="1"/>
        <i x="281" s="1" nd="1"/>
        <i x="532" s="1" nd="1"/>
        <i x="305" s="1" nd="1"/>
        <i x="620" s="1" nd="1"/>
        <i x="395" s="1" nd="1"/>
        <i x="338" s="1" nd="1"/>
        <i x="81" s="1" nd="1"/>
        <i x="375" s="1" nd="1"/>
        <i x="389" s="1" nd="1"/>
        <i x="131" s="1" nd="1"/>
        <i x="314" s="1" nd="1"/>
        <i x="55" s="1" nd="1"/>
        <i x="556" s="1" nd="1"/>
        <i x="147" s="1" nd="1"/>
        <i x="566" s="1" nd="1"/>
        <i x="158" s="1" nd="1"/>
        <i x="497" s="1" nd="1"/>
        <i x="426"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RUNDATE3" sourceName="RUNDATE">
  <pivotTables>
    <pivotTable tabId="6" name="PivotTable1"/>
  </pivotTables>
  <data>
    <tabular pivotCacheId="11" sortOrder="descending">
      <items count="332">
        <i x="1" s="1"/>
        <i x="0" s="1"/>
        <i x="24" s="1" nd="1"/>
        <i x="188" s="1" nd="1"/>
        <i x="115" s="1" nd="1"/>
        <i x="302" s="1" nd="1"/>
        <i x="230" s="1" nd="1"/>
        <i x="202" s="1" nd="1"/>
        <i x="134" s="1" nd="1"/>
        <i x="54" s="1" nd="1"/>
        <i x="318" s="1" nd="1"/>
        <i x="251" s="1" nd="1"/>
        <i x="187" s="1" nd="1"/>
        <i x="114" s="1" nd="1"/>
        <i x="158" s="1" nd="1"/>
        <i x="85" s="1" nd="1"/>
        <i x="312" s="1" nd="1"/>
        <i x="217" s="1" nd="1"/>
        <i x="147" s="1" nd="1"/>
        <i x="331" s="1" nd="1"/>
        <i x="84" s="1" nd="1"/>
        <i x="12" s="1" nd="1"/>
        <i x="183" s="1" nd="1"/>
        <i x="109" s="1" nd="1"/>
        <i x="36" s="1" nd="1"/>
        <i x="197" s="1" nd="1"/>
        <i x="177" s="1" nd="1"/>
        <i x="105" s="1" nd="1"/>
        <i x="294" s="1" nd="1"/>
        <i x="162" s="1" nd="1"/>
        <i x="90" s="1" nd="1"/>
        <i x="280" s="1" nd="1"/>
        <i x="214" s="1" nd="1"/>
        <i x="49" s="1" nd="1"/>
        <i x="311" s="1" nd="1"/>
        <i x="244" s="1" nd="1"/>
        <i x="146" s="1" nd="1"/>
        <i x="40" s="1" nd="1"/>
        <i x="301" s="1" nd="1"/>
        <i x="89" s="1" nd="1"/>
        <i x="16" s="1" nd="1"/>
        <i x="122" s="1" nd="1"/>
        <i x="45" s="1" nd="1"/>
        <i x="304" s="1" nd="1"/>
        <i x="235" s="1" nd="1"/>
        <i x="100" s="1" nd="1"/>
        <i x="83" s="1" nd="1"/>
        <i x="11" s="1" nd="1"/>
        <i x="104" s="1" nd="1"/>
        <i x="31" s="1" nd="1"/>
        <i x="293" s="1" nd="1"/>
        <i x="222" s="1" nd="1"/>
        <i x="78" s="1" nd="1"/>
        <i x="5" s="1" nd="1"/>
        <i x="270" s="1" nd="1"/>
        <i x="210" s="1" nd="1"/>
        <i x="141" s="1" nd="1"/>
        <i x="330" s="1" nd="1"/>
        <i x="264" s="1" nd="1"/>
        <i x="206" s="1" nd="1"/>
        <i x="57" s="1" nd="1"/>
        <i x="269" s="1" nd="1"/>
        <i x="108" s="1" nd="1"/>
        <i x="77" s="1" nd="1"/>
        <i x="209" s="1" nd="1"/>
        <i x="61" s="1" nd="1"/>
        <i x="53" s="1" nd="1"/>
        <i x="313" s="1" nd="1"/>
        <i x="247" s="1" nd="1"/>
        <i x="182" s="1" nd="1"/>
        <i x="66" s="1" nd="1"/>
        <i x="176" s="1" nd="1"/>
        <i x="103" s="1" nd="1"/>
        <i x="227" s="1" nd="1"/>
        <i x="157" s="1" nd="1"/>
        <i x="243" s="1" nd="1"/>
        <i x="175" s="1" nd="1"/>
        <i x="292" s="1" nd="1"/>
        <i x="276" s="1" nd="1"/>
        <i x="35" s="1" nd="1"/>
        <i x="299" s="1" nd="1"/>
        <i x="226" s="1" nd="1"/>
        <i x="156" s="1" nd="1"/>
        <i x="30" s="1" nd="1"/>
        <i x="291" s="1" nd="1"/>
        <i x="221" s="1" nd="1"/>
        <i x="154" s="1" nd="1"/>
        <i x="234" s="1" nd="1"/>
        <i x="56" s="1" nd="1"/>
        <i x="39" s="1" nd="1"/>
        <i x="298" s="1" nd="1"/>
        <i x="155" s="1" nd="1"/>
        <i x="153" s="1" nd="1"/>
        <i x="76" s="1" nd="1"/>
        <i x="4" s="1" nd="1"/>
        <i x="268" s="1" nd="1"/>
        <i x="75" s="1" nd="1"/>
        <i x="3" s="1" nd="1"/>
        <i x="267" s="1" nd="1"/>
        <i x="121" s="1" nd="1"/>
        <i x="329" s="1" nd="1"/>
        <i x="263" s="1" nd="1"/>
        <i x="205" s="1" nd="1"/>
        <i x="138" s="1" nd="1"/>
        <i x="242" s="1" nd="1"/>
        <i x="102" s="1" nd="1"/>
        <i x="120" s="1" nd="1"/>
        <i x="99" s="1" nd="1"/>
        <i x="65" s="1" nd="1"/>
        <i x="181" s="1" nd="1"/>
        <i x="310" s="1" nd="1"/>
        <i x="174" s="1" nd="1"/>
        <i x="130" s="1" nd="1"/>
        <i x="48" s="1" nd="1"/>
        <i x="309" s="1" nd="1"/>
        <i x="327" s="1" nd="1"/>
        <i x="201" s="1" nd="1"/>
        <i x="323" s="1" nd="1"/>
        <i x="321" s="1" nd="1"/>
        <i x="119" s="1" nd="1"/>
        <i x="279" s="1" nd="1"/>
        <i x="213" s="1" nd="1"/>
        <i x="64" s="1" nd="1"/>
        <i x="322" s="1" nd="1"/>
        <i x="63" s="1" nd="1"/>
        <i x="283" s="1" nd="1"/>
        <i x="259" s="1" nd="1"/>
        <i x="129" s="1" nd="1"/>
        <i x="308" s="1" nd="1"/>
        <i x="173" s="1" nd="1"/>
        <i x="52" s="1" nd="1"/>
        <i x="246" s="1" nd="1"/>
        <i x="180" s="1" nd="1"/>
        <i x="34" s="1" nd="1"/>
        <i x="297" s="1" nd="1"/>
        <i x="225" s="1" nd="1"/>
        <i x="82" s="1" nd="1"/>
        <i x="307" s="1" nd="1"/>
        <i x="241" s="1" nd="1"/>
        <i x="172" s="1" nd="1"/>
        <i x="101" s="1" nd="1"/>
        <i x="29" s="1" nd="1"/>
        <i x="290" s="1" nd="1"/>
        <i x="220" s="1" nd="1"/>
        <i x="152" s="1" nd="1"/>
        <i x="74" s="1" nd="1"/>
        <i x="98" s="1" nd="1"/>
        <i x="23" s="1" nd="1"/>
        <i x="282" s="1" nd="1"/>
        <i x="216" s="1" nd="1"/>
        <i x="145" s="1" nd="1"/>
        <i x="71" s="1" nd="1"/>
        <i x="140" s="1" nd="1"/>
        <i x="250" s="1" nd="1"/>
        <i x="262" s="1" nd="1"/>
        <i x="166" s="1" nd="1"/>
        <i x="97" s="1" nd="1"/>
        <i x="22" s="1" nd="1"/>
        <i x="281" s="1" nd="1"/>
        <i x="60" s="1" nd="1"/>
        <i x="128" s="1" nd="1"/>
        <i x="47" s="1" nd="1"/>
        <i x="233" s="1" nd="1"/>
        <i x="165" s="1" nd="1"/>
        <i x="289" s="1" nd="1"/>
        <i x="193" s="1" nd="1"/>
        <i x="44" s="1" nd="1"/>
        <i x="303" s="1" nd="1"/>
        <i x="232" s="1" nd="1"/>
        <i x="21" s="1" nd="1"/>
        <i x="113" s="1" nd="1"/>
        <i x="278" s="1" nd="1"/>
        <i x="204" s="1" nd="1"/>
        <i x="137" s="1" nd="1"/>
        <i x="326" s="1" nd="1"/>
        <i x="261" s="1" nd="1"/>
        <i x="258" s="1" nd="1"/>
        <i x="196" s="1" nd="1"/>
        <i x="306" s="1" nd="1"/>
        <i x="240" s="1" nd="1"/>
        <i x="112" s="1" nd="1"/>
        <i x="38" s="1" nd="1"/>
        <i x="300" s="1" nd="1"/>
        <i x="161" s="1" nd="1"/>
        <i x="229" s="1" nd="1"/>
        <i x="10" s="1" nd="1"/>
        <i x="118" s="1" nd="1"/>
        <i x="51" s="1" nd="1"/>
        <i x="127" s="1" nd="1"/>
        <i x="46" s="1" nd="1"/>
        <i x="239" s="1" nd="1"/>
        <i x="171" s="1" nd="1"/>
        <i x="28" s="1" nd="1"/>
        <i x="288" s="1" nd="1"/>
        <i x="219" s="1" nd="1"/>
        <i x="33" s="1" nd="1"/>
        <i x="81" s="1" nd="1"/>
        <i x="9" s="1" nd="1"/>
        <i x="275" s="1" nd="1"/>
        <i x="218" s="1" nd="1"/>
        <i x="208" s="1" nd="1"/>
        <i x="59" s="1" nd="1"/>
        <i x="192" s="1" nd="1"/>
        <i x="20" s="1" nd="1"/>
        <i x="15" s="1" nd="1"/>
        <i x="195" s="1" nd="1"/>
        <i x="27" s="1" nd="1"/>
        <i x="287" s="1" nd="1"/>
        <i x="73" s="1" nd="1"/>
        <i x="14" s="1" nd="1"/>
        <i x="107" s="1" nd="1"/>
        <i x="32" s="1" nd="1"/>
        <i x="126" s="1" nd="1"/>
        <i x="238" s="1" nd="1"/>
        <i x="170" s="1" nd="1"/>
        <i x="286" s="1" nd="1"/>
        <i x="224" s="1" nd="1"/>
        <i x="19" s="1" nd="1"/>
        <i x="136" s="1" nd="1"/>
        <i x="80" s="1" nd="1"/>
        <i x="255" s="1" nd="1"/>
        <i x="249" s="1" nd="1"/>
        <i x="186" s="1" nd="1"/>
        <i x="133" s="1" nd="1"/>
        <i x="169" s="1" nd="1"/>
        <i x="285" s="1" nd="1"/>
        <i x="328" s="1" nd="1"/>
        <i x="212" s="1" nd="1"/>
        <i x="142" s="1" nd="1"/>
        <i x="185" s="1" nd="1"/>
        <i x="68" s="1" nd="1"/>
        <i x="237" s="1" nd="1"/>
        <i x="168" s="1" nd="1"/>
        <i x="231" s="1" nd="1"/>
        <i x="164" s="1" nd="1"/>
        <i x="96" s="1" nd="1"/>
        <i x="79" s="1" nd="1"/>
        <i x="8" s="1" nd="1"/>
        <i x="274" s="1" nd="1"/>
        <i x="191" s="1" nd="1"/>
        <i x="117" s="1" nd="1"/>
        <i x="95" s="1" nd="1"/>
        <i x="94" s="1" nd="1"/>
        <i x="215" s="1" nd="1"/>
        <i x="144" s="1" nd="1"/>
        <i x="203" s="1" nd="1"/>
        <i x="88" s="1" nd="1"/>
        <i x="13" s="1" nd="1"/>
        <i x="200" s="1" nd="1"/>
        <i x="58" s="1" nd="1"/>
        <i x="254" s="1" nd="1"/>
        <i x="317" s="1" nd="1"/>
        <i x="325" s="1" nd="1"/>
        <i x="296" s="1" nd="1"/>
        <i x="223" s="1" nd="1"/>
        <i x="26" s="1" nd="1"/>
        <i x="284" s="1" nd="1"/>
        <i x="72" s="1" nd="1"/>
        <i x="266" s="1" nd="1"/>
        <i x="93" s="1" nd="1"/>
        <i x="18" s="1" nd="1"/>
        <i x="143" s="1" nd="1"/>
        <i x="70" s="1" nd="1"/>
        <i x="67" s="1" nd="1"/>
        <i x="260" s="1" nd="1"/>
        <i x="199" s="1" nd="1"/>
        <i x="132" s="1" nd="1"/>
        <i x="273" s="1" nd="1"/>
        <i x="211" s="1" nd="1"/>
        <i x="194" s="1" nd="1"/>
        <i x="125" s="1" nd="1"/>
        <i x="25" s="1" nd="1"/>
        <i x="151" s="1" nd="1"/>
        <i x="2" s="1" nd="1"/>
        <i x="265" s="1" nd="1"/>
        <i x="207" s="1" nd="1"/>
        <i x="92" s="1" nd="1"/>
        <i x="69" s="1" nd="1"/>
        <i x="135" s="1" nd="1"/>
        <i x="116" s="1" nd="1"/>
        <i x="43" s="1" nd="1"/>
        <i x="150" s="1" nd="1"/>
        <i x="253" s="1" nd="1"/>
        <i x="131" s="1" nd="1"/>
        <i x="55" s="1" nd="1"/>
        <i x="316" s="1" nd="1"/>
        <i x="315" s="1" nd="1"/>
        <i x="248" s="1" nd="1"/>
        <i x="324" s="1" nd="1"/>
        <i x="198" s="1" nd="1"/>
        <i x="190" s="1" nd="1"/>
        <i x="91" s="1" nd="1"/>
        <i x="17" s="1" nd="1"/>
        <i x="149" s="1" nd="1"/>
        <i x="320" s="1" nd="1"/>
        <i x="319" s="1" nd="1"/>
        <i x="252" s="1" nd="1"/>
        <i x="42" s="1" nd="1"/>
        <i x="314" s="1" nd="1"/>
        <i x="87" s="1" nd="1"/>
        <i x="245" s="1" nd="1"/>
        <i x="124" s="1" nd="1"/>
        <i x="295" s="1" nd="1"/>
        <i x="62" s="1" nd="1"/>
        <i x="257" s="1" nd="1"/>
        <i x="189" s="1" nd="1"/>
        <i x="272" s="1" nd="1"/>
        <i x="167" s="1" nd="1"/>
        <i x="256" s="1" nd="1"/>
        <i x="123" s="1" nd="1"/>
        <i x="236" s="1" nd="1"/>
        <i x="111" s="1" nd="1"/>
        <i x="37" s="1" nd="1"/>
        <i x="139" s="1" nd="1"/>
        <i x="7" s="1" nd="1"/>
        <i x="41" s="1" nd="1"/>
        <i x="228" s="1" nd="1"/>
        <i x="50" s="1" nd="1"/>
        <i x="179" s="1" nd="1"/>
        <i x="106" s="1" nd="1"/>
        <i x="148" s="1" nd="1"/>
        <i x="163" s="1" nd="1"/>
        <i x="305" s="1" nd="1"/>
        <i x="184" s="1" nd="1"/>
        <i x="110" s="1" nd="1"/>
        <i x="160" s="1" nd="1"/>
        <i x="86" s="1" nd="1"/>
        <i x="178" s="1" nd="1"/>
        <i x="159" s="1" nd="1"/>
        <i x="277" s="1" nd="1"/>
        <i x="6" s="1" nd="1"/>
        <i x="27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6" name="PivotTable1"/>
  </pivotTables>
  <data>
    <tabular pivotCacheId="11">
      <items count="39">
        <i x="0" s="1"/>
        <i x="1" s="1" nd="1"/>
        <i x="18" s="1" nd="1"/>
        <i x="21" s="1" nd="1"/>
        <i x="33" s="1" nd="1"/>
        <i x="15" s="1" nd="1"/>
        <i x="31" s="1" nd="1"/>
        <i x="2" s="1" nd="1"/>
        <i x="12" s="1" nd="1"/>
        <i x="20" s="1" nd="1"/>
        <i x="28" s="1" nd="1"/>
        <i x="26" s="1" nd="1"/>
        <i x="22" s="1" nd="1"/>
        <i x="27" s="1" nd="1"/>
        <i x="23" s="1" nd="1"/>
        <i x="34" s="1" nd="1"/>
        <i x="30" s="1" nd="1"/>
        <i x="7" s="1" nd="1"/>
        <i x="24" s="1" nd="1"/>
        <i x="4" s="1" nd="1"/>
        <i x="13" s="1" nd="1"/>
        <i x="5" s="1" nd="1"/>
        <i x="25" s="1" nd="1"/>
        <i x="8" s="1" nd="1"/>
        <i x="35" s="1" nd="1"/>
        <i x="37" s="1" nd="1"/>
        <i x="11" s="1" nd="1"/>
        <i x="32" s="1" nd="1"/>
        <i x="6" s="1" nd="1"/>
        <i x="19" s="1" nd="1"/>
        <i x="14" s="1" nd="1"/>
        <i x="36" s="1" nd="1"/>
        <i x="38" s="1" nd="1"/>
        <i x="3" s="1" nd="1"/>
        <i x="16" s="1" nd="1"/>
        <i x="17" s="1" nd="1"/>
        <i x="9" s="1" nd="1"/>
        <i x="10" s="1" nd="1"/>
        <i x="29"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EATURE311" sourceName="FEATURE">
  <pivotTables>
    <pivotTable tabId="7" name="PivotTable1"/>
  </pivotTables>
  <data>
    <tabular pivotCacheId="11">
      <items count="4">
        <i x="1" s="1"/>
        <i x="0" s="1"/>
        <i x="2" s="1" nd="1"/>
        <i x="3"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EQUENCEID2111" sourceName="SEQUENCEID">
  <pivotTables>
    <pivotTable tabId="7" name="PivotTable1"/>
  </pivotTables>
  <data>
    <tabular pivotCacheId="11">
      <items count="88">
        <i x="0" s="1"/>
        <i x="51" s="1" nd="1"/>
        <i x="23" s="1" nd="1"/>
        <i x="53" s="1" nd="1"/>
        <i x="83" s="1" nd="1"/>
        <i x="11" s="1" nd="1"/>
        <i x="25" s="1" nd="1"/>
        <i x="37" s="1" nd="1"/>
        <i x="55" s="1" nd="1"/>
        <i x="64" s="1" nd="1"/>
        <i x="71" s="1" nd="1"/>
        <i x="76" s="1" nd="1"/>
        <i x="85" s="1" nd="1"/>
        <i x="4" s="1" nd="1"/>
        <i x="12" s="1" nd="1"/>
        <i x="19" s="1" nd="1"/>
        <i x="26" s="1" nd="1"/>
        <i x="28" s="1" nd="1"/>
        <i x="30" s="1" nd="1"/>
        <i x="34" s="1" nd="1"/>
        <i x="39" s="1" nd="1"/>
        <i x="43" s="1" nd="1"/>
        <i x="47" s="1" nd="1"/>
        <i x="52" s="1" nd="1"/>
        <i x="58" s="1" nd="1"/>
        <i x="62" s="1" nd="1"/>
        <i x="67" s="1" nd="1"/>
        <i x="69" s="1" nd="1"/>
        <i x="73" s="1" nd="1"/>
        <i x="74" s="1" nd="1"/>
        <i x="78" s="1" nd="1"/>
        <i x="81" s="1" nd="1"/>
        <i x="86" s="1" nd="1"/>
        <i x="42" s="1" nd="1"/>
        <i x="2" s="1" nd="1"/>
        <i x="45" s="1" nd="1"/>
        <i x="6" s="1" nd="1"/>
        <i x="49" s="1" nd="1"/>
        <i x="9" s="1" nd="1"/>
        <i x="56" s="1" nd="1"/>
        <i x="14" s="1" nd="1"/>
        <i x="60" s="1" nd="1"/>
        <i x="17" s="1" nd="1"/>
        <i x="65" s="1" nd="1"/>
        <i x="21" s="1" nd="1"/>
        <i x="68" s="1" nd="1"/>
        <i x="24" s="1" nd="1"/>
        <i x="72" s="1" nd="1"/>
        <i x="77" s="1" nd="1"/>
        <i x="32" s="1" nd="1"/>
        <i x="80" s="1" nd="1"/>
        <i x="36" s="1" nd="1"/>
        <i x="41" s="1" nd="1"/>
        <i x="1" s="1" nd="1"/>
        <i x="44" s="1" nd="1"/>
        <i x="5" s="1" nd="1"/>
        <i x="48" s="1" nd="1"/>
        <i x="8" s="1" nd="1"/>
        <i x="54" s="1" nd="1"/>
        <i x="13" s="1" nd="1"/>
        <i x="59" s="1" nd="1"/>
        <i x="33" s="1" nd="1"/>
        <i x="16" s="1" nd="1"/>
        <i x="82" s="1" nd="1"/>
        <i x="63" s="1" nd="1"/>
        <i x="38" s="1" nd="1"/>
        <i x="20" s="1" nd="1"/>
        <i x="87" s="1" nd="1"/>
        <i x="3" s="1" nd="1"/>
        <i x="70" s="1" nd="1"/>
        <i x="46" s="1" nd="1"/>
        <i x="27" s="1" nd="1"/>
        <i x="7" s="1" nd="1"/>
        <i x="50" s="1" nd="1"/>
        <i x="29" s="1" nd="1"/>
        <i x="10" s="1" nd="1"/>
        <i x="75" s="1" nd="1"/>
        <i x="57" s="1" nd="1"/>
        <i x="31" s="1" nd="1"/>
        <i x="15" s="1" nd="1"/>
        <i x="79" s="1" nd="1"/>
        <i x="61" s="1" nd="1"/>
        <i x="35" s="1" nd="1"/>
        <i x="18" s="1" nd="1"/>
        <i x="84" s="1" nd="1"/>
        <i x="66" s="1" nd="1"/>
        <i x="40" s="1" nd="1"/>
        <i x="22"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ROCESSID1311" sourceName="PROCESSID">
  <pivotTables>
    <pivotTable tabId="7" name="PivotTable1"/>
  </pivotTables>
  <data>
    <tabular pivotCacheId="11">
      <items count="793">
        <i x="15" s="1"/>
        <i x="12" s="1"/>
        <i x="3" s="1"/>
        <i x="18" s="1"/>
        <i x="0" s="1"/>
        <i x="13" s="1"/>
        <i x="21" s="1"/>
        <i x="4" s="1"/>
        <i x="14" s="1"/>
        <i x="20" s="1"/>
        <i x="22" s="1"/>
        <i x="17" s="1"/>
        <i x="7" s="1"/>
        <i x="10" s="1"/>
        <i x="8" s="1"/>
        <i x="5" s="1"/>
        <i x="11" s="1"/>
        <i x="23" s="1"/>
        <i x="1" s="1"/>
        <i x="19" s="1"/>
        <i x="2" s="1"/>
        <i x="9" s="1"/>
        <i x="6" s="1"/>
        <i x="16" s="1"/>
        <i x="380" s="1" nd="1"/>
        <i x="178" s="1" nd="1"/>
        <i x="356" s="1" nd="1"/>
        <i x="692" s="1" nd="1"/>
        <i x="267" s="1" nd="1"/>
        <i x="334" s="1" nd="1"/>
        <i x="721" s="1" nd="1"/>
        <i x="114" s="1" nd="1"/>
        <i x="476" s="1" nd="1"/>
        <i x="562" s="1" nd="1"/>
        <i x="739" s="1" nd="1"/>
        <i x="750" s="1" nd="1"/>
        <i x="766" s="1" nd="1"/>
        <i x="293" s="1" nd="1"/>
        <i x="560" s="1" nd="1"/>
        <i x="223" s="1" nd="1"/>
        <i x="395" s="1" nd="1"/>
        <i x="435" s="1" nd="1"/>
        <i x="290" s="1" nd="1"/>
        <i x="582" s="1" nd="1"/>
        <i x="568" s="1" nd="1"/>
        <i x="745" s="1" nd="1"/>
        <i x="80" s="1" nd="1"/>
        <i x="256" s="1" nd="1"/>
        <i x="392" s="1" nd="1"/>
        <i x="500" s="1" nd="1"/>
        <i x="688" s="1" nd="1"/>
        <i x="761" s="1" nd="1"/>
        <i x="490" s="1" nd="1"/>
        <i x="532" s="1" nd="1"/>
        <i x="28" s="1" nd="1"/>
        <i x="104" s="1" nd="1"/>
        <i x="183" s="1" nd="1"/>
        <i x="564" s="1" nd="1"/>
        <i x="265" s="1" nd="1"/>
        <i x="309" s="1" nd="1"/>
        <i x="529" s="1" nd="1"/>
        <i x="452" s="1" nd="1"/>
        <i x="79" s="1" nd="1"/>
        <i x="390" s="1" nd="1"/>
        <i x="262" s="1" nd="1"/>
        <i x="633" s="1" nd="1"/>
        <i x="642" s="1" nd="1"/>
        <i x="286" s="1" nd="1"/>
        <i x="659" s="1" nd="1"/>
        <i x="682" s="1" nd="1"/>
        <i x="237" s="1" nd="1"/>
        <i x="307" s="1" nd="1"/>
        <i x="464" s="1" nd="1"/>
        <i x="511" s="1" nd="1"/>
        <i x="769" s="1" nd="1"/>
        <i x="55" s="1" nd="1"/>
        <i x="778" s="1" nd="1"/>
        <i x="412" s="1" nd="1"/>
        <i x="144" s="1" nd="1"/>
        <i x="167" s="1" nd="1"/>
        <i x="727" s="1" nd="1"/>
        <i x="88" s="1" nd="1"/>
        <i x="235" s="1" nd="1"/>
        <i x="585" s="1" nd="1"/>
        <i x="605" s="1" nd="1"/>
        <i x="72" s="1" nd="1"/>
        <i x="112" s="1" nd="1"/>
        <i x="232" s="1" nd="1"/>
        <i x="326" s="1" nd="1"/>
        <i x="596" s="1" nd="1"/>
        <i x="792" s="1" nd="1"/>
        <i x="48" s="1" nd="1"/>
        <i x="247" s="1" nd="1"/>
        <i x="317" s="1" nd="1"/>
        <i x="368" s="1" nd="1"/>
        <i x="482" s="1" nd="1"/>
        <i x="548" s="1" nd="1"/>
        <i x="165" s="1" nd="1"/>
        <i x="204" s="1" nd="1"/>
        <i x="292" s="1" nd="1"/>
        <i x="195" s="1" nd="1"/>
        <i x="445" s="1" nd="1"/>
        <i x="616" s="1" nd="1"/>
        <i x="764" s="1" nd="1"/>
        <i x="495" s="1" nd="1"/>
        <i x="570" s="1" nd="1"/>
        <i x="273" s="1" nd="1"/>
        <i x="453" s="1" nd="1"/>
        <i x="521" s="1" nd="1"/>
        <i x="152" s="1" nd="1"/>
        <i x="93" s="1" nd="1"/>
        <i x="291" s="1" nd="1"/>
        <i x="316" s="1" nd="1"/>
        <i x="338" s="1" nd="1"/>
        <i x="470" s="1" nd="1"/>
        <i x="569" s="1" nd="1"/>
        <i x="270" s="1" nd="1"/>
        <i x="451" s="1" nd="1"/>
        <i x="639" s="1" nd="1"/>
        <i x="690" s="1" nd="1"/>
        <i x="202" s="1" nd="1"/>
        <i x="628" s="1" nd="1"/>
        <i x="787" s="1" nd="1"/>
        <i x="67" s="1" nd="1"/>
        <i x="201" s="1" nd="1"/>
        <i x="383" s="1" nd="1"/>
        <i x="534" s="1" nd="1"/>
        <i x="722" s="1" nd="1"/>
        <i x="423" s="1" nd="1"/>
        <i x="607" s="1" nd="1"/>
        <i x="45" s="1" nd="1"/>
        <i x="137" s="1" nd="1"/>
        <i x="211" s="1" nd="1"/>
        <i x="243" s="1" nd="1"/>
        <i x="51" s="1" nd="1"/>
        <i x="335" s="1" nd="1"/>
        <i x="279" s="1" nd="1"/>
        <i x="352" s="1" nd="1"/>
        <i x="373" s="1" nd="1"/>
        <i x="306" s="1" nd="1"/>
        <i x="149" s="1" nd="1"/>
        <i x="626" s="1" nd="1"/>
        <i x="638" s="1" nd="1"/>
        <i x="647" s="1" nd="1"/>
        <i x="287" s="1" nd="1"/>
        <i x="457" s="1" nd="1"/>
        <i x="266" s="1" nd="1"/>
        <i x="405" s="1" nd="1"/>
        <i x="479" s="1" nd="1"/>
        <i x="106" s="1" nd="1"/>
        <i x="401" s="1" nd="1"/>
        <i x="491" s="1" nd="1"/>
        <i x="555" s="1" nd="1"/>
        <i x="254" s="1" nd="1"/>
        <i x="772" s="1" nd="1"/>
        <i x="783" s="1" nd="1"/>
        <i x="135" s="1" nd="1"/>
        <i x="514" s="1" nd="1"/>
        <i x="580" s="1" nd="1"/>
        <i x="313" s="1" nd="1"/>
        <i x="646" s="1" nd="1"/>
        <i x="215" s="1" nd="1"/>
        <i x="27" s="1" nd="1"/>
        <i x="328" s="1" nd="1"/>
        <i x="421" s="1" nd="1"/>
        <i x="148" s="1" nd="1"/>
        <i x="543" s="1" nd="1"/>
        <i x="253" s="1" nd="1"/>
        <i x="644" s="1" nd="1"/>
        <i x="89" s="1" nd="1"/>
        <i x="612" s="1" nd="1"/>
        <i x="635" s="1" nd="1"/>
        <i x="661" s="1" nd="1"/>
        <i x="708" s="1" nd="1"/>
        <i x="283" s="1" nd="1"/>
        <i x="382" s="1" nd="1"/>
        <i x="40" s="1" nd="1"/>
        <i x="182" s="1" nd="1"/>
        <i x="264" s="1" nd="1"/>
        <i x="207" s="1" nd="1"/>
        <i x="26" s="1" nd="1"/>
        <i x="419" s="1" nd="1"/>
        <i x="751" s="1" nd="1"/>
        <i x="191" s="1" nd="1"/>
        <i x="330" s="1" nd="1"/>
        <i x="39" s="1" nd="1"/>
        <i x="357" s="1" nd="1"/>
        <i x="78" s="1" nd="1"/>
        <i x="418" s="1" nd="1"/>
        <i x="512" s="1" nd="1"/>
        <i x="339" s="1" nd="1"/>
        <i x="378" s="1" nd="1"/>
        <i x="553" s="1" nd="1"/>
        <i x="263" s="1" nd="1"/>
        <i x="643" s="1" nd="1"/>
        <i x="683" s="1" nd="1"/>
        <i x="617" s="1" nd="1"/>
        <i x="438" s="1" nd="1"/>
        <i x="526" s="1" nd="1"/>
        <i x="210" s="1" nd="1"/>
        <i x="484" s="1" nd="1"/>
        <i x="609" s="1" nd="1"/>
        <i x="138" s="1" nd="1"/>
        <i x="38" s="1" nd="1"/>
        <i x="341" s="1" nd="1"/>
        <i x="132" s="1" nd="1"/>
        <i x="622" s="1" nd="1"/>
        <i x="108" s="1" nd="1"/>
        <i x="680" s="1" nd="1"/>
        <i x="389" s="1" nd="1"/>
        <i x="440" s="1" nd="1"/>
        <i x="475" s="1" nd="1"/>
        <i x="102" s="1" nd="1"/>
        <i x="519" s="1" nd="1"/>
        <i x="550" s="1" nd="1"/>
        <i x="99" s="1" nd="1"/>
        <i x="608" s="1" nd="1"/>
        <i x="620" s="1" nd="1"/>
        <i x="572" s="1" nd="1"/>
        <i x="670" s="1" nd="1"/>
        <i x="679" s="1" nd="1"/>
        <i x="779" s="1" nd="1"/>
        <i x="37" s="1" nd="1"/>
        <i x="439" s="1" nd="1"/>
        <i x="725" s="1" nd="1"/>
        <i x="509" s="1" nd="1"/>
        <i x="82" s="1" nd="1"/>
        <i x="190" s="1" nd="1"/>
        <i x="656" s="1" nd="1"/>
        <i x="296" s="1" nd="1"/>
        <i x="320" s="1" nd="1"/>
        <i x="695" s="1" nd="1"/>
        <i x="327" s="1" nd="1"/>
        <i x="245" s="1" nd="1"/>
        <i x="343" s="1" nd="1"/>
        <i x="387" s="1" nd="1"/>
        <i x="768" s="1" nd="1"/>
        <i x="485" s="1" nd="1"/>
        <i x="518" s="1" nd="1"/>
        <i x="208" s="1" nd="1"/>
        <i x="677" s="1" nd="1"/>
        <i x="52" s="1" nd="1"/>
        <i x="128" s="1" nd="1"/>
        <i x="62" s="1" nd="1"/>
        <i x="233" s="1" nd="1"/>
        <i x="606" s="1" nd="1"/>
        <i x="153" s="1" nd="1"/>
        <i x="249" s="1" nd="1"/>
        <i x="667" s="1" nd="1"/>
        <i x="557" s="1" nd="1"/>
        <i x="603" s="1" nd="1"/>
        <i x="653" s="1" nd="1"/>
        <i x="702" s="1" nd="1"/>
        <i x="752" s="1" nd="1"/>
        <i x="199" s="1" nd="1"/>
        <i x="50" s="1" nd="1"/>
        <i x="627" s="1" nd="1"/>
        <i x="73" s="1" nd="1"/>
        <i x="301" s="1" nd="1"/>
        <i x="323" s="1" nd="1"/>
        <i x="362" s="1" nd="1"/>
        <i x="177" s="1" nd="1"/>
        <i x="374" s="1" nd="1"/>
        <i x="743" s="1" nd="1"/>
        <i x="762" s="1" nd="1"/>
        <i x="206" s="1" nd="1"/>
        <i x="719" s="1" nd="1"/>
        <i x="406" s="1" nd="1"/>
        <i x="44" s="1" nd="1"/>
        <i x="618" s="1" nd="1"/>
        <i x="260" s="1" nd="1"/>
        <i x="246" s="1" nd="1"/>
        <i x="294" s="1" nd="1"/>
        <i x="480" s="1" nd="1"/>
        <i x="119" s="1" nd="1"/>
        <i x="594" s="1" nd="1"/>
        <i x="358" s="1" nd="1"/>
        <i x="533" s="1" nd="1"/>
        <i x="171" s="1" nd="1"/>
        <i x="545" s="1" nd="1"/>
        <i x="386" s="1" nd="1"/>
        <i x="255" s="1" nd="1"/>
        <i x="447" s="1" nd="1"/>
        <i x="461" s="1" nd="1"/>
        <i x="648" s="1" nd="1"/>
        <i x="85" s="1" nd="1"/>
        <i x="288" s="1" nd="1"/>
        <i x="310" s="1" nd="1"/>
        <i x="696" s="1" nd="1"/>
        <i x="143" s="1" nd="1"/>
        <i x="711" s="1" nd="1"/>
        <i x="524" s="1" nd="1"/>
        <i x="372" s="1" nd="1"/>
        <i x="515" s="1" nd="1"/>
        <i x="575" s="1" nd="1"/>
        <i x="672" s="1" nd="1"/>
        <i x="248" s="1" nd="1"/>
        <i x="58" s="1" nd="1"/>
        <i x="95" s="1" nd="1"/>
        <i x="714" s="1" nd="1"/>
        <i x="170" s="1" nd="1"/>
        <i x="736" s="1" nd="1"/>
        <i x="185" s="1" nd="1"/>
        <i x="556" s="1" nd="1"/>
        <i x="531" s="1" nd="1"/>
        <i x="776" s="1" nd="1"/>
        <i x="554" s="1" nd="1"/>
        <i x="636" s="1" nd="1"/>
        <i x="71" s="1" nd="1"/>
        <i x="437" s="1" nd="1"/>
        <i x="472" s="1" nd="1"/>
        <i x="516" s="1" nd="1"/>
        <i x="350" s="1" nd="1"/>
        <i x="541" s="1" nd="1"/>
        <i x="175" s="1" nd="1"/>
        <i x="584" s="1" nd="1"/>
        <i x="784" s="1" nd="1"/>
        <i x="595" s="1" nd="1"/>
        <i x="43" s="1" nd="1"/>
        <i x="275" s="1" nd="1"/>
        <i x="230" s="1" nd="1"/>
        <i x="281" s="1" nd="1"/>
        <i x="654" s="1" nd="1"/>
        <i x="305" s="1" nd="1"/>
        <i x="675" s="1" nd="1"/>
        <i x="379" s="1" nd="1"/>
        <i x="197" s="1" nd="1"/>
        <i x="340" s="1" nd="1"/>
        <i x="384" s="1" nd="1"/>
        <i x="581" s="1" nd="1"/>
        <i x="791" s="1" nd="1"/>
        <i x="227" s="1" nd="1"/>
        <i x="625" s="1" nd="1"/>
        <i x="277" s="1" nd="1"/>
        <i x="663" s="1" nd="1"/>
        <i x="300" s="1" nd="1"/>
        <i x="483" s="1" nd="1"/>
        <i x="686" s="1" nd="1"/>
        <i x="155" s="1" nd="1"/>
        <i x="361" s="1" nd="1"/>
        <i x="549" s="1" nd="1"/>
        <i x="187" s="1" nd="1"/>
        <i x="760" s="1" nd="1"/>
        <i x="573" s="1" nd="1"/>
        <i x="29" s="1" nd="1"/>
        <i x="771" s="1" nd="1"/>
        <i x="57" s="1" nd="1"/>
        <i x="404" s="1" nd="1"/>
        <i x="668" s="1" nd="1"/>
        <i x="105" s="1" nd="1"/>
        <i x="116" s="1" nd="1"/>
        <i x="497" s="1" nd="1"/>
        <i x="325" s="1" nd="1"/>
        <i x="354" s="1" nd="1"/>
        <i x="629" s="1" nd="1"/>
        <i x="184" s="1" nd="1"/>
        <i x="159" s="1" nd="1"/>
        <i x="775" s="1" nd="1"/>
        <i x="219" s="1" nd="1"/>
        <i x="610" s="1" nd="1"/>
        <i x="662" s="1" nd="1"/>
        <i x="47" s="1" nd="1"/>
        <i x="100" s="1" nd="1"/>
        <i x="586" s="1" nd="1"/>
        <i x="685" s="1" nd="1"/>
        <i x="349" s="1" nd="1"/>
        <i x="720" s="1" nd="1"/>
        <i x="539" s="1" nd="1"/>
        <i x="125" s="1" nd="1"/>
        <i x="742" s="1" nd="1"/>
        <i x="139" s="1" nd="1"/>
        <i x="782" s="1" nd="1"/>
        <i x="259" s="1" nd="1"/>
        <i x="640" s="1" nd="1"/>
        <i x="115" s="1" nd="1"/>
        <i x="134" s="1" nd="1"/>
        <i x="465" s="1" nd="1"/>
        <i x="652" s="1" nd="1"/>
        <i x="522" s="1" nd="1"/>
        <i x="726" s="1" nd="1"/>
        <i x="747" s="1" nd="1"/>
        <i x="565" s="1" nd="1"/>
        <i x="765" s="1" nd="1"/>
        <i x="773" s="1" nd="1"/>
        <i x="220" s="1" nd="1"/>
        <i x="790" s="1" nd="1"/>
        <i x="34" s="1" nd="1"/>
        <i x="63" s="1" nd="1"/>
        <i x="69" s="1" nd="1"/>
        <i x="459" s="1" nd="1"/>
        <i x="645" s="1" nd="1"/>
        <i x="239" s="1" nd="1"/>
        <i x="709" s="1" nd="1"/>
        <i x="348" s="1" nd="1"/>
        <i x="186" s="1" nd="1"/>
        <i x="214" s="1" nd="1"/>
        <i x="41" s="1" nd="1"/>
        <i x="56" s="1" nd="1"/>
        <i x="455" s="1" nd="1"/>
        <i x="280" s="1" nd="1"/>
        <i x="468" s="1" nd="1"/>
        <i x="429" s="1" nd="1"/>
        <i x="478" s="1" nd="1"/>
        <i x="147" s="1" nd="1"/>
        <i x="488" s="1" nd="1"/>
        <i x="724" s="1" nd="1"/>
        <i x="242" s="1" nd="1"/>
        <i x="158" s="1" nd="1"/>
        <i x="446" s="1" nd="1"/>
        <i x="734" s="1" nd="1"/>
        <i x="129" s="1" nd="1"/>
        <i x="252" s="1" nd="1"/>
        <i x="473" s="1" nd="1"/>
        <i x="684" s="1" nd="1"/>
        <i x="506" s="1" nd="1"/>
        <i x="332" s="1" nd="1"/>
        <i x="205" s="1" nd="1"/>
        <i x="164" s="1" nd="1"/>
        <i x="538" s="1" nd="1"/>
        <i x="571" s="1" nd="1"/>
        <i x="213" s="1" nd="1"/>
        <i x="694" s="1" nd="1"/>
        <i x="420" s="1" nd="1"/>
        <i x="631" s="1" nd="1"/>
        <i x="274" s="1" nd="1"/>
        <i x="454" s="1" nd="1"/>
        <i x="133" s="1" nd="1"/>
        <i x="487" s="1" nd="1"/>
        <i x="169" s="1" nd="1"/>
        <i x="194" s="1" nd="1"/>
        <i x="396" s="1" nd="1"/>
        <i x="579" s="1" nd="1"/>
        <i x="723" s="1" nd="1"/>
        <i x="417" s="1" nd="1"/>
        <i x="241" s="1" nd="1"/>
        <i x="634" s="1" nd="1"/>
        <i x="458" s="1" nd="1"/>
        <i x="598" s="1" nd="1"/>
        <i x="660" s="1" nd="1"/>
        <i x="299" s="1" nd="1"/>
        <i x="110" s="1" nd="1"/>
        <i x="322" s="1" nd="1"/>
        <i x="505" s="1" nd="1"/>
        <i x="285" s="1" nd="1"/>
        <i x="97" s="1" nd="1"/>
        <i x="154" s="1" nd="1"/>
        <i x="494" s="1" nd="1"/>
        <i x="537" s="1" nd="1"/>
        <i x="122" s="1" nd="1"/>
        <i x="758" s="1" nd="1"/>
        <i x="203" s="1" nd="1"/>
        <i x="583" s="1" nd="1"/>
        <i x="467" s="1" nd="1"/>
        <i x="666" s="1" nd="1"/>
        <i x="103" s="1" nd="1"/>
        <i x="602" s="1" nd="1"/>
        <i x="651" s="1" nd="1"/>
        <i x="131" s="1" nd="1"/>
        <i x="181" s="1" nd="1"/>
        <i x="192" s="1" nd="1"/>
        <i x="577" s="1" nd="1"/>
        <i x="70" s="1" nd="1"/>
        <i x="127" s="1" nd="1"/>
        <i x="601" s="1" nd="1"/>
        <i x="504" s="1" nd="1"/>
        <i x="140" s="1" nd="1"/>
        <i x="346" s="1" nd="1"/>
        <i x="481" s="1" nd="1"/>
        <i x="718" s="1" nd="1"/>
        <i x="107" s="1" nd="1"/>
        <i x="163" s="1" nd="1"/>
        <i x="729" s="1" nd="1"/>
        <i x="547" s="1" nd="1"/>
        <i x="229" s="1" nd="1"/>
        <i x="430" s="1" nd="1"/>
        <i x="64" s="1" nd="1"/>
        <i x="271" s="1" nd="1"/>
        <i x="94" s="1" nd="1"/>
        <i x="513" s="1" nd="1"/>
        <i x="700" s="1" nd="1"/>
        <i x="528" s="1" nd="1"/>
        <i x="312" s="1" nd="1"/>
        <i x="364" s="1" nd="1"/>
        <i x="130" s="1" nd="1"/>
        <i x="226" s="1" nd="1"/>
        <i x="376" s="1" nd="1"/>
        <i x="416" s="1" nd="1"/>
        <i x="600" s="1" nd="1"/>
        <i x="240" s="1" nd="1"/>
        <i x="250" s="1" nd="1"/>
        <i x="308" s="1" nd="1"/>
        <i x="123" s="1" nd="1"/>
        <i x="345" s="1" nd="1"/>
        <i x="717" s="1" nd="1"/>
        <i x="120" s="1" nd="1"/>
        <i x="740" s="1" nd="1"/>
        <i x="559" s="1" nd="1"/>
        <i x="212" s="1" nd="1"/>
        <i x="402" s="1" nd="1"/>
        <i x="415" s="1" nd="1"/>
        <i x="630" s="1" nd="1"/>
        <i x="737" s="1" nd="1"/>
        <i x="53" s="1" nd="1"/>
        <i x="777" s="1" nd="1"/>
        <i x="527" s="1" nd="1"/>
        <i x="552" s="1" nd="1"/>
        <i x="83" s="1" nd="1"/>
        <i x="563" s="1" nd="1"/>
        <i x="394" s="1" nd="1"/>
        <i x="788" s="1" nd="1"/>
        <i x="225" s="1" nd="1"/>
        <i x="599" s="1" nd="1"/>
        <i x="746" s="1" nd="1"/>
        <i x="623" s="1" nd="1"/>
        <i x="503" s="1" nd="1"/>
        <i x="716" s="1" nd="1"/>
        <i x="536" s="1" nd="1"/>
        <i x="370" s="1" nd="1"/>
        <i x="117" s="1" nd="1"/>
        <i x="25" s="1" nd="1"/>
        <i x="228" s="1" nd="1"/>
        <i x="753" s="1" nd="1"/>
        <i x="200" s="1" nd="1"/>
        <i x="426" s="1" nd="1"/>
        <i x="257" s="1" nd="1"/>
        <i x="24" s="1" nd="1"/>
        <i x="76" s="1" nd="1"/>
        <i x="530" s="1" nd="1"/>
        <i x="314" s="1" nd="1"/>
        <i x="650" s="1" nd="1"/>
        <i x="699" s="1" nd="1"/>
        <i x="713" s="1" nd="1"/>
        <i x="542" s="1" nd="1"/>
        <i x="732" s="1" nd="1"/>
        <i x="166" s="1" nd="1"/>
        <i x="218" s="1" nd="1"/>
        <i x="443" s="1" nd="1"/>
        <i x="658" s="1" nd="1"/>
        <i x="574" s="1" nd="1"/>
        <i x="671" s="1" nd="1"/>
        <i x="681" s="1" nd="1"/>
        <i x="502" s="1" nd="1"/>
        <i x="329" s="1" nd="1"/>
        <i x="756" s="1" nd="1"/>
        <i x="715" s="1" nd="1"/>
        <i x="413" s="1" nd="1"/>
        <i x="449" s="1" nd="1"/>
        <i x="75" s="1" nd="1"/>
        <i x="463" s="1" nd="1"/>
        <i x="304" s="1" nd="1"/>
        <i x="486" s="1" nd="1"/>
        <i x="113" s="1" nd="1"/>
        <i x="689" s="1" nd="1"/>
        <i x="510" s="1" nd="1"/>
        <i x="336" s="1" nd="1"/>
        <i x="179" s="1" nd="1"/>
        <i x="508" s="1" nd="1"/>
        <i x="156" s="1" nd="1"/>
        <i x="209" s="1" nd="1"/>
        <i x="32" s="1" nd="1"/>
        <i x="621" s="1" nd="1"/>
        <i x="60" s="1" nd="1"/>
        <i x="442" s="1" nd="1"/>
        <i x="68" s="1" nd="1"/>
        <i x="284" s="1" nd="1"/>
        <i x="344" s="1" nd="1"/>
        <i x="360" s="1" nd="1"/>
        <i x="388" s="1" nd="1"/>
        <i x="489" s="1" nd="1"/>
        <i x="54" s="1" nd="1"/>
        <i x="448" s="1" nd="1"/>
        <i x="748" s="1" nd="1"/>
        <i x="303" s="1" nd="1"/>
        <i x="698" s="1" nd="1"/>
        <i x="525" s="1" nd="1"/>
        <i x="311" s="1" nd="1"/>
        <i x="351" s="1" nd="1"/>
        <i x="216" s="1" nd="1"/>
        <i x="176" s="1" nd="1"/>
        <i x="261" s="1" nd="1"/>
        <i x="121" s="1" nd="1"/>
        <i x="641" s="1" nd="1"/>
        <i x="705" s="1" nd="1"/>
        <i x="150" s="1" nd="1"/>
        <i x="173" s="1" nd="1"/>
        <i x="369" s="1" nd="1"/>
        <i x="755" s="1" nd="1"/>
        <i x="591" s="1" nd="1"/>
        <i x="701" s="1" nd="1"/>
        <i x="36" s="1" nd="1"/>
        <i x="90" s="1" nd="1"/>
        <i x="49" s="1" nd="1"/>
        <i x="712" s="1" nd="1"/>
        <i x="189" s="1" nd="1"/>
        <i x="561" s="1" nd="1"/>
        <i x="393" s="1" nd="1"/>
        <i x="407" s="1" nd="1"/>
        <i x="424" s="1" nd="1"/>
        <i x="59" s="1" nd="1"/>
        <i x="96" s="1" nd="1"/>
        <i x="282" s="1" nd="1"/>
        <i x="359" s="1" nd="1"/>
        <i x="546" s="1" nd="1"/>
        <i x="754" s="1" nd="1"/>
        <i x="767" s="1" nd="1"/>
        <i x="400" s="1" nd="1"/>
        <i x="590" s="1" nd="1"/>
        <i x="244" s="1" nd="1"/>
        <i x="614" s="1" nd="1"/>
        <i x="613" s="1" nd="1"/>
        <i x="101" s="1" nd="1"/>
        <i x="157" s="1" nd="1"/>
        <i x="731" s="1" nd="1"/>
        <i x="188" s="1" nd="1"/>
        <i x="786" s="1" nd="1"/>
        <i x="31" s="1" nd="1"/>
        <i x="234" s="1" nd="1"/>
        <i x="619" s="1" nd="1"/>
        <i x="81" s="1" nd="1"/>
        <i x="431" s="1" nd="1"/>
        <i x="342" s="1" nd="1"/>
        <i x="523" s="1" nd="1"/>
        <i x="161" s="1" nd="1"/>
        <i x="738" s="1" nd="1"/>
        <i x="399" s="1" nd="1"/>
        <i x="353" s="1" nd="1"/>
        <i x="146" s="1" nd="1"/>
        <i x="168" s="1" nd="1"/>
        <i x="649" s="1" nd="1"/>
        <i x="87" s="1" nd="1"/>
        <i x="193" s="1" nd="1"/>
        <i x="637" s="1" nd="1"/>
        <i x="665" s="1" nd="1"/>
        <i x="302" s="1" nd="1"/>
        <i x="377" s="1" nd="1"/>
        <i x="578" s="1" nd="1"/>
        <i x="588" s="1" nd="1"/>
        <i x="324" s="1" nd="1"/>
        <i x="697" s="1" nd="1"/>
        <i x="425" s="1" nd="1"/>
        <i x="517" s="1" nd="1"/>
        <i x="611" s="1" nd="1"/>
        <i x="789" s="1" nd="1"/>
        <i x="251" s="1" nd="1"/>
        <i x="436" s="1" nd="1"/>
        <i x="444" s="1" nd="1"/>
        <i x="375" s="1" nd="1"/>
        <i x="624" s="1" nd="1"/>
        <i x="744" s="1" nd="1"/>
        <i x="471" s="1" nd="1"/>
        <i x="321" s="1" nd="1"/>
        <i x="597" s="1" nd="1"/>
        <i x="141" s="1" nd="1"/>
        <i x="331" s="1" nd="1"/>
        <i x="347" s="1" nd="1"/>
        <i x="757" s="1" nd="1"/>
        <i x="295" s="1" nd="1"/>
        <i x="381" s="1" nd="1"/>
        <i x="403" s="1" nd="1"/>
        <i x="493" s="1" nd="1"/>
        <i x="780" s="1" nd="1"/>
        <i x="222" s="1" nd="1"/>
        <i x="501" s="1" nd="1"/>
        <i x="693" s="1" nd="1"/>
        <i x="704" s="1" nd="1"/>
        <i x="160" s="1" nd="1"/>
        <i x="258" s="1" nd="1"/>
        <i x="65" s="1" nd="1"/>
        <i x="172" s="1" nd="1"/>
        <i x="272" s="1" nd="1"/>
        <i x="427" s="1" nd="1"/>
        <i x="466" s="1" nd="1"/>
        <i x="366" s="1" nd="1"/>
        <i x="385" s="1" nd="1"/>
        <i x="411" s="1" nd="1"/>
        <i x="520" s="1" nd="1"/>
        <i x="589" s="1" nd="1"/>
        <i x="365" s="1" nd="1"/>
        <i x="278" s="1" nd="1"/>
        <i x="462" s="1" nd="1"/>
        <i x="86" s="1" nd="1"/>
        <i x="474" s="1" nd="1"/>
        <i x="763" s="1" nd="1"/>
        <i x="409" s="1" nd="1"/>
        <i x="434" s="1" nd="1"/>
        <i x="730" s="1" nd="1"/>
        <i x="298" s="1" nd="1"/>
        <i x="391" s="1" nd="1"/>
        <i x="124" s="1" nd="1"/>
        <i x="604" s="1" nd="1"/>
        <i x="151" s="1" nd="1"/>
        <i x="432" s="1" nd="1"/>
        <i x="162" s="1" nd="1"/>
        <i x="678" s="1" nd="1"/>
        <i x="706" s="1" nd="1"/>
        <i x="728" s="1" nd="1"/>
        <i x="759" s="1" nd="1"/>
        <i x="781" s="1" nd="1"/>
        <i x="42" s="1" nd="1"/>
        <i x="66" s="1" nd="1"/>
        <i x="174" s="1" nd="1"/>
        <i x="741" s="1" nd="1"/>
        <i x="535" s="1" nd="1"/>
        <i x="669" s="1" nd="1"/>
        <i x="770" s="1" nd="1"/>
        <i x="676" s="1" nd="1"/>
        <i x="118" s="1" nd="1"/>
        <i x="221" s="1" nd="1"/>
        <i x="319" s="1" nd="1"/>
        <i x="499" s="1" nd="1"/>
        <i x="77" s="1" nd="1"/>
        <i x="355" s="1" nd="1"/>
        <i x="450" s="1" nd="1"/>
        <i x="477" s="1" nd="1"/>
        <i x="398" s="1" nd="1"/>
        <i x="315" s="1" nd="1"/>
        <i x="410" s="1" nd="1"/>
        <i x="496" s="1" nd="1"/>
        <i x="691" s="1" nd="1"/>
        <i x="363" s="1" nd="1"/>
        <i x="84" s="1" nd="1"/>
        <i x="33" s="1" nd="1"/>
        <i x="111" s="1" nd="1"/>
        <i x="142" s="1" nd="1"/>
        <i x="238" s="1" nd="1"/>
        <i x="710" s="1" nd="1"/>
        <i x="433" s="1" nd="1"/>
        <i x="507" s="1" nd="1"/>
        <i x="61" s="1" nd="1"/>
        <i x="540" s="1" nd="1"/>
        <i x="109" s="1" nd="1"/>
        <i x="785" s="1" nd="1"/>
        <i x="231" s="1" nd="1"/>
        <i x="422" s="1" nd="1"/>
        <i x="441" s="1" nd="1"/>
        <i x="469" s="1" nd="1"/>
        <i x="655" s="1" nd="1"/>
        <i x="492" s="1" nd="1"/>
        <i x="318" s="1" nd="1"/>
        <i x="703" s="1" nd="1"/>
        <i x="428" s="1" nd="1"/>
        <i x="92" s="1" nd="1"/>
        <i x="198" s="1" nd="1"/>
        <i x="567" s="1" nd="1"/>
        <i x="74" s="1" nd="1"/>
        <i x="673" s="1" nd="1"/>
        <i x="774" s="1" nd="1"/>
        <i x="35" s="1" nd="1"/>
        <i x="145" s="1" nd="1"/>
        <i x="337" s="1" nd="1"/>
        <i x="733" s="1" nd="1"/>
        <i x="180" s="1" nd="1"/>
        <i x="460" s="1" nd="1"/>
        <i x="551" s="1" nd="1"/>
        <i x="664" s="1" nd="1"/>
        <i x="576" s="1" nd="1"/>
        <i x="408" s="1" nd="1"/>
        <i x="587" s="1" nd="1"/>
        <i x="687" s="1" nd="1"/>
        <i x="98" s="1" nd="1"/>
        <i x="126" s="1" nd="1"/>
        <i x="224" s="1" nd="1"/>
        <i x="217" s="1" nd="1"/>
        <i x="236" s="1" nd="1"/>
        <i x="46" s="1" nd="1"/>
        <i x="333" s="1" nd="1"/>
        <i x="371" s="1" nd="1"/>
        <i x="456" s="1" nd="1"/>
        <i x="276" s="1" nd="1"/>
        <i x="297" s="1" nd="1"/>
        <i x="657" s="1" nd="1"/>
        <i x="30" s="1" nd="1"/>
        <i x="707" s="1" nd="1"/>
        <i x="632" s="1" nd="1"/>
        <i x="558" s="1" nd="1"/>
        <i x="674" s="1" nd="1"/>
        <i x="414" s="1" nd="1"/>
        <i x="498" s="1" nd="1"/>
        <i x="593" s="1" nd="1"/>
        <i x="136" s="1" nd="1"/>
        <i x="544" s="1" nd="1"/>
        <i x="592" s="1" nd="1"/>
        <i x="615" s="1" nd="1"/>
        <i x="269" s="1" nd="1"/>
        <i x="367" s="1" nd="1"/>
        <i x="749" s="1" nd="1"/>
        <i x="91" s="1" nd="1"/>
        <i x="196" s="1" nd="1"/>
        <i x="268" s="1" nd="1"/>
        <i x="289" s="1" nd="1"/>
        <i x="566" s="1" nd="1"/>
        <i x="735" s="1" nd="1"/>
        <i x="397"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7" name="PivotTable1"/>
  </pivotTables>
  <data>
    <tabular pivotCacheId="11">
      <items count="668">
        <i x="6" s="1"/>
        <i x="13" s="1"/>
        <i x="1" s="1"/>
        <i x="22" s="1"/>
        <i x="4" s="1"/>
        <i x="14" s="1"/>
        <i x="21" s="1"/>
        <i x="12" s="1"/>
        <i x="23" s="1"/>
        <i x="15" s="1"/>
        <i x="7" s="1"/>
        <i x="11" s="1"/>
        <i x="19" s="1"/>
        <i x="9" s="1"/>
        <i x="3" s="1"/>
        <i x="10" s="1"/>
        <i x="8" s="1"/>
        <i x="5" s="1"/>
        <i x="18" s="1"/>
        <i x="2" s="1"/>
        <i x="20" s="1"/>
        <i x="16" s="1"/>
        <i x="0" s="1"/>
        <i x="17" s="1"/>
        <i x="199" s="1" nd="1"/>
        <i x="145" s="1" nd="1"/>
        <i x="316" s="1" nd="1"/>
        <i x="59" s="1" nd="1"/>
        <i x="397" s="1" nd="1"/>
        <i x="623" s="1" nd="1"/>
        <i x="124" s="1" nd="1"/>
        <i x="651" s="1" nd="1"/>
        <i x="317" s="1" nd="1"/>
        <i x="121" s="1" nd="1"/>
        <i x="94" s="1" nd="1"/>
        <i x="264" s="1" nd="1"/>
        <i x="294" s="1" nd="1"/>
        <i x="381" s="1" nd="1"/>
        <i x="528" s="1" nd="1"/>
        <i x="31" s="1" nd="1"/>
        <i x="227" s="1" nd="1"/>
        <i x="585" s="1" nd="1"/>
        <i x="148" s="1" nd="1"/>
        <i x="476" s="1" nd="1"/>
        <i x="592" s="1" nd="1"/>
        <i x="130" s="1" nd="1"/>
        <i x="284" s="1" nd="1"/>
        <i x="271" s="1" nd="1"/>
        <i x="68" s="1" nd="1"/>
        <i x="114" s="1" nd="1"/>
        <i x="213" s="1" nd="1"/>
        <i x="282" s="1" nd="1"/>
        <i x="493" s="1" nd="1"/>
        <i x="56" s="1" nd="1"/>
        <i x="319" s="1" nd="1"/>
        <i x="560" s="1" nd="1"/>
        <i x="208" s="1" nd="1"/>
        <i x="325" s="1" nd="1"/>
        <i x="407" s="1" nd="1"/>
        <i x="425" s="1" nd="1"/>
        <i x="490" s="1" nd="1"/>
        <i x="649" s="1" nd="1"/>
        <i x="99" s="1" nd="1"/>
        <i x="299" s="1" nd="1"/>
        <i x="442" s="1" nd="1"/>
        <i x="639" s="1" nd="1"/>
        <i x="218" s="1" nd="1"/>
        <i x="547" s="1" nd="1"/>
        <i x="163" s="1" nd="1"/>
        <i x="184" s="1" nd="1"/>
        <i x="348" s="1" nd="1"/>
        <i x="604" s="1" nd="1"/>
        <i x="638" s="1" nd="1"/>
        <i x="63" s="1" nd="1"/>
        <i x="206" s="1" nd="1"/>
        <i x="241" s="1" nd="1"/>
        <i x="373" s="1" nd="1"/>
        <i x="505" s="1" nd="1"/>
        <i x="559" s="1" nd="1"/>
        <i x="429" s="1" nd="1"/>
        <i x="454" s="1" nd="1"/>
        <i x="486" s="1" nd="1"/>
        <i x="518" s="1" nd="1"/>
        <i x="529" s="1" nd="1"/>
        <i x="558" s="1" nd="1"/>
        <i x="601" s="1" nd="1"/>
        <i x="616" s="1" nd="1"/>
        <i x="73" s="1" nd="1"/>
        <i x="84" s="1" nd="1"/>
        <i x="170" s="1" nd="1"/>
        <i x="310" s="1" nd="1"/>
        <i x="355" s="1" nd="1"/>
        <i x="60" s="1" nd="1"/>
        <i x="105" s="1" nd="1"/>
        <i x="204" s="1" nd="1"/>
        <i x="216" s="1" nd="1"/>
        <i x="544" s="1" nd="1"/>
        <i x="624" s="1" nd="1"/>
        <i x="71" s="1" nd="1"/>
        <i x="161" s="1" nd="1"/>
        <i x="203" s="1" nd="1"/>
        <i x="477" s="1" nd="1"/>
        <i x="215" s="1" nd="1"/>
        <i x="292" s="1" nd="1"/>
        <i x="159" s="1" nd="1"/>
        <i x="499" s="1" nd="1"/>
        <i x="543" s="1" nd="1"/>
        <i x="553" s="1" nd="1"/>
        <i x="247" s="1" nd="1"/>
        <i x="574" s="1" nd="1"/>
        <i x="614" s="1" nd="1"/>
        <i x="361" s="1" nd="1"/>
        <i x="27" s="1" nd="1"/>
        <i x="47" s="1" nd="1"/>
        <i x="402" s="1" nd="1"/>
        <i x="237" s="1" nd="1"/>
        <i x="39" s="1" nd="1"/>
        <i x="451" s="1" nd="1"/>
        <i x="536" s="1" nd="1"/>
        <i x="245" s="1" nd="1"/>
        <i x="307" s="1" nd="1"/>
        <i x="342" s="1" nd="1"/>
        <i x="393" s="1" nd="1"/>
        <i x="418" s="1" nd="1"/>
        <i x="91" s="1" nd="1"/>
        <i x="511" s="1" nd="1"/>
        <i x="514" s="1" nd="1"/>
        <i x="562" s="1" nd="1"/>
        <i x="573" s="1" nd="1"/>
        <i x="572" s="1" nd="1"/>
        <i x="611" s="1" nd="1"/>
        <i x="322" s="1" nd="1"/>
        <i x="368" s="1" nd="1"/>
        <i x="57" s="1" nd="1"/>
        <i x="410" s="1" nd="1"/>
        <i x="128" s="1" nd="1"/>
        <i x="582" s="1" nd="1"/>
        <i x="646" s="1" nd="1"/>
        <i x="367" s="1" nd="1"/>
        <i x="66" s="1" nd="1"/>
        <i x="101" s="1" nd="1"/>
        <i x="113" s="1" nd="1"/>
        <i x="447" s="1" nd="1"/>
        <i x="494" s="1" nd="1"/>
        <i x="177" s="1" nd="1"/>
        <i x="212" s="1" nd="1"/>
        <i x="633" s="1" nd="1"/>
        <i x="339" s="1" nd="1"/>
        <i x="523" s="1" nd="1"/>
        <i x="211" s="1" nd="1"/>
        <i x="539" s="1" nd="1"/>
        <i x="550" s="1" nd="1"/>
        <i x="609" s="1" nd="1"/>
        <i x="320" s="1" nd="1"/>
        <i x="630" s="1" nd="1"/>
        <i x="643" s="1" nd="1"/>
        <i x="376" s="1" nd="1"/>
        <i x="136" s="1" nd="1"/>
        <i x="196" s="1" nd="1"/>
        <i x="580" s="1" nd="1"/>
        <i x="598" s="1" nd="1"/>
        <i x="286" s="1" nd="1"/>
        <i x="303" s="1" nd="1"/>
        <i x="318" s="1" nd="1"/>
        <i x="358" s="1" nd="1"/>
        <i x="25" s="1" nd="1"/>
        <i x="388" s="1" nd="1"/>
        <i x="408" s="1" nd="1"/>
        <i x="110" s="1" nd="1"/>
        <i x="123" s="1" nd="1"/>
        <i x="459" s="1" nd="1"/>
        <i x="223" s="1" nd="1"/>
        <i x="549" s="1" nd="1"/>
        <i x="279" s="1" nd="1"/>
        <i x="608" s="1" nd="1"/>
        <i x="302" s="1" nd="1"/>
        <i x="444" s="1" nd="1"/>
        <i x="466" s="1" nd="1"/>
        <i x="301" s="1" nd="1"/>
        <i x="629" s="1" nd="1"/>
        <i x="87" s="1" nd="1"/>
        <i x="154" s="1" nd="1"/>
        <i x="234" s="1" nd="1"/>
        <i x="256" s="1" nd="1"/>
        <i x="579" s="1" nd="1"/>
        <i x="619" s="1" nd="1"/>
        <i x="351" s="1" nd="1"/>
        <i x="126" s="1" nd="1"/>
        <i x="176" s="1" nd="1"/>
        <i x="243" s="1" nd="1"/>
        <i x="607" s="1" nd="1"/>
        <i x="139" s="1" nd="1"/>
        <i x="337" s="1" nd="1"/>
        <i x="641" s="1" nd="1"/>
        <i x="356" s="1" nd="1"/>
        <i x="516" s="1" nd="1"/>
        <i x="202" s="1" nd="1"/>
        <i x="465" s="1" nd="1"/>
        <i x="481" s="1" nd="1"/>
        <i x="489" s="1" nd="1"/>
        <i x="509" s="1" nd="1"/>
        <i x="194" s="1" nd="1"/>
        <i x="548" s="1" nd="1"/>
        <i x="83" s="1" nd="1"/>
        <i x="255" s="1" nd="1"/>
        <i x="422" s="1" nd="1"/>
        <i x="588" s="1" nd="1"/>
        <i x="438" s="1" nd="1"/>
        <i x="300" s="1" nd="1"/>
        <i x="472" s="1" nd="1"/>
        <i x="160" s="1" nd="1"/>
        <i x="500" s="1" nd="1"/>
        <i x="35" s="1" nd="1"/>
        <i x="386" s="1" nd="1"/>
        <i x="54" s="1" nd="1"/>
        <i x="226" s="1" nd="1"/>
        <i x="554" s="1" nd="1"/>
        <i x="248" s="1" nd="1"/>
        <i x="97" s="1" nd="1"/>
        <i x="273" s="1" nd="1"/>
        <i x="432" s="1" nd="1"/>
        <i x="122" s="1" nd="1"/>
        <i x="622" s="1" nd="1"/>
        <i x="152" s="1" nd="1"/>
        <i x="344" s="1" nd="1"/>
        <i x="521" s="1" nd="1"/>
        <i x="50" s="1" nd="1"/>
        <i x="396" s="1" nd="1"/>
        <i x="82" s="1" nd="1"/>
        <i x="421" s="1" nd="1"/>
        <i x="578" s="1" nd="1"/>
        <i x="267" s="1" nd="1"/>
        <i x="596" s="1" nd="1"/>
        <i x="115" s="1" nd="1"/>
        <i x="606" s="1" nd="1"/>
        <i x="470" s="1" nd="1"/>
        <i x="138" s="1" nd="1"/>
        <i x="475" s="1" nd="1"/>
        <i x="201" s="1" nd="1"/>
        <i x="225" s="1" nd="1"/>
        <i x="246" s="1" nd="1"/>
        <i x="413" s="1" nd="1"/>
        <i x="424" s="1" nd="1"/>
        <i x="431" s="1" nd="1"/>
        <i x="109" s="1" nd="1"/>
        <i x="323" s="1" nd="1"/>
        <i x="329" s="1" nd="1"/>
        <i x="165" s="1" nd="1"/>
        <i x="507" s="1" nd="1"/>
        <i x="653" s="1" nd="1"/>
        <i x="193" s="1" nd="1"/>
        <i x="41" s="1" nd="1"/>
        <i x="48" s="1" nd="1"/>
        <i x="219" s="1" nd="1"/>
        <i x="242" s="1" nd="1"/>
        <i x="570" s="1" nd="1"/>
        <i x="266" s="1" nd="1"/>
        <i x="132" s="1" nd="1"/>
        <i x="350" s="1" nd="1"/>
        <i x="189" s="1" nd="1"/>
        <i x="384" s="1" nd="1"/>
        <i x="542" s="1" nd="1"/>
        <i x="238" s="1" nd="1"/>
        <i x="260" s="1" nd="1"/>
        <i x="96" s="1" nd="1"/>
        <i x="591" s="1" nd="1"/>
        <i x="290" s="1" nd="1"/>
        <i x="480" s="1" nd="1"/>
        <i x="370" s="1" nd="1"/>
        <i x="531" s="1" nd="1"/>
        <i x="58" s="1" nd="1"/>
        <i x="233" s="1" nd="1"/>
        <i x="569" s="1" nd="1"/>
        <i x="92" s="1" nd="1"/>
        <i x="265" s="1" nd="1"/>
        <i x="453" s="1" nd="1"/>
        <i x="298" s="1" nd="1"/>
        <i x="461" s="1" nd="1"/>
        <i x="349" s="1" nd="1"/>
        <i x="169" s="1" nd="1"/>
        <i x="180" s="1" nd="1"/>
        <i x="364" s="1" nd="1"/>
        <i x="526" s="1" nd="1"/>
        <i x="541" s="1" nd="1"/>
        <i x="53" s="1" nd="1"/>
        <i x="405" s="1" nd="1"/>
        <i x="75" s="1" nd="1"/>
        <i x="86" s="1" nd="1"/>
        <i x="583" s="1" nd="1"/>
        <i x="441" s="1" nd="1"/>
        <i x="289" s="1" nd="1"/>
        <i x="135" s="1" nd="1"/>
        <i x="343" s="1" nd="1"/>
        <i x="174" s="1" nd="1"/>
        <i x="378" s="1" nd="1"/>
        <i x="530" s="1" nd="1"/>
        <i x="40" s="1" nd="1"/>
        <i x="546" s="1" nd="1"/>
        <i x="420" s="1" nd="1"/>
        <i x="587" s="1" nd="1"/>
        <i x="452" s="1" nd="1"/>
        <i x="605" s="1" nd="1"/>
        <i x="129" s="1" nd="1"/>
        <i x="658" s="1" nd="1"/>
        <i x="33" s="1" nd="1"/>
        <i x="214" s="1" nd="1"/>
        <i x="540" s="1" nd="1"/>
        <i x="404" s="1" nd="1"/>
        <i x="563" s="1" nd="1"/>
        <i x="74" s="1" nd="1"/>
        <i x="272" s="1" nd="1"/>
        <i x="599" s="1" nd="1"/>
        <i x="513" s="1" nd="1"/>
        <i x="665" s="1" nd="1"/>
        <i x="377" s="1" nd="1"/>
        <i x="46" s="1" nd="1"/>
        <i x="232" s="1" nd="1"/>
        <i x="419" s="1" nd="1"/>
        <i x="437" s="1" nd="1"/>
        <i x="450" s="1" nd="1"/>
        <i x="618" s="1" nd="1"/>
        <i x="313" s="1" nd="1"/>
        <i x="626" s="1" nd="1"/>
        <i x="474" s="1" nd="1"/>
        <i x="496" s="1" nd="1"/>
        <i x="657" s="1" nd="1"/>
        <i x="179" s="1" nd="1"/>
        <i x="363" s="1" nd="1"/>
        <i x="85" s="1" nd="1"/>
        <i x="95" s="1" nd="1"/>
        <i x="125" s="1" nd="1"/>
        <i x="328" s="1" nd="1"/>
        <i x="151" s="1" nd="1"/>
        <i x="341" s="1" nd="1"/>
        <i x="506" s="1" nd="1"/>
        <i x="664" s="1" nd="1"/>
        <i x="519" s="1" nd="1"/>
        <i x="392" s="1" nd="1"/>
        <i x="231" s="1" nd="1"/>
        <i x="254" s="1" nd="1"/>
        <i x="417" s="1" nd="1"/>
        <i x="90" s="1" nd="1"/>
        <i x="427" s="1" nd="1"/>
        <i x="102" s="1" nd="1"/>
        <i x="285" s="1" nd="1"/>
        <i x="312" s="1" nd="1"/>
        <i x="157" s="1" nd="1"/>
        <i x="178" s="1" nd="1"/>
        <i x="552" s="1" nd="1"/>
        <i x="236" s="1" nd="1"/>
        <i x="259" s="1" nd="1"/>
        <i x="270" s="1" nd="1"/>
        <i x="288" s="1" nd="1"/>
        <i x="134" s="1" nd="1"/>
        <i x="634" s="1" nd="1"/>
        <i x="150" s="1" nd="1"/>
        <i x="173" s="1" nd="1"/>
        <i x="369" s="1" nd="1"/>
        <i x="230" s="1" nd="1"/>
        <i x="568" s="1" nd="1"/>
        <i x="577" s="1" nd="1"/>
        <i x="449" s="1" nd="1"/>
        <i x="311" s="1" nd="1"/>
        <i x="469" s="1" nd="1"/>
        <i x="625" s="1" nd="1"/>
        <i x="156" s="1" nd="1"/>
        <i x="495" s="1" nd="1"/>
        <i x="168" s="1" nd="1"/>
        <i x="258" s="1" nd="1"/>
        <i x="430" s="1" nd="1"/>
        <i x="283" s="1" nd="1"/>
        <i x="120" s="1" nd="1"/>
        <i x="455" s="1" nd="1"/>
        <i x="610" s="1" nd="1"/>
        <i x="503" s="1" nd="1"/>
        <i x="652" s="1" nd="1"/>
        <i x="172" s="1" nd="1"/>
        <i x="183" s="1" nd="1"/>
        <i x="26" s="1" nd="1"/>
        <i x="192" s="1" nd="1"/>
        <i x="401" s="1" nd="1"/>
        <i x="67" s="1" nd="1"/>
        <i x="239" s="1" nd="1"/>
        <i x="80" s="1" nd="1"/>
        <i x="436" s="1" nd="1"/>
        <i x="595" s="1" nd="1"/>
        <i x="448" s="1" nd="1"/>
        <i x="602" s="1" nd="1"/>
        <i x="460" s="1" nd="1"/>
        <i x="468" s="1" nd="1"/>
        <i x="667" s="1" nd="1"/>
        <i x="525" s="1" nd="1"/>
        <i x="198" s="1" nd="1"/>
        <i x="551" s="1" nd="1"/>
        <i x="423" s="1" nd="1"/>
        <i x="107" s="1" nd="1"/>
        <i x="621" s="1" nd="1"/>
        <i x="340" s="1" nd="1"/>
        <i x="537" s="1" nd="1"/>
        <i x="545" s="1" nd="1"/>
        <i x="228" s="1" nd="1"/>
        <i x="79" s="1" nd="1"/>
        <i x="253" s="1" nd="1"/>
        <i x="575" s="1" nd="1"/>
        <i x="593" s="1" nd="1"/>
        <i x="524" s="1" nd="1"/>
        <i x="43" s="1" nd="1"/>
        <i x="399" s="1" nd="1"/>
        <i x="61" s="1" nd="1"/>
        <i x="581" s="1" nd="1"/>
        <i x="464" s="1" nd="1"/>
        <i x="321" s="1" nd="1"/>
        <i x="484" s="1" nd="1"/>
        <i x="644" s="1" nd="1"/>
        <i x="390" s="1" nd="1"/>
        <i x="45" s="1" nd="1"/>
        <i x="217" s="1" nd="1"/>
        <i x="557" s="1" nd="1"/>
        <i x="567" s="1" nd="1"/>
        <i x="252" s="1" nd="1"/>
        <i x="88" s="1" nd="1"/>
        <i x="100" s="1" nd="1"/>
        <i x="275" s="1" nd="1"/>
        <i x="434" s="1" nd="1"/>
        <i x="111" s="1" nd="1"/>
        <i x="467" s="1" nd="1"/>
        <i x="636" s="1" nd="1"/>
        <i x="346" s="1" nd="1"/>
        <i x="510" s="1" nd="1"/>
        <i x="187" s="1" nd="1"/>
        <i x="32" s="1" nd="1"/>
        <i x="380" s="1" nd="1"/>
        <i x="209" s="1" nd="1"/>
        <i x="561" s="1" nd="1"/>
        <i x="93" s="1" nd="1"/>
        <i x="269" s="1" nd="1"/>
        <i x="280" s="1" nd="1"/>
        <i x="440" s="1" nd="1"/>
        <i x="118" s="1" nd="1"/>
        <i x="304" s="1" nd="1"/>
        <i x="463" s="1" nd="1"/>
        <i x="642" s="1" nd="1"/>
        <i x="512" s="1" nd="1"/>
        <i x="661" s="1" nd="1"/>
        <i x="181" s="1" nd="1"/>
        <i x="527" s="1" nd="1"/>
        <i x="37" s="1" nd="1"/>
        <i x="262" s="1" nd="1"/>
        <i x="586" s="1" nd="1"/>
        <i x="445" s="1" nd="1"/>
        <i x="333" s="1" nd="1"/>
        <i x="155" s="1" nd="1"/>
        <i x="167" s="1" nd="1"/>
        <i x="354" s="1" nd="1"/>
        <i x="538" s="1" nd="1"/>
        <i x="51" s="1" nd="1"/>
        <i x="439" s="1" nd="1"/>
        <i x="133" s="1" nd="1"/>
        <i x="140" s="1" nd="1"/>
        <i x="326" s="1" nd="1"/>
        <i x="149" s="1" nd="1"/>
        <i x="357" s="1" nd="1"/>
        <i x="191" s="1" nd="1"/>
        <i x="205" s="1" nd="1"/>
        <i x="555" s="1" nd="1"/>
        <i x="251" s="1" nd="1"/>
        <i x="415" s="1" nd="1"/>
        <i x="261" s="1" nd="1"/>
        <i x="433" s="1" nd="1"/>
        <i x="458" s="1" nd="1"/>
        <i x="127" s="1" nd="1"/>
        <i x="632" s="1" nd="1"/>
        <i x="332" s="1" nd="1"/>
        <i x="647" s="1" nd="1"/>
        <i x="522" s="1" nd="1"/>
        <i x="30" s="1" nd="1"/>
        <i x="195" s="1" nd="1"/>
        <i x="379" s="1" nd="1"/>
        <i x="222" s="1" nd="1"/>
        <i x="411" s="1" nd="1"/>
        <i x="104" s="1" nd="1"/>
        <i x="478" s="1" nd="1"/>
        <i x="366" s="1" nd="1"/>
        <i x="517" s="1" nd="1"/>
        <i x="387" s="1" nd="1"/>
        <i x="250" s="1" nd="1"/>
        <i x="443" s="1" nd="1"/>
        <i x="600" s="1" nd="1"/>
        <i x="309" s="1" nd="1"/>
        <i x="331" s="1" nd="1"/>
        <i x="482" s="1" nd="1"/>
        <i x="492" s="1" nd="1"/>
        <i x="186" s="1" nd="1"/>
        <i x="221" s="1" nd="1"/>
        <i x="257" s="1" nd="1"/>
        <i x="117" s="1" nd="1"/>
        <i x="162" s="1" nd="1"/>
        <i x="365" s="1" nd="1"/>
        <i x="374" s="1" nd="1"/>
        <i x="65" s="1" nd="1"/>
        <i x="153" s="1" nd="1"/>
        <i x="491" s="1" nd="1"/>
        <i x="666" s="1" nd="1"/>
        <i x="185" s="1" nd="1"/>
        <i x="42" s="1" nd="1"/>
        <i x="207" s="1" nd="1"/>
        <i x="220" s="1" nd="1"/>
        <i x="70" s="1" nd="1"/>
        <i x="268" s="1" nd="1"/>
        <i x="628" s="1" nd="1"/>
        <i x="650" s="1" nd="1"/>
        <i x="190" s="1" nd="1"/>
        <i x="36" s="1" nd="1"/>
        <i x="297" s="1" nd="1"/>
        <i x="64" s="1" nd="1"/>
        <i x="334" s="1" nd="1"/>
        <i x="565" s="1" nd="1"/>
        <i x="77" s="1" nd="1"/>
        <i x="648" s="1" nd="1"/>
        <i x="274" s="1" nd="1"/>
        <i x="457" s="1" nd="1"/>
        <i x="44" s="1" nd="1"/>
        <i x="473" s="1" nd="1"/>
        <i x="244" s="1" nd="1"/>
        <i x="345" s="1" nd="1"/>
        <i x="412" s="1" nd="1"/>
        <i x="166" s="1" nd="1"/>
        <i x="655" s="1" nd="1"/>
        <i x="108" s="1" nd="1"/>
        <i x="29" s="1" nd="1"/>
        <i x="306" s="1" nd="1"/>
        <i x="142" s="1" nd="1"/>
        <i x="69" s="1" nd="1"/>
        <i x="487" s="1" nd="1"/>
        <i x="352" s="1" nd="1"/>
        <i x="504" s="1" nd="1"/>
        <i x="360" s="1" nd="1"/>
        <i x="663" s="1" nd="1"/>
        <i x="103" s="1" nd="1"/>
        <i x="38" s="1" nd="1"/>
        <i x="229" s="1" nd="1"/>
        <i x="240" s="1" nd="1"/>
        <i x="409" s="1" nd="1"/>
        <i x="640" s="1" nd="1"/>
        <i x="576" s="1" nd="1"/>
        <i x="89" s="1" nd="1"/>
        <i x="263" s="1" nd="1"/>
        <i x="660" s="1" nd="1"/>
        <i x="277" s="1" nd="1"/>
        <i x="515" s="1" nd="1"/>
        <i x="24" s="1" nd="1"/>
        <i x="603" s="1" nd="1"/>
        <i x="296" s="1" nd="1"/>
        <i x="406" s="1" nd="1"/>
        <i x="76" s="1" nd="1"/>
        <i x="249" s="1" nd="1"/>
        <i x="347" s="1" nd="1"/>
        <i x="414" s="1" nd="1"/>
        <i x="98" s="1" nd="1"/>
        <i x="291" s="1" nd="1"/>
        <i x="383" s="1" nd="1"/>
        <i x="52" s="1" nd="1"/>
        <i x="400" s="1" nd="1"/>
        <i x="62" s="1" nd="1"/>
        <i x="144" s="1" nd="1"/>
        <i x="330" s="1" nd="1"/>
        <i x="508" s="1" nd="1"/>
        <i x="654" s="1" nd="1"/>
        <i x="590" s="1" nd="1"/>
        <i x="28" s="1" nd="1"/>
        <i x="534" s="1" nd="1"/>
        <i x="141" s="1" nd="1"/>
        <i x="327" s="1" nd="1"/>
        <i x="479" s="1" nd="1"/>
        <i x="502" s="1" nd="1"/>
        <i x="171" s="1" nd="1"/>
        <i x="182" s="1" nd="1"/>
        <i x="597" s="1" nd="1"/>
        <i x="116" s="1" nd="1"/>
        <i x="462" s="1" nd="1"/>
        <i x="471" s="1" nd="1"/>
        <i x="627" s="1" nd="1"/>
        <i x="336" s="1" nd="1"/>
        <i x="416" s="1" nd="1"/>
        <i x="498" s="1" nd="1"/>
        <i x="435" s="1" nd="1"/>
        <i x="594" s="1" nd="1"/>
        <i x="446" s="1" nd="1"/>
        <i x="295" s="1" nd="1"/>
        <i x="617" s="1" nd="1"/>
        <i x="324" s="1" nd="1"/>
        <i x="483" s="1" nd="1"/>
        <i x="564" s="1" nd="1"/>
        <i x="637" s="1" nd="1"/>
        <i x="656" s="1" nd="1"/>
        <i x="188" s="1" nd="1"/>
        <i x="372" s="1" nd="1"/>
        <i x="197" s="1" nd="1"/>
        <i x="382" s="1" nd="1"/>
        <i x="613" s="1" nd="1"/>
        <i x="143" s="1" nd="1"/>
        <i x="235" s="1" nd="1"/>
        <i x="403" s="1" nd="1"/>
        <i x="488" s="1" nd="1"/>
        <i x="353" s="1" nd="1"/>
        <i x="175" s="1" nd="1"/>
        <i x="589" s="1" nd="1"/>
        <i x="106" s="1" nd="1"/>
        <i x="520" s="1" nd="1"/>
        <i x="119" s="1" nd="1"/>
        <i x="287" s="1" nd="1"/>
        <i x="533" s="1" nd="1"/>
        <i x="394" s="1" nd="1"/>
        <i x="49" s="1" nd="1"/>
        <i x="485" s="1" nd="1"/>
        <i x="645" s="1" nd="1"/>
        <i x="501" s="1" nd="1"/>
        <i x="359" s="1" nd="1"/>
        <i x="428" s="1" nd="1"/>
        <i x="662" s="1" nd="1"/>
        <i x="278" s="1" nd="1"/>
        <i x="391" s="1" nd="1"/>
        <i x="315" s="1" nd="1"/>
        <i x="335" s="1" nd="1"/>
        <i x="78" s="1" nd="1"/>
        <i x="659" s="1" nd="1"/>
        <i x="276" s="1" nd="1"/>
        <i x="112" s="1" nd="1"/>
        <i x="34" s="1" nd="1"/>
        <i x="200" s="1" nd="1"/>
        <i x="293" s="1" nd="1"/>
        <i x="385" s="1" nd="1"/>
        <i x="615" s="1" nd="1"/>
        <i x="137" s="1" nd="1"/>
        <i x="146" s="1" nd="1"/>
        <i x="584" s="1" nd="1"/>
        <i x="362" s="1" nd="1"/>
        <i x="371" s="1" nd="1"/>
        <i x="456" s="1" nd="1"/>
        <i x="535" s="1" nd="1"/>
        <i x="612" s="1" nd="1"/>
        <i x="210" s="1" nd="1"/>
        <i x="308" s="1" nd="1"/>
        <i x="224" s="1" nd="1"/>
        <i x="398" s="1" nd="1"/>
        <i x="631" s="1" nd="1"/>
        <i x="635" s="1" nd="1"/>
        <i x="72" s="1" nd="1"/>
        <i x="571" s="1" nd="1"/>
        <i x="164" s="1" nd="1"/>
        <i x="281" s="1" nd="1"/>
        <i x="532" s="1" nd="1"/>
        <i x="305" s="1" nd="1"/>
        <i x="620" s="1" nd="1"/>
        <i x="395" s="1" nd="1"/>
        <i x="338" s="1" nd="1"/>
        <i x="81" s="1" nd="1"/>
        <i x="375" s="1" nd="1"/>
        <i x="389" s="1" nd="1"/>
        <i x="131" s="1" nd="1"/>
        <i x="314" s="1" nd="1"/>
        <i x="55" s="1" nd="1"/>
        <i x="556" s="1" nd="1"/>
        <i x="147" s="1" nd="1"/>
        <i x="566" s="1" nd="1"/>
        <i x="158" s="1" nd="1"/>
        <i x="497" s="1" nd="1"/>
        <i x="426"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RUNDATE31" sourceName="RUNDATE">
  <pivotTables>
    <pivotTable tabId="7" name="PivotTable1"/>
  </pivotTables>
  <data>
    <tabular pivotCacheId="11" sortOrder="descending">
      <items count="332">
        <i x="1" s="1"/>
        <i x="0" s="1"/>
        <i x="24" s="1" nd="1"/>
        <i x="188" s="1" nd="1"/>
        <i x="115" s="1" nd="1"/>
        <i x="302" s="1" nd="1"/>
        <i x="230" s="1" nd="1"/>
        <i x="202" s="1" nd="1"/>
        <i x="134" s="1" nd="1"/>
        <i x="54" s="1" nd="1"/>
        <i x="318" s="1" nd="1"/>
        <i x="251" s="1" nd="1"/>
        <i x="187" s="1" nd="1"/>
        <i x="114" s="1" nd="1"/>
        <i x="158" s="1" nd="1"/>
        <i x="85" s="1" nd="1"/>
        <i x="312" s="1" nd="1"/>
        <i x="217" s="1" nd="1"/>
        <i x="147" s="1" nd="1"/>
        <i x="331" s="1" nd="1"/>
        <i x="84" s="1" nd="1"/>
        <i x="12" s="1" nd="1"/>
        <i x="183" s="1" nd="1"/>
        <i x="109" s="1" nd="1"/>
        <i x="36" s="1" nd="1"/>
        <i x="197" s="1" nd="1"/>
        <i x="177" s="1" nd="1"/>
        <i x="105" s="1" nd="1"/>
        <i x="294" s="1" nd="1"/>
        <i x="162" s="1" nd="1"/>
        <i x="90" s="1" nd="1"/>
        <i x="280" s="1" nd="1"/>
        <i x="214" s="1" nd="1"/>
        <i x="49" s="1" nd="1"/>
        <i x="311" s="1" nd="1"/>
        <i x="244" s="1" nd="1"/>
        <i x="146" s="1" nd="1"/>
        <i x="40" s="1" nd="1"/>
        <i x="301" s="1" nd="1"/>
        <i x="89" s="1" nd="1"/>
        <i x="16" s="1" nd="1"/>
        <i x="122" s="1" nd="1"/>
        <i x="45" s="1" nd="1"/>
        <i x="304" s="1" nd="1"/>
        <i x="235" s="1" nd="1"/>
        <i x="100" s="1" nd="1"/>
        <i x="83" s="1" nd="1"/>
        <i x="11" s="1" nd="1"/>
        <i x="104" s="1" nd="1"/>
        <i x="31" s="1" nd="1"/>
        <i x="293" s="1" nd="1"/>
        <i x="222" s="1" nd="1"/>
        <i x="78" s="1" nd="1"/>
        <i x="5" s="1" nd="1"/>
        <i x="270" s="1" nd="1"/>
        <i x="210" s="1" nd="1"/>
        <i x="141" s="1" nd="1"/>
        <i x="330" s="1" nd="1"/>
        <i x="264" s="1" nd="1"/>
        <i x="206" s="1" nd="1"/>
        <i x="57" s="1" nd="1"/>
        <i x="269" s="1" nd="1"/>
        <i x="108" s="1" nd="1"/>
        <i x="77" s="1" nd="1"/>
        <i x="209" s="1" nd="1"/>
        <i x="61" s="1" nd="1"/>
        <i x="53" s="1" nd="1"/>
        <i x="313" s="1" nd="1"/>
        <i x="247" s="1" nd="1"/>
        <i x="182" s="1" nd="1"/>
        <i x="66" s="1" nd="1"/>
        <i x="176" s="1" nd="1"/>
        <i x="103" s="1" nd="1"/>
        <i x="227" s="1" nd="1"/>
        <i x="157" s="1" nd="1"/>
        <i x="243" s="1" nd="1"/>
        <i x="175" s="1" nd="1"/>
        <i x="292" s="1" nd="1"/>
        <i x="276" s="1" nd="1"/>
        <i x="35" s="1" nd="1"/>
        <i x="299" s="1" nd="1"/>
        <i x="226" s="1" nd="1"/>
        <i x="156" s="1" nd="1"/>
        <i x="30" s="1" nd="1"/>
        <i x="291" s="1" nd="1"/>
        <i x="221" s="1" nd="1"/>
        <i x="154" s="1" nd="1"/>
        <i x="234" s="1" nd="1"/>
        <i x="56" s="1" nd="1"/>
        <i x="39" s="1" nd="1"/>
        <i x="298" s="1" nd="1"/>
        <i x="155" s="1" nd="1"/>
        <i x="153" s="1" nd="1"/>
        <i x="76" s="1" nd="1"/>
        <i x="4" s="1" nd="1"/>
        <i x="268" s="1" nd="1"/>
        <i x="75" s="1" nd="1"/>
        <i x="3" s="1" nd="1"/>
        <i x="267" s="1" nd="1"/>
        <i x="121" s="1" nd="1"/>
        <i x="329" s="1" nd="1"/>
        <i x="263" s="1" nd="1"/>
        <i x="205" s="1" nd="1"/>
        <i x="138" s="1" nd="1"/>
        <i x="242" s="1" nd="1"/>
        <i x="102" s="1" nd="1"/>
        <i x="120" s="1" nd="1"/>
        <i x="99" s="1" nd="1"/>
        <i x="65" s="1" nd="1"/>
        <i x="181" s="1" nd="1"/>
        <i x="310" s="1" nd="1"/>
        <i x="174" s="1" nd="1"/>
        <i x="130" s="1" nd="1"/>
        <i x="48" s="1" nd="1"/>
        <i x="309" s="1" nd="1"/>
        <i x="327" s="1" nd="1"/>
        <i x="201" s="1" nd="1"/>
        <i x="323" s="1" nd="1"/>
        <i x="321" s="1" nd="1"/>
        <i x="119" s="1" nd="1"/>
        <i x="279" s="1" nd="1"/>
        <i x="213" s="1" nd="1"/>
        <i x="64" s="1" nd="1"/>
        <i x="322" s="1" nd="1"/>
        <i x="63" s="1" nd="1"/>
        <i x="283" s="1" nd="1"/>
        <i x="259" s="1" nd="1"/>
        <i x="129" s="1" nd="1"/>
        <i x="308" s="1" nd="1"/>
        <i x="173" s="1" nd="1"/>
        <i x="52" s="1" nd="1"/>
        <i x="246" s="1" nd="1"/>
        <i x="180" s="1" nd="1"/>
        <i x="34" s="1" nd="1"/>
        <i x="297" s="1" nd="1"/>
        <i x="225" s="1" nd="1"/>
        <i x="82" s="1" nd="1"/>
        <i x="307" s="1" nd="1"/>
        <i x="241" s="1" nd="1"/>
        <i x="172" s="1" nd="1"/>
        <i x="101" s="1" nd="1"/>
        <i x="29" s="1" nd="1"/>
        <i x="290" s="1" nd="1"/>
        <i x="220" s="1" nd="1"/>
        <i x="152" s="1" nd="1"/>
        <i x="74" s="1" nd="1"/>
        <i x="98" s="1" nd="1"/>
        <i x="23" s="1" nd="1"/>
        <i x="282" s="1" nd="1"/>
        <i x="216" s="1" nd="1"/>
        <i x="145" s="1" nd="1"/>
        <i x="71" s="1" nd="1"/>
        <i x="140" s="1" nd="1"/>
        <i x="250" s="1" nd="1"/>
        <i x="262" s="1" nd="1"/>
        <i x="166" s="1" nd="1"/>
        <i x="97" s="1" nd="1"/>
        <i x="22" s="1" nd="1"/>
        <i x="281" s="1" nd="1"/>
        <i x="60" s="1" nd="1"/>
        <i x="128" s="1" nd="1"/>
        <i x="47" s="1" nd="1"/>
        <i x="233" s="1" nd="1"/>
        <i x="165" s="1" nd="1"/>
        <i x="289" s="1" nd="1"/>
        <i x="193" s="1" nd="1"/>
        <i x="44" s="1" nd="1"/>
        <i x="303" s="1" nd="1"/>
        <i x="232" s="1" nd="1"/>
        <i x="21" s="1" nd="1"/>
        <i x="113" s="1" nd="1"/>
        <i x="278" s="1" nd="1"/>
        <i x="204" s="1" nd="1"/>
        <i x="137" s="1" nd="1"/>
        <i x="326" s="1" nd="1"/>
        <i x="261" s="1" nd="1"/>
        <i x="258" s="1" nd="1"/>
        <i x="196" s="1" nd="1"/>
        <i x="306" s="1" nd="1"/>
        <i x="240" s="1" nd="1"/>
        <i x="112" s="1" nd="1"/>
        <i x="38" s="1" nd="1"/>
        <i x="300" s="1" nd="1"/>
        <i x="161" s="1" nd="1"/>
        <i x="229" s="1" nd="1"/>
        <i x="10" s="1" nd="1"/>
        <i x="118" s="1" nd="1"/>
        <i x="51" s="1" nd="1"/>
        <i x="127" s="1" nd="1"/>
        <i x="46" s="1" nd="1"/>
        <i x="239" s="1" nd="1"/>
        <i x="171" s="1" nd="1"/>
        <i x="28" s="1" nd="1"/>
        <i x="288" s="1" nd="1"/>
        <i x="219" s="1" nd="1"/>
        <i x="33" s="1" nd="1"/>
        <i x="81" s="1" nd="1"/>
        <i x="9" s="1" nd="1"/>
        <i x="275" s="1" nd="1"/>
        <i x="218" s="1" nd="1"/>
        <i x="208" s="1" nd="1"/>
        <i x="59" s="1" nd="1"/>
        <i x="192" s="1" nd="1"/>
        <i x="20" s="1" nd="1"/>
        <i x="15" s="1" nd="1"/>
        <i x="195" s="1" nd="1"/>
        <i x="27" s="1" nd="1"/>
        <i x="287" s="1" nd="1"/>
        <i x="73" s="1" nd="1"/>
        <i x="14" s="1" nd="1"/>
        <i x="107" s="1" nd="1"/>
        <i x="32" s="1" nd="1"/>
        <i x="126" s="1" nd="1"/>
        <i x="238" s="1" nd="1"/>
        <i x="170" s="1" nd="1"/>
        <i x="286" s="1" nd="1"/>
        <i x="224" s="1" nd="1"/>
        <i x="19" s="1" nd="1"/>
        <i x="136" s="1" nd="1"/>
        <i x="80" s="1" nd="1"/>
        <i x="255" s="1" nd="1"/>
        <i x="249" s="1" nd="1"/>
        <i x="186" s="1" nd="1"/>
        <i x="133" s="1" nd="1"/>
        <i x="169" s="1" nd="1"/>
        <i x="285" s="1" nd="1"/>
        <i x="328" s="1" nd="1"/>
        <i x="212" s="1" nd="1"/>
        <i x="142" s="1" nd="1"/>
        <i x="185" s="1" nd="1"/>
        <i x="68" s="1" nd="1"/>
        <i x="237" s="1" nd="1"/>
        <i x="168" s="1" nd="1"/>
        <i x="231" s="1" nd="1"/>
        <i x="164" s="1" nd="1"/>
        <i x="96" s="1" nd="1"/>
        <i x="79" s="1" nd="1"/>
        <i x="8" s="1" nd="1"/>
        <i x="274" s="1" nd="1"/>
        <i x="191" s="1" nd="1"/>
        <i x="117" s="1" nd="1"/>
        <i x="95" s="1" nd="1"/>
        <i x="94" s="1" nd="1"/>
        <i x="215" s="1" nd="1"/>
        <i x="144" s="1" nd="1"/>
        <i x="203" s="1" nd="1"/>
        <i x="88" s="1" nd="1"/>
        <i x="13" s="1" nd="1"/>
        <i x="200" s="1" nd="1"/>
        <i x="58" s="1" nd="1"/>
        <i x="254" s="1" nd="1"/>
        <i x="317" s="1" nd="1"/>
        <i x="325" s="1" nd="1"/>
        <i x="296" s="1" nd="1"/>
        <i x="223" s="1" nd="1"/>
        <i x="26" s="1" nd="1"/>
        <i x="284" s="1" nd="1"/>
        <i x="72" s="1" nd="1"/>
        <i x="266" s="1" nd="1"/>
        <i x="93" s="1" nd="1"/>
        <i x="18" s="1" nd="1"/>
        <i x="143" s="1" nd="1"/>
        <i x="70" s="1" nd="1"/>
        <i x="67" s="1" nd="1"/>
        <i x="260" s="1" nd="1"/>
        <i x="199" s="1" nd="1"/>
        <i x="132" s="1" nd="1"/>
        <i x="273" s="1" nd="1"/>
        <i x="211" s="1" nd="1"/>
        <i x="194" s="1" nd="1"/>
        <i x="125" s="1" nd="1"/>
        <i x="25" s="1" nd="1"/>
        <i x="151" s="1" nd="1"/>
        <i x="2" s="1" nd="1"/>
        <i x="265" s="1" nd="1"/>
        <i x="207" s="1" nd="1"/>
        <i x="92" s="1" nd="1"/>
        <i x="69" s="1" nd="1"/>
        <i x="135" s="1" nd="1"/>
        <i x="116" s="1" nd="1"/>
        <i x="43" s="1" nd="1"/>
        <i x="150" s="1" nd="1"/>
        <i x="253" s="1" nd="1"/>
        <i x="131" s="1" nd="1"/>
        <i x="55" s="1" nd="1"/>
        <i x="316" s="1" nd="1"/>
        <i x="315" s="1" nd="1"/>
        <i x="248" s="1" nd="1"/>
        <i x="324" s="1" nd="1"/>
        <i x="198" s="1" nd="1"/>
        <i x="190" s="1" nd="1"/>
        <i x="91" s="1" nd="1"/>
        <i x="17" s="1" nd="1"/>
        <i x="149" s="1" nd="1"/>
        <i x="320" s="1" nd="1"/>
        <i x="319" s="1" nd="1"/>
        <i x="252" s="1" nd="1"/>
        <i x="42" s="1" nd="1"/>
        <i x="314" s="1" nd="1"/>
        <i x="87" s="1" nd="1"/>
        <i x="245" s="1" nd="1"/>
        <i x="124" s="1" nd="1"/>
        <i x="295" s="1" nd="1"/>
        <i x="62" s="1" nd="1"/>
        <i x="257" s="1" nd="1"/>
        <i x="189" s="1" nd="1"/>
        <i x="272" s="1" nd="1"/>
        <i x="167" s="1" nd="1"/>
        <i x="256" s="1" nd="1"/>
        <i x="123" s="1" nd="1"/>
        <i x="236" s="1" nd="1"/>
        <i x="111" s="1" nd="1"/>
        <i x="37" s="1" nd="1"/>
        <i x="139" s="1" nd="1"/>
        <i x="7" s="1" nd="1"/>
        <i x="41" s="1" nd="1"/>
        <i x="228" s="1" nd="1"/>
        <i x="50" s="1" nd="1"/>
        <i x="179" s="1" nd="1"/>
        <i x="106" s="1" nd="1"/>
        <i x="148" s="1" nd="1"/>
        <i x="163" s="1" nd="1"/>
        <i x="305" s="1" nd="1"/>
        <i x="184" s="1" nd="1"/>
        <i x="110" s="1" nd="1"/>
        <i x="160" s="1" nd="1"/>
        <i x="86" s="1" nd="1"/>
        <i x="178" s="1" nd="1"/>
        <i x="159" s="1" nd="1"/>
        <i x="277" s="1" nd="1"/>
        <i x="6" s="1" nd="1"/>
        <i x="27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7" name="PivotTable1"/>
  </pivotTables>
  <data>
    <tabular pivotCacheId="11">
      <items count="39">
        <i x="0" s="1"/>
        <i x="1" s="1" nd="1"/>
        <i x="18" s="1" nd="1"/>
        <i x="21" s="1" nd="1"/>
        <i x="33" s="1" nd="1"/>
        <i x="15" s="1" nd="1"/>
        <i x="31" s="1" nd="1"/>
        <i x="2" s="1" nd="1"/>
        <i x="12" s="1" nd="1"/>
        <i x="20" s="1" nd="1"/>
        <i x="28" s="1" nd="1"/>
        <i x="26" s="1" nd="1"/>
        <i x="22" s="1" nd="1"/>
        <i x="27" s="1" nd="1"/>
        <i x="23" s="1" nd="1"/>
        <i x="34" s="1" nd="1"/>
        <i x="30" s="1" nd="1"/>
        <i x="7" s="1" nd="1"/>
        <i x="24" s="1" nd="1"/>
        <i x="4" s="1" nd="1"/>
        <i x="13" s="1" nd="1"/>
        <i x="5" s="1" nd="1"/>
        <i x="25" s="1" nd="1"/>
        <i x="8" s="1" nd="1"/>
        <i x="35" s="1" nd="1"/>
        <i x="37" s="1" nd="1"/>
        <i x="11" s="1" nd="1"/>
        <i x="32" s="1" nd="1"/>
        <i x="6" s="1" nd="1"/>
        <i x="19" s="1" nd="1"/>
        <i x="14" s="1" nd="1"/>
        <i x="36" s="1" nd="1"/>
        <i x="38" s="1" nd="1"/>
        <i x="3" s="1" nd="1"/>
        <i x="16" s="1" nd="1"/>
        <i x="17" s="1" nd="1"/>
        <i x="9" s="1" nd="1"/>
        <i x="10" s="1" nd="1"/>
        <i x="29"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IOSHIFT" sourceName="IOSHIFT">
  <pivotTables>
    <pivotTable tabId="13" name="PivotTable1"/>
  </pivotTables>
  <data>
    <tabular pivotCacheId="13">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MAXEPOCHS" sourceName="MAXEPOCHS">
  <pivotTables>
    <pivotTable tabId="13" name="PivotTable1"/>
  </pivotTables>
  <data>
    <tabular pivotCacheId="13">
      <items count="6">
        <i x="2" s="1"/>
        <i x="1" s="1"/>
        <i x="0" s="1"/>
        <i x="3" s="1" nd="1"/>
        <i x="5" s="1" nd="1"/>
        <i x="4"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13" name="PivotTable1"/>
  </pivotTables>
  <data>
    <tabular pivotCacheId="13">
      <items count="4">
        <i x="0" s="1"/>
        <i x="3" s="1" nd="1"/>
        <i x="1" s="1" nd="1"/>
        <i x="2"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13" name="PivotTable1"/>
  </pivotTables>
  <data>
    <tabular pivotCacheId="13">
      <items count="2">
        <i x="0" s="1"/>
        <i x="1"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WTTYPE" sourceName="WTTYPE">
  <pivotTables>
    <pivotTable tabId="13" name="PivotTable1"/>
  </pivotTables>
  <data>
    <tabular pivotCacheId="13">
      <items count="5">
        <i x="1" s="1"/>
        <i x="2" s="1"/>
        <i x="4" s="1"/>
        <i x="3" s="1"/>
        <i x="0"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DATASAMPLELEN" sourceName="DATASAMPLELEN">
  <pivotTables>
    <pivotTable tabId="13" name="PivotTable1"/>
  </pivotTables>
  <data>
    <tabular pivotCacheId="13">
      <items count="4">
        <i x="0" s="1"/>
        <i x="1" s="1" nd="1"/>
        <i x="3" s="1" nd="1"/>
        <i x="2"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DATAPREDICTIONLEN" sourceName="DATAPREDICTIONLEN">
  <pivotTables>
    <pivotTable tabId="13" name="PivotTable1"/>
  </pivotTables>
  <data>
    <tabular pivotCacheId="13">
      <items count="4">
        <i x="1" s="1"/>
        <i x="0" s="1"/>
        <i x="2" s="1" nd="1"/>
        <i x="3"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13" name="PivotTable1"/>
  </pivotTables>
  <data>
    <tabular pivotCacheId="13">
      <items count="15">
        <i x="3" s="1"/>
        <i x="2" s="1"/>
        <i x="0" s="1"/>
        <i x="1" s="1"/>
        <i x="13" s="1" nd="1"/>
        <i x="5" s="1" nd="1"/>
        <i x="7" s="1" nd="1"/>
        <i x="8" s="1" nd="1"/>
        <i x="9" s="1" nd="1"/>
        <i x="10" s="1" nd="1"/>
        <i x="11" s="1" nd="1"/>
        <i x="12" s="1" nd="1"/>
        <i x="14" s="1" nd="1"/>
        <i x="4" s="1" nd="1"/>
        <i x="6"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CLIENTSTART" sourceName="CLIENTSTART">
  <pivotTables>
    <pivotTable tabId="13" name="PivotTable1"/>
  </pivotTables>
  <data>
    <tabular pivotCacheId="13" sortOrder="descending">
      <items count="149">
        <i x="7" s="1"/>
        <i x="9" s="1"/>
        <i x="6" s="1"/>
        <i x="3" s="1"/>
        <i x="5" s="1"/>
        <i x="8" s="1"/>
        <i x="0" s="1"/>
        <i x="10" s="1"/>
        <i x="2" s="1"/>
        <i x="4" s="1"/>
        <i x="1" s="1"/>
        <i x="89" s="1" nd="1"/>
        <i x="130" s="1" nd="1"/>
        <i x="88" s="1" nd="1"/>
        <i x="111" s="1" nd="1"/>
        <i x="132" s="1" nd="1"/>
        <i x="110" s="1" nd="1"/>
        <i x="24" s="1" nd="1"/>
        <i x="43" s="1" nd="1"/>
        <i x="65" s="1" nd="1"/>
        <i x="76" s="1" nd="1"/>
        <i x="55" s="1" nd="1"/>
        <i x="16" s="1" nd="1"/>
        <i x="92" s="1" nd="1"/>
        <i x="80" s="1" nd="1"/>
        <i x="148" s="1" nd="1"/>
        <i x="54" s="1" nd="1"/>
        <i x="103" s="1" nd="1"/>
        <i x="32" s="1" nd="1"/>
        <i x="53" s="1" nd="1"/>
        <i x="102" s="1" nd="1"/>
        <i x="120" s="1" nd="1"/>
        <i x="71" s="1" nd="1"/>
        <i x="34" s="1" nd="1"/>
        <i x="75" s="1" nd="1"/>
        <i x="13" s="1" nd="1"/>
        <i x="15" s="1" nd="1"/>
        <i x="17" s="1" nd="1"/>
        <i x="142" s="1" nd="1"/>
        <i x="118" s="1" nd="1"/>
        <i x="44" s="1" nd="1"/>
        <i x="37" s="1" nd="1"/>
        <i x="122" s="1" nd="1"/>
        <i x="40" s="1" nd="1"/>
        <i x="64" s="1" nd="1"/>
        <i x="59" s="1" nd="1"/>
        <i x="22" s="1" nd="1"/>
        <i x="74" s="1" nd="1"/>
        <i x="31" s="1" nd="1"/>
        <i x="21" s="1" nd="1"/>
        <i x="27" s="1" nd="1"/>
        <i x="63" s="1" nd="1"/>
        <i x="106" s="1" nd="1"/>
        <i x="97" s="1" nd="1"/>
        <i x="26" s="1" nd="1"/>
        <i x="146" s="1" nd="1"/>
        <i x="33" s="1" nd="1"/>
        <i x="145" s="1" nd="1"/>
        <i x="36" s="1" nd="1"/>
        <i x="84" s="1" nd="1"/>
        <i x="20" s="1" nd="1"/>
        <i x="79" s="1" nd="1"/>
        <i x="73" s="1" nd="1"/>
        <i x="99" s="1" nd="1"/>
        <i x="23" s="1" nd="1"/>
        <i x="45" s="1" nd="1"/>
        <i x="140" s="1" nd="1"/>
        <i x="72" s="1" nd="1"/>
        <i x="135" s="1" nd="1"/>
        <i x="19" s="1" nd="1"/>
        <i x="124" s="1" nd="1"/>
        <i x="62" s="1" nd="1"/>
        <i x="91" s="1" nd="1"/>
        <i x="96" s="1" nd="1"/>
        <i x="126" s="1" nd="1"/>
        <i x="95" s="1" nd="1"/>
        <i x="48" s="1" nd="1"/>
        <i x="61" s="1" nd="1"/>
        <i x="56" s="1" nd="1"/>
        <i x="87" s="1" nd="1"/>
        <i x="105" s="1" nd="1"/>
        <i x="113" s="1" nd="1"/>
        <i x="70" s="1" nd="1"/>
        <i x="90" s="1" nd="1"/>
        <i x="69" s="1" nd="1"/>
        <i x="138" s="1" nd="1"/>
        <i x="115" s="1" nd="1"/>
        <i x="134" s="1" nd="1"/>
        <i x="12" s="1" nd="1"/>
        <i x="49" s="1" nd="1"/>
        <i x="25" s="1" nd="1"/>
        <i x="109" s="1" nd="1"/>
        <i x="86" s="1" nd="1"/>
        <i x="144" s="1" nd="1"/>
        <i x="137" s="1" nd="1"/>
        <i x="129" s="1" nd="1"/>
        <i x="123" s="1" nd="1"/>
        <i x="117" s="1" nd="1"/>
        <i x="112" s="1" nd="1"/>
        <i x="107" s="1" nd="1"/>
        <i x="101" s="1" nd="1"/>
        <i x="94" s="1" nd="1"/>
        <i x="83" s="1" nd="1"/>
        <i x="78" s="1" nd="1"/>
        <i x="67" s="1" nd="1"/>
        <i x="58" s="1" nd="1"/>
        <i x="51" s="1" nd="1"/>
        <i x="47" s="1" nd="1"/>
        <i x="42" s="1" nd="1"/>
        <i x="39" s="1" nd="1"/>
        <i x="141" s="1" nd="1"/>
        <i x="133" s="1" nd="1"/>
        <i x="127" s="1" nd="1"/>
        <i x="121" s="1" nd="1"/>
        <i x="116" s="1" nd="1"/>
        <i x="100" s="1" nd="1"/>
        <i x="93" s="1" nd="1"/>
        <i x="82" s="1" nd="1"/>
        <i x="77" s="1" nd="1"/>
        <i x="66" s="1" nd="1"/>
        <i x="57" s="1" nd="1"/>
        <i x="50" s="1" nd="1"/>
        <i x="46" s="1" nd="1"/>
        <i x="41" s="1" nd="1"/>
        <i x="38" s="1" nd="1"/>
        <i x="35" s="1" nd="1"/>
        <i x="30" s="1" nd="1"/>
        <i x="29" s="1" nd="1"/>
        <i x="18" s="1" nd="1"/>
        <i x="14" s="1" nd="1"/>
        <i x="147" s="1" nd="1"/>
        <i x="139" s="1" nd="1"/>
        <i x="131" s="1" nd="1"/>
        <i x="125" s="1" nd="1"/>
        <i x="119" s="1" nd="1"/>
        <i x="114" s="1" nd="1"/>
        <i x="108" s="1" nd="1"/>
        <i x="104" s="1" nd="1"/>
        <i x="98" s="1" nd="1"/>
        <i x="85" s="1" nd="1"/>
        <i x="81" s="1" nd="1"/>
        <i x="68" s="1" nd="1"/>
        <i x="60" s="1" nd="1"/>
        <i x="52" s="1" nd="1"/>
        <i x="11" s="1" nd="1"/>
        <i x="143" s="1" nd="1"/>
        <i x="136" s="1" nd="1"/>
        <i x="128" s="1" nd="1"/>
        <i x="28"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13" name="PivotTable1"/>
  </pivotTables>
  <data>
    <tabular pivotCacheId="13">
      <items count="2">
        <i x="0" s="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WTLEVEL" sourceName="WTLEVEL">
  <pivotTables>
    <pivotTable tabId="13" name="PivotTable1"/>
  </pivotTables>
  <data>
    <tabular pivotCacheId="13">
      <items count="10">
        <i x="0" s="1"/>
        <i x="1" s="1"/>
        <i x="2" s="1"/>
        <i x="3" s="1"/>
        <i x="4" s="1"/>
        <i x="5" s="1"/>
        <i x="6" s="1"/>
        <i x="7" s="1"/>
        <i x="8" s="1"/>
        <i x="9" s="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DOTRAINING" sourceName="DOTRAINING">
  <pivotTables>
    <pivotTable tabId="13" name="PivotTable1"/>
  </pivotTables>
  <data>
    <tabular pivotCacheId="13">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FEATURE312" sourceName="FEATURE">
  <pivotTables>
    <pivotTable tabId="14" name="PivotTable1"/>
  </pivotTables>
  <data>
    <tabular pivotCacheId="11">
      <items count="4">
        <i x="1" s="1"/>
        <i x="0" s="1"/>
        <i x="2" s="1" nd="1"/>
        <i x="3"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SEQUENCEID2112" sourceName="SEQUENCEID">
  <pivotTables>
    <pivotTable tabId="14" name="PivotTable1"/>
  </pivotTables>
  <data>
    <tabular pivotCacheId="11">
      <items count="88">
        <i x="0" s="1"/>
        <i x="51" s="1" nd="1"/>
        <i x="23" s="1" nd="1"/>
        <i x="53" s="1" nd="1"/>
        <i x="83" s="1" nd="1"/>
        <i x="11" s="1" nd="1"/>
        <i x="25" s="1" nd="1"/>
        <i x="37" s="1" nd="1"/>
        <i x="55" s="1" nd="1"/>
        <i x="64" s="1" nd="1"/>
        <i x="71" s="1" nd="1"/>
        <i x="76" s="1" nd="1"/>
        <i x="85" s="1" nd="1"/>
        <i x="4" s="1" nd="1"/>
        <i x="12" s="1" nd="1"/>
        <i x="19" s="1" nd="1"/>
        <i x="26" s="1" nd="1"/>
        <i x="28" s="1" nd="1"/>
        <i x="30" s="1" nd="1"/>
        <i x="34" s="1" nd="1"/>
        <i x="39" s="1" nd="1"/>
        <i x="43" s="1" nd="1"/>
        <i x="47" s="1" nd="1"/>
        <i x="52" s="1" nd="1"/>
        <i x="58" s="1" nd="1"/>
        <i x="62" s="1" nd="1"/>
        <i x="67" s="1" nd="1"/>
        <i x="69" s="1" nd="1"/>
        <i x="73" s="1" nd="1"/>
        <i x="74" s="1" nd="1"/>
        <i x="78" s="1" nd="1"/>
        <i x="81" s="1" nd="1"/>
        <i x="86" s="1" nd="1"/>
        <i x="42" s="1" nd="1"/>
        <i x="2" s="1" nd="1"/>
        <i x="45" s="1" nd="1"/>
        <i x="6" s="1" nd="1"/>
        <i x="49" s="1" nd="1"/>
        <i x="9" s="1" nd="1"/>
        <i x="56" s="1" nd="1"/>
        <i x="14" s="1" nd="1"/>
        <i x="60" s="1" nd="1"/>
        <i x="17" s="1" nd="1"/>
        <i x="65" s="1" nd="1"/>
        <i x="21" s="1" nd="1"/>
        <i x="68" s="1" nd="1"/>
        <i x="24" s="1" nd="1"/>
        <i x="72" s="1" nd="1"/>
        <i x="77" s="1" nd="1"/>
        <i x="32" s="1" nd="1"/>
        <i x="80" s="1" nd="1"/>
        <i x="36" s="1" nd="1"/>
        <i x="41" s="1" nd="1"/>
        <i x="1" s="1" nd="1"/>
        <i x="44" s="1" nd="1"/>
        <i x="5" s="1" nd="1"/>
        <i x="48" s="1" nd="1"/>
        <i x="8" s="1" nd="1"/>
        <i x="54" s="1" nd="1"/>
        <i x="13" s="1" nd="1"/>
        <i x="59" s="1" nd="1"/>
        <i x="33" s="1" nd="1"/>
        <i x="16" s="1" nd="1"/>
        <i x="82" s="1" nd="1"/>
        <i x="63" s="1" nd="1"/>
        <i x="38" s="1" nd="1"/>
        <i x="20" s="1" nd="1"/>
        <i x="87" s="1" nd="1"/>
        <i x="3" s="1" nd="1"/>
        <i x="70" s="1" nd="1"/>
        <i x="46" s="1" nd="1"/>
        <i x="27" s="1" nd="1"/>
        <i x="7" s="1" nd="1"/>
        <i x="50" s="1" nd="1"/>
        <i x="29" s="1" nd="1"/>
        <i x="10" s="1" nd="1"/>
        <i x="75" s="1" nd="1"/>
        <i x="57" s="1" nd="1"/>
        <i x="31" s="1" nd="1"/>
        <i x="15" s="1" nd="1"/>
        <i x="79" s="1" nd="1"/>
        <i x="61" s="1" nd="1"/>
        <i x="35" s="1" nd="1"/>
        <i x="18" s="1" nd="1"/>
        <i x="84" s="1" nd="1"/>
        <i x="66" s="1" nd="1"/>
        <i x="40" s="1" nd="1"/>
        <i x="22"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PROCESSID1312" sourceName="PROCESSID">
  <pivotTables>
    <pivotTable tabId="14" name="PivotTable1"/>
  </pivotTables>
  <data>
    <tabular pivotCacheId="11">
      <items count="793">
        <i x="15" s="1"/>
        <i x="12" s="1"/>
        <i x="3" s="1"/>
        <i x="18" s="1"/>
        <i x="0" s="1"/>
        <i x="13" s="1"/>
        <i x="21" s="1"/>
        <i x="4" s="1"/>
        <i x="14" s="1"/>
        <i x="20" s="1"/>
        <i x="22" s="1"/>
        <i x="17" s="1"/>
        <i x="7" s="1"/>
        <i x="10" s="1"/>
        <i x="8" s="1"/>
        <i x="5" s="1"/>
        <i x="11" s="1"/>
        <i x="23" s="1"/>
        <i x="1" s="1"/>
        <i x="19" s="1"/>
        <i x="2" s="1"/>
        <i x="9" s="1"/>
        <i x="6" s="1"/>
        <i x="16" s="1"/>
        <i x="380" s="1" nd="1"/>
        <i x="178" s="1" nd="1"/>
        <i x="356" s="1" nd="1"/>
        <i x="692" s="1" nd="1"/>
        <i x="267" s="1" nd="1"/>
        <i x="334" s="1" nd="1"/>
        <i x="721" s="1" nd="1"/>
        <i x="114" s="1" nd="1"/>
        <i x="476" s="1" nd="1"/>
        <i x="562" s="1" nd="1"/>
        <i x="739" s="1" nd="1"/>
        <i x="750" s="1" nd="1"/>
        <i x="766" s="1" nd="1"/>
        <i x="293" s="1" nd="1"/>
        <i x="560" s="1" nd="1"/>
        <i x="223" s="1" nd="1"/>
        <i x="395" s="1" nd="1"/>
        <i x="435" s="1" nd="1"/>
        <i x="290" s="1" nd="1"/>
        <i x="582" s="1" nd="1"/>
        <i x="568" s="1" nd="1"/>
        <i x="745" s="1" nd="1"/>
        <i x="80" s="1" nd="1"/>
        <i x="256" s="1" nd="1"/>
        <i x="392" s="1" nd="1"/>
        <i x="500" s="1" nd="1"/>
        <i x="688" s="1" nd="1"/>
        <i x="761" s="1" nd="1"/>
        <i x="490" s="1" nd="1"/>
        <i x="532" s="1" nd="1"/>
        <i x="28" s="1" nd="1"/>
        <i x="104" s="1" nd="1"/>
        <i x="183" s="1" nd="1"/>
        <i x="564" s="1" nd="1"/>
        <i x="265" s="1" nd="1"/>
        <i x="309" s="1" nd="1"/>
        <i x="529" s="1" nd="1"/>
        <i x="452" s="1" nd="1"/>
        <i x="79" s="1" nd="1"/>
        <i x="390" s="1" nd="1"/>
        <i x="262" s="1" nd="1"/>
        <i x="633" s="1" nd="1"/>
        <i x="642" s="1" nd="1"/>
        <i x="286" s="1" nd="1"/>
        <i x="659" s="1" nd="1"/>
        <i x="682" s="1" nd="1"/>
        <i x="237" s="1" nd="1"/>
        <i x="307" s="1" nd="1"/>
        <i x="464" s="1" nd="1"/>
        <i x="511" s="1" nd="1"/>
        <i x="769" s="1" nd="1"/>
        <i x="55" s="1" nd="1"/>
        <i x="778" s="1" nd="1"/>
        <i x="412" s="1" nd="1"/>
        <i x="144" s="1" nd="1"/>
        <i x="167" s="1" nd="1"/>
        <i x="727" s="1" nd="1"/>
        <i x="88" s="1" nd="1"/>
        <i x="235" s="1" nd="1"/>
        <i x="585" s="1" nd="1"/>
        <i x="605" s="1" nd="1"/>
        <i x="72" s="1" nd="1"/>
        <i x="112" s="1" nd="1"/>
        <i x="232" s="1" nd="1"/>
        <i x="326" s="1" nd="1"/>
        <i x="596" s="1" nd="1"/>
        <i x="792" s="1" nd="1"/>
        <i x="48" s="1" nd="1"/>
        <i x="247" s="1" nd="1"/>
        <i x="317" s="1" nd="1"/>
        <i x="368" s="1" nd="1"/>
        <i x="482" s="1" nd="1"/>
        <i x="548" s="1" nd="1"/>
        <i x="165" s="1" nd="1"/>
        <i x="204" s="1" nd="1"/>
        <i x="292" s="1" nd="1"/>
        <i x="195" s="1" nd="1"/>
        <i x="445" s="1" nd="1"/>
        <i x="616" s="1" nd="1"/>
        <i x="764" s="1" nd="1"/>
        <i x="495" s="1" nd="1"/>
        <i x="570" s="1" nd="1"/>
        <i x="273" s="1" nd="1"/>
        <i x="453" s="1" nd="1"/>
        <i x="521" s="1" nd="1"/>
        <i x="152" s="1" nd="1"/>
        <i x="93" s="1" nd="1"/>
        <i x="291" s="1" nd="1"/>
        <i x="316" s="1" nd="1"/>
        <i x="338" s="1" nd="1"/>
        <i x="470" s="1" nd="1"/>
        <i x="569" s="1" nd="1"/>
        <i x="270" s="1" nd="1"/>
        <i x="451" s="1" nd="1"/>
        <i x="639" s="1" nd="1"/>
        <i x="690" s="1" nd="1"/>
        <i x="202" s="1" nd="1"/>
        <i x="628" s="1" nd="1"/>
        <i x="787" s="1" nd="1"/>
        <i x="67" s="1" nd="1"/>
        <i x="201" s="1" nd="1"/>
        <i x="383" s="1" nd="1"/>
        <i x="534" s="1" nd="1"/>
        <i x="722" s="1" nd="1"/>
        <i x="423" s="1" nd="1"/>
        <i x="607" s="1" nd="1"/>
        <i x="45" s="1" nd="1"/>
        <i x="137" s="1" nd="1"/>
        <i x="211" s="1" nd="1"/>
        <i x="243" s="1" nd="1"/>
        <i x="51" s="1" nd="1"/>
        <i x="335" s="1" nd="1"/>
        <i x="279" s="1" nd="1"/>
        <i x="352" s="1" nd="1"/>
        <i x="373" s="1" nd="1"/>
        <i x="306" s="1" nd="1"/>
        <i x="149" s="1" nd="1"/>
        <i x="626" s="1" nd="1"/>
        <i x="638" s="1" nd="1"/>
        <i x="647" s="1" nd="1"/>
        <i x="287" s="1" nd="1"/>
        <i x="457" s="1" nd="1"/>
        <i x="266" s="1" nd="1"/>
        <i x="405" s="1" nd="1"/>
        <i x="479" s="1" nd="1"/>
        <i x="106" s="1" nd="1"/>
        <i x="401" s="1" nd="1"/>
        <i x="491" s="1" nd="1"/>
        <i x="555" s="1" nd="1"/>
        <i x="254" s="1" nd="1"/>
        <i x="772" s="1" nd="1"/>
        <i x="783" s="1" nd="1"/>
        <i x="135" s="1" nd="1"/>
        <i x="514" s="1" nd="1"/>
        <i x="580" s="1" nd="1"/>
        <i x="313" s="1" nd="1"/>
        <i x="646" s="1" nd="1"/>
        <i x="215" s="1" nd="1"/>
        <i x="27" s="1" nd="1"/>
        <i x="328" s="1" nd="1"/>
        <i x="421" s="1" nd="1"/>
        <i x="148" s="1" nd="1"/>
        <i x="543" s="1" nd="1"/>
        <i x="253" s="1" nd="1"/>
        <i x="644" s="1" nd="1"/>
        <i x="89" s="1" nd="1"/>
        <i x="612" s="1" nd="1"/>
        <i x="635" s="1" nd="1"/>
        <i x="661" s="1" nd="1"/>
        <i x="708" s="1" nd="1"/>
        <i x="283" s="1" nd="1"/>
        <i x="382" s="1" nd="1"/>
        <i x="40" s="1" nd="1"/>
        <i x="182" s="1" nd="1"/>
        <i x="264" s="1" nd="1"/>
        <i x="207" s="1" nd="1"/>
        <i x="26" s="1" nd="1"/>
        <i x="419" s="1" nd="1"/>
        <i x="751" s="1" nd="1"/>
        <i x="191" s="1" nd="1"/>
        <i x="330" s="1" nd="1"/>
        <i x="39" s="1" nd="1"/>
        <i x="357" s="1" nd="1"/>
        <i x="78" s="1" nd="1"/>
        <i x="418" s="1" nd="1"/>
        <i x="512" s="1" nd="1"/>
        <i x="339" s="1" nd="1"/>
        <i x="378" s="1" nd="1"/>
        <i x="553" s="1" nd="1"/>
        <i x="263" s="1" nd="1"/>
        <i x="643" s="1" nd="1"/>
        <i x="683" s="1" nd="1"/>
        <i x="617" s="1" nd="1"/>
        <i x="438" s="1" nd="1"/>
        <i x="526" s="1" nd="1"/>
        <i x="210" s="1" nd="1"/>
        <i x="484" s="1" nd="1"/>
        <i x="609" s="1" nd="1"/>
        <i x="138" s="1" nd="1"/>
        <i x="38" s="1" nd="1"/>
        <i x="341" s="1" nd="1"/>
        <i x="132" s="1" nd="1"/>
        <i x="622" s="1" nd="1"/>
        <i x="108" s="1" nd="1"/>
        <i x="680" s="1" nd="1"/>
        <i x="389" s="1" nd="1"/>
        <i x="440" s="1" nd="1"/>
        <i x="475" s="1" nd="1"/>
        <i x="102" s="1" nd="1"/>
        <i x="519" s="1" nd="1"/>
        <i x="550" s="1" nd="1"/>
        <i x="99" s="1" nd="1"/>
        <i x="608" s="1" nd="1"/>
        <i x="620" s="1" nd="1"/>
        <i x="572" s="1" nd="1"/>
        <i x="670" s="1" nd="1"/>
        <i x="679" s="1" nd="1"/>
        <i x="779" s="1" nd="1"/>
        <i x="37" s="1" nd="1"/>
        <i x="439" s="1" nd="1"/>
        <i x="725" s="1" nd="1"/>
        <i x="509" s="1" nd="1"/>
        <i x="82" s="1" nd="1"/>
        <i x="190" s="1" nd="1"/>
        <i x="656" s="1" nd="1"/>
        <i x="296" s="1" nd="1"/>
        <i x="320" s="1" nd="1"/>
        <i x="695" s="1" nd="1"/>
        <i x="327" s="1" nd="1"/>
        <i x="245" s="1" nd="1"/>
        <i x="343" s="1" nd="1"/>
        <i x="387" s="1" nd="1"/>
        <i x="768" s="1" nd="1"/>
        <i x="485" s="1" nd="1"/>
        <i x="518" s="1" nd="1"/>
        <i x="208" s="1" nd="1"/>
        <i x="677" s="1" nd="1"/>
        <i x="52" s="1" nd="1"/>
        <i x="128" s="1" nd="1"/>
        <i x="62" s="1" nd="1"/>
        <i x="233" s="1" nd="1"/>
        <i x="606" s="1" nd="1"/>
        <i x="153" s="1" nd="1"/>
        <i x="249" s="1" nd="1"/>
        <i x="667" s="1" nd="1"/>
        <i x="557" s="1" nd="1"/>
        <i x="603" s="1" nd="1"/>
        <i x="653" s="1" nd="1"/>
        <i x="702" s="1" nd="1"/>
        <i x="752" s="1" nd="1"/>
        <i x="199" s="1" nd="1"/>
        <i x="50" s="1" nd="1"/>
        <i x="627" s="1" nd="1"/>
        <i x="73" s="1" nd="1"/>
        <i x="301" s="1" nd="1"/>
        <i x="323" s="1" nd="1"/>
        <i x="362" s="1" nd="1"/>
        <i x="177" s="1" nd="1"/>
        <i x="374" s="1" nd="1"/>
        <i x="743" s="1" nd="1"/>
        <i x="762" s="1" nd="1"/>
        <i x="206" s="1" nd="1"/>
        <i x="719" s="1" nd="1"/>
        <i x="406" s="1" nd="1"/>
        <i x="44" s="1" nd="1"/>
        <i x="618" s="1" nd="1"/>
        <i x="260" s="1" nd="1"/>
        <i x="246" s="1" nd="1"/>
        <i x="294" s="1" nd="1"/>
        <i x="480" s="1" nd="1"/>
        <i x="119" s="1" nd="1"/>
        <i x="594" s="1" nd="1"/>
        <i x="358" s="1" nd="1"/>
        <i x="533" s="1" nd="1"/>
        <i x="171" s="1" nd="1"/>
        <i x="545" s="1" nd="1"/>
        <i x="386" s="1" nd="1"/>
        <i x="255" s="1" nd="1"/>
        <i x="447" s="1" nd="1"/>
        <i x="461" s="1" nd="1"/>
        <i x="648" s="1" nd="1"/>
        <i x="85" s="1" nd="1"/>
        <i x="288" s="1" nd="1"/>
        <i x="310" s="1" nd="1"/>
        <i x="696" s="1" nd="1"/>
        <i x="143" s="1" nd="1"/>
        <i x="711" s="1" nd="1"/>
        <i x="524" s="1" nd="1"/>
        <i x="372" s="1" nd="1"/>
        <i x="515" s="1" nd="1"/>
        <i x="575" s="1" nd="1"/>
        <i x="672" s="1" nd="1"/>
        <i x="248" s="1" nd="1"/>
        <i x="58" s="1" nd="1"/>
        <i x="95" s="1" nd="1"/>
        <i x="714" s="1" nd="1"/>
        <i x="170" s="1" nd="1"/>
        <i x="736" s="1" nd="1"/>
        <i x="185" s="1" nd="1"/>
        <i x="556" s="1" nd="1"/>
        <i x="531" s="1" nd="1"/>
        <i x="776" s="1" nd="1"/>
        <i x="554" s="1" nd="1"/>
        <i x="636" s="1" nd="1"/>
        <i x="71" s="1" nd="1"/>
        <i x="437" s="1" nd="1"/>
        <i x="472" s="1" nd="1"/>
        <i x="516" s="1" nd="1"/>
        <i x="350" s="1" nd="1"/>
        <i x="541" s="1" nd="1"/>
        <i x="175" s="1" nd="1"/>
        <i x="584" s="1" nd="1"/>
        <i x="784" s="1" nd="1"/>
        <i x="595" s="1" nd="1"/>
        <i x="43" s="1" nd="1"/>
        <i x="275" s="1" nd="1"/>
        <i x="230" s="1" nd="1"/>
        <i x="281" s="1" nd="1"/>
        <i x="654" s="1" nd="1"/>
        <i x="305" s="1" nd="1"/>
        <i x="675" s="1" nd="1"/>
        <i x="379" s="1" nd="1"/>
        <i x="197" s="1" nd="1"/>
        <i x="340" s="1" nd="1"/>
        <i x="384" s="1" nd="1"/>
        <i x="581" s="1" nd="1"/>
        <i x="791" s="1" nd="1"/>
        <i x="227" s="1" nd="1"/>
        <i x="625" s="1" nd="1"/>
        <i x="277" s="1" nd="1"/>
        <i x="663" s="1" nd="1"/>
        <i x="300" s="1" nd="1"/>
        <i x="483" s="1" nd="1"/>
        <i x="686" s="1" nd="1"/>
        <i x="155" s="1" nd="1"/>
        <i x="361" s="1" nd="1"/>
        <i x="549" s="1" nd="1"/>
        <i x="187" s="1" nd="1"/>
        <i x="760" s="1" nd="1"/>
        <i x="573" s="1" nd="1"/>
        <i x="29" s="1" nd="1"/>
        <i x="771" s="1" nd="1"/>
        <i x="57" s="1" nd="1"/>
        <i x="404" s="1" nd="1"/>
        <i x="668" s="1" nd="1"/>
        <i x="105" s="1" nd="1"/>
        <i x="116" s="1" nd="1"/>
        <i x="497" s="1" nd="1"/>
        <i x="325" s="1" nd="1"/>
        <i x="354" s="1" nd="1"/>
        <i x="629" s="1" nd="1"/>
        <i x="184" s="1" nd="1"/>
        <i x="159" s="1" nd="1"/>
        <i x="775" s="1" nd="1"/>
        <i x="219" s="1" nd="1"/>
        <i x="610" s="1" nd="1"/>
        <i x="662" s="1" nd="1"/>
        <i x="47" s="1" nd="1"/>
        <i x="100" s="1" nd="1"/>
        <i x="586" s="1" nd="1"/>
        <i x="685" s="1" nd="1"/>
        <i x="349" s="1" nd="1"/>
        <i x="720" s="1" nd="1"/>
        <i x="539" s="1" nd="1"/>
        <i x="125" s="1" nd="1"/>
        <i x="742" s="1" nd="1"/>
        <i x="139" s="1" nd="1"/>
        <i x="782" s="1" nd="1"/>
        <i x="259" s="1" nd="1"/>
        <i x="640" s="1" nd="1"/>
        <i x="115" s="1" nd="1"/>
        <i x="134" s="1" nd="1"/>
        <i x="465" s="1" nd="1"/>
        <i x="652" s="1" nd="1"/>
        <i x="522" s="1" nd="1"/>
        <i x="726" s="1" nd="1"/>
        <i x="747" s="1" nd="1"/>
        <i x="565" s="1" nd="1"/>
        <i x="765" s="1" nd="1"/>
        <i x="773" s="1" nd="1"/>
        <i x="220" s="1" nd="1"/>
        <i x="790" s="1" nd="1"/>
        <i x="34" s="1" nd="1"/>
        <i x="63" s="1" nd="1"/>
        <i x="69" s="1" nd="1"/>
        <i x="459" s="1" nd="1"/>
        <i x="645" s="1" nd="1"/>
        <i x="239" s="1" nd="1"/>
        <i x="709" s="1" nd="1"/>
        <i x="348" s="1" nd="1"/>
        <i x="186" s="1" nd="1"/>
        <i x="214" s="1" nd="1"/>
        <i x="41" s="1" nd="1"/>
        <i x="56" s="1" nd="1"/>
        <i x="455" s="1" nd="1"/>
        <i x="280" s="1" nd="1"/>
        <i x="468" s="1" nd="1"/>
        <i x="429" s="1" nd="1"/>
        <i x="478" s="1" nd="1"/>
        <i x="147" s="1" nd="1"/>
        <i x="488" s="1" nd="1"/>
        <i x="724" s="1" nd="1"/>
        <i x="242" s="1" nd="1"/>
        <i x="158" s="1" nd="1"/>
        <i x="446" s="1" nd="1"/>
        <i x="734" s="1" nd="1"/>
        <i x="129" s="1" nd="1"/>
        <i x="252" s="1" nd="1"/>
        <i x="473" s="1" nd="1"/>
        <i x="684" s="1" nd="1"/>
        <i x="506" s="1" nd="1"/>
        <i x="332" s="1" nd="1"/>
        <i x="205" s="1" nd="1"/>
        <i x="164" s="1" nd="1"/>
        <i x="538" s="1" nd="1"/>
        <i x="571" s="1" nd="1"/>
        <i x="213" s="1" nd="1"/>
        <i x="694" s="1" nd="1"/>
        <i x="420" s="1" nd="1"/>
        <i x="631" s="1" nd="1"/>
        <i x="274" s="1" nd="1"/>
        <i x="454" s="1" nd="1"/>
        <i x="133" s="1" nd="1"/>
        <i x="487" s="1" nd="1"/>
        <i x="169" s="1" nd="1"/>
        <i x="194" s="1" nd="1"/>
        <i x="396" s="1" nd="1"/>
        <i x="579" s="1" nd="1"/>
        <i x="723" s="1" nd="1"/>
        <i x="417" s="1" nd="1"/>
        <i x="241" s="1" nd="1"/>
        <i x="634" s="1" nd="1"/>
        <i x="458" s="1" nd="1"/>
        <i x="598" s="1" nd="1"/>
        <i x="660" s="1" nd="1"/>
        <i x="299" s="1" nd="1"/>
        <i x="110" s="1" nd="1"/>
        <i x="322" s="1" nd="1"/>
        <i x="505" s="1" nd="1"/>
        <i x="285" s="1" nd="1"/>
        <i x="97" s="1" nd="1"/>
        <i x="154" s="1" nd="1"/>
        <i x="494" s="1" nd="1"/>
        <i x="537" s="1" nd="1"/>
        <i x="122" s="1" nd="1"/>
        <i x="758" s="1" nd="1"/>
        <i x="203" s="1" nd="1"/>
        <i x="583" s="1" nd="1"/>
        <i x="467" s="1" nd="1"/>
        <i x="666" s="1" nd="1"/>
        <i x="103" s="1" nd="1"/>
        <i x="602" s="1" nd="1"/>
        <i x="651" s="1" nd="1"/>
        <i x="131" s="1" nd="1"/>
        <i x="181" s="1" nd="1"/>
        <i x="192" s="1" nd="1"/>
        <i x="577" s="1" nd="1"/>
        <i x="70" s="1" nd="1"/>
        <i x="127" s="1" nd="1"/>
        <i x="601" s="1" nd="1"/>
        <i x="504" s="1" nd="1"/>
        <i x="140" s="1" nd="1"/>
        <i x="346" s="1" nd="1"/>
        <i x="481" s="1" nd="1"/>
        <i x="718" s="1" nd="1"/>
        <i x="107" s="1" nd="1"/>
        <i x="163" s="1" nd="1"/>
        <i x="729" s="1" nd="1"/>
        <i x="547" s="1" nd="1"/>
        <i x="229" s="1" nd="1"/>
        <i x="430" s="1" nd="1"/>
        <i x="64" s="1" nd="1"/>
        <i x="271" s="1" nd="1"/>
        <i x="94" s="1" nd="1"/>
        <i x="513" s="1" nd="1"/>
        <i x="700" s="1" nd="1"/>
        <i x="528" s="1" nd="1"/>
        <i x="312" s="1" nd="1"/>
        <i x="364" s="1" nd="1"/>
        <i x="130" s="1" nd="1"/>
        <i x="226" s="1" nd="1"/>
        <i x="376" s="1" nd="1"/>
        <i x="416" s="1" nd="1"/>
        <i x="600" s="1" nd="1"/>
        <i x="240" s="1" nd="1"/>
        <i x="250" s="1" nd="1"/>
        <i x="308" s="1" nd="1"/>
        <i x="123" s="1" nd="1"/>
        <i x="345" s="1" nd="1"/>
        <i x="717" s="1" nd="1"/>
        <i x="120" s="1" nd="1"/>
        <i x="740" s="1" nd="1"/>
        <i x="559" s="1" nd="1"/>
        <i x="212" s="1" nd="1"/>
        <i x="402" s="1" nd="1"/>
        <i x="415" s="1" nd="1"/>
        <i x="630" s="1" nd="1"/>
        <i x="737" s="1" nd="1"/>
        <i x="53" s="1" nd="1"/>
        <i x="777" s="1" nd="1"/>
        <i x="527" s="1" nd="1"/>
        <i x="552" s="1" nd="1"/>
        <i x="83" s="1" nd="1"/>
        <i x="563" s="1" nd="1"/>
        <i x="394" s="1" nd="1"/>
        <i x="788" s="1" nd="1"/>
        <i x="225" s="1" nd="1"/>
        <i x="599" s="1" nd="1"/>
        <i x="746" s="1" nd="1"/>
        <i x="623" s="1" nd="1"/>
        <i x="503" s="1" nd="1"/>
        <i x="716" s="1" nd="1"/>
        <i x="536" s="1" nd="1"/>
        <i x="370" s="1" nd="1"/>
        <i x="117" s="1" nd="1"/>
        <i x="25" s="1" nd="1"/>
        <i x="228" s="1" nd="1"/>
        <i x="753" s="1" nd="1"/>
        <i x="200" s="1" nd="1"/>
        <i x="426" s="1" nd="1"/>
        <i x="257" s="1" nd="1"/>
        <i x="24" s="1" nd="1"/>
        <i x="76" s="1" nd="1"/>
        <i x="530" s="1" nd="1"/>
        <i x="314" s="1" nd="1"/>
        <i x="650" s="1" nd="1"/>
        <i x="699" s="1" nd="1"/>
        <i x="713" s="1" nd="1"/>
        <i x="542" s="1" nd="1"/>
        <i x="732" s="1" nd="1"/>
        <i x="166" s="1" nd="1"/>
        <i x="218" s="1" nd="1"/>
        <i x="443" s="1" nd="1"/>
        <i x="658" s="1" nd="1"/>
        <i x="574" s="1" nd="1"/>
        <i x="671" s="1" nd="1"/>
        <i x="681" s="1" nd="1"/>
        <i x="502" s="1" nd="1"/>
        <i x="329" s="1" nd="1"/>
        <i x="756" s="1" nd="1"/>
        <i x="715" s="1" nd="1"/>
        <i x="413" s="1" nd="1"/>
        <i x="449" s="1" nd="1"/>
        <i x="75" s="1" nd="1"/>
        <i x="463" s="1" nd="1"/>
        <i x="304" s="1" nd="1"/>
        <i x="486" s="1" nd="1"/>
        <i x="113" s="1" nd="1"/>
        <i x="689" s="1" nd="1"/>
        <i x="510" s="1" nd="1"/>
        <i x="336" s="1" nd="1"/>
        <i x="179" s="1" nd="1"/>
        <i x="508" s="1" nd="1"/>
        <i x="156" s="1" nd="1"/>
        <i x="209" s="1" nd="1"/>
        <i x="32" s="1" nd="1"/>
        <i x="621" s="1" nd="1"/>
        <i x="60" s="1" nd="1"/>
        <i x="442" s="1" nd="1"/>
        <i x="68" s="1" nd="1"/>
        <i x="284" s="1" nd="1"/>
        <i x="344" s="1" nd="1"/>
        <i x="360" s="1" nd="1"/>
        <i x="388" s="1" nd="1"/>
        <i x="489" s="1" nd="1"/>
        <i x="54" s="1" nd="1"/>
        <i x="448" s="1" nd="1"/>
        <i x="748" s="1" nd="1"/>
        <i x="303" s="1" nd="1"/>
        <i x="698" s="1" nd="1"/>
        <i x="525" s="1" nd="1"/>
        <i x="311" s="1" nd="1"/>
        <i x="351" s="1" nd="1"/>
        <i x="216" s="1" nd="1"/>
        <i x="176" s="1" nd="1"/>
        <i x="261" s="1" nd="1"/>
        <i x="121" s="1" nd="1"/>
        <i x="641" s="1" nd="1"/>
        <i x="705" s="1" nd="1"/>
        <i x="150" s="1" nd="1"/>
        <i x="173" s="1" nd="1"/>
        <i x="369" s="1" nd="1"/>
        <i x="755" s="1" nd="1"/>
        <i x="591" s="1" nd="1"/>
        <i x="701" s="1" nd="1"/>
        <i x="36" s="1" nd="1"/>
        <i x="90" s="1" nd="1"/>
        <i x="49" s="1" nd="1"/>
        <i x="712" s="1" nd="1"/>
        <i x="189" s="1" nd="1"/>
        <i x="561" s="1" nd="1"/>
        <i x="393" s="1" nd="1"/>
        <i x="407" s="1" nd="1"/>
        <i x="424" s="1" nd="1"/>
        <i x="59" s="1" nd="1"/>
        <i x="96" s="1" nd="1"/>
        <i x="282" s="1" nd="1"/>
        <i x="359" s="1" nd="1"/>
        <i x="546" s="1" nd="1"/>
        <i x="754" s="1" nd="1"/>
        <i x="767" s="1" nd="1"/>
        <i x="400" s="1" nd="1"/>
        <i x="590" s="1" nd="1"/>
        <i x="244" s="1" nd="1"/>
        <i x="614" s="1" nd="1"/>
        <i x="613" s="1" nd="1"/>
        <i x="101" s="1" nd="1"/>
        <i x="157" s="1" nd="1"/>
        <i x="731" s="1" nd="1"/>
        <i x="188" s="1" nd="1"/>
        <i x="786" s="1" nd="1"/>
        <i x="31" s="1" nd="1"/>
        <i x="234" s="1" nd="1"/>
        <i x="619" s="1" nd="1"/>
        <i x="81" s="1" nd="1"/>
        <i x="431" s="1" nd="1"/>
        <i x="342" s="1" nd="1"/>
        <i x="523" s="1" nd="1"/>
        <i x="161" s="1" nd="1"/>
        <i x="738" s="1" nd="1"/>
        <i x="399" s="1" nd="1"/>
        <i x="353" s="1" nd="1"/>
        <i x="146" s="1" nd="1"/>
        <i x="168" s="1" nd="1"/>
        <i x="649" s="1" nd="1"/>
        <i x="87" s="1" nd="1"/>
        <i x="193" s="1" nd="1"/>
        <i x="637" s="1" nd="1"/>
        <i x="665" s="1" nd="1"/>
        <i x="302" s="1" nd="1"/>
        <i x="377" s="1" nd="1"/>
        <i x="578" s="1" nd="1"/>
        <i x="588" s="1" nd="1"/>
        <i x="324" s="1" nd="1"/>
        <i x="697" s="1" nd="1"/>
        <i x="425" s="1" nd="1"/>
        <i x="517" s="1" nd="1"/>
        <i x="611" s="1" nd="1"/>
        <i x="789" s="1" nd="1"/>
        <i x="251" s="1" nd="1"/>
        <i x="436" s="1" nd="1"/>
        <i x="444" s="1" nd="1"/>
        <i x="375" s="1" nd="1"/>
        <i x="624" s="1" nd="1"/>
        <i x="744" s="1" nd="1"/>
        <i x="471" s="1" nd="1"/>
        <i x="321" s="1" nd="1"/>
        <i x="597" s="1" nd="1"/>
        <i x="141" s="1" nd="1"/>
        <i x="331" s="1" nd="1"/>
        <i x="347" s="1" nd="1"/>
        <i x="757" s="1" nd="1"/>
        <i x="295" s="1" nd="1"/>
        <i x="381" s="1" nd="1"/>
        <i x="403" s="1" nd="1"/>
        <i x="493" s="1" nd="1"/>
        <i x="780" s="1" nd="1"/>
        <i x="222" s="1" nd="1"/>
        <i x="501" s="1" nd="1"/>
        <i x="693" s="1" nd="1"/>
        <i x="704" s="1" nd="1"/>
        <i x="160" s="1" nd="1"/>
        <i x="258" s="1" nd="1"/>
        <i x="65" s="1" nd="1"/>
        <i x="172" s="1" nd="1"/>
        <i x="272" s="1" nd="1"/>
        <i x="427" s="1" nd="1"/>
        <i x="466" s="1" nd="1"/>
        <i x="366" s="1" nd="1"/>
        <i x="385" s="1" nd="1"/>
        <i x="411" s="1" nd="1"/>
        <i x="520" s="1" nd="1"/>
        <i x="589" s="1" nd="1"/>
        <i x="365" s="1" nd="1"/>
        <i x="278" s="1" nd="1"/>
        <i x="462" s="1" nd="1"/>
        <i x="86" s="1" nd="1"/>
        <i x="474" s="1" nd="1"/>
        <i x="763" s="1" nd="1"/>
        <i x="409" s="1" nd="1"/>
        <i x="434" s="1" nd="1"/>
        <i x="730" s="1" nd="1"/>
        <i x="298" s="1" nd="1"/>
        <i x="391" s="1" nd="1"/>
        <i x="124" s="1" nd="1"/>
        <i x="604" s="1" nd="1"/>
        <i x="151" s="1" nd="1"/>
        <i x="432" s="1" nd="1"/>
        <i x="162" s="1" nd="1"/>
        <i x="678" s="1" nd="1"/>
        <i x="706" s="1" nd="1"/>
        <i x="728" s="1" nd="1"/>
        <i x="759" s="1" nd="1"/>
        <i x="781" s="1" nd="1"/>
        <i x="42" s="1" nd="1"/>
        <i x="66" s="1" nd="1"/>
        <i x="174" s="1" nd="1"/>
        <i x="741" s="1" nd="1"/>
        <i x="535" s="1" nd="1"/>
        <i x="669" s="1" nd="1"/>
        <i x="770" s="1" nd="1"/>
        <i x="676" s="1" nd="1"/>
        <i x="118" s="1" nd="1"/>
        <i x="221" s="1" nd="1"/>
        <i x="319" s="1" nd="1"/>
        <i x="499" s="1" nd="1"/>
        <i x="77" s="1" nd="1"/>
        <i x="355" s="1" nd="1"/>
        <i x="450" s="1" nd="1"/>
        <i x="477" s="1" nd="1"/>
        <i x="398" s="1" nd="1"/>
        <i x="315" s="1" nd="1"/>
        <i x="410" s="1" nd="1"/>
        <i x="496" s="1" nd="1"/>
        <i x="691" s="1" nd="1"/>
        <i x="363" s="1" nd="1"/>
        <i x="84" s="1" nd="1"/>
        <i x="33" s="1" nd="1"/>
        <i x="111" s="1" nd="1"/>
        <i x="142" s="1" nd="1"/>
        <i x="238" s="1" nd="1"/>
        <i x="710" s="1" nd="1"/>
        <i x="433" s="1" nd="1"/>
        <i x="507" s="1" nd="1"/>
        <i x="61" s="1" nd="1"/>
        <i x="540" s="1" nd="1"/>
        <i x="109" s="1" nd="1"/>
        <i x="785" s="1" nd="1"/>
        <i x="231" s="1" nd="1"/>
        <i x="422" s="1" nd="1"/>
        <i x="441" s="1" nd="1"/>
        <i x="469" s="1" nd="1"/>
        <i x="655" s="1" nd="1"/>
        <i x="492" s="1" nd="1"/>
        <i x="318" s="1" nd="1"/>
        <i x="703" s="1" nd="1"/>
        <i x="428" s="1" nd="1"/>
        <i x="92" s="1" nd="1"/>
        <i x="198" s="1" nd="1"/>
        <i x="567" s="1" nd="1"/>
        <i x="74" s="1" nd="1"/>
        <i x="673" s="1" nd="1"/>
        <i x="774" s="1" nd="1"/>
        <i x="35" s="1" nd="1"/>
        <i x="145" s="1" nd="1"/>
        <i x="337" s="1" nd="1"/>
        <i x="733" s="1" nd="1"/>
        <i x="180" s="1" nd="1"/>
        <i x="460" s="1" nd="1"/>
        <i x="551" s="1" nd="1"/>
        <i x="664" s="1" nd="1"/>
        <i x="576" s="1" nd="1"/>
        <i x="408" s="1" nd="1"/>
        <i x="587" s="1" nd="1"/>
        <i x="687" s="1" nd="1"/>
        <i x="98" s="1" nd="1"/>
        <i x="126" s="1" nd="1"/>
        <i x="224" s="1" nd="1"/>
        <i x="217" s="1" nd="1"/>
        <i x="236" s="1" nd="1"/>
        <i x="46" s="1" nd="1"/>
        <i x="333" s="1" nd="1"/>
        <i x="371" s="1" nd="1"/>
        <i x="456" s="1" nd="1"/>
        <i x="276" s="1" nd="1"/>
        <i x="297" s="1" nd="1"/>
        <i x="657" s="1" nd="1"/>
        <i x="30" s="1" nd="1"/>
        <i x="707" s="1" nd="1"/>
        <i x="632" s="1" nd="1"/>
        <i x="558" s="1" nd="1"/>
        <i x="674" s="1" nd="1"/>
        <i x="414" s="1" nd="1"/>
        <i x="498" s="1" nd="1"/>
        <i x="593" s="1" nd="1"/>
        <i x="136" s="1" nd="1"/>
        <i x="544" s="1" nd="1"/>
        <i x="592" s="1" nd="1"/>
        <i x="615" s="1" nd="1"/>
        <i x="269" s="1" nd="1"/>
        <i x="367" s="1" nd="1"/>
        <i x="749" s="1" nd="1"/>
        <i x="91" s="1" nd="1"/>
        <i x="196" s="1" nd="1"/>
        <i x="268" s="1" nd="1"/>
        <i x="289" s="1" nd="1"/>
        <i x="566" s="1" nd="1"/>
        <i x="735" s="1" nd="1"/>
        <i x="397" s="1" nd="1"/>
      </items>
    </tabular>
  </data>
  <extLst>
    <x:ext xmlns:x15="http://schemas.microsoft.com/office/spreadsheetml/2010/11/main" uri="{470722E0-AACD-4C17-9CDC-17EF765DBC7E}">
      <x15:slicerCacheHideItemsWithNoData/>
    </x:ext>
  </extLst>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4" name="PivotTable1"/>
  </pivotTables>
  <data>
    <tabular pivotCacheId="11">
      <items count="668">
        <i x="6" s="1"/>
        <i x="13" s="1"/>
        <i x="1" s="1"/>
        <i x="22" s="1"/>
        <i x="4" s="1"/>
        <i x="14" s="1"/>
        <i x="21" s="1"/>
        <i x="12" s="1"/>
        <i x="23" s="1"/>
        <i x="15" s="1"/>
        <i x="7" s="1"/>
        <i x="11" s="1"/>
        <i x="19" s="1"/>
        <i x="9" s="1"/>
        <i x="3" s="1"/>
        <i x="10" s="1"/>
        <i x="8" s="1"/>
        <i x="5" s="1"/>
        <i x="18" s="1"/>
        <i x="2" s="1"/>
        <i x="20" s="1"/>
        <i x="16" s="1"/>
        <i x="0" s="1"/>
        <i x="17" s="1"/>
        <i x="199" s="1" nd="1"/>
        <i x="145" s="1" nd="1"/>
        <i x="316" s="1" nd="1"/>
        <i x="59" s="1" nd="1"/>
        <i x="397" s="1" nd="1"/>
        <i x="623" s="1" nd="1"/>
        <i x="124" s="1" nd="1"/>
        <i x="651" s="1" nd="1"/>
        <i x="317" s="1" nd="1"/>
        <i x="121" s="1" nd="1"/>
        <i x="94" s="1" nd="1"/>
        <i x="264" s="1" nd="1"/>
        <i x="294" s="1" nd="1"/>
        <i x="381" s="1" nd="1"/>
        <i x="528" s="1" nd="1"/>
        <i x="31" s="1" nd="1"/>
        <i x="227" s="1" nd="1"/>
        <i x="585" s="1" nd="1"/>
        <i x="148" s="1" nd="1"/>
        <i x="476" s="1" nd="1"/>
        <i x="592" s="1" nd="1"/>
        <i x="130" s="1" nd="1"/>
        <i x="284" s="1" nd="1"/>
        <i x="271" s="1" nd="1"/>
        <i x="68" s="1" nd="1"/>
        <i x="114" s="1" nd="1"/>
        <i x="213" s="1" nd="1"/>
        <i x="282" s="1" nd="1"/>
        <i x="493" s="1" nd="1"/>
        <i x="56" s="1" nd="1"/>
        <i x="319" s="1" nd="1"/>
        <i x="560" s="1" nd="1"/>
        <i x="208" s="1" nd="1"/>
        <i x="325" s="1" nd="1"/>
        <i x="407" s="1" nd="1"/>
        <i x="425" s="1" nd="1"/>
        <i x="490" s="1" nd="1"/>
        <i x="649" s="1" nd="1"/>
        <i x="99" s="1" nd="1"/>
        <i x="299" s="1" nd="1"/>
        <i x="442" s="1" nd="1"/>
        <i x="639" s="1" nd="1"/>
        <i x="218" s="1" nd="1"/>
        <i x="547" s="1" nd="1"/>
        <i x="163" s="1" nd="1"/>
        <i x="184" s="1" nd="1"/>
        <i x="348" s="1" nd="1"/>
        <i x="604" s="1" nd="1"/>
        <i x="638" s="1" nd="1"/>
        <i x="63" s="1" nd="1"/>
        <i x="206" s="1" nd="1"/>
        <i x="241" s="1" nd="1"/>
        <i x="373" s="1" nd="1"/>
        <i x="505" s="1" nd="1"/>
        <i x="559" s="1" nd="1"/>
        <i x="429" s="1" nd="1"/>
        <i x="454" s="1" nd="1"/>
        <i x="486" s="1" nd="1"/>
        <i x="518" s="1" nd="1"/>
        <i x="529" s="1" nd="1"/>
        <i x="558" s="1" nd="1"/>
        <i x="601" s="1" nd="1"/>
        <i x="616" s="1" nd="1"/>
        <i x="73" s="1" nd="1"/>
        <i x="84" s="1" nd="1"/>
        <i x="170" s="1" nd="1"/>
        <i x="310" s="1" nd="1"/>
        <i x="355" s="1" nd="1"/>
        <i x="60" s="1" nd="1"/>
        <i x="105" s="1" nd="1"/>
        <i x="204" s="1" nd="1"/>
        <i x="216" s="1" nd="1"/>
        <i x="544" s="1" nd="1"/>
        <i x="624" s="1" nd="1"/>
        <i x="71" s="1" nd="1"/>
        <i x="161" s="1" nd="1"/>
        <i x="203" s="1" nd="1"/>
        <i x="477" s="1" nd="1"/>
        <i x="215" s="1" nd="1"/>
        <i x="292" s="1" nd="1"/>
        <i x="159" s="1" nd="1"/>
        <i x="499" s="1" nd="1"/>
        <i x="543" s="1" nd="1"/>
        <i x="553" s="1" nd="1"/>
        <i x="247" s="1" nd="1"/>
        <i x="574" s="1" nd="1"/>
        <i x="614" s="1" nd="1"/>
        <i x="361" s="1" nd="1"/>
        <i x="27" s="1" nd="1"/>
        <i x="47" s="1" nd="1"/>
        <i x="402" s="1" nd="1"/>
        <i x="237" s="1" nd="1"/>
        <i x="39" s="1" nd="1"/>
        <i x="451" s="1" nd="1"/>
        <i x="536" s="1" nd="1"/>
        <i x="245" s="1" nd="1"/>
        <i x="307" s="1" nd="1"/>
        <i x="342" s="1" nd="1"/>
        <i x="393" s="1" nd="1"/>
        <i x="418" s="1" nd="1"/>
        <i x="91" s="1" nd="1"/>
        <i x="511" s="1" nd="1"/>
        <i x="514" s="1" nd="1"/>
        <i x="562" s="1" nd="1"/>
        <i x="573" s="1" nd="1"/>
        <i x="572" s="1" nd="1"/>
        <i x="611" s="1" nd="1"/>
        <i x="322" s="1" nd="1"/>
        <i x="368" s="1" nd="1"/>
        <i x="57" s="1" nd="1"/>
        <i x="410" s="1" nd="1"/>
        <i x="128" s="1" nd="1"/>
        <i x="582" s="1" nd="1"/>
        <i x="646" s="1" nd="1"/>
        <i x="367" s="1" nd="1"/>
        <i x="66" s="1" nd="1"/>
        <i x="101" s="1" nd="1"/>
        <i x="113" s="1" nd="1"/>
        <i x="447" s="1" nd="1"/>
        <i x="494" s="1" nd="1"/>
        <i x="177" s="1" nd="1"/>
        <i x="212" s="1" nd="1"/>
        <i x="633" s="1" nd="1"/>
        <i x="339" s="1" nd="1"/>
        <i x="523" s="1" nd="1"/>
        <i x="211" s="1" nd="1"/>
        <i x="539" s="1" nd="1"/>
        <i x="550" s="1" nd="1"/>
        <i x="609" s="1" nd="1"/>
        <i x="320" s="1" nd="1"/>
        <i x="630" s="1" nd="1"/>
        <i x="643" s="1" nd="1"/>
        <i x="376" s="1" nd="1"/>
        <i x="136" s="1" nd="1"/>
        <i x="196" s="1" nd="1"/>
        <i x="580" s="1" nd="1"/>
        <i x="598" s="1" nd="1"/>
        <i x="286" s="1" nd="1"/>
        <i x="303" s="1" nd="1"/>
        <i x="318" s="1" nd="1"/>
        <i x="358" s="1" nd="1"/>
        <i x="25" s="1" nd="1"/>
        <i x="388" s="1" nd="1"/>
        <i x="408" s="1" nd="1"/>
        <i x="110" s="1" nd="1"/>
        <i x="123" s="1" nd="1"/>
        <i x="459" s="1" nd="1"/>
        <i x="223" s="1" nd="1"/>
        <i x="549" s="1" nd="1"/>
        <i x="279" s="1" nd="1"/>
        <i x="608" s="1" nd="1"/>
        <i x="302" s="1" nd="1"/>
        <i x="444" s="1" nd="1"/>
        <i x="466" s="1" nd="1"/>
        <i x="301" s="1" nd="1"/>
        <i x="629" s="1" nd="1"/>
        <i x="87" s="1" nd="1"/>
        <i x="154" s="1" nd="1"/>
        <i x="234" s="1" nd="1"/>
        <i x="256" s="1" nd="1"/>
        <i x="579" s="1" nd="1"/>
        <i x="619" s="1" nd="1"/>
        <i x="351" s="1" nd="1"/>
        <i x="126" s="1" nd="1"/>
        <i x="176" s="1" nd="1"/>
        <i x="243" s="1" nd="1"/>
        <i x="607" s="1" nd="1"/>
        <i x="139" s="1" nd="1"/>
        <i x="337" s="1" nd="1"/>
        <i x="641" s="1" nd="1"/>
        <i x="356" s="1" nd="1"/>
        <i x="516" s="1" nd="1"/>
        <i x="202" s="1" nd="1"/>
        <i x="465" s="1" nd="1"/>
        <i x="481" s="1" nd="1"/>
        <i x="489" s="1" nd="1"/>
        <i x="509" s="1" nd="1"/>
        <i x="194" s="1" nd="1"/>
        <i x="548" s="1" nd="1"/>
        <i x="83" s="1" nd="1"/>
        <i x="255" s="1" nd="1"/>
        <i x="422" s="1" nd="1"/>
        <i x="588" s="1" nd="1"/>
        <i x="438" s="1" nd="1"/>
        <i x="300" s="1" nd="1"/>
        <i x="472" s="1" nd="1"/>
        <i x="160" s="1" nd="1"/>
        <i x="500" s="1" nd="1"/>
        <i x="35" s="1" nd="1"/>
        <i x="386" s="1" nd="1"/>
        <i x="54" s="1" nd="1"/>
        <i x="226" s="1" nd="1"/>
        <i x="554" s="1" nd="1"/>
        <i x="248" s="1" nd="1"/>
        <i x="97" s="1" nd="1"/>
        <i x="273" s="1" nd="1"/>
        <i x="432" s="1" nd="1"/>
        <i x="122" s="1" nd="1"/>
        <i x="622" s="1" nd="1"/>
        <i x="152" s="1" nd="1"/>
        <i x="344" s="1" nd="1"/>
        <i x="521" s="1" nd="1"/>
        <i x="50" s="1" nd="1"/>
        <i x="396" s="1" nd="1"/>
        <i x="82" s="1" nd="1"/>
        <i x="421" s="1" nd="1"/>
        <i x="578" s="1" nd="1"/>
        <i x="267" s="1" nd="1"/>
        <i x="596" s="1" nd="1"/>
        <i x="115" s="1" nd="1"/>
        <i x="606" s="1" nd="1"/>
        <i x="470" s="1" nd="1"/>
        <i x="138" s="1" nd="1"/>
        <i x="475" s="1" nd="1"/>
        <i x="201" s="1" nd="1"/>
        <i x="225" s="1" nd="1"/>
        <i x="246" s="1" nd="1"/>
        <i x="413" s="1" nd="1"/>
        <i x="424" s="1" nd="1"/>
        <i x="431" s="1" nd="1"/>
        <i x="109" s="1" nd="1"/>
        <i x="323" s="1" nd="1"/>
        <i x="329" s="1" nd="1"/>
        <i x="165" s="1" nd="1"/>
        <i x="507" s="1" nd="1"/>
        <i x="653" s="1" nd="1"/>
        <i x="193" s="1" nd="1"/>
        <i x="41" s="1" nd="1"/>
        <i x="48" s="1" nd="1"/>
        <i x="219" s="1" nd="1"/>
        <i x="242" s="1" nd="1"/>
        <i x="570" s="1" nd="1"/>
        <i x="266" s="1" nd="1"/>
        <i x="132" s="1" nd="1"/>
        <i x="350" s="1" nd="1"/>
        <i x="189" s="1" nd="1"/>
        <i x="384" s="1" nd="1"/>
        <i x="542" s="1" nd="1"/>
        <i x="238" s="1" nd="1"/>
        <i x="260" s="1" nd="1"/>
        <i x="96" s="1" nd="1"/>
        <i x="591" s="1" nd="1"/>
        <i x="290" s="1" nd="1"/>
        <i x="480" s="1" nd="1"/>
        <i x="370" s="1" nd="1"/>
        <i x="531" s="1" nd="1"/>
        <i x="58" s="1" nd="1"/>
        <i x="233" s="1" nd="1"/>
        <i x="569" s="1" nd="1"/>
        <i x="92" s="1" nd="1"/>
        <i x="265" s="1" nd="1"/>
        <i x="453" s="1" nd="1"/>
        <i x="298" s="1" nd="1"/>
        <i x="461" s="1" nd="1"/>
        <i x="349" s="1" nd="1"/>
        <i x="169" s="1" nd="1"/>
        <i x="180" s="1" nd="1"/>
        <i x="364" s="1" nd="1"/>
        <i x="526" s="1" nd="1"/>
        <i x="541" s="1" nd="1"/>
        <i x="53" s="1" nd="1"/>
        <i x="405" s="1" nd="1"/>
        <i x="75" s="1" nd="1"/>
        <i x="86" s="1" nd="1"/>
        <i x="583" s="1" nd="1"/>
        <i x="441" s="1" nd="1"/>
        <i x="289" s="1" nd="1"/>
        <i x="135" s="1" nd="1"/>
        <i x="343" s="1" nd="1"/>
        <i x="174" s="1" nd="1"/>
        <i x="378" s="1" nd="1"/>
        <i x="530" s="1" nd="1"/>
        <i x="40" s="1" nd="1"/>
        <i x="546" s="1" nd="1"/>
        <i x="420" s="1" nd="1"/>
        <i x="587" s="1" nd="1"/>
        <i x="452" s="1" nd="1"/>
        <i x="605" s="1" nd="1"/>
        <i x="129" s="1" nd="1"/>
        <i x="658" s="1" nd="1"/>
        <i x="33" s="1" nd="1"/>
        <i x="214" s="1" nd="1"/>
        <i x="540" s="1" nd="1"/>
        <i x="404" s="1" nd="1"/>
        <i x="563" s="1" nd="1"/>
        <i x="74" s="1" nd="1"/>
        <i x="272" s="1" nd="1"/>
        <i x="599" s="1" nd="1"/>
        <i x="513" s="1" nd="1"/>
        <i x="665" s="1" nd="1"/>
        <i x="377" s="1" nd="1"/>
        <i x="46" s="1" nd="1"/>
        <i x="232" s="1" nd="1"/>
        <i x="419" s="1" nd="1"/>
        <i x="437" s="1" nd="1"/>
        <i x="450" s="1" nd="1"/>
        <i x="618" s="1" nd="1"/>
        <i x="313" s="1" nd="1"/>
        <i x="626" s="1" nd="1"/>
        <i x="474" s="1" nd="1"/>
        <i x="496" s="1" nd="1"/>
        <i x="657" s="1" nd="1"/>
        <i x="179" s="1" nd="1"/>
        <i x="363" s="1" nd="1"/>
        <i x="85" s="1" nd="1"/>
        <i x="95" s="1" nd="1"/>
        <i x="125" s="1" nd="1"/>
        <i x="328" s="1" nd="1"/>
        <i x="151" s="1" nd="1"/>
        <i x="341" s="1" nd="1"/>
        <i x="506" s="1" nd="1"/>
        <i x="664" s="1" nd="1"/>
        <i x="519" s="1" nd="1"/>
        <i x="392" s="1" nd="1"/>
        <i x="231" s="1" nd="1"/>
        <i x="254" s="1" nd="1"/>
        <i x="417" s="1" nd="1"/>
        <i x="90" s="1" nd="1"/>
        <i x="427" s="1" nd="1"/>
        <i x="102" s="1" nd="1"/>
        <i x="285" s="1" nd="1"/>
        <i x="312" s="1" nd="1"/>
        <i x="157" s="1" nd="1"/>
        <i x="178" s="1" nd="1"/>
        <i x="552" s="1" nd="1"/>
        <i x="236" s="1" nd="1"/>
        <i x="259" s="1" nd="1"/>
        <i x="270" s="1" nd="1"/>
        <i x="288" s="1" nd="1"/>
        <i x="134" s="1" nd="1"/>
        <i x="634" s="1" nd="1"/>
        <i x="150" s="1" nd="1"/>
        <i x="173" s="1" nd="1"/>
        <i x="369" s="1" nd="1"/>
        <i x="230" s="1" nd="1"/>
        <i x="568" s="1" nd="1"/>
        <i x="577" s="1" nd="1"/>
        <i x="449" s="1" nd="1"/>
        <i x="311" s="1" nd="1"/>
        <i x="469" s="1" nd="1"/>
        <i x="625" s="1" nd="1"/>
        <i x="156" s="1" nd="1"/>
        <i x="495" s="1" nd="1"/>
        <i x="168" s="1" nd="1"/>
        <i x="258" s="1" nd="1"/>
        <i x="430" s="1" nd="1"/>
        <i x="283" s="1" nd="1"/>
        <i x="120" s="1" nd="1"/>
        <i x="455" s="1" nd="1"/>
        <i x="610" s="1" nd="1"/>
        <i x="503" s="1" nd="1"/>
        <i x="652" s="1" nd="1"/>
        <i x="172" s="1" nd="1"/>
        <i x="183" s="1" nd="1"/>
        <i x="26" s="1" nd="1"/>
        <i x="192" s="1" nd="1"/>
        <i x="401" s="1" nd="1"/>
        <i x="67" s="1" nd="1"/>
        <i x="239" s="1" nd="1"/>
        <i x="80" s="1" nd="1"/>
        <i x="436" s="1" nd="1"/>
        <i x="595" s="1" nd="1"/>
        <i x="448" s="1" nd="1"/>
        <i x="602" s="1" nd="1"/>
        <i x="460" s="1" nd="1"/>
        <i x="468" s="1" nd="1"/>
        <i x="667" s="1" nd="1"/>
        <i x="525" s="1" nd="1"/>
        <i x="198" s="1" nd="1"/>
        <i x="551" s="1" nd="1"/>
        <i x="423" s="1" nd="1"/>
        <i x="107" s="1" nd="1"/>
        <i x="621" s="1" nd="1"/>
        <i x="340" s="1" nd="1"/>
        <i x="537" s="1" nd="1"/>
        <i x="545" s="1" nd="1"/>
        <i x="228" s="1" nd="1"/>
        <i x="79" s="1" nd="1"/>
        <i x="253" s="1" nd="1"/>
        <i x="575" s="1" nd="1"/>
        <i x="593" s="1" nd="1"/>
        <i x="524" s="1" nd="1"/>
        <i x="43" s="1" nd="1"/>
        <i x="399" s="1" nd="1"/>
        <i x="61" s="1" nd="1"/>
        <i x="581" s="1" nd="1"/>
        <i x="464" s="1" nd="1"/>
        <i x="321" s="1" nd="1"/>
        <i x="484" s="1" nd="1"/>
        <i x="644" s="1" nd="1"/>
        <i x="390" s="1" nd="1"/>
        <i x="45" s="1" nd="1"/>
        <i x="217" s="1" nd="1"/>
        <i x="557" s="1" nd="1"/>
        <i x="567" s="1" nd="1"/>
        <i x="252" s="1" nd="1"/>
        <i x="88" s="1" nd="1"/>
        <i x="100" s="1" nd="1"/>
        <i x="275" s="1" nd="1"/>
        <i x="434" s="1" nd="1"/>
        <i x="111" s="1" nd="1"/>
        <i x="467" s="1" nd="1"/>
        <i x="636" s="1" nd="1"/>
        <i x="346" s="1" nd="1"/>
        <i x="510" s="1" nd="1"/>
        <i x="187" s="1" nd="1"/>
        <i x="32" s="1" nd="1"/>
        <i x="380" s="1" nd="1"/>
        <i x="209" s="1" nd="1"/>
        <i x="561" s="1" nd="1"/>
        <i x="93" s="1" nd="1"/>
        <i x="269" s="1" nd="1"/>
        <i x="280" s="1" nd="1"/>
        <i x="440" s="1" nd="1"/>
        <i x="118" s="1" nd="1"/>
        <i x="304" s="1" nd="1"/>
        <i x="463" s="1" nd="1"/>
        <i x="642" s="1" nd="1"/>
        <i x="512" s="1" nd="1"/>
        <i x="661" s="1" nd="1"/>
        <i x="181" s="1" nd="1"/>
        <i x="527" s="1" nd="1"/>
        <i x="37" s="1" nd="1"/>
        <i x="262" s="1" nd="1"/>
        <i x="586" s="1" nd="1"/>
        <i x="445" s="1" nd="1"/>
        <i x="333" s="1" nd="1"/>
        <i x="155" s="1" nd="1"/>
        <i x="167" s="1" nd="1"/>
        <i x="354" s="1" nd="1"/>
        <i x="538" s="1" nd="1"/>
        <i x="51" s="1" nd="1"/>
        <i x="439" s="1" nd="1"/>
        <i x="133" s="1" nd="1"/>
        <i x="140" s="1" nd="1"/>
        <i x="326" s="1" nd="1"/>
        <i x="149" s="1" nd="1"/>
        <i x="357" s="1" nd="1"/>
        <i x="191" s="1" nd="1"/>
        <i x="205" s="1" nd="1"/>
        <i x="555" s="1" nd="1"/>
        <i x="251" s="1" nd="1"/>
        <i x="415" s="1" nd="1"/>
        <i x="261" s="1" nd="1"/>
        <i x="433" s="1" nd="1"/>
        <i x="458" s="1" nd="1"/>
        <i x="127" s="1" nd="1"/>
        <i x="632" s="1" nd="1"/>
        <i x="332" s="1" nd="1"/>
        <i x="647" s="1" nd="1"/>
        <i x="522" s="1" nd="1"/>
        <i x="30" s="1" nd="1"/>
        <i x="195" s="1" nd="1"/>
        <i x="379" s="1" nd="1"/>
        <i x="222" s="1" nd="1"/>
        <i x="411" s="1" nd="1"/>
        <i x="104" s="1" nd="1"/>
        <i x="478" s="1" nd="1"/>
        <i x="366" s="1" nd="1"/>
        <i x="517" s="1" nd="1"/>
        <i x="387" s="1" nd="1"/>
        <i x="250" s="1" nd="1"/>
        <i x="443" s="1" nd="1"/>
        <i x="600" s="1" nd="1"/>
        <i x="309" s="1" nd="1"/>
        <i x="331" s="1" nd="1"/>
        <i x="482" s="1" nd="1"/>
        <i x="492" s="1" nd="1"/>
        <i x="186" s="1" nd="1"/>
        <i x="221" s="1" nd="1"/>
        <i x="257" s="1" nd="1"/>
        <i x="117" s="1" nd="1"/>
        <i x="162" s="1" nd="1"/>
        <i x="365" s="1" nd="1"/>
        <i x="374" s="1" nd="1"/>
        <i x="65" s="1" nd="1"/>
        <i x="153" s="1" nd="1"/>
        <i x="491" s="1" nd="1"/>
        <i x="666" s="1" nd="1"/>
        <i x="185" s="1" nd="1"/>
        <i x="42" s="1" nd="1"/>
        <i x="207" s="1" nd="1"/>
        <i x="220" s="1" nd="1"/>
        <i x="70" s="1" nd="1"/>
        <i x="268" s="1" nd="1"/>
        <i x="628" s="1" nd="1"/>
        <i x="650" s="1" nd="1"/>
        <i x="190" s="1" nd="1"/>
        <i x="36" s="1" nd="1"/>
        <i x="297" s="1" nd="1"/>
        <i x="64" s="1" nd="1"/>
        <i x="334" s="1" nd="1"/>
        <i x="565" s="1" nd="1"/>
        <i x="77" s="1" nd="1"/>
        <i x="648" s="1" nd="1"/>
        <i x="274" s="1" nd="1"/>
        <i x="457" s="1" nd="1"/>
        <i x="44" s="1" nd="1"/>
        <i x="473" s="1" nd="1"/>
        <i x="244" s="1" nd="1"/>
        <i x="345" s="1" nd="1"/>
        <i x="412" s="1" nd="1"/>
        <i x="166" s="1" nd="1"/>
        <i x="655" s="1" nd="1"/>
        <i x="108" s="1" nd="1"/>
        <i x="29" s="1" nd="1"/>
        <i x="306" s="1" nd="1"/>
        <i x="142" s="1" nd="1"/>
        <i x="69" s="1" nd="1"/>
        <i x="487" s="1" nd="1"/>
        <i x="352" s="1" nd="1"/>
        <i x="504" s="1" nd="1"/>
        <i x="360" s="1" nd="1"/>
        <i x="663" s="1" nd="1"/>
        <i x="103" s="1" nd="1"/>
        <i x="38" s="1" nd="1"/>
        <i x="229" s="1" nd="1"/>
        <i x="240" s="1" nd="1"/>
        <i x="409" s="1" nd="1"/>
        <i x="640" s="1" nd="1"/>
        <i x="576" s="1" nd="1"/>
        <i x="89" s="1" nd="1"/>
        <i x="263" s="1" nd="1"/>
        <i x="660" s="1" nd="1"/>
        <i x="277" s="1" nd="1"/>
        <i x="515" s="1" nd="1"/>
        <i x="24" s="1" nd="1"/>
        <i x="603" s="1" nd="1"/>
        <i x="296" s="1" nd="1"/>
        <i x="406" s="1" nd="1"/>
        <i x="76" s="1" nd="1"/>
        <i x="249" s="1" nd="1"/>
        <i x="347" s="1" nd="1"/>
        <i x="414" s="1" nd="1"/>
        <i x="98" s="1" nd="1"/>
        <i x="291" s="1" nd="1"/>
        <i x="383" s="1" nd="1"/>
        <i x="52" s="1" nd="1"/>
        <i x="400" s="1" nd="1"/>
        <i x="62" s="1" nd="1"/>
        <i x="144" s="1" nd="1"/>
        <i x="330" s="1" nd="1"/>
        <i x="508" s="1" nd="1"/>
        <i x="654" s="1" nd="1"/>
        <i x="590" s="1" nd="1"/>
        <i x="28" s="1" nd="1"/>
        <i x="534" s="1" nd="1"/>
        <i x="141" s="1" nd="1"/>
        <i x="327" s="1" nd="1"/>
        <i x="479" s="1" nd="1"/>
        <i x="502" s="1" nd="1"/>
        <i x="171" s="1" nd="1"/>
        <i x="182" s="1" nd="1"/>
        <i x="597" s="1" nd="1"/>
        <i x="116" s="1" nd="1"/>
        <i x="462" s="1" nd="1"/>
        <i x="471" s="1" nd="1"/>
        <i x="627" s="1" nd="1"/>
        <i x="336" s="1" nd="1"/>
        <i x="416" s="1" nd="1"/>
        <i x="498" s="1" nd="1"/>
        <i x="435" s="1" nd="1"/>
        <i x="594" s="1" nd="1"/>
        <i x="446" s="1" nd="1"/>
        <i x="295" s="1" nd="1"/>
        <i x="617" s="1" nd="1"/>
        <i x="324" s="1" nd="1"/>
        <i x="483" s="1" nd="1"/>
        <i x="564" s="1" nd="1"/>
        <i x="637" s="1" nd="1"/>
        <i x="656" s="1" nd="1"/>
        <i x="188" s="1" nd="1"/>
        <i x="372" s="1" nd="1"/>
        <i x="197" s="1" nd="1"/>
        <i x="382" s="1" nd="1"/>
        <i x="613" s="1" nd="1"/>
        <i x="143" s="1" nd="1"/>
        <i x="235" s="1" nd="1"/>
        <i x="403" s="1" nd="1"/>
        <i x="488" s="1" nd="1"/>
        <i x="353" s="1" nd="1"/>
        <i x="175" s="1" nd="1"/>
        <i x="589" s="1" nd="1"/>
        <i x="106" s="1" nd="1"/>
        <i x="520" s="1" nd="1"/>
        <i x="119" s="1" nd="1"/>
        <i x="287" s="1" nd="1"/>
        <i x="533" s="1" nd="1"/>
        <i x="394" s="1" nd="1"/>
        <i x="49" s="1" nd="1"/>
        <i x="485" s="1" nd="1"/>
        <i x="645" s="1" nd="1"/>
        <i x="501" s="1" nd="1"/>
        <i x="359" s="1" nd="1"/>
        <i x="428" s="1" nd="1"/>
        <i x="662" s="1" nd="1"/>
        <i x="278" s="1" nd="1"/>
        <i x="391" s="1" nd="1"/>
        <i x="315" s="1" nd="1"/>
        <i x="335" s="1" nd="1"/>
        <i x="78" s="1" nd="1"/>
        <i x="659" s="1" nd="1"/>
        <i x="276" s="1" nd="1"/>
        <i x="112" s="1" nd="1"/>
        <i x="34" s="1" nd="1"/>
        <i x="200" s="1" nd="1"/>
        <i x="293" s="1" nd="1"/>
        <i x="385" s="1" nd="1"/>
        <i x="615" s="1" nd="1"/>
        <i x="137" s="1" nd="1"/>
        <i x="146" s="1" nd="1"/>
        <i x="584" s="1" nd="1"/>
        <i x="362" s="1" nd="1"/>
        <i x="371" s="1" nd="1"/>
        <i x="456" s="1" nd="1"/>
        <i x="535" s="1" nd="1"/>
        <i x="612" s="1" nd="1"/>
        <i x="210" s="1" nd="1"/>
        <i x="308" s="1" nd="1"/>
        <i x="224" s="1" nd="1"/>
        <i x="398" s="1" nd="1"/>
        <i x="631" s="1" nd="1"/>
        <i x="635" s="1" nd="1"/>
        <i x="72" s="1" nd="1"/>
        <i x="571" s="1" nd="1"/>
        <i x="164" s="1" nd="1"/>
        <i x="281" s="1" nd="1"/>
        <i x="532" s="1" nd="1"/>
        <i x="305" s="1" nd="1"/>
        <i x="620" s="1" nd="1"/>
        <i x="395" s="1" nd="1"/>
        <i x="338" s="1" nd="1"/>
        <i x="81" s="1" nd="1"/>
        <i x="375" s="1" nd="1"/>
        <i x="389" s="1" nd="1"/>
        <i x="131" s="1" nd="1"/>
        <i x="314" s="1" nd="1"/>
        <i x="55" s="1" nd="1"/>
        <i x="556" s="1" nd="1"/>
        <i x="147" s="1" nd="1"/>
        <i x="566" s="1" nd="1"/>
        <i x="158" s="1" nd="1"/>
        <i x="497" s="1" nd="1"/>
        <i x="426"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RUNDATE32" sourceName="RUNDATE">
  <pivotTables>
    <pivotTable tabId="14" name="PivotTable1"/>
  </pivotTables>
  <data>
    <tabular pivotCacheId="11" sortOrder="descending">
      <items count="332">
        <i x="1" s="1"/>
        <i x="0" s="1"/>
        <i x="24" s="1" nd="1"/>
        <i x="188" s="1" nd="1"/>
        <i x="115" s="1" nd="1"/>
        <i x="302" s="1" nd="1"/>
        <i x="230" s="1" nd="1"/>
        <i x="202" s="1" nd="1"/>
        <i x="134" s="1" nd="1"/>
        <i x="54" s="1" nd="1"/>
        <i x="318" s="1" nd="1"/>
        <i x="251" s="1" nd="1"/>
        <i x="187" s="1" nd="1"/>
        <i x="114" s="1" nd="1"/>
        <i x="158" s="1" nd="1"/>
        <i x="85" s="1" nd="1"/>
        <i x="312" s="1" nd="1"/>
        <i x="217" s="1" nd="1"/>
        <i x="147" s="1" nd="1"/>
        <i x="331" s="1" nd="1"/>
        <i x="84" s="1" nd="1"/>
        <i x="12" s="1" nd="1"/>
        <i x="183" s="1" nd="1"/>
        <i x="109" s="1" nd="1"/>
        <i x="36" s="1" nd="1"/>
        <i x="197" s="1" nd="1"/>
        <i x="177" s="1" nd="1"/>
        <i x="105" s="1" nd="1"/>
        <i x="294" s="1" nd="1"/>
        <i x="162" s="1" nd="1"/>
        <i x="90" s="1" nd="1"/>
        <i x="280" s="1" nd="1"/>
        <i x="214" s="1" nd="1"/>
        <i x="49" s="1" nd="1"/>
        <i x="311" s="1" nd="1"/>
        <i x="244" s="1" nd="1"/>
        <i x="146" s="1" nd="1"/>
        <i x="40" s="1" nd="1"/>
        <i x="301" s="1" nd="1"/>
        <i x="89" s="1" nd="1"/>
        <i x="16" s="1" nd="1"/>
        <i x="122" s="1" nd="1"/>
        <i x="45" s="1" nd="1"/>
        <i x="304" s="1" nd="1"/>
        <i x="235" s="1" nd="1"/>
        <i x="100" s="1" nd="1"/>
        <i x="83" s="1" nd="1"/>
        <i x="11" s="1" nd="1"/>
        <i x="104" s="1" nd="1"/>
        <i x="31" s="1" nd="1"/>
        <i x="293" s="1" nd="1"/>
        <i x="222" s="1" nd="1"/>
        <i x="78" s="1" nd="1"/>
        <i x="5" s="1" nd="1"/>
        <i x="270" s="1" nd="1"/>
        <i x="210" s="1" nd="1"/>
        <i x="141" s="1" nd="1"/>
        <i x="330" s="1" nd="1"/>
        <i x="264" s="1" nd="1"/>
        <i x="206" s="1" nd="1"/>
        <i x="57" s="1" nd="1"/>
        <i x="269" s="1" nd="1"/>
        <i x="108" s="1" nd="1"/>
        <i x="77" s="1" nd="1"/>
        <i x="209" s="1" nd="1"/>
        <i x="61" s="1" nd="1"/>
        <i x="53" s="1" nd="1"/>
        <i x="313" s="1" nd="1"/>
        <i x="247" s="1" nd="1"/>
        <i x="182" s="1" nd="1"/>
        <i x="66" s="1" nd="1"/>
        <i x="176" s="1" nd="1"/>
        <i x="103" s="1" nd="1"/>
        <i x="227" s="1" nd="1"/>
        <i x="157" s="1" nd="1"/>
        <i x="243" s="1" nd="1"/>
        <i x="175" s="1" nd="1"/>
        <i x="292" s="1" nd="1"/>
        <i x="276" s="1" nd="1"/>
        <i x="35" s="1" nd="1"/>
        <i x="299" s="1" nd="1"/>
        <i x="226" s="1" nd="1"/>
        <i x="156" s="1" nd="1"/>
        <i x="30" s="1" nd="1"/>
        <i x="291" s="1" nd="1"/>
        <i x="221" s="1" nd="1"/>
        <i x="154" s="1" nd="1"/>
        <i x="234" s="1" nd="1"/>
        <i x="56" s="1" nd="1"/>
        <i x="39" s="1" nd="1"/>
        <i x="298" s="1" nd="1"/>
        <i x="155" s="1" nd="1"/>
        <i x="153" s="1" nd="1"/>
        <i x="76" s="1" nd="1"/>
        <i x="4" s="1" nd="1"/>
        <i x="268" s="1" nd="1"/>
        <i x="75" s="1" nd="1"/>
        <i x="3" s="1" nd="1"/>
        <i x="267" s="1" nd="1"/>
        <i x="121" s="1" nd="1"/>
        <i x="329" s="1" nd="1"/>
        <i x="263" s="1" nd="1"/>
        <i x="205" s="1" nd="1"/>
        <i x="138" s="1" nd="1"/>
        <i x="242" s="1" nd="1"/>
        <i x="102" s="1" nd="1"/>
        <i x="120" s="1" nd="1"/>
        <i x="99" s="1" nd="1"/>
        <i x="65" s="1" nd="1"/>
        <i x="181" s="1" nd="1"/>
        <i x="310" s="1" nd="1"/>
        <i x="174" s="1" nd="1"/>
        <i x="130" s="1" nd="1"/>
        <i x="48" s="1" nd="1"/>
        <i x="309" s="1" nd="1"/>
        <i x="327" s="1" nd="1"/>
        <i x="201" s="1" nd="1"/>
        <i x="323" s="1" nd="1"/>
        <i x="321" s="1" nd="1"/>
        <i x="119" s="1" nd="1"/>
        <i x="279" s="1" nd="1"/>
        <i x="213" s="1" nd="1"/>
        <i x="64" s="1" nd="1"/>
        <i x="322" s="1" nd="1"/>
        <i x="63" s="1" nd="1"/>
        <i x="283" s="1" nd="1"/>
        <i x="259" s="1" nd="1"/>
        <i x="129" s="1" nd="1"/>
        <i x="308" s="1" nd="1"/>
        <i x="173" s="1" nd="1"/>
        <i x="52" s="1" nd="1"/>
        <i x="246" s="1" nd="1"/>
        <i x="180" s="1" nd="1"/>
        <i x="34" s="1" nd="1"/>
        <i x="297" s="1" nd="1"/>
        <i x="225" s="1" nd="1"/>
        <i x="82" s="1" nd="1"/>
        <i x="307" s="1" nd="1"/>
        <i x="241" s="1" nd="1"/>
        <i x="172" s="1" nd="1"/>
        <i x="101" s="1" nd="1"/>
        <i x="29" s="1" nd="1"/>
        <i x="290" s="1" nd="1"/>
        <i x="220" s="1" nd="1"/>
        <i x="152" s="1" nd="1"/>
        <i x="74" s="1" nd="1"/>
        <i x="98" s="1" nd="1"/>
        <i x="23" s="1" nd="1"/>
        <i x="282" s="1" nd="1"/>
        <i x="216" s="1" nd="1"/>
        <i x="145" s="1" nd="1"/>
        <i x="71" s="1" nd="1"/>
        <i x="140" s="1" nd="1"/>
        <i x="250" s="1" nd="1"/>
        <i x="262" s="1" nd="1"/>
        <i x="166" s="1" nd="1"/>
        <i x="97" s="1" nd="1"/>
        <i x="22" s="1" nd="1"/>
        <i x="281" s="1" nd="1"/>
        <i x="60" s="1" nd="1"/>
        <i x="128" s="1" nd="1"/>
        <i x="47" s="1" nd="1"/>
        <i x="233" s="1" nd="1"/>
        <i x="165" s="1" nd="1"/>
        <i x="289" s="1" nd="1"/>
        <i x="193" s="1" nd="1"/>
        <i x="44" s="1" nd="1"/>
        <i x="303" s="1" nd="1"/>
        <i x="232" s="1" nd="1"/>
        <i x="21" s="1" nd="1"/>
        <i x="113" s="1" nd="1"/>
        <i x="278" s="1" nd="1"/>
        <i x="204" s="1" nd="1"/>
        <i x="137" s="1" nd="1"/>
        <i x="326" s="1" nd="1"/>
        <i x="261" s="1" nd="1"/>
        <i x="258" s="1" nd="1"/>
        <i x="196" s="1" nd="1"/>
        <i x="306" s="1" nd="1"/>
        <i x="240" s="1" nd="1"/>
        <i x="112" s="1" nd="1"/>
        <i x="38" s="1" nd="1"/>
        <i x="300" s="1" nd="1"/>
        <i x="161" s="1" nd="1"/>
        <i x="229" s="1" nd="1"/>
        <i x="10" s="1" nd="1"/>
        <i x="118" s="1" nd="1"/>
        <i x="51" s="1" nd="1"/>
        <i x="127" s="1" nd="1"/>
        <i x="46" s="1" nd="1"/>
        <i x="239" s="1" nd="1"/>
        <i x="171" s="1" nd="1"/>
        <i x="28" s="1" nd="1"/>
        <i x="288" s="1" nd="1"/>
        <i x="219" s="1" nd="1"/>
        <i x="33" s="1" nd="1"/>
        <i x="81" s="1" nd="1"/>
        <i x="9" s="1" nd="1"/>
        <i x="275" s="1" nd="1"/>
        <i x="218" s="1" nd="1"/>
        <i x="208" s="1" nd="1"/>
        <i x="59" s="1" nd="1"/>
        <i x="192" s="1" nd="1"/>
        <i x="20" s="1" nd="1"/>
        <i x="15" s="1" nd="1"/>
        <i x="195" s="1" nd="1"/>
        <i x="27" s="1" nd="1"/>
        <i x="287" s="1" nd="1"/>
        <i x="73" s="1" nd="1"/>
        <i x="14" s="1" nd="1"/>
        <i x="107" s="1" nd="1"/>
        <i x="32" s="1" nd="1"/>
        <i x="126" s="1" nd="1"/>
        <i x="238" s="1" nd="1"/>
        <i x="170" s="1" nd="1"/>
        <i x="286" s="1" nd="1"/>
        <i x="224" s="1" nd="1"/>
        <i x="19" s="1" nd="1"/>
        <i x="136" s="1" nd="1"/>
        <i x="80" s="1" nd="1"/>
        <i x="255" s="1" nd="1"/>
        <i x="249" s="1" nd="1"/>
        <i x="186" s="1" nd="1"/>
        <i x="133" s="1" nd="1"/>
        <i x="169" s="1" nd="1"/>
        <i x="285" s="1" nd="1"/>
        <i x="328" s="1" nd="1"/>
        <i x="212" s="1" nd="1"/>
        <i x="142" s="1" nd="1"/>
        <i x="185" s="1" nd="1"/>
        <i x="68" s="1" nd="1"/>
        <i x="237" s="1" nd="1"/>
        <i x="168" s="1" nd="1"/>
        <i x="231" s="1" nd="1"/>
        <i x="164" s="1" nd="1"/>
        <i x="96" s="1" nd="1"/>
        <i x="79" s="1" nd="1"/>
        <i x="8" s="1" nd="1"/>
        <i x="274" s="1" nd="1"/>
        <i x="191" s="1" nd="1"/>
        <i x="117" s="1" nd="1"/>
        <i x="95" s="1" nd="1"/>
        <i x="94" s="1" nd="1"/>
        <i x="215" s="1" nd="1"/>
        <i x="144" s="1" nd="1"/>
        <i x="203" s="1" nd="1"/>
        <i x="88" s="1" nd="1"/>
        <i x="13" s="1" nd="1"/>
        <i x="200" s="1" nd="1"/>
        <i x="58" s="1" nd="1"/>
        <i x="254" s="1" nd="1"/>
        <i x="317" s="1" nd="1"/>
        <i x="325" s="1" nd="1"/>
        <i x="296" s="1" nd="1"/>
        <i x="223" s="1" nd="1"/>
        <i x="26" s="1" nd="1"/>
        <i x="284" s="1" nd="1"/>
        <i x="72" s="1" nd="1"/>
        <i x="266" s="1" nd="1"/>
        <i x="93" s="1" nd="1"/>
        <i x="18" s="1" nd="1"/>
        <i x="143" s="1" nd="1"/>
        <i x="70" s="1" nd="1"/>
        <i x="67" s="1" nd="1"/>
        <i x="260" s="1" nd="1"/>
        <i x="199" s="1" nd="1"/>
        <i x="132" s="1" nd="1"/>
        <i x="273" s="1" nd="1"/>
        <i x="211" s="1" nd="1"/>
        <i x="194" s="1" nd="1"/>
        <i x="125" s="1" nd="1"/>
        <i x="25" s="1" nd="1"/>
        <i x="151" s="1" nd="1"/>
        <i x="2" s="1" nd="1"/>
        <i x="265" s="1" nd="1"/>
        <i x="207" s="1" nd="1"/>
        <i x="92" s="1" nd="1"/>
        <i x="69" s="1" nd="1"/>
        <i x="135" s="1" nd="1"/>
        <i x="116" s="1" nd="1"/>
        <i x="43" s="1" nd="1"/>
        <i x="150" s="1" nd="1"/>
        <i x="253" s="1" nd="1"/>
        <i x="131" s="1" nd="1"/>
        <i x="55" s="1" nd="1"/>
        <i x="316" s="1" nd="1"/>
        <i x="315" s="1" nd="1"/>
        <i x="248" s="1" nd="1"/>
        <i x="324" s="1" nd="1"/>
        <i x="198" s="1" nd="1"/>
        <i x="190" s="1" nd="1"/>
        <i x="91" s="1" nd="1"/>
        <i x="17" s="1" nd="1"/>
        <i x="149" s="1" nd="1"/>
        <i x="320" s="1" nd="1"/>
        <i x="319" s="1" nd="1"/>
        <i x="252" s="1" nd="1"/>
        <i x="42" s="1" nd="1"/>
        <i x="314" s="1" nd="1"/>
        <i x="87" s="1" nd="1"/>
        <i x="245" s="1" nd="1"/>
        <i x="124" s="1" nd="1"/>
        <i x="295" s="1" nd="1"/>
        <i x="62" s="1" nd="1"/>
        <i x="257" s="1" nd="1"/>
        <i x="189" s="1" nd="1"/>
        <i x="272" s="1" nd="1"/>
        <i x="167" s="1" nd="1"/>
        <i x="256" s="1" nd="1"/>
        <i x="123" s="1" nd="1"/>
        <i x="236" s="1" nd="1"/>
        <i x="111" s="1" nd="1"/>
        <i x="37" s="1" nd="1"/>
        <i x="139" s="1" nd="1"/>
        <i x="7" s="1" nd="1"/>
        <i x="41" s="1" nd="1"/>
        <i x="228" s="1" nd="1"/>
        <i x="50" s="1" nd="1"/>
        <i x="179" s="1" nd="1"/>
        <i x="106" s="1" nd="1"/>
        <i x="148" s="1" nd="1"/>
        <i x="163" s="1" nd="1"/>
        <i x="305" s="1" nd="1"/>
        <i x="184" s="1" nd="1"/>
        <i x="110" s="1" nd="1"/>
        <i x="160" s="1" nd="1"/>
        <i x="86" s="1" nd="1"/>
        <i x="178" s="1" nd="1"/>
        <i x="159" s="1" nd="1"/>
        <i x="277" s="1" nd="1"/>
        <i x="6" s="1" nd="1"/>
        <i x="271"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NETPROCESSID21" sourceName="NETPROCESSID">
  <pivotTables>
    <pivotTable tabId="14" name="PivotTable1"/>
  </pivotTables>
  <data>
    <tabular pivotCacheId="11">
      <items count="39">
        <i x="0" s="1"/>
        <i x="1" s="1" nd="1"/>
        <i x="18" s="1" nd="1"/>
        <i x="21" s="1" nd="1"/>
        <i x="33" s="1" nd="1"/>
        <i x="15" s="1" nd="1"/>
        <i x="31" s="1" nd="1"/>
        <i x="2" s="1" nd="1"/>
        <i x="12" s="1" nd="1"/>
        <i x="20" s="1" nd="1"/>
        <i x="28" s="1" nd="1"/>
        <i x="26" s="1" nd="1"/>
        <i x="22" s="1" nd="1"/>
        <i x="27" s="1" nd="1"/>
        <i x="23" s="1" nd="1"/>
        <i x="34" s="1" nd="1"/>
        <i x="30" s="1" nd="1"/>
        <i x="7" s="1" nd="1"/>
        <i x="24" s="1" nd="1"/>
        <i x="4" s="1" nd="1"/>
        <i x="13" s="1" nd="1"/>
        <i x="5" s="1" nd="1"/>
        <i x="25" s="1" nd="1"/>
        <i x="8" s="1" nd="1"/>
        <i x="35" s="1" nd="1"/>
        <i x="37" s="1" nd="1"/>
        <i x="11" s="1" nd="1"/>
        <i x="32" s="1" nd="1"/>
        <i x="6" s="1" nd="1"/>
        <i x="19" s="1" nd="1"/>
        <i x="14" s="1" nd="1"/>
        <i x="36" s="1" nd="1"/>
        <i x="38" s="1" nd="1"/>
        <i x="3" s="1" nd="1"/>
        <i x="16" s="1" nd="1"/>
        <i x="17" s="1" nd="1"/>
        <i x="9" s="1" nd="1"/>
        <i x="10" s="1" nd="1"/>
        <i x="29"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LASTEPOCH" sourceName="LASTEPOCH">
  <pivotTables>
    <pivotTable tabId="13" name="PivotTable1"/>
  </pivotTables>
  <data>
    <tabular pivotCacheId="13">
      <items count="7">
        <i x="6" s="1"/>
        <i x="5" s="1"/>
        <i x="1" s="1"/>
        <i x="3" s="1"/>
        <i x="2" s="1"/>
        <i x="0" s="1"/>
        <i x="4" s="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ENGINESIDE" sourceName="ENGINESIDE">
  <pivotTables>
    <pivotTable tabId="13" name="PivotTable1"/>
  </pivotTables>
  <data>
    <tabular pivotCacheId="13">
      <items count="2">
        <i x="0" s="1"/>
        <i x="1" s="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SIMULATIONID1" sourceName="SIMULATIONID">
  <pivotTables>
    <pivotTable tabId="13" name="PivotTable1"/>
  </pivotTables>
  <data>
    <tabular pivotCacheId="13">
      <items count="8">
        <i x="1" s="1"/>
        <i x="2" s="1"/>
        <i x="7" s="1"/>
        <i x="4" s="1"/>
        <i x="6" s="1"/>
        <i x="5" s="1"/>
        <i x="0"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207" rowHeight="241300"/>
  <slicer name="SIMULATIONID" cache="Slicer_SIMULATIONID" caption="SIMULATIONID" startItem="4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EATURE 8" cache="Slicer_FEATURE312" caption="FEATURE" rowHeight="241300"/>
  <slicer name="SEQUENCEID 7" cache="Slicer_SEQUENCEID2112" caption="SEQUENCEID" rowHeight="241300"/>
  <slicer name="PROCESSID 10" cache="Slicer_PROCESSID1312" caption="PROCESSID" rowHeight="241300"/>
  <slicer name="THREADID 2" cache="Slicer_THREADID3" caption="THREADID" rowHeight="241300"/>
  <slicer name="RUNDATE 3" cache="Slicer_RUNDATE32" caption="RUNDATE" rowHeight="234950"/>
  <slicer name="NETPROCESSID 3" cache="Slicer_NETPROCESSID21" caption="NETPROCESS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EATURE 6" cache="Slicer_FEATURE31" caption="FEATURE" rowHeight="241300"/>
  <slicer name="SEQUENCEID 5" cache="Slicer_SEQUENCEID211" caption="SEQUENCEID" rowHeight="241300"/>
  <slicer name="PROCESSID 8" cache="Slicer_PROCESSID131" caption="PROCESSID" startItem="6" rowHeight="241300"/>
  <slicer name="THREADID" cache="Slicer_THREADID" caption="THREADID" rowHeight="241300"/>
  <slicer name="RUNDATE 2" cache="Slicer_RUNDATE3" caption="RUNDATE" rowHeight="234950"/>
  <slicer name="NETPROCESSID 2" cache="Slicer_NETPROCESSID2" caption="NETPROCES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7" cache="Slicer_FEATURE311" caption="FEATURE" rowHeight="241300"/>
  <slicer name="SEQUENCEID 6" cache="Slicer_SEQUENCEID2111" caption="SEQUENCEID" rowHeight="241300"/>
  <slicer name="PROCESSID 9" cache="Slicer_PROCESSID1311" caption="PROCESSID" rowHeight="241300"/>
  <slicer name="THREADID 1" cache="Slicer_THREADID1" caption="THREADID" rowHeight="241300"/>
  <slicer name="RUNDATE 4" cache="Slicer_RUNDATE31" caption="RUNDATE" rowHeight="234950"/>
  <slicer name="NETPROCESSID" cache="Slicer_NETPROCESSID"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IOSHIFT" cache="Slicer_IOSHIFT" caption="IOSHIFT" rowHeight="241300"/>
  <slicer name="MAXEPOCHS 1" cache="Slicer_MAXEPOCHS" caption="MAXEPOCHS" rowHeight="241300"/>
  <slicer name="LEVELRATIOS" cache="Slicer_LEVELRATIOS" caption="LEVELRATIOS" rowHeight="241300"/>
  <slicer name="USECONTEXT" cache="Slicer_USECONTEXT" caption="USECONTEXT" rowHeight="241300"/>
  <slicer name="WTTYPE" cache="Slicer_WTTYPE" caption="WTTYPE" rowHeight="241300"/>
  <slicer name="DATASAMPLELEN" cache="Slicer_DATASAMPLELEN" caption="DATASAMPLELEN" rowHeight="241300"/>
  <slicer name="DATAPREDICTIONLEN" cache="Slicer_DATAPREDICTIONLEN" caption="DATAPREDICTIONLEN" rowHeight="241300"/>
  <slicer name="FEATURE" cache="Slicer_FEATURE" caption="FEATURE" rowHeight="241300"/>
  <slicer name="CLIENTSTART" cache="Slicer_CLIENTSTART" caption="CLIENTSTART" rowHeight="241300"/>
  <slicer name="CLIENTNAME" cache="Slicer_CLIENTNAME" caption="CLIENTNAME" rowHeight="241300"/>
  <slicer name="WTLEVEL" cache="Slicer_WTLEVEL" caption="WTLEVEL" rowHeight="241300"/>
  <slicer name="DOTRAINING" cache="Slicer_DOTRAINING" caption="DOTRAINING" rowHeight="241300"/>
  <slicer name="LASTEPOCH" cache="Slicer_LASTEPOCH" caption="LASTEPOCH" rowHeight="234950"/>
  <slicer name="ENGINESIDE" cache="Slicer_ENGINESIDE" caption="ENGINESIDE" rowHeight="234950"/>
  <slicer name="SIMULATIONID 1" cache="Slicer_SIMULATIONID1" caption="SIMULATION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_ForecasterError_1" displayName="T_ForecasterError_1" ref="A1:M25" tableType="queryTable" totalsRowShown="0">
  <autoFilter ref="A1:M25"/>
  <tableColumns count="13">
    <tableColumn id="1" uniqueName="1" name="CLIENTSTART" queryTableFieldId="1" dataDxfId="0"/>
    <tableColumn id="2" uniqueName="2" name="PROCESSID" queryTableFieldId="2"/>
    <tableColumn id="3" uniqueName="3" name="THREADID" queryTableFieldId="3"/>
    <tableColumn id="4" uniqueName="4" name="SEQUENCEID" queryTableFieldId="4"/>
    <tableColumn id="5" uniqueName="5" name="LASTTIME" queryTableFieldId="5"/>
    <tableColumn id="6" uniqueName="6" name="ACTUALH" queryTableFieldId="6"/>
    <tableColumn id="7" uniqueName="7" name="FORECASTH" queryTableFieldId="7"/>
    <tableColumn id="8" uniqueName="8" name="ERRORH" queryTableFieldId="8"/>
    <tableColumn id="9" uniqueName="9" name="ACTUALL" queryTableFieldId="9"/>
    <tableColumn id="10" uniqueName="10" name="FORECASTL" queryTableFieldId="10"/>
    <tableColumn id="11" uniqueName="11" name="ERRORL" queryTableFieldId="11"/>
    <tableColumn id="12" uniqueName="12" name="TRADEPROFIT" queryTableFieldId="12"/>
    <tableColumn id="13" uniqueName="13" name="TRADERESULT" queryTableFieldId="13"/>
  </tableColumns>
  <tableStyleInfo name="TableStyleMedium2" showFirstColumn="0" showLastColumn="0" showRowStripes="1" showColumnStripes="0"/>
</table>
</file>

<file path=xl/tables/table2.xml><?xml version="1.0" encoding="utf-8"?>
<table xmlns="http://schemas.openxmlformats.org/spreadsheetml/2006/main" id="2" name="T_ForecastError_2" displayName="T_ForecastError_2" ref="Y1:AL577" tableType="queryTable" totalsRowShown="0">
  <autoFilter ref="Y1:AL577"/>
  <tableColumns count="14">
    <tableColumn id="1" uniqueName="1" name="CLIENTSTART" queryTableFieldId="1" dataDxfId="16"/>
    <tableColumn id="2" uniqueName="2" name="PROCESSID" queryTableFieldId="2"/>
    <tableColumn id="3" uniqueName="3" name="THREADID" queryTableFieldId="3"/>
    <tableColumn id="4" uniqueName="4" name="SEQUENCEID" queryTableFieldId="4"/>
    <tableColumn id="5" uniqueName="5" name="LASTTIME" queryTableFieldId="5"/>
    <tableColumn id="6" uniqueName="6" name="ACTUALH" queryTableFieldId="6"/>
    <tableColumn id="7" uniqueName="7" name="FORECASTH" queryTableFieldId="7"/>
    <tableColumn id="8" uniqueName="8" name="ERRORH" queryTableFieldId="8"/>
    <tableColumn id="9" uniqueName="9" name="ACTUALL" queryTableFieldId="9"/>
    <tableColumn id="10" uniqueName="10" name="FORECASTL" queryTableFieldId="10"/>
    <tableColumn id="11" uniqueName="11" name="ERRORL" queryTableFieldId="11"/>
    <tableColumn id="12" uniqueName="12" name="TRADEPROFIT" queryTableFieldId="12"/>
    <tableColumn id="13" uniqueName="13" name="TRADERESULT" queryTableFieldId="13"/>
    <tableColumn id="14" uniqueName="14" name="OUTCOME" queryTableFieldId="14"/>
  </tableColumns>
  <tableStyleInfo name="TableStyleMedium2" showFirstColumn="0" showLastColumn="0" showRowStripes="1" showColumnStripes="0"/>
</table>
</file>

<file path=xl/tables/table3.xml><?xml version="1.0" encoding="utf-8"?>
<table xmlns="http://schemas.openxmlformats.org/spreadsheetml/2006/main" id="3" name="Table_Query_from_Algo" displayName="Table_Query_from_Algo" ref="A1:J583" tableType="queryTable" totalsRowShown="0">
  <autoFilter ref="A1:J583"/>
  <sortState ref="A2:J583">
    <sortCondition descending="1" ref="F1:F50"/>
  </sortState>
  <tableColumns count="10">
    <tableColumn id="5" uniqueName="5" name="SIMULATIONID" queryTableFieldId="13" dataDxfId="7"/>
    <tableColumn id="1" uniqueName="1" name="PROCESSID" queryTableFieldId="1"/>
    <tableColumn id="12" uniqueName="12" name="NETPROCESSID" queryTableFieldId="29" dataDxfId="6"/>
    <tableColumn id="2" uniqueName="2" name="CLIENTNAME" queryTableFieldId="2"/>
    <tableColumn id="4" uniqueName="4" name="SEQUENCEID" queryTableFieldId="34" dataDxfId="5"/>
    <tableColumn id="3" uniqueName="3" name="CLIENTSTART" queryTableFieldId="3" dataDxfId="4"/>
    <tableColumn id="7" uniqueName="7" name="DOTRAINING" queryTableFieldId="7"/>
    <tableColumn id="6" uniqueName="6" name="SIMULATIONSTARTTRAIN" queryTableFieldId="10" dataDxfId="3"/>
    <tableColumn id="10" uniqueName="10" name="SIMULATIONSTARTINFER" queryTableFieldId="11" dataDxfId="2"/>
    <tableColumn id="9" uniqueName="9" name="Duration" queryTableFieldId="33" dataDxfId="1"/>
  </tableColumns>
  <tableStyleInfo name="TableStyleMedium2" showFirstColumn="0" showLastColumn="0" showRowStripes="1" showColumnStripes="0"/>
</table>
</file>

<file path=xl/tables/table4.xml><?xml version="1.0" encoding="utf-8"?>
<table xmlns="http://schemas.openxmlformats.org/spreadsheetml/2006/main" id="4" name="Table_ExternalData_1" displayName="Table_ExternalData_1" ref="A3:E118" tableType="queryTable" totalsRowShown="0">
  <autoFilter ref="A3:E118">
    <filterColumn colId="0">
      <filters>
        <filter val="engCfg"/>
        <filter val="trainCfg"/>
      </filters>
    </filterColumn>
    <filterColumn colId="1">
      <customFilters>
        <customFilter operator="notEqual" val="*Persistor*"/>
      </customFilters>
    </filterColumn>
  </autoFilter>
  <sortState ref="A4:E118">
    <sortCondition descending="1" ref="E3:E92"/>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table" Target="../tables/table2.xml"/><Relationship Id="rId4"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heetViews>
  <sheetFormatPr defaultRowHeight="14.4" x14ac:dyDescent="0.3"/>
  <cols>
    <col min="1" max="1" width="10.5546875" bestFit="1" customWidth="1"/>
    <col min="7" max="7" width="11.44140625" bestFit="1" customWidth="1"/>
    <col min="8" max="8" width="10.88671875" bestFit="1" customWidth="1"/>
  </cols>
  <sheetData>
    <row r="1" spans="1:8" x14ac:dyDescent="0.3">
      <c r="A1" t="s">
        <v>60</v>
      </c>
      <c r="B1" s="14">
        <v>10</v>
      </c>
    </row>
    <row r="2" spans="1:8" x14ac:dyDescent="0.3">
      <c r="A2" t="s">
        <v>59</v>
      </c>
      <c r="B2" s="14">
        <v>3</v>
      </c>
    </row>
    <row r="3" spans="1:8" x14ac:dyDescent="0.3">
      <c r="A3" t="s">
        <v>58</v>
      </c>
      <c r="B3" s="14">
        <v>4</v>
      </c>
    </row>
    <row r="4" spans="1:8" x14ac:dyDescent="0.3">
      <c r="A4" t="s">
        <v>57</v>
      </c>
      <c r="B4" s="14">
        <v>20</v>
      </c>
    </row>
    <row r="5" spans="1:8" x14ac:dyDescent="0.3">
      <c r="A5" t="s">
        <v>56</v>
      </c>
      <c r="B5" s="14" t="b">
        <v>1</v>
      </c>
    </row>
    <row r="6" spans="1:8" x14ac:dyDescent="0.3">
      <c r="A6" t="s">
        <v>55</v>
      </c>
      <c r="B6" s="14" t="b">
        <v>1</v>
      </c>
      <c r="F6" s="16" t="s">
        <v>54</v>
      </c>
      <c r="G6" s="15">
        <f>SUM(G8:G15)</f>
        <v>3123</v>
      </c>
      <c r="H6" s="15">
        <f>SUM(H8:H15)</f>
        <v>2167362</v>
      </c>
    </row>
    <row r="7" spans="1:8" x14ac:dyDescent="0.3">
      <c r="C7" t="s">
        <v>53</v>
      </c>
      <c r="E7" t="s">
        <v>52</v>
      </c>
      <c r="F7" t="s">
        <v>51</v>
      </c>
      <c r="G7" s="15" t="s">
        <v>50</v>
      </c>
      <c r="H7" s="15" t="s">
        <v>49</v>
      </c>
    </row>
    <row r="8" spans="1:8" x14ac:dyDescent="0.3">
      <c r="A8" t="s">
        <v>48</v>
      </c>
      <c r="B8">
        <f>COUNT(C8:C24)+2</f>
        <v>3</v>
      </c>
      <c r="C8" s="14">
        <v>1</v>
      </c>
      <c r="E8">
        <v>0</v>
      </c>
      <c r="F8">
        <f>+B1*B3*B4+IF(B6,1,0)</f>
        <v>801</v>
      </c>
      <c r="G8" s="13">
        <f t="shared" ref="G8:G14" si="0">F8+IF($B$5,G9,0)</f>
        <v>1842</v>
      </c>
      <c r="H8" s="13"/>
    </row>
    <row r="9" spans="1:8" x14ac:dyDescent="0.3">
      <c r="A9" t="s">
        <v>47</v>
      </c>
      <c r="B9">
        <f>B2*B3*B4</f>
        <v>240</v>
      </c>
      <c r="C9" s="14"/>
      <c r="E9">
        <v>1</v>
      </c>
      <c r="F9">
        <f t="shared" ref="F9:F15" si="1">IF(E9&gt;($B$8-1),0,IF(C8&gt;0,F8*C8,$B$9))</f>
        <v>801</v>
      </c>
      <c r="G9" s="13">
        <f t="shared" si="0"/>
        <v>1041</v>
      </c>
      <c r="H9" s="13">
        <f t="shared" ref="H9:H15" si="2">+G9*G8</f>
        <v>1917522</v>
      </c>
    </row>
    <row r="10" spans="1:8" x14ac:dyDescent="0.3">
      <c r="C10" s="14"/>
      <c r="E10">
        <v>2</v>
      </c>
      <c r="F10">
        <f t="shared" si="1"/>
        <v>240</v>
      </c>
      <c r="G10" s="13">
        <f t="shared" si="0"/>
        <v>240</v>
      </c>
      <c r="H10" s="13">
        <f t="shared" si="2"/>
        <v>249840</v>
      </c>
    </row>
    <row r="11" spans="1:8" x14ac:dyDescent="0.3">
      <c r="C11" s="14"/>
      <c r="E11">
        <v>3</v>
      </c>
      <c r="F11">
        <f t="shared" si="1"/>
        <v>0</v>
      </c>
      <c r="G11" s="13">
        <f t="shared" si="0"/>
        <v>0</v>
      </c>
      <c r="H11" s="13">
        <f t="shared" si="2"/>
        <v>0</v>
      </c>
    </row>
    <row r="12" spans="1:8" x14ac:dyDescent="0.3">
      <c r="C12" s="14"/>
      <c r="E12">
        <v>4</v>
      </c>
      <c r="F12">
        <f t="shared" si="1"/>
        <v>0</v>
      </c>
      <c r="G12" s="13">
        <f t="shared" si="0"/>
        <v>0</v>
      </c>
      <c r="H12" s="13">
        <f t="shared" si="2"/>
        <v>0</v>
      </c>
    </row>
    <row r="13" spans="1:8" x14ac:dyDescent="0.3">
      <c r="C13" s="14"/>
      <c r="E13">
        <v>5</v>
      </c>
      <c r="F13">
        <f t="shared" si="1"/>
        <v>0</v>
      </c>
      <c r="G13" s="13">
        <f t="shared" si="0"/>
        <v>0</v>
      </c>
      <c r="H13" s="13">
        <f t="shared" si="2"/>
        <v>0</v>
      </c>
    </row>
    <row r="14" spans="1:8" x14ac:dyDescent="0.3">
      <c r="E14">
        <v>6</v>
      </c>
      <c r="F14">
        <f t="shared" si="1"/>
        <v>0</v>
      </c>
      <c r="G14" s="13">
        <f t="shared" si="0"/>
        <v>0</v>
      </c>
      <c r="H14" s="13">
        <f t="shared" si="2"/>
        <v>0</v>
      </c>
    </row>
    <row r="15" spans="1:8" x14ac:dyDescent="0.3">
      <c r="E15">
        <v>7</v>
      </c>
      <c r="F15">
        <f t="shared" si="1"/>
        <v>0</v>
      </c>
      <c r="G15" s="13">
        <f>F15+IF($B$5,G17,0)</f>
        <v>0</v>
      </c>
      <c r="H15" s="13">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5"/>
  <sheetViews>
    <sheetView zoomScale="85" zoomScaleNormal="85" workbookViewId="0">
      <selection activeCell="B27" sqref="B27"/>
    </sheetView>
  </sheetViews>
  <sheetFormatPr defaultRowHeight="14.4" x14ac:dyDescent="0.3"/>
  <cols>
    <col min="1" max="1" width="13.109375" bestFit="1" customWidth="1"/>
    <col min="2" max="2" width="8.109375" bestFit="1" customWidth="1"/>
    <col min="3" max="3" width="20.88671875" bestFit="1" customWidth="1"/>
    <col min="5" max="5" width="18.33203125" bestFit="1" customWidth="1"/>
    <col min="6" max="6" width="12.33203125" bestFit="1" customWidth="1"/>
  </cols>
  <sheetData>
    <row r="1" spans="1:6" ht="18" x14ac:dyDescent="0.35">
      <c r="A1" s="2" t="s">
        <v>37</v>
      </c>
      <c r="B1" t="s">
        <v>64</v>
      </c>
      <c r="C1" t="s">
        <v>63</v>
      </c>
      <c r="E1" s="16" t="s">
        <v>62</v>
      </c>
      <c r="F1" s="17">
        <f>VLOOKUP(COUNT($B:$B)-2,$A:$B,2,FALSE)</f>
        <v>9.2651149316225201E-5</v>
      </c>
    </row>
    <row r="2" spans="1:6" x14ac:dyDescent="0.3">
      <c r="A2" s="3">
        <v>0</v>
      </c>
      <c r="B2" s="7">
        <v>2.5987580884248001E-3</v>
      </c>
      <c r="C2" s="9">
        <v>8081</v>
      </c>
      <c r="E2" s="16" t="s">
        <v>61</v>
      </c>
      <c r="F2" s="9">
        <f>GETPIVOTDATA("Average of DURATION",$A$1)</f>
        <v>8494.3076923076915</v>
      </c>
    </row>
    <row r="3" spans="1:6" x14ac:dyDescent="0.3">
      <c r="A3" s="3">
        <v>1</v>
      </c>
      <c r="B3" s="7">
        <v>1.11822772305459E-3</v>
      </c>
      <c r="C3" s="9">
        <v>8022</v>
      </c>
    </row>
    <row r="4" spans="1:6" x14ac:dyDescent="0.3">
      <c r="A4" s="3">
        <v>2</v>
      </c>
      <c r="B4" s="7">
        <v>6.6317146411165595E-4</v>
      </c>
      <c r="C4" s="9">
        <v>8044</v>
      </c>
    </row>
    <row r="5" spans="1:6" x14ac:dyDescent="0.3">
      <c r="A5" s="3">
        <v>3</v>
      </c>
      <c r="B5" s="7">
        <v>4.3949531391263003E-4</v>
      </c>
      <c r="C5" s="9">
        <v>8108</v>
      </c>
    </row>
    <row r="6" spans="1:6" x14ac:dyDescent="0.3">
      <c r="A6" s="3">
        <v>4</v>
      </c>
      <c r="B6" s="7">
        <v>3.1320986454375099E-4</v>
      </c>
      <c r="C6" s="9">
        <v>8092</v>
      </c>
    </row>
    <row r="7" spans="1:6" x14ac:dyDescent="0.3">
      <c r="A7" s="3">
        <v>5</v>
      </c>
      <c r="B7" s="7">
        <v>2.36519903410226E-4</v>
      </c>
      <c r="C7" s="9">
        <v>8117</v>
      </c>
    </row>
    <row r="8" spans="1:6" x14ac:dyDescent="0.3">
      <c r="A8" s="3">
        <v>6</v>
      </c>
      <c r="B8" s="7">
        <v>1.87777695828117E-4</v>
      </c>
      <c r="C8" s="9">
        <v>8112</v>
      </c>
    </row>
    <row r="9" spans="1:6" x14ac:dyDescent="0.3">
      <c r="A9" s="3">
        <v>7</v>
      </c>
      <c r="B9" s="7">
        <v>1.55706380610354E-4</v>
      </c>
      <c r="C9" s="9">
        <v>8114</v>
      </c>
    </row>
    <row r="10" spans="1:6" x14ac:dyDescent="0.3">
      <c r="A10" s="3">
        <v>8</v>
      </c>
      <c r="B10" s="7">
        <v>1.3391637185122799E-4</v>
      </c>
      <c r="C10" s="9">
        <v>8102</v>
      </c>
    </row>
    <row r="11" spans="1:6" x14ac:dyDescent="0.3">
      <c r="A11" s="3">
        <v>9</v>
      </c>
      <c r="B11" s="7">
        <v>1.18620046123397E-4</v>
      </c>
      <c r="C11" s="9">
        <v>8159</v>
      </c>
    </row>
    <row r="12" spans="1:6" x14ac:dyDescent="0.3">
      <c r="A12" s="3">
        <v>10</v>
      </c>
      <c r="B12" s="7">
        <v>1.07509265944827E-4</v>
      </c>
      <c r="C12" s="9">
        <v>8153</v>
      </c>
    </row>
    <row r="13" spans="1:6" x14ac:dyDescent="0.3">
      <c r="A13" s="3">
        <v>11</v>
      </c>
      <c r="B13" s="7">
        <v>9.9152617622166899E-5</v>
      </c>
      <c r="C13" s="9">
        <v>8146</v>
      </c>
    </row>
    <row r="14" spans="1:6" x14ac:dyDescent="0.3">
      <c r="A14" s="3">
        <v>12</v>
      </c>
      <c r="B14" s="7">
        <v>9.2651149316225201E-5</v>
      </c>
      <c r="C14" s="9">
        <v>13176</v>
      </c>
    </row>
    <row r="15" spans="1:6" x14ac:dyDescent="0.3">
      <c r="A15" s="3" t="s">
        <v>38</v>
      </c>
      <c r="B15" s="7">
        <v>4.8190122190415143E-4</v>
      </c>
      <c r="C15" s="9">
        <v>8494.3076923076915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86"/>
  <sheetViews>
    <sheetView zoomScale="85" zoomScaleNormal="85" workbookViewId="0"/>
  </sheetViews>
  <sheetFormatPr defaultRowHeight="14.4" x14ac:dyDescent="0.3"/>
  <cols>
    <col min="1" max="1" width="16.109375" bestFit="1" customWidth="1"/>
    <col min="2" max="2" width="21.5546875" customWidth="1"/>
    <col min="3" max="3" width="24.44140625" customWidth="1"/>
    <col min="4" max="4" width="20.6640625" customWidth="1"/>
    <col min="5" max="5" width="20.33203125" customWidth="1"/>
    <col min="6" max="6" width="19.5546875" customWidth="1"/>
    <col min="7" max="7" width="12.6640625" customWidth="1"/>
    <col min="8" max="8" width="9" customWidth="1"/>
    <col min="15" max="15" width="12.5546875" bestFit="1" customWidth="1"/>
  </cols>
  <sheetData>
    <row r="1" spans="1:8" x14ac:dyDescent="0.3">
      <c r="A1" s="2" t="s">
        <v>37</v>
      </c>
      <c r="B1" t="s">
        <v>132</v>
      </c>
      <c r="C1" t="s">
        <v>131</v>
      </c>
      <c r="D1" t="s">
        <v>130</v>
      </c>
      <c r="G1" s="11" t="s">
        <v>133</v>
      </c>
      <c r="H1" s="18" t="e">
        <f>GETPIVOTDATA("Average of ERRORTR",$A$1)</f>
        <v>#REF!</v>
      </c>
    </row>
    <row r="2" spans="1:8" x14ac:dyDescent="0.3">
      <c r="A2" s="3" t="s">
        <v>359</v>
      </c>
      <c r="B2" s="7">
        <v>0.19715574383735648</v>
      </c>
      <c r="C2" s="7">
        <v>0.14048267668113107</v>
      </c>
      <c r="D2" s="7">
        <v>5.6673067156225471E-2</v>
      </c>
    </row>
    <row r="3" spans="1:8" x14ac:dyDescent="0.3">
      <c r="A3" s="3" t="s">
        <v>360</v>
      </c>
      <c r="B3" s="7">
        <v>0.105229739099741</v>
      </c>
      <c r="C3" s="7">
        <v>0.14220395591109991</v>
      </c>
      <c r="D3" s="7">
        <v>4.7041611125071825E-2</v>
      </c>
      <c r="H3" s="11"/>
    </row>
    <row r="4" spans="1:8" x14ac:dyDescent="0.3">
      <c r="A4" s="3" t="s">
        <v>361</v>
      </c>
      <c r="B4" s="7">
        <v>0.22348903119564054</v>
      </c>
      <c r="C4" s="7">
        <v>0.1784758598854144</v>
      </c>
      <c r="D4" s="7">
        <v>5.9389539062976643E-2</v>
      </c>
    </row>
    <row r="5" spans="1:8" x14ac:dyDescent="0.3">
      <c r="A5" s="3" t="s">
        <v>362</v>
      </c>
      <c r="B5" s="7">
        <v>0.14709958434104931</v>
      </c>
      <c r="C5" s="7">
        <v>0.20471142946432042</v>
      </c>
      <c r="D5" s="7">
        <v>8.33504140997927E-2</v>
      </c>
    </row>
    <row r="6" spans="1:8" x14ac:dyDescent="0.3">
      <c r="A6" s="3" t="s">
        <v>363</v>
      </c>
      <c r="B6" s="7">
        <v>0.34189708530902885</v>
      </c>
      <c r="C6" s="7">
        <v>0.28730879258364439</v>
      </c>
      <c r="D6" s="7">
        <v>0.12296033619592567</v>
      </c>
    </row>
    <row r="7" spans="1:8" x14ac:dyDescent="0.3">
      <c r="A7" s="3" t="s">
        <v>364</v>
      </c>
      <c r="B7" s="7">
        <v>0.30984479188919062</v>
      </c>
      <c r="C7" s="7">
        <v>0.23655591501543913</v>
      </c>
      <c r="D7" s="7">
        <v>7.3288876873751269E-2</v>
      </c>
    </row>
    <row r="8" spans="1:8" x14ac:dyDescent="0.3">
      <c r="A8" s="3" t="s">
        <v>365</v>
      </c>
      <c r="B8" s="7">
        <v>0.15895056352019302</v>
      </c>
      <c r="C8" s="7">
        <v>0.11979466024786234</v>
      </c>
      <c r="D8" s="7">
        <v>6.3390449620783343E-2</v>
      </c>
    </row>
    <row r="9" spans="1:8" x14ac:dyDescent="0.3">
      <c r="A9" s="3" t="s">
        <v>366</v>
      </c>
      <c r="B9" s="7">
        <v>0.14305353164672849</v>
      </c>
      <c r="C9" s="7">
        <v>0.14660538903747988</v>
      </c>
      <c r="D9" s="7">
        <v>3.3709036651998737E-2</v>
      </c>
    </row>
    <row r="10" spans="1:8" x14ac:dyDescent="0.3">
      <c r="A10" s="3" t="s">
        <v>367</v>
      </c>
      <c r="B10" s="7">
        <v>0.15726304054260246</v>
      </c>
      <c r="C10" s="7">
        <v>0.15448019653558737</v>
      </c>
      <c r="D10" s="7">
        <v>3.4255341316262587E-2</v>
      </c>
    </row>
    <row r="11" spans="1:8" x14ac:dyDescent="0.3">
      <c r="A11" s="3" t="s">
        <v>368</v>
      </c>
      <c r="B11" s="7">
        <v>0.17293787747621547</v>
      </c>
      <c r="C11" s="7">
        <v>0.17272410883257786</v>
      </c>
      <c r="D11" s="7">
        <v>3.2283994990090541E-2</v>
      </c>
    </row>
    <row r="12" spans="1:8" x14ac:dyDescent="0.3">
      <c r="A12" s="3" t="s">
        <v>369</v>
      </c>
      <c r="B12" s="7">
        <v>0.14760889112949385</v>
      </c>
      <c r="C12" s="7">
        <v>0.1393768923978011</v>
      </c>
      <c r="D12" s="7">
        <v>2.1500299995144218E-2</v>
      </c>
    </row>
    <row r="13" spans="1:8" x14ac:dyDescent="0.3">
      <c r="A13" s="3" t="s">
        <v>370</v>
      </c>
      <c r="B13" s="7">
        <v>0.1134057678282262</v>
      </c>
      <c r="C13" s="7">
        <v>0.12748384817192951</v>
      </c>
      <c r="D13" s="7">
        <v>2.3990300173560738E-2</v>
      </c>
    </row>
    <row r="14" spans="1:8" x14ac:dyDescent="0.3">
      <c r="A14" s="3" t="s">
        <v>371</v>
      </c>
      <c r="B14" s="7">
        <v>0.15936784073710439</v>
      </c>
      <c r="C14" s="7">
        <v>0.15704267658293256</v>
      </c>
      <c r="D14" s="7">
        <v>1.3232242316007772E-2</v>
      </c>
    </row>
    <row r="15" spans="1:8" x14ac:dyDescent="0.3">
      <c r="A15" s="3" t="s">
        <v>372</v>
      </c>
      <c r="B15" s="7">
        <v>0.16455429792404166</v>
      </c>
      <c r="C15" s="7">
        <v>0.17219431605190036</v>
      </c>
      <c r="D15" s="7">
        <v>1.1009094926218417E-2</v>
      </c>
    </row>
    <row r="16" spans="1:8" x14ac:dyDescent="0.3">
      <c r="A16" s="3" t="s">
        <v>373</v>
      </c>
      <c r="B16" s="7">
        <v>0.15936376154422754</v>
      </c>
      <c r="C16" s="7">
        <v>0.17058231526364884</v>
      </c>
      <c r="D16" s="7">
        <v>2.0590250380337308E-2</v>
      </c>
    </row>
    <row r="17" spans="1:16" x14ac:dyDescent="0.3">
      <c r="A17" s="3" t="s">
        <v>374</v>
      </c>
      <c r="B17" s="7">
        <v>0.11605767533183113</v>
      </c>
      <c r="C17" s="7">
        <v>0.10343191943441826</v>
      </c>
      <c r="D17" s="7">
        <v>2.6940747008969371E-2</v>
      </c>
    </row>
    <row r="18" spans="1:16" x14ac:dyDescent="0.3">
      <c r="A18" s="3" t="s">
        <v>375</v>
      </c>
      <c r="B18" s="7">
        <v>9.1114442795515074E-2</v>
      </c>
      <c r="C18" s="7">
        <v>0.13502746447920802</v>
      </c>
      <c r="D18" s="7">
        <v>4.3913021683692939E-2</v>
      </c>
    </row>
    <row r="19" spans="1:16" x14ac:dyDescent="0.3">
      <c r="A19" s="3" t="s">
        <v>376</v>
      </c>
      <c r="B19" s="7">
        <v>0.17507230490446068</v>
      </c>
      <c r="C19" s="7">
        <v>0.16267175444712242</v>
      </c>
      <c r="D19" s="7">
        <v>2.3446167198320305E-2</v>
      </c>
    </row>
    <row r="20" spans="1:16" x14ac:dyDescent="0.3">
      <c r="A20" s="3" t="s">
        <v>377</v>
      </c>
      <c r="B20" s="7">
        <v>0.10992555320262914</v>
      </c>
      <c r="C20" s="7">
        <v>0.13554097238617643</v>
      </c>
      <c r="D20" s="7">
        <v>4.8167659047370186E-2</v>
      </c>
    </row>
    <row r="21" spans="1:16" x14ac:dyDescent="0.3">
      <c r="A21" s="3" t="s">
        <v>378</v>
      </c>
      <c r="B21" s="7">
        <v>0.10539546236395837</v>
      </c>
      <c r="C21" s="7">
        <v>0.1238089299295097</v>
      </c>
      <c r="D21" s="7">
        <v>4.4207871813948009E-2</v>
      </c>
    </row>
    <row r="22" spans="1:16" x14ac:dyDescent="0.3">
      <c r="A22" s="3" t="s">
        <v>379</v>
      </c>
      <c r="B22" s="7">
        <v>0.12478108331561094</v>
      </c>
      <c r="C22" s="7">
        <v>0.19609698777397475</v>
      </c>
      <c r="D22" s="7">
        <v>7.4108075350522995E-2</v>
      </c>
    </row>
    <row r="23" spans="1:16" x14ac:dyDescent="0.3">
      <c r="A23" s="3" t="s">
        <v>380</v>
      </c>
      <c r="B23" s="7">
        <v>0.30104823410511011</v>
      </c>
      <c r="C23" s="7">
        <v>0.24229140797009072</v>
      </c>
      <c r="D23" s="7">
        <v>5.8756826135019306E-2</v>
      </c>
    </row>
    <row r="24" spans="1:16" x14ac:dyDescent="0.3">
      <c r="A24" s="3" t="s">
        <v>381</v>
      </c>
      <c r="B24" s="7">
        <v>0.251228928565979</v>
      </c>
      <c r="C24" s="7">
        <v>0.23838657109687722</v>
      </c>
      <c r="D24" s="7">
        <v>1.8831763726969375E-2</v>
      </c>
    </row>
    <row r="25" spans="1:16" x14ac:dyDescent="0.3">
      <c r="A25" s="3" t="s">
        <v>356</v>
      </c>
      <c r="B25" s="7">
        <v>0.22353085875511167</v>
      </c>
      <c r="C25" s="7">
        <v>0.14818812704955545</v>
      </c>
      <c r="D25" s="7">
        <v>7.5342731705556096E-2</v>
      </c>
    </row>
    <row r="26" spans="1:16" x14ac:dyDescent="0.3">
      <c r="A26" s="3" t="s">
        <v>382</v>
      </c>
      <c r="B26" s="7">
        <v>0.2359376549720765</v>
      </c>
      <c r="C26" s="7">
        <v>0.21928048816819981</v>
      </c>
      <c r="D26" s="7">
        <v>3.3691867565115226E-2</v>
      </c>
    </row>
    <row r="27" spans="1:16" x14ac:dyDescent="0.3">
      <c r="A27" s="3" t="s">
        <v>383</v>
      </c>
      <c r="B27" s="7">
        <v>0.24326447397470485</v>
      </c>
      <c r="C27" s="7">
        <v>0.21164430895199382</v>
      </c>
      <c r="D27" s="7">
        <v>3.96100832149388E-2</v>
      </c>
    </row>
    <row r="28" spans="1:16" x14ac:dyDescent="0.3">
      <c r="A28" s="3" t="s">
        <v>384</v>
      </c>
      <c r="B28" s="7">
        <v>0.25013251602649694</v>
      </c>
      <c r="C28" s="7">
        <v>0.25729664570341504</v>
      </c>
      <c r="D28" s="7">
        <v>1.7480338923632936E-2</v>
      </c>
    </row>
    <row r="29" spans="1:16" x14ac:dyDescent="0.3">
      <c r="A29" s="3" t="s">
        <v>385</v>
      </c>
      <c r="B29" s="7">
        <v>0.26554960012435924</v>
      </c>
      <c r="C29" s="7">
        <v>0.22349882079288361</v>
      </c>
      <c r="D29" s="7">
        <v>9.3413164683928296E-2</v>
      </c>
    </row>
    <row r="30" spans="1:16" x14ac:dyDescent="0.3">
      <c r="A30" s="3" t="s">
        <v>386</v>
      </c>
      <c r="B30" s="7">
        <v>0.20914935320615766</v>
      </c>
      <c r="C30" s="7">
        <v>0.17419908816615745</v>
      </c>
      <c r="D30" s="7">
        <v>3.4950265040000095E-2</v>
      </c>
      <c r="P30" s="18"/>
    </row>
    <row r="31" spans="1:16" x14ac:dyDescent="0.3">
      <c r="A31" s="3" t="s">
        <v>387</v>
      </c>
      <c r="B31" s="7">
        <v>0.25760633498430247</v>
      </c>
      <c r="C31" s="7">
        <v>0.24005192238837472</v>
      </c>
      <c r="D31" s="7">
        <v>2.5842408649623626E-2</v>
      </c>
    </row>
    <row r="32" spans="1:16" x14ac:dyDescent="0.3">
      <c r="A32" s="3" t="s">
        <v>388</v>
      </c>
      <c r="B32" s="7">
        <v>0.24322672933340062</v>
      </c>
      <c r="C32" s="7">
        <v>0.21679128396014372</v>
      </c>
      <c r="D32" s="7">
        <v>3.3136315022905462E-2</v>
      </c>
    </row>
    <row r="33" spans="1:4" x14ac:dyDescent="0.3">
      <c r="A33" s="3" t="s">
        <v>389</v>
      </c>
      <c r="B33" s="7">
        <v>0.23422677814960488</v>
      </c>
      <c r="C33" s="7">
        <v>0.19360884775718054</v>
      </c>
      <c r="D33" s="7">
        <v>4.0617930392424402E-2</v>
      </c>
    </row>
    <row r="34" spans="1:4" x14ac:dyDescent="0.3">
      <c r="A34" s="3" t="s">
        <v>390</v>
      </c>
      <c r="B34" s="7">
        <v>0.20989590883255002</v>
      </c>
      <c r="C34" s="7">
        <v>0.17965486242125431</v>
      </c>
      <c r="D34" s="7">
        <v>3.0241046411295654E-2</v>
      </c>
    </row>
    <row r="35" spans="1:4" x14ac:dyDescent="0.3">
      <c r="A35" s="3" t="s">
        <v>391</v>
      </c>
      <c r="B35" s="7">
        <v>0.16478085517883301</v>
      </c>
      <c r="C35" s="7">
        <v>0.22058517765253779</v>
      </c>
      <c r="D35" s="7">
        <v>7.1267665984729903E-2</v>
      </c>
    </row>
    <row r="36" spans="1:4" x14ac:dyDescent="0.3">
      <c r="A36" s="3" t="s">
        <v>392</v>
      </c>
      <c r="B36" s="7">
        <v>0.42890905588865286</v>
      </c>
      <c r="C36" s="7">
        <v>0.2725422050183019</v>
      </c>
      <c r="D36" s="7">
        <v>0.2524119749044379</v>
      </c>
    </row>
    <row r="37" spans="1:4" x14ac:dyDescent="0.3">
      <c r="A37" s="3" t="s">
        <v>393</v>
      </c>
      <c r="B37" s="7">
        <v>0.25881367176771169</v>
      </c>
      <c r="C37" s="7">
        <v>0.20487746522606662</v>
      </c>
      <c r="D37" s="7">
        <v>8.0370487528853132E-2</v>
      </c>
    </row>
    <row r="38" spans="1:4" x14ac:dyDescent="0.3">
      <c r="A38" s="3" t="s">
        <v>394</v>
      </c>
      <c r="B38" s="7">
        <v>9.7510918974876223E-2</v>
      </c>
      <c r="C38" s="7">
        <v>0.11356614250689739</v>
      </c>
      <c r="D38" s="7">
        <v>7.1798667622109041E-2</v>
      </c>
    </row>
    <row r="39" spans="1:4" x14ac:dyDescent="0.3">
      <c r="A39" s="3" t="s">
        <v>395</v>
      </c>
      <c r="B39" s="7">
        <v>0.22591248154640198</v>
      </c>
      <c r="C39" s="7">
        <v>0.22093433933332565</v>
      </c>
      <c r="D39" s="7">
        <v>3.3185422575722247E-2</v>
      </c>
    </row>
    <row r="40" spans="1:4" x14ac:dyDescent="0.3">
      <c r="A40" s="3" t="s">
        <v>396</v>
      </c>
      <c r="B40" s="7">
        <v>0.23677597939968106</v>
      </c>
      <c r="C40" s="7">
        <v>0.19178686632464328</v>
      </c>
      <c r="D40" s="7">
        <v>6.3691015976170731E-2</v>
      </c>
    </row>
    <row r="41" spans="1:4" x14ac:dyDescent="0.3">
      <c r="A41" s="3" t="s">
        <v>397</v>
      </c>
      <c r="B41" s="7">
        <v>0.21663378924131349</v>
      </c>
      <c r="C41" s="7">
        <v>0.17007017446060971</v>
      </c>
      <c r="D41" s="7">
        <v>4.6563614780703817E-2</v>
      </c>
    </row>
    <row r="42" spans="1:4" x14ac:dyDescent="0.3">
      <c r="A42" s="3" t="s">
        <v>398</v>
      </c>
      <c r="B42" s="7">
        <v>7.6766654849052651E-2</v>
      </c>
      <c r="C42" s="7">
        <v>5.3248851094394929E-2</v>
      </c>
      <c r="D42" s="7">
        <v>3.8595313982417424E-2</v>
      </c>
    </row>
    <row r="43" spans="1:4" x14ac:dyDescent="0.3">
      <c r="A43" s="3" t="s">
        <v>399</v>
      </c>
      <c r="B43" s="7">
        <v>5.5160783231258233E-2</v>
      </c>
      <c r="C43" s="7">
        <v>0.13702206841359532</v>
      </c>
      <c r="D43" s="7">
        <v>8.1861285182337082E-2</v>
      </c>
    </row>
    <row r="44" spans="1:4" x14ac:dyDescent="0.3">
      <c r="A44" s="3" t="s">
        <v>400</v>
      </c>
      <c r="B44" s="7">
        <v>0.291570395231247</v>
      </c>
      <c r="C44" s="7">
        <v>0.22513869653145471</v>
      </c>
      <c r="D44" s="7">
        <v>8.5331366707881343E-2</v>
      </c>
    </row>
    <row r="45" spans="1:4" x14ac:dyDescent="0.3">
      <c r="A45" s="3" t="s">
        <v>401</v>
      </c>
      <c r="B45" s="7">
        <v>0.14869909361004843</v>
      </c>
      <c r="C45" s="7">
        <v>0.21004002944876751</v>
      </c>
      <c r="D45" s="7">
        <v>6.1340935838718989E-2</v>
      </c>
    </row>
    <row r="46" spans="1:4" x14ac:dyDescent="0.3">
      <c r="A46" s="3" t="s">
        <v>402</v>
      </c>
      <c r="B46" s="7">
        <v>0.14655873551964774</v>
      </c>
      <c r="C46" s="7">
        <v>0.1340767551834384</v>
      </c>
      <c r="D46" s="7">
        <v>7.6185456166664986E-2</v>
      </c>
    </row>
    <row r="47" spans="1:4" x14ac:dyDescent="0.3">
      <c r="A47" s="3" t="s">
        <v>403</v>
      </c>
      <c r="B47" s="7">
        <v>0.16397783160209653</v>
      </c>
      <c r="C47" s="7">
        <v>9.5465239292631579E-2</v>
      </c>
      <c r="D47" s="7">
        <v>7.033824097986012E-2</v>
      </c>
    </row>
    <row r="48" spans="1:4" x14ac:dyDescent="0.3">
      <c r="A48" s="3" t="s">
        <v>404</v>
      </c>
      <c r="B48" s="7">
        <v>-1.1400744318962106E-2</v>
      </c>
      <c r="C48" s="7">
        <v>0.11194480588892471</v>
      </c>
      <c r="D48" s="7">
        <v>0.12334555020788684</v>
      </c>
    </row>
    <row r="49" spans="1:4" x14ac:dyDescent="0.3">
      <c r="A49" s="3" t="s">
        <v>405</v>
      </c>
      <c r="B49" s="7">
        <v>0.22727726399898515</v>
      </c>
      <c r="C49" s="7">
        <v>0.25806137298544246</v>
      </c>
      <c r="D49" s="7">
        <v>3.0784108986457382E-2</v>
      </c>
    </row>
    <row r="50" spans="1:4" x14ac:dyDescent="0.3">
      <c r="A50" s="3" t="s">
        <v>406</v>
      </c>
      <c r="B50" s="7">
        <v>0.30532928556203848</v>
      </c>
      <c r="C50" s="7">
        <v>0.22319799770290658</v>
      </c>
      <c r="D50" s="7">
        <v>0.10209062586848917</v>
      </c>
    </row>
    <row r="51" spans="1:4" x14ac:dyDescent="0.3">
      <c r="A51" s="3" t="s">
        <v>407</v>
      </c>
      <c r="B51" s="7">
        <v>0.18663582950830457</v>
      </c>
      <c r="C51" s="7">
        <v>0.21161048424740633</v>
      </c>
      <c r="D51" s="7">
        <v>3.9643313114841823E-2</v>
      </c>
    </row>
    <row r="52" spans="1:4" x14ac:dyDescent="0.3">
      <c r="A52" s="3" t="s">
        <v>408</v>
      </c>
      <c r="B52" s="7">
        <v>0.42655281722545607</v>
      </c>
      <c r="C52" s="7">
        <v>0.35402672737836838</v>
      </c>
      <c r="D52" s="7">
        <v>9.7161798427502555E-2</v>
      </c>
    </row>
    <row r="53" spans="1:4" x14ac:dyDescent="0.3">
      <c r="A53" s="3" t="s">
        <v>409</v>
      </c>
      <c r="B53" s="7">
        <v>0.47024253010749811</v>
      </c>
      <c r="C53" s="7">
        <v>0.32530675021310645</v>
      </c>
      <c r="D53" s="7">
        <v>0.1449357798943916</v>
      </c>
    </row>
    <row r="54" spans="1:4" x14ac:dyDescent="0.3">
      <c r="A54" s="3" t="s">
        <v>410</v>
      </c>
      <c r="B54" s="7">
        <v>0.23828126490116111</v>
      </c>
      <c r="C54" s="7">
        <v>0.15602117660455403</v>
      </c>
      <c r="D54" s="7">
        <v>8.2260088296606942E-2</v>
      </c>
    </row>
    <row r="55" spans="1:4" x14ac:dyDescent="0.3">
      <c r="A55" s="3" t="s">
        <v>411</v>
      </c>
      <c r="B55" s="7">
        <v>3.5324506461620497E-2</v>
      </c>
      <c r="C55" s="7">
        <v>2.2308532381430272E-2</v>
      </c>
      <c r="D55" s="7">
        <v>0.10877357353456296</v>
      </c>
    </row>
    <row r="56" spans="1:4" x14ac:dyDescent="0.3">
      <c r="A56" s="3" t="s">
        <v>412</v>
      </c>
      <c r="B56" s="7">
        <v>0.16624181717634201</v>
      </c>
      <c r="C56" s="7">
        <v>0.16087873543923112</v>
      </c>
      <c r="D56" s="7">
        <v>3.5412510701765647E-2</v>
      </c>
    </row>
    <row r="57" spans="1:4" x14ac:dyDescent="0.3">
      <c r="A57" s="3" t="s">
        <v>413</v>
      </c>
      <c r="B57" s="7">
        <v>0.14238251745700795</v>
      </c>
      <c r="C57" s="7">
        <v>0.17697434655080244</v>
      </c>
      <c r="D57" s="7">
        <v>4.8460754565894854E-2</v>
      </c>
    </row>
    <row r="58" spans="1:4" x14ac:dyDescent="0.3">
      <c r="A58" s="3" t="s">
        <v>414</v>
      </c>
      <c r="B58" s="7">
        <v>0.194791279733181</v>
      </c>
      <c r="C58" s="7">
        <v>0.22239979542791846</v>
      </c>
      <c r="D58" s="7">
        <v>5.4212580124537113E-2</v>
      </c>
    </row>
    <row r="59" spans="1:4" x14ac:dyDescent="0.3">
      <c r="A59" s="3" t="s">
        <v>415</v>
      </c>
      <c r="B59" s="7">
        <v>0.1736422628164295</v>
      </c>
      <c r="C59" s="7">
        <v>0.14229575063412395</v>
      </c>
      <c r="D59" s="7">
        <v>3.1346512182305608E-2</v>
      </c>
    </row>
    <row r="60" spans="1:4" x14ac:dyDescent="0.3">
      <c r="A60" s="3" t="s">
        <v>416</v>
      </c>
      <c r="B60" s="7">
        <v>0.21141361445188511</v>
      </c>
      <c r="C60" s="7">
        <v>0.16483852375919619</v>
      </c>
      <c r="D60" s="7">
        <v>5.5899206083267698E-2</v>
      </c>
    </row>
    <row r="61" spans="1:4" x14ac:dyDescent="0.3">
      <c r="A61" s="3" t="s">
        <v>417</v>
      </c>
      <c r="B61" s="7">
        <v>0.15539079532027247</v>
      </c>
      <c r="C61" s="7">
        <v>0.17643157656614983</v>
      </c>
      <c r="D61" s="7">
        <v>2.7983014627049371E-2</v>
      </c>
    </row>
    <row r="62" spans="1:4" x14ac:dyDescent="0.3">
      <c r="A62" s="3" t="s">
        <v>418</v>
      </c>
      <c r="B62" s="7">
        <v>0.16984995454549798</v>
      </c>
      <c r="C62" s="7">
        <v>0.19027550394336387</v>
      </c>
      <c r="D62" s="7">
        <v>3.846544648210215E-2</v>
      </c>
    </row>
    <row r="63" spans="1:4" x14ac:dyDescent="0.3">
      <c r="A63" s="3" t="s">
        <v>419</v>
      </c>
      <c r="B63" s="7">
        <v>0.13107864931225779</v>
      </c>
      <c r="C63" s="7">
        <v>0.12056540038126207</v>
      </c>
      <c r="D63" s="7">
        <v>1.0513248930995816E-2</v>
      </c>
    </row>
    <row r="64" spans="1:4" x14ac:dyDescent="0.3">
      <c r="A64" s="3" t="s">
        <v>420</v>
      </c>
      <c r="B64" s="7">
        <v>0.16032161191105845</v>
      </c>
      <c r="C64" s="7">
        <v>0.17805346675838032</v>
      </c>
      <c r="D64" s="7">
        <v>3.7089196188996233E-2</v>
      </c>
    </row>
    <row r="65" spans="1:4" x14ac:dyDescent="0.3">
      <c r="A65" s="3" t="s">
        <v>421</v>
      </c>
      <c r="B65" s="7">
        <v>0.19964846968650807</v>
      </c>
      <c r="C65" s="7">
        <v>0.13904068556924656</v>
      </c>
      <c r="D65" s="7">
        <v>6.06077841172614E-2</v>
      </c>
    </row>
    <row r="66" spans="1:4" x14ac:dyDescent="0.3">
      <c r="A66" s="3" t="s">
        <v>422</v>
      </c>
      <c r="B66" s="7">
        <v>9.4798114150762516E-2</v>
      </c>
      <c r="C66" s="7">
        <v>0.14779514477898678</v>
      </c>
      <c r="D66" s="7">
        <v>5.6459104331831149E-2</v>
      </c>
    </row>
    <row r="67" spans="1:4" x14ac:dyDescent="0.3">
      <c r="A67" s="3" t="s">
        <v>423</v>
      </c>
      <c r="B67" s="7">
        <v>0.15662138536572479</v>
      </c>
      <c r="C67" s="7">
        <v>9.6608808264136356E-2</v>
      </c>
      <c r="D67" s="7">
        <v>6.0012577101588666E-2</v>
      </c>
    </row>
    <row r="68" spans="1:4" x14ac:dyDescent="0.3">
      <c r="A68" s="3" t="s">
        <v>424</v>
      </c>
      <c r="B68" s="7">
        <v>0.11715435236692401</v>
      </c>
      <c r="C68" s="7">
        <v>0.2012911643832922</v>
      </c>
      <c r="D68" s="7">
        <v>8.4136812016368093E-2</v>
      </c>
    </row>
    <row r="69" spans="1:4" x14ac:dyDescent="0.3">
      <c r="A69" s="3" t="s">
        <v>425</v>
      </c>
      <c r="B69" s="7">
        <v>0.40352562069892889</v>
      </c>
      <c r="C69" s="7">
        <v>0.32192042625198763</v>
      </c>
      <c r="D69" s="7">
        <v>8.1605194446941379E-2</v>
      </c>
    </row>
    <row r="70" spans="1:4" x14ac:dyDescent="0.3">
      <c r="A70" s="3" t="s">
        <v>426</v>
      </c>
      <c r="B70" s="7">
        <v>0.24918066710233688</v>
      </c>
      <c r="C70" s="7">
        <v>0.25531433274348581</v>
      </c>
      <c r="D70" s="7">
        <v>4.5987884203593031E-2</v>
      </c>
    </row>
    <row r="71" spans="1:4" x14ac:dyDescent="0.3">
      <c r="A71" s="3" t="s">
        <v>427</v>
      </c>
      <c r="B71" s="7">
        <v>0.28275269269943221</v>
      </c>
      <c r="C71" s="7">
        <v>0.22308698079238334</v>
      </c>
      <c r="D71" s="7">
        <v>5.9665711907048578E-2</v>
      </c>
    </row>
    <row r="72" spans="1:4" x14ac:dyDescent="0.3">
      <c r="A72" s="3" t="s">
        <v>428</v>
      </c>
      <c r="B72" s="7">
        <v>0.2522897645831107</v>
      </c>
      <c r="C72" s="7">
        <v>0.17509247261720393</v>
      </c>
      <c r="D72" s="7">
        <v>7.7197291965906634E-2</v>
      </c>
    </row>
    <row r="73" spans="1:4" x14ac:dyDescent="0.3">
      <c r="A73" s="3" t="s">
        <v>429</v>
      </c>
      <c r="B73" s="7">
        <v>0.13149369135499001</v>
      </c>
      <c r="C73" s="7">
        <v>9.7793751396238707E-2</v>
      </c>
      <c r="D73" s="7">
        <v>4.6063812139133714E-2</v>
      </c>
    </row>
    <row r="74" spans="1:4" x14ac:dyDescent="0.3">
      <c r="A74" s="3" t="s">
        <v>430</v>
      </c>
      <c r="B74" s="7">
        <v>1.1609680950641604E-2</v>
      </c>
      <c r="C74" s="7">
        <v>9.6324675561239304E-2</v>
      </c>
      <c r="D74" s="7">
        <v>8.4714994610597685E-2</v>
      </c>
    </row>
    <row r="75" spans="1:4" x14ac:dyDescent="0.3">
      <c r="A75" s="3" t="s">
        <v>431</v>
      </c>
      <c r="B75" s="7">
        <v>0.18462563306093183</v>
      </c>
      <c r="C75" s="7">
        <v>0.14741346721226969</v>
      </c>
      <c r="D75" s="7">
        <v>5.69155050131184E-2</v>
      </c>
    </row>
    <row r="76" spans="1:4" x14ac:dyDescent="0.3">
      <c r="A76" s="3" t="s">
        <v>432</v>
      </c>
      <c r="B76" s="7">
        <v>0.11652522161602968</v>
      </c>
      <c r="C76" s="7">
        <v>9.4876172641913115E-2</v>
      </c>
      <c r="D76" s="7">
        <v>8.0622541718184837E-2</v>
      </c>
    </row>
    <row r="77" spans="1:4" x14ac:dyDescent="0.3">
      <c r="A77" s="3" t="s">
        <v>433</v>
      </c>
      <c r="B77" s="7">
        <v>0.11797393113374698</v>
      </c>
      <c r="C77" s="7">
        <v>0.22471752266089121</v>
      </c>
      <c r="D77" s="7">
        <v>0.10674359152714434</v>
      </c>
    </row>
    <row r="78" spans="1:4" x14ac:dyDescent="0.3">
      <c r="A78" s="3" t="s">
        <v>434</v>
      </c>
      <c r="B78" s="7">
        <v>0.30304617434740061</v>
      </c>
      <c r="C78" s="7">
        <v>0.19352394916738069</v>
      </c>
      <c r="D78" s="7">
        <v>0.17035631882026789</v>
      </c>
    </row>
    <row r="79" spans="1:4" x14ac:dyDescent="0.3">
      <c r="A79" s="3" t="s">
        <v>435</v>
      </c>
      <c r="B79" s="7">
        <v>0.13920229300856579</v>
      </c>
      <c r="C79" s="7">
        <v>0.15020515249731647</v>
      </c>
      <c r="D79" s="7">
        <v>3.6772356446211289E-2</v>
      </c>
    </row>
    <row r="80" spans="1:4" x14ac:dyDescent="0.3">
      <c r="A80" s="3" t="s">
        <v>436</v>
      </c>
      <c r="B80" s="7">
        <v>0.19381632655858982</v>
      </c>
      <c r="C80" s="7">
        <v>0.15296593997239438</v>
      </c>
      <c r="D80" s="7">
        <v>6.9245420959001977E-2</v>
      </c>
    </row>
    <row r="81" spans="1:4" x14ac:dyDescent="0.3">
      <c r="A81" s="3" t="s">
        <v>437</v>
      </c>
      <c r="B81" s="7">
        <v>0.1138502173125744</v>
      </c>
      <c r="C81" s="7">
        <v>0.15548016907026366</v>
      </c>
      <c r="D81" s="7">
        <v>4.1629951757689208E-2</v>
      </c>
    </row>
    <row r="82" spans="1:4" x14ac:dyDescent="0.3">
      <c r="A82" s="3" t="s">
        <v>438</v>
      </c>
      <c r="B82" s="7">
        <v>0.1897721216082574</v>
      </c>
      <c r="C82" s="7">
        <v>0.16491346247494229</v>
      </c>
      <c r="D82" s="7">
        <v>4.2550882945458092E-2</v>
      </c>
    </row>
    <row r="83" spans="1:4" x14ac:dyDescent="0.3">
      <c r="A83" s="3" t="s">
        <v>439</v>
      </c>
      <c r="B83" s="7">
        <v>0.10138279572129245</v>
      </c>
      <c r="C83" s="7">
        <v>6.3062440603971481E-2</v>
      </c>
      <c r="D83" s="7">
        <v>3.832035511732091E-2</v>
      </c>
    </row>
    <row r="84" spans="1:4" x14ac:dyDescent="0.3">
      <c r="A84" s="3" t="s">
        <v>440</v>
      </c>
      <c r="B84" s="7">
        <v>-5.8847405016422523E-3</v>
      </c>
      <c r="C84" s="7">
        <v>5.0359531325132878E-2</v>
      </c>
      <c r="D84" s="7">
        <v>5.6244271826775105E-2</v>
      </c>
    </row>
    <row r="85" spans="1:4" x14ac:dyDescent="0.3">
      <c r="A85" s="3" t="s">
        <v>441</v>
      </c>
      <c r="B85" s="7">
        <v>5.9345111250877602E-2</v>
      </c>
      <c r="C85" s="7">
        <v>9.1436602524481644E-2</v>
      </c>
      <c r="D85" s="7">
        <v>4.7962665596666364E-2</v>
      </c>
    </row>
    <row r="86" spans="1:4" x14ac:dyDescent="0.3">
      <c r="A86" s="3" t="s">
        <v>442</v>
      </c>
      <c r="B86" s="7">
        <v>0.1073807254433633</v>
      </c>
      <c r="C86" s="7">
        <v>0.1296508735977113</v>
      </c>
      <c r="D86" s="7">
        <v>3.683764689291523E-2</v>
      </c>
    </row>
    <row r="87" spans="1:4" x14ac:dyDescent="0.3">
      <c r="A87" s="3" t="s">
        <v>443</v>
      </c>
      <c r="B87" s="7">
        <v>0.10377286747097975</v>
      </c>
      <c r="C87" s="7">
        <v>0.14727293079098078</v>
      </c>
      <c r="D87" s="7">
        <v>4.3500063320001024E-2</v>
      </c>
    </row>
    <row r="88" spans="1:4" x14ac:dyDescent="0.3">
      <c r="A88" s="3" t="s">
        <v>444</v>
      </c>
      <c r="B88" s="7">
        <v>0.12135114520788194</v>
      </c>
      <c r="C88" s="7">
        <v>0.2023176439106463</v>
      </c>
      <c r="D88" s="7">
        <v>8.0966498702764261E-2</v>
      </c>
    </row>
    <row r="89" spans="1:4" x14ac:dyDescent="0.3">
      <c r="A89" s="3" t="s">
        <v>445</v>
      </c>
      <c r="B89" s="7">
        <v>0.25151202082633967</v>
      </c>
      <c r="C89" s="7">
        <v>0.21047034207731477</v>
      </c>
      <c r="D89" s="7">
        <v>4.1041678749024903E-2</v>
      </c>
    </row>
    <row r="90" spans="1:4" x14ac:dyDescent="0.3">
      <c r="A90" s="3" t="s">
        <v>446</v>
      </c>
      <c r="B90" s="7">
        <v>0.19780141860246658</v>
      </c>
      <c r="C90" s="7">
        <v>0.19683619805922115</v>
      </c>
      <c r="D90" s="7">
        <v>5.1676831208169571E-2</v>
      </c>
    </row>
    <row r="91" spans="1:4" x14ac:dyDescent="0.3">
      <c r="A91" s="3" t="s">
        <v>447</v>
      </c>
      <c r="B91" s="7">
        <v>0.21880567073822035</v>
      </c>
      <c r="C91" s="7">
        <v>0.17993744509294626</v>
      </c>
      <c r="D91" s="7">
        <v>3.8868225645274236E-2</v>
      </c>
    </row>
    <row r="92" spans="1:4" x14ac:dyDescent="0.3">
      <c r="A92" s="3" t="s">
        <v>448</v>
      </c>
      <c r="B92" s="7">
        <v>0.11416886746883394</v>
      </c>
      <c r="C92" s="7">
        <v>0.13631155248731369</v>
      </c>
      <c r="D92" s="7">
        <v>3.3595925507446008E-2</v>
      </c>
    </row>
    <row r="93" spans="1:4" x14ac:dyDescent="0.3">
      <c r="A93" s="3" t="s">
        <v>449</v>
      </c>
      <c r="B93" s="7">
        <v>0.16157747060060498</v>
      </c>
      <c r="C93" s="7">
        <v>0.18031870434060696</v>
      </c>
      <c r="D93" s="7">
        <v>7.2311548671374765E-2</v>
      </c>
    </row>
    <row r="94" spans="1:4" x14ac:dyDescent="0.3">
      <c r="A94" s="3" t="s">
        <v>450</v>
      </c>
      <c r="B94" s="7">
        <v>0.32221156358718878</v>
      </c>
      <c r="C94" s="7">
        <v>0.23765720799565315</v>
      </c>
      <c r="D94" s="7">
        <v>8.7897577633460566E-2</v>
      </c>
    </row>
    <row r="95" spans="1:4" x14ac:dyDescent="0.3">
      <c r="A95" s="3" t="s">
        <v>451</v>
      </c>
      <c r="B95" s="7">
        <v>0.24761050567030907</v>
      </c>
      <c r="C95" s="7">
        <v>0.19766032711292306</v>
      </c>
      <c r="D95" s="7">
        <v>6.928533610577392E-2</v>
      </c>
    </row>
    <row r="96" spans="1:4" x14ac:dyDescent="0.3">
      <c r="A96" s="3" t="s">
        <v>452</v>
      </c>
      <c r="B96" s="7">
        <v>8.7904855608940138E-2</v>
      </c>
      <c r="C96" s="7">
        <v>9.7129074648061434E-2</v>
      </c>
      <c r="D96" s="7">
        <v>6.3355298300545315E-2</v>
      </c>
    </row>
    <row r="97" spans="1:4" x14ac:dyDescent="0.3">
      <c r="A97" s="3" t="s">
        <v>349</v>
      </c>
      <c r="B97" s="7">
        <v>0.17415594309568408</v>
      </c>
      <c r="C97" s="7">
        <v>0.17111529487495611</v>
      </c>
      <c r="D97" s="7">
        <v>9.252110046024091E-2</v>
      </c>
    </row>
    <row r="98" spans="1:4" x14ac:dyDescent="0.3">
      <c r="A98" s="3" t="s">
        <v>453</v>
      </c>
      <c r="B98" s="7">
        <v>0.11813529953360569</v>
      </c>
      <c r="C98" s="7">
        <v>0.12063344443837805</v>
      </c>
      <c r="D98" s="7">
        <v>3.5647567982474822E-2</v>
      </c>
    </row>
    <row r="99" spans="1:4" x14ac:dyDescent="0.3">
      <c r="A99" s="3" t="s">
        <v>348</v>
      </c>
      <c r="B99" s="7">
        <v>0.19329857826232913</v>
      </c>
      <c r="C99" s="7">
        <v>0.14828925874705109</v>
      </c>
      <c r="D99" s="7">
        <v>8.2371194691707894E-2</v>
      </c>
    </row>
    <row r="100" spans="1:4" x14ac:dyDescent="0.3">
      <c r="A100" s="3" t="s">
        <v>347</v>
      </c>
      <c r="B100" s="7">
        <v>2.0945116877555858E-2</v>
      </c>
      <c r="C100" s="7">
        <v>4.0820127139644079E-2</v>
      </c>
      <c r="D100" s="7">
        <v>2.358606067718937E-2</v>
      </c>
    </row>
    <row r="101" spans="1:4" x14ac:dyDescent="0.3">
      <c r="A101" s="3" t="s">
        <v>346</v>
      </c>
      <c r="B101" s="7">
        <v>-7.5747072696685592E-3</v>
      </c>
      <c r="C101" s="7">
        <v>4.293564875843011E-2</v>
      </c>
      <c r="D101" s="7">
        <v>5.7644852922142852E-2</v>
      </c>
    </row>
    <row r="102" spans="1:4" x14ac:dyDescent="0.3">
      <c r="A102" s="3" t="s">
        <v>345</v>
      </c>
      <c r="B102" s="7">
        <v>0.12370565161108958</v>
      </c>
      <c r="C102" s="7">
        <v>0.14261409081518647</v>
      </c>
      <c r="D102" s="7">
        <v>4.4180573895573449E-2</v>
      </c>
    </row>
    <row r="103" spans="1:4" x14ac:dyDescent="0.3">
      <c r="A103" s="3" t="s">
        <v>344</v>
      </c>
      <c r="B103" s="7">
        <v>0.13902185857295993</v>
      </c>
      <c r="C103" s="7">
        <v>0.2143360013142227</v>
      </c>
      <c r="D103" s="7">
        <v>7.5314142741262732E-2</v>
      </c>
    </row>
    <row r="104" spans="1:4" x14ac:dyDescent="0.3">
      <c r="A104" s="3" t="s">
        <v>343</v>
      </c>
      <c r="B104" s="7">
        <v>0.21707197278738033</v>
      </c>
      <c r="C104" s="7">
        <v>0.16646307567134494</v>
      </c>
      <c r="D104" s="7">
        <v>7.3260640880714059E-2</v>
      </c>
    </row>
    <row r="105" spans="1:4" x14ac:dyDescent="0.3">
      <c r="A105" s="3" t="s">
        <v>342</v>
      </c>
      <c r="B105" s="7">
        <v>0.16184775903820997</v>
      </c>
      <c r="C105" s="7">
        <v>0.16635582906504476</v>
      </c>
      <c r="D105" s="7">
        <v>2.2373468304673891E-2</v>
      </c>
    </row>
    <row r="106" spans="1:4" x14ac:dyDescent="0.3">
      <c r="A106" s="3" t="s">
        <v>340</v>
      </c>
      <c r="B106" s="7">
        <v>0.16219576448202144</v>
      </c>
      <c r="C106" s="7">
        <v>0.17241501373549303</v>
      </c>
      <c r="D106" s="7">
        <v>1.4522410308321293E-2</v>
      </c>
    </row>
    <row r="107" spans="1:4" x14ac:dyDescent="0.3">
      <c r="A107" s="3" t="s">
        <v>339</v>
      </c>
      <c r="B107" s="7">
        <v>0.18496738374233182</v>
      </c>
      <c r="C107" s="7">
        <v>0.19201111979782573</v>
      </c>
      <c r="D107" s="7">
        <v>3.4264774993062137E-2</v>
      </c>
    </row>
    <row r="108" spans="1:4" x14ac:dyDescent="0.3">
      <c r="A108" s="3" t="s">
        <v>338</v>
      </c>
      <c r="B108" s="7">
        <v>0.1932900622487069</v>
      </c>
      <c r="C108" s="7">
        <v>0.17659195419400942</v>
      </c>
      <c r="D108" s="7">
        <v>2.8078243446846871E-2</v>
      </c>
    </row>
    <row r="109" spans="1:4" x14ac:dyDescent="0.3">
      <c r="A109" s="3" t="s">
        <v>337</v>
      </c>
      <c r="B109" s="7">
        <v>0.18971346318721746</v>
      </c>
      <c r="C109" s="7">
        <v>0.17242624796926975</v>
      </c>
      <c r="D109" s="7">
        <v>4.4250693793097852E-2</v>
      </c>
    </row>
    <row r="110" spans="1:4" x14ac:dyDescent="0.3">
      <c r="A110" s="3" t="s">
        <v>336</v>
      </c>
      <c r="B110" s="7">
        <v>0.20430463552474987</v>
      </c>
      <c r="C110" s="7">
        <v>0.18873186036944389</v>
      </c>
      <c r="D110" s="7">
        <v>5.9386441484093506E-2</v>
      </c>
    </row>
    <row r="111" spans="1:4" x14ac:dyDescent="0.3">
      <c r="A111" s="3" t="s">
        <v>335</v>
      </c>
      <c r="B111" s="7">
        <v>0.20692942291498193</v>
      </c>
      <c r="C111" s="7">
        <v>0.21618715114891537</v>
      </c>
      <c r="D111" s="7">
        <v>1.7873777697483727E-2</v>
      </c>
    </row>
    <row r="112" spans="1:4" x14ac:dyDescent="0.3">
      <c r="A112" s="3" t="s">
        <v>334</v>
      </c>
      <c r="B112" s="7">
        <v>0.20718719065189353</v>
      </c>
      <c r="C112" s="7">
        <v>0.20222606447835753</v>
      </c>
      <c r="D112" s="7">
        <v>2.72407010197642E-2</v>
      </c>
    </row>
    <row r="113" spans="1:4" x14ac:dyDescent="0.3">
      <c r="A113" s="3" t="s">
        <v>333</v>
      </c>
      <c r="B113" s="7">
        <v>0.30432927608489968</v>
      </c>
      <c r="C113" s="7">
        <v>0.2174487502003708</v>
      </c>
      <c r="D113" s="7">
        <v>8.6880525884528714E-2</v>
      </c>
    </row>
    <row r="114" spans="1:4" x14ac:dyDescent="0.3">
      <c r="A114" s="3" t="s">
        <v>332</v>
      </c>
      <c r="B114" s="7">
        <v>0.17079533264040914</v>
      </c>
      <c r="C114" s="7">
        <v>0.15713327936828139</v>
      </c>
      <c r="D114" s="7">
        <v>2.4316616977254329E-2</v>
      </c>
    </row>
    <row r="115" spans="1:4" x14ac:dyDescent="0.3">
      <c r="A115" s="3" t="s">
        <v>331</v>
      </c>
      <c r="B115" s="7">
        <v>9.9734921008348423E-2</v>
      </c>
      <c r="C115" s="7">
        <v>0.12024176027625803</v>
      </c>
      <c r="D115" s="7">
        <v>3.9278269124527733E-2</v>
      </c>
    </row>
    <row r="116" spans="1:4" x14ac:dyDescent="0.3">
      <c r="A116" s="3" t="s">
        <v>330</v>
      </c>
      <c r="B116" s="7">
        <v>0.13774943351745603</v>
      </c>
      <c r="C116" s="7">
        <v>0.15568669792264692</v>
      </c>
      <c r="D116" s="7">
        <v>2.2327173190812257E-2</v>
      </c>
    </row>
    <row r="117" spans="1:4" x14ac:dyDescent="0.3">
      <c r="A117" s="3" t="s">
        <v>329</v>
      </c>
      <c r="B117" s="7">
        <v>0.19361716508865354</v>
      </c>
      <c r="C117" s="7">
        <v>0.21559113791833315</v>
      </c>
      <c r="D117" s="7">
        <v>2.9594827132919901E-2</v>
      </c>
    </row>
    <row r="118" spans="1:4" x14ac:dyDescent="0.3">
      <c r="A118" s="3" t="s">
        <v>328</v>
      </c>
      <c r="B118" s="7">
        <v>0.27231676876544947</v>
      </c>
      <c r="C118" s="7">
        <v>0.23742989543825388</v>
      </c>
      <c r="D118" s="7">
        <v>3.4886873327195658E-2</v>
      </c>
    </row>
    <row r="119" spans="1:4" x14ac:dyDescent="0.3">
      <c r="A119" s="3" t="s">
        <v>327</v>
      </c>
      <c r="B119" s="7">
        <v>0.32688680291175848</v>
      </c>
      <c r="C119" s="7">
        <v>0.25170886206130194</v>
      </c>
      <c r="D119" s="7">
        <v>8.2192422822118097E-2</v>
      </c>
    </row>
    <row r="120" spans="1:4" x14ac:dyDescent="0.3">
      <c r="A120" s="3" t="s">
        <v>326</v>
      </c>
      <c r="B120" s="7">
        <v>0.17127970606088672</v>
      </c>
      <c r="C120" s="7">
        <v>0.16504570795223109</v>
      </c>
      <c r="D120" s="7">
        <v>5.4923690700283107E-2</v>
      </c>
    </row>
    <row r="121" spans="1:4" x14ac:dyDescent="0.3">
      <c r="A121" s="3" t="s">
        <v>129</v>
      </c>
      <c r="B121" s="7">
        <v>0.24607992917299262</v>
      </c>
      <c r="C121" s="7">
        <v>0.20277901676793927</v>
      </c>
      <c r="D121" s="7">
        <v>8.3425782000024817E-2</v>
      </c>
    </row>
    <row r="122" spans="1:4" x14ac:dyDescent="0.3">
      <c r="A122" s="3" t="s">
        <v>128</v>
      </c>
      <c r="B122" s="7">
        <v>0.30828937888145452</v>
      </c>
      <c r="C122" s="7">
        <v>0.25699923730765778</v>
      </c>
      <c r="D122" s="7">
        <v>0.21609756924832854</v>
      </c>
    </row>
    <row r="123" spans="1:4" x14ac:dyDescent="0.3">
      <c r="A123" s="3" t="s">
        <v>127</v>
      </c>
      <c r="B123" s="7">
        <v>0.33550521731376642</v>
      </c>
      <c r="C123" s="7">
        <v>0.27135845879092818</v>
      </c>
      <c r="D123" s="7">
        <v>9.8713228013366253E-2</v>
      </c>
    </row>
    <row r="124" spans="1:4" x14ac:dyDescent="0.3">
      <c r="A124" s="3" t="s">
        <v>126</v>
      </c>
      <c r="B124" s="7">
        <v>0.19033611193299274</v>
      </c>
      <c r="C124" s="7">
        <v>0.10998516584125667</v>
      </c>
      <c r="D124" s="7">
        <v>8.6345355104034002E-2</v>
      </c>
    </row>
    <row r="125" spans="1:4" x14ac:dyDescent="0.3">
      <c r="A125" s="3" t="s">
        <v>125</v>
      </c>
      <c r="B125" s="7">
        <v>0.15675149112939812</v>
      </c>
      <c r="C125" s="7">
        <v>0.1451063827456287</v>
      </c>
      <c r="D125" s="7">
        <v>6.6258404326315037E-2</v>
      </c>
    </row>
    <row r="126" spans="1:4" x14ac:dyDescent="0.3">
      <c r="A126" s="3" t="s">
        <v>124</v>
      </c>
      <c r="B126" s="7">
        <v>0.1196237094700338</v>
      </c>
      <c r="C126" s="7">
        <v>0.14576065571357807</v>
      </c>
      <c r="D126" s="7">
        <v>5.3332004385690059E-2</v>
      </c>
    </row>
    <row r="127" spans="1:4" x14ac:dyDescent="0.3">
      <c r="A127" s="3" t="s">
        <v>123</v>
      </c>
      <c r="B127" s="7">
        <v>0.19826494157314303</v>
      </c>
      <c r="C127" s="7">
        <v>0.20446167668948587</v>
      </c>
      <c r="D127" s="7">
        <v>3.5227430673937264E-2</v>
      </c>
    </row>
    <row r="128" spans="1:4" x14ac:dyDescent="0.3">
      <c r="A128" s="3" t="s">
        <v>122</v>
      </c>
      <c r="B128" s="7">
        <v>0.14192531630396851</v>
      </c>
      <c r="C128" s="7">
        <v>0.13395367826645579</v>
      </c>
      <c r="D128" s="7">
        <v>2.7244392627229302E-2</v>
      </c>
    </row>
    <row r="129" spans="1:4" x14ac:dyDescent="0.3">
      <c r="A129" s="3" t="s">
        <v>121</v>
      </c>
      <c r="B129" s="7">
        <v>0.1266867816448215</v>
      </c>
      <c r="C129" s="7">
        <v>0.17762309312820435</v>
      </c>
      <c r="D129" s="7">
        <v>5.0936311483382908E-2</v>
      </c>
    </row>
    <row r="130" spans="1:4" x14ac:dyDescent="0.3">
      <c r="A130" s="3" t="s">
        <v>120</v>
      </c>
      <c r="B130" s="7">
        <v>0.23578038066625592</v>
      </c>
      <c r="C130" s="7">
        <v>0.23056021705269805</v>
      </c>
      <c r="D130" s="7">
        <v>4.6847019344567996E-2</v>
      </c>
    </row>
    <row r="131" spans="1:4" x14ac:dyDescent="0.3">
      <c r="A131" s="3" t="s">
        <v>119</v>
      </c>
      <c r="B131" s="7">
        <v>0.31898318231105788</v>
      </c>
      <c r="C131" s="7">
        <v>0.25573115050792694</v>
      </c>
      <c r="D131" s="7">
        <v>9.8632410168648044E-2</v>
      </c>
    </row>
    <row r="132" spans="1:4" x14ac:dyDescent="0.3">
      <c r="A132" s="3" t="s">
        <v>118</v>
      </c>
      <c r="B132" s="7">
        <v>0.16829014942049977</v>
      </c>
      <c r="C132" s="7">
        <v>0.15079791921501356</v>
      </c>
      <c r="D132" s="7">
        <v>2.3467610434939504E-2</v>
      </c>
    </row>
    <row r="133" spans="1:4" x14ac:dyDescent="0.3">
      <c r="A133" s="3" t="s">
        <v>117</v>
      </c>
      <c r="B133" s="7">
        <v>6.6980559378862436E-2</v>
      </c>
      <c r="C133" s="7">
        <v>7.3155252301755166E-2</v>
      </c>
      <c r="D133" s="7">
        <v>1.0498459101654626E-2</v>
      </c>
    </row>
    <row r="134" spans="1:4" x14ac:dyDescent="0.3">
      <c r="A134" s="3" t="s">
        <v>116</v>
      </c>
      <c r="B134" s="7">
        <v>0.17030687630176547</v>
      </c>
      <c r="C134" s="7">
        <v>0.16077344026416535</v>
      </c>
      <c r="D134" s="7">
        <v>2.6321546174585677E-2</v>
      </c>
    </row>
    <row r="135" spans="1:4" x14ac:dyDescent="0.3">
      <c r="A135" s="3" t="s">
        <v>115</v>
      </c>
      <c r="B135" s="7">
        <v>0.14313936233520555</v>
      </c>
      <c r="C135" s="7">
        <v>0.15327946034570542</v>
      </c>
      <c r="D135" s="7">
        <v>1.9973360622922504E-2</v>
      </c>
    </row>
    <row r="136" spans="1:4" x14ac:dyDescent="0.3">
      <c r="A136" s="3" t="s">
        <v>114</v>
      </c>
      <c r="B136" s="7">
        <v>9.2297002673149053E-2</v>
      </c>
      <c r="C136" s="7">
        <v>0.12431720737367867</v>
      </c>
      <c r="D136" s="7">
        <v>3.2020204700529686E-2</v>
      </c>
    </row>
    <row r="137" spans="1:4" x14ac:dyDescent="0.3">
      <c r="A137" s="3" t="s">
        <v>113</v>
      </c>
      <c r="B137" s="7">
        <v>0.10449598729610443</v>
      </c>
      <c r="C137" s="7">
        <v>0.11488379879544169</v>
      </c>
      <c r="D137" s="7">
        <v>4.8800774229069359E-2</v>
      </c>
    </row>
    <row r="138" spans="1:4" x14ac:dyDescent="0.3">
      <c r="A138" s="3" t="s">
        <v>112</v>
      </c>
      <c r="B138" s="7">
        <v>8.6256921291351318E-2</v>
      </c>
      <c r="C138" s="7">
        <v>8.3238447550684228E-2</v>
      </c>
      <c r="D138" s="7">
        <v>0.11354855028912425</v>
      </c>
    </row>
    <row r="139" spans="1:4" x14ac:dyDescent="0.3">
      <c r="A139" s="3" t="s">
        <v>111</v>
      </c>
      <c r="B139" s="7">
        <v>0.10823183506727235</v>
      </c>
      <c r="C139" s="7">
        <v>0.15811003558337691</v>
      </c>
      <c r="D139" s="7">
        <v>7.0638498291373586E-2</v>
      </c>
    </row>
    <row r="140" spans="1:4" x14ac:dyDescent="0.3">
      <c r="A140" s="3" t="s">
        <v>110</v>
      </c>
      <c r="B140" s="7">
        <v>0.22895041108131406</v>
      </c>
      <c r="C140" s="7">
        <v>0.25667361542582517</v>
      </c>
      <c r="D140" s="7">
        <v>3.7082534283399748E-2</v>
      </c>
    </row>
    <row r="141" spans="1:4" x14ac:dyDescent="0.3">
      <c r="A141" s="3" t="s">
        <v>109</v>
      </c>
      <c r="B141" s="7">
        <v>0.23194596916437149</v>
      </c>
      <c r="C141" s="7">
        <v>0.18932861834764489</v>
      </c>
      <c r="D141" s="7">
        <v>4.2617350816726511E-2</v>
      </c>
    </row>
    <row r="142" spans="1:4" x14ac:dyDescent="0.3">
      <c r="A142" s="3" t="s">
        <v>108</v>
      </c>
      <c r="B142" s="7">
        <v>0.13520208746194845</v>
      </c>
      <c r="C142" s="7">
        <v>0.17962044477462769</v>
      </c>
      <c r="D142" s="7">
        <v>5.1036864519119325E-2</v>
      </c>
    </row>
    <row r="143" spans="1:4" x14ac:dyDescent="0.3">
      <c r="A143" s="3" t="s">
        <v>107</v>
      </c>
      <c r="B143" s="7">
        <v>0.24566919356584541</v>
      </c>
      <c r="C143" s="7">
        <v>0.25294306129217148</v>
      </c>
      <c r="D143" s="7">
        <v>4.3772161006927511E-2</v>
      </c>
    </row>
    <row r="144" spans="1:4" x14ac:dyDescent="0.3">
      <c r="A144" s="3" t="s">
        <v>106</v>
      </c>
      <c r="B144" s="7">
        <v>0.32315102219581604</v>
      </c>
      <c r="C144" s="7">
        <v>0.29354071617126476</v>
      </c>
      <c r="D144" s="7">
        <v>4.9988463521003779E-2</v>
      </c>
    </row>
    <row r="145" spans="1:4" x14ac:dyDescent="0.3">
      <c r="A145" s="3" t="s">
        <v>105</v>
      </c>
      <c r="B145" s="7">
        <v>0.28190156817436213</v>
      </c>
      <c r="C145" s="7">
        <v>0.20827270299196265</v>
      </c>
      <c r="D145" s="7">
        <v>7.3628865182399278E-2</v>
      </c>
    </row>
    <row r="146" spans="1:4" x14ac:dyDescent="0.3">
      <c r="A146" s="3" t="s">
        <v>104</v>
      </c>
      <c r="B146" s="7">
        <v>0.32261419296264643</v>
      </c>
      <c r="C146" s="7">
        <v>0.28373174369335175</v>
      </c>
      <c r="D146" s="7">
        <v>3.888244926929476E-2</v>
      </c>
    </row>
    <row r="147" spans="1:4" x14ac:dyDescent="0.3">
      <c r="A147" s="3" t="s">
        <v>103</v>
      </c>
      <c r="B147" s="7">
        <v>0.32725170254707359</v>
      </c>
      <c r="C147" s="7">
        <v>0.23928575217723866</v>
      </c>
      <c r="D147" s="7">
        <v>8.7965950369834678E-2</v>
      </c>
    </row>
    <row r="148" spans="1:4" x14ac:dyDescent="0.3">
      <c r="A148" s="3" t="s">
        <v>102</v>
      </c>
      <c r="B148" s="7">
        <v>0.24340275675058365</v>
      </c>
      <c r="C148" s="7">
        <v>0.19710743427276625</v>
      </c>
      <c r="D148" s="7">
        <v>4.629532247781723E-2</v>
      </c>
    </row>
    <row r="149" spans="1:4" x14ac:dyDescent="0.3">
      <c r="A149" s="3" t="s">
        <v>101</v>
      </c>
      <c r="B149" s="7">
        <v>0.19245583564043053</v>
      </c>
      <c r="C149" s="7">
        <v>0.15069058258086424</v>
      </c>
      <c r="D149" s="7">
        <v>5.1084267906844692E-2</v>
      </c>
    </row>
    <row r="150" spans="1:4" x14ac:dyDescent="0.3">
      <c r="A150" s="3" t="s">
        <v>100</v>
      </c>
      <c r="B150" s="7">
        <v>0.1190847679972649</v>
      </c>
      <c r="C150" s="7">
        <v>0.12063509505242097</v>
      </c>
      <c r="D150" s="7">
        <v>6.4696009270847066E-2</v>
      </c>
    </row>
    <row r="151" spans="1:4" x14ac:dyDescent="0.3">
      <c r="A151" s="3" t="s">
        <v>99</v>
      </c>
      <c r="B151" s="7">
        <v>0.16261740773916256</v>
      </c>
      <c r="C151" s="7">
        <v>0.16783564910292628</v>
      </c>
      <c r="D151" s="7">
        <v>2.4978969246149257E-2</v>
      </c>
    </row>
    <row r="152" spans="1:4" x14ac:dyDescent="0.3">
      <c r="A152" s="3" t="s">
        <v>98</v>
      </c>
      <c r="B152" s="7">
        <v>0.1879232302308079</v>
      </c>
      <c r="C152" s="7">
        <v>0.16921469382941723</v>
      </c>
      <c r="D152" s="7">
        <v>3.455172665417177E-2</v>
      </c>
    </row>
    <row r="153" spans="1:4" x14ac:dyDescent="0.3">
      <c r="A153" s="3" t="s">
        <v>97</v>
      </c>
      <c r="B153" s="7">
        <v>0.14600100368261337</v>
      </c>
      <c r="C153" s="7">
        <v>0.16639538481831564</v>
      </c>
      <c r="D153" s="7">
        <v>3.473776951432242E-2</v>
      </c>
    </row>
    <row r="154" spans="1:4" x14ac:dyDescent="0.3">
      <c r="A154" s="3" t="s">
        <v>96</v>
      </c>
      <c r="B154" s="7">
        <v>0.17119573056697837</v>
      </c>
      <c r="C154" s="7">
        <v>0.16811999678611764</v>
      </c>
      <c r="D154" s="7">
        <v>2.0954132080077997E-2</v>
      </c>
    </row>
    <row r="155" spans="1:4" x14ac:dyDescent="0.3">
      <c r="A155" s="3" t="s">
        <v>95</v>
      </c>
      <c r="B155" s="7">
        <v>0.17976593971252444</v>
      </c>
      <c r="C155" s="7">
        <v>0.20339476317167279</v>
      </c>
      <c r="D155" s="7">
        <v>2.6738457381725242E-2</v>
      </c>
    </row>
    <row r="156" spans="1:4" x14ac:dyDescent="0.3">
      <c r="A156" s="3" t="s">
        <v>94</v>
      </c>
      <c r="B156" s="7">
        <v>0.25586418807506578</v>
      </c>
      <c r="C156" s="7">
        <v>0.19207989796996108</v>
      </c>
      <c r="D156" s="7">
        <v>7.7836085110902925E-2</v>
      </c>
    </row>
    <row r="157" spans="1:4" x14ac:dyDescent="0.3">
      <c r="A157" s="3" t="s">
        <v>93</v>
      </c>
      <c r="B157" s="7">
        <v>8.8812716305255876E-2</v>
      </c>
      <c r="C157" s="7">
        <v>0.1240462809801101</v>
      </c>
      <c r="D157" s="7">
        <v>5.1431115716695751E-2</v>
      </c>
    </row>
    <row r="158" spans="1:4" x14ac:dyDescent="0.3">
      <c r="A158" s="3" t="s">
        <v>92</v>
      </c>
      <c r="B158" s="7">
        <v>8.1747531890869155E-2</v>
      </c>
      <c r="C158" s="7">
        <v>9.3221859540790306E-2</v>
      </c>
      <c r="D158" s="7">
        <v>5.9541346039623098E-2</v>
      </c>
    </row>
    <row r="159" spans="1:4" x14ac:dyDescent="0.3">
      <c r="A159" s="3" t="s">
        <v>91</v>
      </c>
      <c r="B159" s="7">
        <v>0.16443911939859401</v>
      </c>
      <c r="C159" s="7">
        <v>0.15341431275010128</v>
      </c>
      <c r="D159" s="7">
        <v>1.597345247864727E-2</v>
      </c>
    </row>
    <row r="160" spans="1:4" x14ac:dyDescent="0.3">
      <c r="A160" s="3" t="s">
        <v>90</v>
      </c>
      <c r="B160" s="7">
        <v>0.15118119865655899</v>
      </c>
      <c r="C160" s="7">
        <v>0.14648957177996616</v>
      </c>
      <c r="D160" s="7">
        <v>3.3610928803682431E-2</v>
      </c>
    </row>
    <row r="161" spans="1:4" x14ac:dyDescent="0.3">
      <c r="A161" s="3" t="s">
        <v>89</v>
      </c>
      <c r="B161" s="7">
        <v>0.1188187822699545</v>
      </c>
      <c r="C161" s="7">
        <v>0.20877040177583683</v>
      </c>
      <c r="D161" s="7">
        <v>8.9951619505882222E-2</v>
      </c>
    </row>
    <row r="162" spans="1:4" x14ac:dyDescent="0.3">
      <c r="A162" s="3" t="s">
        <v>88</v>
      </c>
      <c r="B162" s="7">
        <v>0.2839791923761365</v>
      </c>
      <c r="C162" s="7">
        <v>0.21571754291653625</v>
      </c>
      <c r="D162" s="7">
        <v>6.8412389606237217E-2</v>
      </c>
    </row>
    <row r="163" spans="1:4" x14ac:dyDescent="0.3">
      <c r="A163" s="3" t="s">
        <v>87</v>
      </c>
      <c r="B163" s="7">
        <v>0.27550549805164343</v>
      </c>
      <c r="C163" s="7">
        <v>0.21156363934278477</v>
      </c>
      <c r="D163" s="7">
        <v>6.394185870885874E-2</v>
      </c>
    </row>
    <row r="164" spans="1:4" x14ac:dyDescent="0.3">
      <c r="A164" s="3" t="s">
        <v>86</v>
      </c>
      <c r="B164" s="7">
        <v>0.17275777459144595</v>
      </c>
      <c r="C164" s="7">
        <v>0.18890886753797528</v>
      </c>
      <c r="D164" s="7">
        <v>1.6151092946529246E-2</v>
      </c>
    </row>
    <row r="165" spans="1:4" x14ac:dyDescent="0.3">
      <c r="A165" s="3" t="s">
        <v>85</v>
      </c>
      <c r="B165" s="7">
        <v>0.23239880800247192</v>
      </c>
      <c r="C165" s="7">
        <v>0.23299040272831917</v>
      </c>
      <c r="D165" s="7">
        <v>9.7585134208202466E-3</v>
      </c>
    </row>
    <row r="166" spans="1:4" x14ac:dyDescent="0.3">
      <c r="A166" s="3" t="s">
        <v>84</v>
      </c>
      <c r="B166" s="7">
        <v>0.21720372140407573</v>
      </c>
      <c r="C166" s="7">
        <v>0.18382528983056556</v>
      </c>
      <c r="D166" s="7">
        <v>4.8101285472512356E-2</v>
      </c>
    </row>
    <row r="167" spans="1:4" x14ac:dyDescent="0.3">
      <c r="A167" s="3" t="s">
        <v>83</v>
      </c>
      <c r="B167" s="7">
        <v>0.22340749949216823</v>
      </c>
      <c r="C167" s="7">
        <v>0.20712013915181152</v>
      </c>
      <c r="D167" s="7">
        <v>3.5717252641916018E-2</v>
      </c>
    </row>
    <row r="168" spans="1:4" x14ac:dyDescent="0.3">
      <c r="A168" s="3" t="s">
        <v>82</v>
      </c>
      <c r="B168" s="7">
        <v>0.24426013231277488</v>
      </c>
      <c r="C168" s="7">
        <v>0.26262066885828961</v>
      </c>
      <c r="D168" s="7">
        <v>2.2472050040959996E-2</v>
      </c>
    </row>
    <row r="169" spans="1:4" x14ac:dyDescent="0.3">
      <c r="A169" s="3" t="s">
        <v>81</v>
      </c>
      <c r="B169" s="7">
        <v>0.28015540540218331</v>
      </c>
      <c r="C169" s="7">
        <v>0.16221276484429845</v>
      </c>
      <c r="D169" s="7">
        <v>0.11794264055788496</v>
      </c>
    </row>
    <row r="170" spans="1:4" x14ac:dyDescent="0.3">
      <c r="A170" s="3" t="s">
        <v>80</v>
      </c>
      <c r="B170" s="7">
        <v>9.0959340333938557E-2</v>
      </c>
      <c r="C170" s="7">
        <v>0.11002539470791824</v>
      </c>
      <c r="D170" s="7">
        <v>6.3664007931947764E-2</v>
      </c>
    </row>
    <row r="171" spans="1:4" x14ac:dyDescent="0.3">
      <c r="A171" s="3" t="s">
        <v>79</v>
      </c>
      <c r="B171" s="7">
        <v>0.15494013950228688</v>
      </c>
      <c r="C171" s="7">
        <v>0.13776825182139868</v>
      </c>
      <c r="D171" s="7">
        <v>5.1251055672764806E-2</v>
      </c>
    </row>
    <row r="172" spans="1:4" x14ac:dyDescent="0.3">
      <c r="A172" s="3" t="s">
        <v>78</v>
      </c>
      <c r="B172" s="7">
        <v>0.19350823760032657</v>
      </c>
      <c r="C172" s="7">
        <v>0.18210000172257421</v>
      </c>
      <c r="D172" s="7">
        <v>1.7318431288003741E-2</v>
      </c>
    </row>
    <row r="173" spans="1:4" x14ac:dyDescent="0.3">
      <c r="A173" s="3" t="s">
        <v>77</v>
      </c>
      <c r="B173" s="7">
        <v>0.14282697439193739</v>
      </c>
      <c r="C173" s="7">
        <v>9.2451170086860504E-2</v>
      </c>
      <c r="D173" s="7">
        <v>5.8875434100628003E-2</v>
      </c>
    </row>
    <row r="174" spans="1:4" x14ac:dyDescent="0.3">
      <c r="A174" s="3" t="s">
        <v>76</v>
      </c>
      <c r="B174" s="7">
        <v>1.2938849627971647E-2</v>
      </c>
      <c r="C174" s="7">
        <v>8.3076594397425624E-2</v>
      </c>
      <c r="D174" s="7">
        <v>7.0137744769453975E-2</v>
      </c>
    </row>
    <row r="175" spans="1:4" x14ac:dyDescent="0.3">
      <c r="A175" s="3" t="s">
        <v>75</v>
      </c>
      <c r="B175" s="7">
        <v>9.1506510972976629E-2</v>
      </c>
      <c r="C175" s="7">
        <v>0.10581652447581297</v>
      </c>
      <c r="D175" s="7">
        <v>4.1480671614408368E-2</v>
      </c>
    </row>
    <row r="176" spans="1:4" x14ac:dyDescent="0.3">
      <c r="A176" s="3" t="s">
        <v>74</v>
      </c>
      <c r="B176" s="7">
        <v>0.16075980663299547</v>
      </c>
      <c r="C176" s="7">
        <v>0.17225186899304348</v>
      </c>
      <c r="D176" s="7">
        <v>3.4959200769662614E-2</v>
      </c>
    </row>
    <row r="177" spans="1:4" x14ac:dyDescent="0.3">
      <c r="A177" s="3" t="s">
        <v>73</v>
      </c>
      <c r="B177" s="7">
        <v>0.17035305500030537</v>
      </c>
      <c r="C177" s="7">
        <v>0.17243648320436469</v>
      </c>
      <c r="D177" s="7">
        <v>1.494944095611575E-2</v>
      </c>
    </row>
    <row r="178" spans="1:4" x14ac:dyDescent="0.3">
      <c r="A178" s="3" t="s">
        <v>72</v>
      </c>
      <c r="B178" s="7">
        <v>0.15810789167881001</v>
      </c>
      <c r="C178" s="7">
        <v>0.18796653673052791</v>
      </c>
      <c r="D178" s="7">
        <v>2.9858645051717998E-2</v>
      </c>
    </row>
    <row r="179" spans="1:4" x14ac:dyDescent="0.3">
      <c r="A179" s="3" t="s">
        <v>71</v>
      </c>
      <c r="B179" s="7">
        <v>0.13982269912958156</v>
      </c>
      <c r="C179" s="7">
        <v>0.14659023471176624</v>
      </c>
      <c r="D179" s="7">
        <v>1.2813439592718752E-2</v>
      </c>
    </row>
    <row r="180" spans="1:4" x14ac:dyDescent="0.3">
      <c r="A180" s="3" t="s">
        <v>70</v>
      </c>
      <c r="B180" s="7">
        <v>0.15810380876064303</v>
      </c>
      <c r="C180" s="7">
        <v>0.136763988994062</v>
      </c>
      <c r="D180" s="7">
        <v>5.6700044311583077E-2</v>
      </c>
    </row>
    <row r="181" spans="1:4" x14ac:dyDescent="0.3">
      <c r="A181" s="3" t="s">
        <v>69</v>
      </c>
      <c r="B181" s="7">
        <v>0.1240177601575851</v>
      </c>
      <c r="C181" s="7">
        <v>0.15504790097475044</v>
      </c>
      <c r="D181" s="7">
        <v>4.0563069283962264E-2</v>
      </c>
    </row>
    <row r="182" spans="1:4" x14ac:dyDescent="0.3">
      <c r="A182" s="3" t="s">
        <v>68</v>
      </c>
      <c r="B182" s="7">
        <v>0.21031094342470161</v>
      </c>
      <c r="C182" s="7">
        <v>0.2017610818147659</v>
      </c>
      <c r="D182" s="7">
        <v>3.6673940718174008E-2</v>
      </c>
    </row>
    <row r="183" spans="1:4" x14ac:dyDescent="0.3">
      <c r="A183" s="3" t="s">
        <v>67</v>
      </c>
      <c r="B183" s="7">
        <v>0.18864858895540246</v>
      </c>
      <c r="C183" s="7">
        <v>0.17984208278357991</v>
      </c>
      <c r="D183" s="7">
        <v>2.1966157481074503E-2</v>
      </c>
    </row>
    <row r="184" spans="1:4" x14ac:dyDescent="0.3">
      <c r="A184" s="3" t="s">
        <v>66</v>
      </c>
      <c r="B184" s="7">
        <v>0.17522086203098319</v>
      </c>
      <c r="C184" s="7">
        <v>0.15889410302042953</v>
      </c>
      <c r="D184" s="7">
        <v>4.4392202049493512E-2</v>
      </c>
    </row>
    <row r="185" spans="1:4" x14ac:dyDescent="0.3">
      <c r="A185" s="3" t="s">
        <v>65</v>
      </c>
      <c r="B185" s="7">
        <v>7.6051913201809096E-2</v>
      </c>
      <c r="C185" s="7">
        <v>7.8021777793764957E-2</v>
      </c>
      <c r="D185" s="7">
        <v>7.7709478326141765E-2</v>
      </c>
    </row>
    <row r="186" spans="1:4" x14ac:dyDescent="0.3">
      <c r="A186" s="3" t="s">
        <v>38</v>
      </c>
      <c r="B186" s="7">
        <v>0.18267657219067865</v>
      </c>
      <c r="C186" s="7">
        <v>0.1733300108920483</v>
      </c>
      <c r="D186" s="7">
        <v>5.4414377164995538E-2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0"/>
  <sheetViews>
    <sheetView zoomScale="85" zoomScaleNormal="85" workbookViewId="0">
      <selection activeCell="B56" sqref="B56"/>
    </sheetView>
  </sheetViews>
  <sheetFormatPr defaultRowHeight="14.4" x14ac:dyDescent="0.3"/>
  <cols>
    <col min="1" max="1" width="13.44140625" customWidth="1"/>
    <col min="2" max="2" width="20.5546875" bestFit="1" customWidth="1"/>
    <col min="3" max="3" width="23.33203125" bestFit="1" customWidth="1"/>
    <col min="4" max="4" width="19.5546875" bestFit="1" customWidth="1"/>
    <col min="5" max="5" width="20.33203125" customWidth="1"/>
    <col min="6" max="6" width="19.5546875" customWidth="1"/>
    <col min="7" max="7" width="12.6640625" customWidth="1"/>
    <col min="8" max="8" width="9" customWidth="1"/>
    <col min="15" max="15" width="12.5546875" bestFit="1" customWidth="1"/>
  </cols>
  <sheetData>
    <row r="1" spans="1:8" x14ac:dyDescent="0.3">
      <c r="A1" s="2" t="s">
        <v>37</v>
      </c>
      <c r="B1" t="s">
        <v>136</v>
      </c>
      <c r="C1" t="s">
        <v>135</v>
      </c>
      <c r="D1" t="s">
        <v>134</v>
      </c>
      <c r="G1" s="11" t="s">
        <v>133</v>
      </c>
      <c r="H1" s="18">
        <f>GETPIVOTDATA("Average of ERRORTR",$A$1)</f>
        <v>5.4415714048384101E-4</v>
      </c>
    </row>
    <row r="2" spans="1:8" x14ac:dyDescent="0.3">
      <c r="A2" s="3" t="s">
        <v>460</v>
      </c>
      <c r="B2" s="7">
        <v>2.34216964547185E-5</v>
      </c>
      <c r="C2" s="7">
        <v>2.9230294235212149E-5</v>
      </c>
      <c r="D2" s="7">
        <v>3.9799526852630455E-4</v>
      </c>
    </row>
    <row r="3" spans="1:8" x14ac:dyDescent="0.3">
      <c r="A3" s="3" t="s">
        <v>461</v>
      </c>
      <c r="B3" s="7">
        <v>2.2871352300263843E-5</v>
      </c>
      <c r="C3" s="7">
        <v>2.6048701548138645E-5</v>
      </c>
      <c r="D3" s="7">
        <v>6.9031901244137736E-4</v>
      </c>
      <c r="H3" s="11"/>
    </row>
    <row r="4" spans="1:8" x14ac:dyDescent="0.3">
      <c r="A4" s="3" t="s">
        <v>38</v>
      </c>
      <c r="B4" s="7">
        <v>2.3146524377491165E-5</v>
      </c>
      <c r="C4" s="7">
        <v>2.7644190506258099E-5</v>
      </c>
      <c r="D4" s="7">
        <v>5.4415714048384101E-4</v>
      </c>
    </row>
    <row r="30" spans="16:16" x14ac:dyDescent="0.3">
      <c r="P30" s="18"/>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0"/>
  <sheetViews>
    <sheetView tabSelected="1" zoomScale="85" zoomScaleNormal="85" workbookViewId="0">
      <selection activeCell="C6" sqref="C6"/>
    </sheetView>
  </sheetViews>
  <sheetFormatPr defaultRowHeight="14.4" x14ac:dyDescent="0.3"/>
  <cols>
    <col min="1" max="1" width="13.44140625" customWidth="1"/>
    <col min="2" max="2" width="23" bestFit="1" customWidth="1"/>
    <col min="3" max="3" width="25.77734375" bestFit="1" customWidth="1"/>
    <col min="4" max="4" width="21.88671875" bestFit="1" customWidth="1"/>
    <col min="5" max="6" width="19.5546875" customWidth="1"/>
    <col min="7" max="7" width="12.6640625" customWidth="1"/>
    <col min="8" max="8" width="9" customWidth="1"/>
    <col min="15" max="15" width="12.5546875" bestFit="1" customWidth="1"/>
  </cols>
  <sheetData>
    <row r="1" spans="1:8" x14ac:dyDescent="0.3">
      <c r="A1" s="2" t="s">
        <v>37</v>
      </c>
      <c r="B1" t="s">
        <v>140</v>
      </c>
      <c r="C1" t="s">
        <v>139</v>
      </c>
      <c r="D1" t="s">
        <v>138</v>
      </c>
      <c r="G1" s="11" t="s">
        <v>137</v>
      </c>
      <c r="H1" s="18">
        <f>GETPIVOTDATA("Average of ERRORBASE",$A$1)</f>
        <v>5.4415856443693392E-4</v>
      </c>
    </row>
    <row r="2" spans="1:8" x14ac:dyDescent="0.3">
      <c r="A2" s="3" t="s">
        <v>460</v>
      </c>
      <c r="B2" s="7"/>
      <c r="C2" s="7"/>
      <c r="D2" s="7"/>
    </row>
    <row r="3" spans="1:8" x14ac:dyDescent="0.3">
      <c r="A3" s="25">
        <v>1</v>
      </c>
      <c r="B3" s="7">
        <v>1.1521718326038208</v>
      </c>
      <c r="C3" s="7">
        <v>1.1519699955103444</v>
      </c>
      <c r="D3" s="7">
        <v>4.14238592225185E-4</v>
      </c>
      <c r="H3" s="11"/>
    </row>
    <row r="4" spans="1:8" x14ac:dyDescent="0.3">
      <c r="A4" s="25">
        <v>2</v>
      </c>
      <c r="B4" s="7">
        <v>1.1505871378425239</v>
      </c>
      <c r="C4" s="7">
        <v>1.1503731557551553</v>
      </c>
      <c r="D4" s="7">
        <v>3.8175441561242359E-4</v>
      </c>
    </row>
    <row r="5" spans="1:8" x14ac:dyDescent="0.3">
      <c r="A5" s="3" t="s">
        <v>461</v>
      </c>
      <c r="B5" s="7"/>
      <c r="C5" s="7"/>
      <c r="D5" s="7"/>
    </row>
    <row r="6" spans="1:8" x14ac:dyDescent="0.3">
      <c r="A6" s="25">
        <v>1</v>
      </c>
      <c r="B6" s="7">
        <v>1.1521954150141582</v>
      </c>
      <c r="C6" s="7">
        <v>1.1519243914994026</v>
      </c>
      <c r="D6" s="7">
        <v>7.4551532429355163E-4</v>
      </c>
    </row>
    <row r="7" spans="1:8" x14ac:dyDescent="0.3">
      <c r="A7" s="25">
        <v>2</v>
      </c>
      <c r="B7" s="7">
        <v>1.150609298136787</v>
      </c>
      <c r="C7" s="7">
        <v>1.1503300668278624</v>
      </c>
      <c r="D7" s="7">
        <v>6.3512592561657465E-4</v>
      </c>
    </row>
    <row r="8" spans="1:8" x14ac:dyDescent="0.3">
      <c r="A8" s="3" t="s">
        <v>38</v>
      </c>
      <c r="B8" s="7">
        <v>1.1513909208993225</v>
      </c>
      <c r="C8" s="7">
        <v>1.1511494678059628</v>
      </c>
      <c r="D8" s="7">
        <v>5.4415856443693392E-4</v>
      </c>
    </row>
    <row r="30" spans="16:16" x14ac:dyDescent="0.3">
      <c r="P30" s="18"/>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X9802"/>
  <sheetViews>
    <sheetView topLeftCell="O1" zoomScale="85" zoomScaleNormal="85" workbookViewId="0">
      <selection activeCell="P2" sqref="P2"/>
    </sheetView>
  </sheetViews>
  <sheetFormatPr defaultRowHeight="14.4" x14ac:dyDescent="0.3"/>
  <cols>
    <col min="1" max="1" width="15.44140625" hidden="1" customWidth="1"/>
    <col min="2" max="2" width="12.6640625" hidden="1" customWidth="1"/>
    <col min="3" max="3" width="11.6640625" hidden="1" customWidth="1"/>
    <col min="4" max="4" width="14.109375" hidden="1" customWidth="1"/>
    <col min="5" max="5" width="15.6640625" hidden="1" customWidth="1"/>
    <col min="6" max="6" width="12" hidden="1" customWidth="1"/>
    <col min="7" max="7" width="13.109375" hidden="1" customWidth="1"/>
    <col min="8" max="9" width="12" hidden="1" customWidth="1"/>
    <col min="10" max="10" width="12.6640625" hidden="1" customWidth="1"/>
    <col min="11" max="11" width="12" hidden="1" customWidth="1"/>
    <col min="12" max="12" width="14.6640625" hidden="1" customWidth="1"/>
    <col min="13" max="14" width="15.109375" hidden="1" customWidth="1"/>
    <col min="15" max="15" width="15.109375" customWidth="1"/>
    <col min="16" max="16" width="16.109375" customWidth="1"/>
    <col min="17" max="18" width="7.6640625" customWidth="1"/>
    <col min="19" max="19" width="8.88671875" bestFit="1" customWidth="1"/>
    <col min="20" max="21" width="7.6640625" customWidth="1"/>
    <col min="22" max="22" width="8.88671875" bestFit="1" customWidth="1"/>
    <col min="23" max="23" width="7.5546875" customWidth="1"/>
    <col min="25" max="25" width="15.88671875" hidden="1" customWidth="1"/>
    <col min="26" max="26" width="13.33203125" hidden="1" customWidth="1"/>
    <col min="27" max="27" width="12.6640625" hidden="1" customWidth="1"/>
    <col min="28" max="28" width="14.6640625" hidden="1" customWidth="1"/>
    <col min="29" max="29" width="16.109375" hidden="1" customWidth="1"/>
    <col min="30" max="30" width="12.44140625" hidden="1" customWidth="1"/>
    <col min="31" max="31" width="13.88671875" hidden="1" customWidth="1"/>
    <col min="32" max="33" width="12.44140625" hidden="1" customWidth="1"/>
    <col min="34" max="34" width="13.44140625" hidden="1" customWidth="1"/>
    <col min="35" max="35" width="12.44140625" hidden="1" customWidth="1"/>
    <col min="36" max="36" width="15.5546875" hidden="1" customWidth="1"/>
    <col min="37" max="37" width="16.109375" hidden="1" customWidth="1"/>
    <col min="38" max="38" width="12.5546875" hidden="1" customWidth="1"/>
    <col min="39" max="39" width="16" customWidth="1"/>
    <col min="40" max="41" width="7.6640625" customWidth="1"/>
    <col min="42" max="42" width="8.88671875" customWidth="1"/>
    <col min="43" max="44" width="7.6640625" customWidth="1"/>
    <col min="45" max="45" width="8.88671875" customWidth="1"/>
    <col min="46" max="46" width="6.44140625" customWidth="1"/>
    <col min="47" max="47" width="7.44140625" customWidth="1"/>
    <col min="48" max="48" width="6.44140625" customWidth="1"/>
  </cols>
  <sheetData>
    <row r="1" spans="1:50" x14ac:dyDescent="0.3">
      <c r="A1" t="s">
        <v>0</v>
      </c>
      <c r="B1" t="s">
        <v>1</v>
      </c>
      <c r="C1" t="s">
        <v>2</v>
      </c>
      <c r="D1" t="s">
        <v>3</v>
      </c>
      <c r="E1" t="s">
        <v>4</v>
      </c>
      <c r="F1" t="s">
        <v>5</v>
      </c>
      <c r="G1" t="s">
        <v>6</v>
      </c>
      <c r="H1" t="s">
        <v>7</v>
      </c>
      <c r="I1" t="s">
        <v>8</v>
      </c>
      <c r="J1" t="s">
        <v>9</v>
      </c>
      <c r="K1" t="s">
        <v>10</v>
      </c>
      <c r="L1" t="s">
        <v>11</v>
      </c>
      <c r="M1" t="s">
        <v>12</v>
      </c>
      <c r="P1" s="2" t="s">
        <v>37</v>
      </c>
      <c r="Q1" t="s">
        <v>39</v>
      </c>
      <c r="R1" t="s">
        <v>40</v>
      </c>
      <c r="S1" t="s">
        <v>41</v>
      </c>
      <c r="T1" t="s">
        <v>42</v>
      </c>
      <c r="U1" t="s">
        <v>43</v>
      </c>
      <c r="V1" t="s">
        <v>44</v>
      </c>
      <c r="X1" s="8">
        <v>9422</v>
      </c>
      <c r="Y1" t="s">
        <v>0</v>
      </c>
      <c r="Z1" t="s">
        <v>1</v>
      </c>
      <c r="AA1" t="s">
        <v>2</v>
      </c>
      <c r="AB1" t="s">
        <v>3</v>
      </c>
      <c r="AC1" t="s">
        <v>4</v>
      </c>
      <c r="AD1" t="s">
        <v>5</v>
      </c>
      <c r="AE1" t="s">
        <v>6</v>
      </c>
      <c r="AF1" t="s">
        <v>7</v>
      </c>
      <c r="AG1" t="s">
        <v>8</v>
      </c>
      <c r="AH1" t="s">
        <v>9</v>
      </c>
      <c r="AI1" t="s">
        <v>10</v>
      </c>
      <c r="AJ1" t="s">
        <v>11</v>
      </c>
      <c r="AK1" t="s">
        <v>12</v>
      </c>
      <c r="AL1" t="s">
        <v>456</v>
      </c>
      <c r="AM1" s="2" t="s">
        <v>37</v>
      </c>
      <c r="AN1" t="s">
        <v>39</v>
      </c>
      <c r="AO1" t="s">
        <v>40</v>
      </c>
      <c r="AP1" t="s">
        <v>41</v>
      </c>
      <c r="AQ1" t="s">
        <v>42</v>
      </c>
      <c r="AR1" t="s">
        <v>43</v>
      </c>
      <c r="AS1" t="s">
        <v>44</v>
      </c>
      <c r="AT1" t="s">
        <v>45</v>
      </c>
      <c r="AW1" s="11" t="s">
        <v>46</v>
      </c>
      <c r="AX1" s="12">
        <f>SUM($AU:$AU)-GETPIVOTDATA("profit",$AM$1)</f>
        <v>34.333333333333336</v>
      </c>
    </row>
    <row r="2" spans="1:50" x14ac:dyDescent="0.3">
      <c r="A2" s="1">
        <v>43812.615347222221</v>
      </c>
      <c r="B2">
        <v>7636</v>
      </c>
      <c r="C2">
        <v>416</v>
      </c>
      <c r="D2">
        <v>0</v>
      </c>
      <c r="E2" t="s">
        <v>20</v>
      </c>
      <c r="F2">
        <v>1.17044997215271</v>
      </c>
      <c r="G2">
        <v>1.17061066627502</v>
      </c>
      <c r="H2">
        <v>1.6069412231000001E-4</v>
      </c>
      <c r="I2">
        <v>1.1694699525833101</v>
      </c>
      <c r="J2">
        <v>1.16958785057068</v>
      </c>
      <c r="K2">
        <v>1.1789798737E-4</v>
      </c>
      <c r="O2" s="4">
        <v>6522</v>
      </c>
      <c r="P2" s="3" t="s">
        <v>13</v>
      </c>
      <c r="Q2" s="7">
        <v>1.17091000080109</v>
      </c>
      <c r="R2" s="7"/>
      <c r="S2" s="7"/>
      <c r="T2" s="7">
        <v>1.1702200174331701</v>
      </c>
      <c r="U2" s="7"/>
      <c r="V2" s="7"/>
      <c r="W2" s="7"/>
      <c r="Y2" s="1">
        <v>43811.9533912037</v>
      </c>
      <c r="Z2">
        <v>9422</v>
      </c>
      <c r="AA2">
        <v>7184</v>
      </c>
      <c r="AB2">
        <v>0</v>
      </c>
      <c r="AC2" t="s">
        <v>13</v>
      </c>
      <c r="AD2">
        <v>1.17091000080109</v>
      </c>
      <c r="AG2">
        <v>1.1702200174331701</v>
      </c>
      <c r="AJ2">
        <v>0</v>
      </c>
      <c r="AK2">
        <v>-1</v>
      </c>
      <c r="AL2" t="s">
        <v>457</v>
      </c>
      <c r="AM2" s="3" t="s">
        <v>13</v>
      </c>
      <c r="AN2" s="7">
        <v>1.17091000080109</v>
      </c>
      <c r="AO2" s="7"/>
      <c r="AP2" s="7"/>
      <c r="AQ2" s="7">
        <v>1.1702200174331701</v>
      </c>
      <c r="AR2" s="7"/>
      <c r="AS2" s="7"/>
      <c r="AT2" s="10">
        <v>0</v>
      </c>
    </row>
    <row r="3" spans="1:50" x14ac:dyDescent="0.3">
      <c r="A3" s="1">
        <v>43812.615254629629</v>
      </c>
      <c r="B3">
        <v>16772</v>
      </c>
      <c r="C3">
        <v>1140</v>
      </c>
      <c r="D3">
        <v>0</v>
      </c>
      <c r="E3" t="s">
        <v>17</v>
      </c>
      <c r="F3">
        <v>1.17127001285553</v>
      </c>
      <c r="G3">
        <v>1.17082095146179</v>
      </c>
      <c r="H3">
        <v>4.4906139374000002E-4</v>
      </c>
      <c r="I3">
        <v>1.1701200008392301</v>
      </c>
      <c r="J3">
        <v>1.17066562175751</v>
      </c>
      <c r="K3">
        <v>5.4562091828000002E-4</v>
      </c>
      <c r="O3" s="5">
        <v>12072</v>
      </c>
      <c r="P3" s="3" t="s">
        <v>14</v>
      </c>
      <c r="Q3" s="7">
        <v>1.1708300113678001</v>
      </c>
      <c r="R3" s="7">
        <v>1.1707448959350599</v>
      </c>
      <c r="S3" s="7">
        <v>8.5115432740000003E-5</v>
      </c>
      <c r="T3" s="7">
        <v>1.17041003704071</v>
      </c>
      <c r="U3" s="7">
        <v>1.1696021556854199</v>
      </c>
      <c r="V3" s="7">
        <v>8.0788135528999999E-4</v>
      </c>
      <c r="W3" s="7"/>
      <c r="Y3" s="1">
        <v>43811.9534375</v>
      </c>
      <c r="Z3">
        <v>9422</v>
      </c>
      <c r="AA3">
        <v>7184</v>
      </c>
      <c r="AB3">
        <v>0</v>
      </c>
      <c r="AC3" t="s">
        <v>13</v>
      </c>
      <c r="AD3">
        <v>1.17091000080109</v>
      </c>
      <c r="AG3">
        <v>1.1702200174331701</v>
      </c>
      <c r="AJ3">
        <v>0</v>
      </c>
      <c r="AK3">
        <v>-1</v>
      </c>
      <c r="AL3" t="s">
        <v>457</v>
      </c>
      <c r="AM3" s="3" t="s">
        <v>14</v>
      </c>
      <c r="AN3" s="7">
        <v>1.1708300113678005</v>
      </c>
      <c r="AO3" s="7">
        <v>1.1709315776824996</v>
      </c>
      <c r="AP3" s="7">
        <v>1.015663147E-4</v>
      </c>
      <c r="AQ3" s="7">
        <v>1.1704100370407102</v>
      </c>
      <c r="AR3" s="7">
        <v>1.1705574989318805</v>
      </c>
      <c r="AS3" s="7">
        <v>1.4746189117000001E-4</v>
      </c>
      <c r="AT3" s="10">
        <v>0</v>
      </c>
    </row>
    <row r="4" spans="1:50" x14ac:dyDescent="0.3">
      <c r="A4" s="1">
        <v>43812.615451388891</v>
      </c>
      <c r="B4">
        <v>12468</v>
      </c>
      <c r="C4">
        <v>3104</v>
      </c>
      <c r="D4">
        <v>0</v>
      </c>
      <c r="E4" t="s">
        <v>23</v>
      </c>
      <c r="F4">
        <v>1.17051005363464</v>
      </c>
      <c r="G4">
        <v>1.17035579681396</v>
      </c>
      <c r="H4">
        <v>1.5425682068E-4</v>
      </c>
      <c r="I4">
        <v>1.168830037117</v>
      </c>
      <c r="J4">
        <v>1.16945600509644</v>
      </c>
      <c r="K4">
        <v>6.2596797943999998E-4</v>
      </c>
      <c r="O4" s="5">
        <v>11060</v>
      </c>
      <c r="P4" s="3" t="s">
        <v>15</v>
      </c>
      <c r="Q4" s="7">
        <v>1.1709300279617301</v>
      </c>
      <c r="R4" s="7">
        <v>1.1709789037704501</v>
      </c>
      <c r="S4" s="7">
        <v>4.887580872E-5</v>
      </c>
      <c r="T4" s="7">
        <v>1.1705399751663199</v>
      </c>
      <c r="U4" s="7">
        <v>1.17036151885986</v>
      </c>
      <c r="V4" s="7">
        <v>1.7845630646E-4</v>
      </c>
      <c r="W4" s="7"/>
      <c r="Y4" s="1">
        <v>43811.95349537037</v>
      </c>
      <c r="Z4">
        <v>9422</v>
      </c>
      <c r="AA4">
        <v>7184</v>
      </c>
      <c r="AB4">
        <v>0</v>
      </c>
      <c r="AC4" t="s">
        <v>13</v>
      </c>
      <c r="AD4">
        <v>1.17091000080109</v>
      </c>
      <c r="AG4">
        <v>1.1702200174331701</v>
      </c>
      <c r="AJ4">
        <v>0</v>
      </c>
      <c r="AK4">
        <v>-1</v>
      </c>
      <c r="AL4" t="s">
        <v>457</v>
      </c>
      <c r="AM4" s="3" t="s">
        <v>15</v>
      </c>
      <c r="AN4" s="7">
        <v>1.1709300279617307</v>
      </c>
      <c r="AO4" s="7">
        <v>1.1708285808563199</v>
      </c>
      <c r="AP4" s="7">
        <v>1.0144710540999995E-4</v>
      </c>
      <c r="AQ4" s="7">
        <v>1.1705399751663206</v>
      </c>
      <c r="AR4" s="7">
        <v>1.1704037189483605</v>
      </c>
      <c r="AS4" s="7">
        <v>1.3625621795999997E-4</v>
      </c>
      <c r="AT4" s="10">
        <v>18</v>
      </c>
    </row>
    <row r="5" spans="1:50" x14ac:dyDescent="0.3">
      <c r="A5" s="1">
        <v>43812.615231481483</v>
      </c>
      <c r="B5">
        <v>16199</v>
      </c>
      <c r="C5">
        <v>3372</v>
      </c>
      <c r="D5">
        <v>0</v>
      </c>
      <c r="E5" t="s">
        <v>16</v>
      </c>
      <c r="F5">
        <v>1.1709799766540501</v>
      </c>
      <c r="G5">
        <v>1.1710907220840501</v>
      </c>
      <c r="H5">
        <v>1.1074543E-4</v>
      </c>
      <c r="I5">
        <v>1.1705399751663199</v>
      </c>
      <c r="J5">
        <v>1.1702243089675901</v>
      </c>
      <c r="K5">
        <v>3.1566619873E-4</v>
      </c>
      <c r="O5" s="5">
        <v>18012</v>
      </c>
      <c r="P5" s="3" t="s">
        <v>16</v>
      </c>
      <c r="Q5" s="7">
        <v>1.1709799766540501</v>
      </c>
      <c r="R5" s="7">
        <v>1.1710907220840501</v>
      </c>
      <c r="S5" s="7">
        <v>1.1074543E-4</v>
      </c>
      <c r="T5" s="7">
        <v>1.1705399751663199</v>
      </c>
      <c r="U5" s="7">
        <v>1.1702243089675901</v>
      </c>
      <c r="V5" s="7">
        <v>3.1566619873E-4</v>
      </c>
      <c r="W5" s="7"/>
      <c r="Y5" s="1">
        <v>43811.953541666669</v>
      </c>
      <c r="Z5">
        <v>9422</v>
      </c>
      <c r="AA5">
        <v>7184</v>
      </c>
      <c r="AB5">
        <v>0</v>
      </c>
      <c r="AC5" t="s">
        <v>13</v>
      </c>
      <c r="AD5">
        <v>1.17091000080109</v>
      </c>
      <c r="AG5">
        <v>1.1702200174331701</v>
      </c>
      <c r="AJ5">
        <v>0</v>
      </c>
      <c r="AK5">
        <v>-1</v>
      </c>
      <c r="AL5" t="s">
        <v>457</v>
      </c>
      <c r="AM5" s="3" t="s">
        <v>16</v>
      </c>
      <c r="AN5" s="7">
        <v>1.1709799766540494</v>
      </c>
      <c r="AO5" s="7">
        <v>1.1708544492721595</v>
      </c>
      <c r="AP5" s="7">
        <v>1.2552738188999996E-4</v>
      </c>
      <c r="AQ5" s="7">
        <v>1.1705399751663206</v>
      </c>
      <c r="AR5" s="7">
        <v>1.1702588796615601</v>
      </c>
      <c r="AS5" s="7">
        <v>2.8109550475999989E-4</v>
      </c>
      <c r="AT5" s="10">
        <v>0</v>
      </c>
    </row>
    <row r="6" spans="1:50" x14ac:dyDescent="0.3">
      <c r="A6" s="1">
        <v>43812.615636574075</v>
      </c>
      <c r="B6">
        <v>17620</v>
      </c>
      <c r="C6">
        <v>3496</v>
      </c>
      <c r="D6">
        <v>0</v>
      </c>
      <c r="E6" t="s">
        <v>29</v>
      </c>
      <c r="F6">
        <v>1.1695200204849201</v>
      </c>
      <c r="G6">
        <v>1.1702083349227901</v>
      </c>
      <c r="H6">
        <v>6.8831443787000001E-4</v>
      </c>
      <c r="I6">
        <v>1.1676100492477399</v>
      </c>
      <c r="J6">
        <v>1.1691488027572601</v>
      </c>
      <c r="K6">
        <v>1.5387535095200001E-3</v>
      </c>
      <c r="O6" s="5">
        <v>11892</v>
      </c>
      <c r="P6" s="3" t="s">
        <v>17</v>
      </c>
      <c r="Q6" s="7">
        <v>1.17127001285553</v>
      </c>
      <c r="R6" s="7">
        <v>1.17082095146179</v>
      </c>
      <c r="S6" s="7">
        <v>4.4906139374000002E-4</v>
      </c>
      <c r="T6" s="7">
        <v>1.1701200008392301</v>
      </c>
      <c r="U6" s="7">
        <v>1.17066562175751</v>
      </c>
      <c r="V6" s="7">
        <v>5.4562091828000002E-4</v>
      </c>
      <c r="W6" s="7"/>
      <c r="Y6" s="1">
        <v>43811.953599537039</v>
      </c>
      <c r="Z6">
        <v>9422</v>
      </c>
      <c r="AA6">
        <v>7184</v>
      </c>
      <c r="AB6">
        <v>0</v>
      </c>
      <c r="AC6" t="s">
        <v>13</v>
      </c>
      <c r="AD6">
        <v>1.17091000080109</v>
      </c>
      <c r="AG6">
        <v>1.1702200174331701</v>
      </c>
      <c r="AJ6">
        <v>0</v>
      </c>
      <c r="AK6">
        <v>-1</v>
      </c>
      <c r="AL6" t="s">
        <v>457</v>
      </c>
      <c r="AM6" s="3" t="s">
        <v>17</v>
      </c>
      <c r="AN6" s="7">
        <v>1.17127001285553</v>
      </c>
      <c r="AO6" s="7">
        <v>1.1713514328002896</v>
      </c>
      <c r="AP6" s="7">
        <v>8.1419944759999956E-5</v>
      </c>
      <c r="AQ6" s="7">
        <v>1.1701200008392301</v>
      </c>
      <c r="AR6" s="7">
        <v>1.1705063581466704</v>
      </c>
      <c r="AS6" s="7">
        <v>3.8635730743999988E-4</v>
      </c>
      <c r="AT6" s="10">
        <v>14</v>
      </c>
    </row>
    <row r="7" spans="1:50" x14ac:dyDescent="0.3">
      <c r="A7" s="1">
        <v>43812.615416666667</v>
      </c>
      <c r="B7">
        <v>9860</v>
      </c>
      <c r="C7">
        <v>8568</v>
      </c>
      <c r="D7">
        <v>0</v>
      </c>
      <c r="E7" t="s">
        <v>22</v>
      </c>
      <c r="F7">
        <v>1.1698900461196899</v>
      </c>
      <c r="G7">
        <v>1.17055332660675</v>
      </c>
      <c r="H7">
        <v>6.6328048706E-4</v>
      </c>
      <c r="I7">
        <v>1.1684999465942401</v>
      </c>
      <c r="J7">
        <v>1.16957199573517</v>
      </c>
      <c r="K7">
        <v>1.0720491409299999E-3</v>
      </c>
      <c r="O7" s="5">
        <v>16924</v>
      </c>
      <c r="P7" s="3" t="s">
        <v>18</v>
      </c>
      <c r="Q7" s="7">
        <v>1.1709899902343801</v>
      </c>
      <c r="R7" s="7">
        <v>1.1709352731704701</v>
      </c>
      <c r="S7" s="7">
        <v>5.4717063909999998E-5</v>
      </c>
      <c r="T7" s="7">
        <v>1.1695799827575699</v>
      </c>
      <c r="U7" s="7">
        <v>1.17063140869141</v>
      </c>
      <c r="V7" s="7">
        <v>1.05142593384E-3</v>
      </c>
      <c r="W7" s="7"/>
      <c r="Y7" s="1">
        <v>43811.953657407408</v>
      </c>
      <c r="Z7">
        <v>9422</v>
      </c>
      <c r="AA7">
        <v>7184</v>
      </c>
      <c r="AB7">
        <v>0</v>
      </c>
      <c r="AC7" t="s">
        <v>13</v>
      </c>
      <c r="AD7">
        <v>1.17091000080109</v>
      </c>
      <c r="AG7">
        <v>1.1702200174331701</v>
      </c>
      <c r="AJ7">
        <v>0</v>
      </c>
      <c r="AK7">
        <v>-1</v>
      </c>
      <c r="AL7" t="s">
        <v>457</v>
      </c>
      <c r="AM7" s="3" t="s">
        <v>18</v>
      </c>
      <c r="AN7" s="7">
        <v>1.1709899902343794</v>
      </c>
      <c r="AO7" s="7">
        <v>1.1706844568252599</v>
      </c>
      <c r="AP7" s="7">
        <v>3.0553340912000017E-4</v>
      </c>
      <c r="AQ7" s="7">
        <v>1.1695799827575692</v>
      </c>
      <c r="AR7" s="7">
        <v>1.1701012849807702</v>
      </c>
      <c r="AS7" s="7">
        <v>5.2130222319999979E-4</v>
      </c>
      <c r="AT7" s="10">
        <v>24</v>
      </c>
    </row>
    <row r="8" spans="1:50" x14ac:dyDescent="0.3">
      <c r="A8" s="1">
        <v>43812.615578703706</v>
      </c>
      <c r="B8">
        <v>10979</v>
      </c>
      <c r="C8">
        <v>9212</v>
      </c>
      <c r="D8">
        <v>0</v>
      </c>
      <c r="E8" t="s">
        <v>27</v>
      </c>
      <c r="F8">
        <v>1.17081999778748</v>
      </c>
      <c r="G8">
        <v>1.17020404338837</v>
      </c>
      <c r="H8">
        <v>6.1595439910999998E-4</v>
      </c>
      <c r="I8">
        <v>1.1690599918365501</v>
      </c>
      <c r="J8">
        <v>1.16802358627319</v>
      </c>
      <c r="K8">
        <v>1.0364055633599999E-3</v>
      </c>
      <c r="O8" s="5">
        <v>1060</v>
      </c>
      <c r="P8" s="3" t="s">
        <v>19</v>
      </c>
      <c r="Q8" s="7">
        <v>1.1705900430679299</v>
      </c>
      <c r="R8" s="7">
        <v>1.1712679862976101</v>
      </c>
      <c r="S8" s="7">
        <v>6.7794322968000003E-4</v>
      </c>
      <c r="T8" s="7">
        <v>1.1699700355529801</v>
      </c>
      <c r="U8" s="7">
        <v>1.1701232194900499</v>
      </c>
      <c r="V8" s="7">
        <v>1.5318393707000001E-4</v>
      </c>
      <c r="W8" s="7"/>
      <c r="Y8" s="1">
        <v>43811.953715277778</v>
      </c>
      <c r="Z8">
        <v>9422</v>
      </c>
      <c r="AA8">
        <v>7184</v>
      </c>
      <c r="AB8">
        <v>0</v>
      </c>
      <c r="AC8" t="s">
        <v>13</v>
      </c>
      <c r="AD8">
        <v>1.17091000080109</v>
      </c>
      <c r="AG8">
        <v>1.1702200174331701</v>
      </c>
      <c r="AJ8">
        <v>0</v>
      </c>
      <c r="AK8">
        <v>-1</v>
      </c>
      <c r="AL8" t="s">
        <v>457</v>
      </c>
      <c r="AM8" s="3" t="s">
        <v>19</v>
      </c>
      <c r="AN8" s="7">
        <v>1.1705900430679295</v>
      </c>
      <c r="AO8" s="7">
        <v>1.1709761619567904</v>
      </c>
      <c r="AP8" s="7">
        <v>3.8611888886000005E-4</v>
      </c>
      <c r="AQ8" s="7">
        <v>1.1699700355529794</v>
      </c>
      <c r="AR8" s="7">
        <v>1.17008805274963</v>
      </c>
      <c r="AS8" s="7">
        <v>1.1801719664999999E-4</v>
      </c>
      <c r="AT8" s="10">
        <v>20</v>
      </c>
    </row>
    <row r="9" spans="1:50" x14ac:dyDescent="0.3">
      <c r="A9" s="1">
        <v>43812.615381944444</v>
      </c>
      <c r="B9">
        <v>16176</v>
      </c>
      <c r="C9">
        <v>9260</v>
      </c>
      <c r="D9">
        <v>0</v>
      </c>
      <c r="E9" t="s">
        <v>21</v>
      </c>
      <c r="F9">
        <v>1.1702400445938099</v>
      </c>
      <c r="G9">
        <v>1.17050409317017</v>
      </c>
      <c r="H9">
        <v>2.6404857636E-4</v>
      </c>
      <c r="I9">
        <v>1.16964995861053</v>
      </c>
      <c r="J9">
        <v>1.1693377494812001</v>
      </c>
      <c r="K9">
        <v>3.1220912932999998E-4</v>
      </c>
      <c r="O9" s="5">
        <v>17620</v>
      </c>
      <c r="P9" s="3" t="s">
        <v>20</v>
      </c>
      <c r="Q9" s="7">
        <v>1.17044997215271</v>
      </c>
      <c r="R9" s="7">
        <v>1.17061066627502</v>
      </c>
      <c r="S9" s="7">
        <v>1.6069412231000001E-4</v>
      </c>
      <c r="T9" s="7">
        <v>1.1694699525833101</v>
      </c>
      <c r="U9" s="7">
        <v>1.16958785057068</v>
      </c>
      <c r="V9" s="7">
        <v>1.1789798737E-4</v>
      </c>
      <c r="W9" s="7"/>
      <c r="Y9" s="1">
        <v>43811.953773148147</v>
      </c>
      <c r="Z9">
        <v>9422</v>
      </c>
      <c r="AA9">
        <v>7184</v>
      </c>
      <c r="AB9">
        <v>0</v>
      </c>
      <c r="AC9" t="s">
        <v>13</v>
      </c>
      <c r="AD9">
        <v>1.17091000080109</v>
      </c>
      <c r="AG9">
        <v>1.1702200174331701</v>
      </c>
      <c r="AJ9">
        <v>0</v>
      </c>
      <c r="AK9">
        <v>-1</v>
      </c>
      <c r="AL9" t="s">
        <v>457</v>
      </c>
      <c r="AM9" s="3" t="s">
        <v>20</v>
      </c>
      <c r="AN9" s="7">
        <v>1.17044997215271</v>
      </c>
      <c r="AO9" s="7">
        <v>1.1703979969024696</v>
      </c>
      <c r="AP9" s="7">
        <v>5.197525024000003E-5</v>
      </c>
      <c r="AQ9" s="7">
        <v>1.1694699525833097</v>
      </c>
      <c r="AR9" s="7">
        <v>1.1695988178253207</v>
      </c>
      <c r="AS9" s="7">
        <v>1.2886524200999996E-4</v>
      </c>
      <c r="AT9" s="10">
        <v>22</v>
      </c>
    </row>
    <row r="10" spans="1:50" x14ac:dyDescent="0.3">
      <c r="A10" s="1">
        <v>43812.615324074075</v>
      </c>
      <c r="B10">
        <v>12980</v>
      </c>
      <c r="C10">
        <v>9440</v>
      </c>
      <c r="D10">
        <v>0</v>
      </c>
      <c r="E10" t="s">
        <v>19</v>
      </c>
      <c r="F10">
        <v>1.1705900430679299</v>
      </c>
      <c r="G10">
        <v>1.1712679862976101</v>
      </c>
      <c r="H10">
        <v>6.7794322968000003E-4</v>
      </c>
      <c r="I10">
        <v>1.1699700355529801</v>
      </c>
      <c r="J10">
        <v>1.1701232194900499</v>
      </c>
      <c r="K10">
        <v>1.5318393707000001E-4</v>
      </c>
      <c r="O10" s="5">
        <v>12095</v>
      </c>
      <c r="P10" s="3" t="s">
        <v>21</v>
      </c>
      <c r="Q10" s="7">
        <v>1.1702400445938099</v>
      </c>
      <c r="R10" s="7">
        <v>1.17050409317017</v>
      </c>
      <c r="S10" s="7">
        <v>2.6404857636E-4</v>
      </c>
      <c r="T10" s="7">
        <v>1.16964995861053</v>
      </c>
      <c r="U10" s="7">
        <v>1.1693377494812001</v>
      </c>
      <c r="V10" s="7">
        <v>3.1220912932999998E-4</v>
      </c>
      <c r="W10" s="7"/>
      <c r="Y10" s="1">
        <v>43811.953842592593</v>
      </c>
      <c r="Z10">
        <v>9422</v>
      </c>
      <c r="AA10">
        <v>7184</v>
      </c>
      <c r="AB10">
        <v>0</v>
      </c>
      <c r="AC10" t="s">
        <v>13</v>
      </c>
      <c r="AD10">
        <v>1.17091000080109</v>
      </c>
      <c r="AG10">
        <v>1.1702200174331701</v>
      </c>
      <c r="AJ10">
        <v>0</v>
      </c>
      <c r="AK10">
        <v>-1</v>
      </c>
      <c r="AL10" t="s">
        <v>457</v>
      </c>
      <c r="AM10" s="3" t="s">
        <v>21</v>
      </c>
      <c r="AN10" s="7">
        <v>1.1702400445938104</v>
      </c>
      <c r="AO10" s="7">
        <v>1.1703138351440396</v>
      </c>
      <c r="AP10" s="7">
        <v>7.3790550230000014E-5</v>
      </c>
      <c r="AQ10" s="7">
        <v>1.1696499586105304</v>
      </c>
      <c r="AR10" s="7">
        <v>1.16947877407074</v>
      </c>
      <c r="AS10" s="7">
        <v>1.7118453979E-4</v>
      </c>
      <c r="AT10" s="10">
        <v>-8</v>
      </c>
    </row>
    <row r="11" spans="1:50" x14ac:dyDescent="0.3">
      <c r="A11" s="1">
        <v>43812.615520833337</v>
      </c>
      <c r="B11">
        <v>19719</v>
      </c>
      <c r="C11">
        <v>10588</v>
      </c>
      <c r="D11">
        <v>0</v>
      </c>
      <c r="E11" t="s">
        <v>25</v>
      </c>
      <c r="F11">
        <v>1.1703599691391</v>
      </c>
      <c r="G11">
        <v>1.1709799766540501</v>
      </c>
      <c r="H11">
        <v>6.2000751494999996E-4</v>
      </c>
      <c r="I11">
        <v>1.16743004322052</v>
      </c>
      <c r="J11">
        <v>1.1691859960555999</v>
      </c>
      <c r="K11">
        <v>1.75595283508E-3</v>
      </c>
      <c r="O11" s="5">
        <v>10979</v>
      </c>
      <c r="P11" s="3" t="s">
        <v>22</v>
      </c>
      <c r="Q11" s="7">
        <v>1.1698900461196899</v>
      </c>
      <c r="R11" s="7">
        <v>1.17055332660675</v>
      </c>
      <c r="S11" s="7">
        <v>6.6328048706E-4</v>
      </c>
      <c r="T11" s="7">
        <v>1.1684999465942401</v>
      </c>
      <c r="U11" s="7">
        <v>1.16957199573517</v>
      </c>
      <c r="V11" s="7">
        <v>1.0720491409299999E-3</v>
      </c>
      <c r="W11" s="7"/>
      <c r="Y11" s="1">
        <v>43811.953900462962</v>
      </c>
      <c r="Z11">
        <v>9422</v>
      </c>
      <c r="AA11">
        <v>7184</v>
      </c>
      <c r="AB11">
        <v>0</v>
      </c>
      <c r="AC11" t="s">
        <v>13</v>
      </c>
      <c r="AD11">
        <v>1.17091000080109</v>
      </c>
      <c r="AG11">
        <v>1.1702200174331701</v>
      </c>
      <c r="AJ11">
        <v>0</v>
      </c>
      <c r="AK11">
        <v>-1</v>
      </c>
      <c r="AL11" t="s">
        <v>457</v>
      </c>
      <c r="AM11" s="3" t="s">
        <v>22</v>
      </c>
      <c r="AN11" s="7">
        <v>1.1698900461196899</v>
      </c>
      <c r="AO11" s="7">
        <v>1.1703759431838996</v>
      </c>
      <c r="AP11" s="7">
        <v>4.8589706420999978E-4</v>
      </c>
      <c r="AQ11" s="7">
        <v>1.1684999465942394</v>
      </c>
      <c r="AR11" s="7">
        <v>1.1690977811813392</v>
      </c>
      <c r="AS11" s="7">
        <v>5.9783458710000034E-4</v>
      </c>
      <c r="AT11" s="10">
        <v>90</v>
      </c>
    </row>
    <row r="12" spans="1:50" x14ac:dyDescent="0.3">
      <c r="A12" s="1">
        <v>43812.615486111114</v>
      </c>
      <c r="B12">
        <v>15252</v>
      </c>
      <c r="C12">
        <v>11180</v>
      </c>
      <c r="D12">
        <v>0</v>
      </c>
      <c r="E12" t="s">
        <v>24</v>
      </c>
      <c r="F12">
        <v>1.1717400550842301</v>
      </c>
      <c r="G12">
        <v>1.1699744462966899</v>
      </c>
      <c r="H12">
        <v>1.7656087875399999E-3</v>
      </c>
      <c r="I12">
        <v>1.16958999633789</v>
      </c>
      <c r="J12">
        <v>1.1684764623642001</v>
      </c>
      <c r="K12">
        <v>1.11353397369E-3</v>
      </c>
      <c r="O12" s="5">
        <v>1579</v>
      </c>
      <c r="P12" s="3" t="s">
        <v>23</v>
      </c>
      <c r="Q12" s="7">
        <v>1.17051005363464</v>
      </c>
      <c r="R12" s="7">
        <v>1.17035579681396</v>
      </c>
      <c r="S12" s="7">
        <v>1.5425682068E-4</v>
      </c>
      <c r="T12" s="7">
        <v>1.168830037117</v>
      </c>
      <c r="U12" s="7">
        <v>1.16945600509644</v>
      </c>
      <c r="V12" s="7">
        <v>6.2596797943999998E-4</v>
      </c>
      <c r="W12" s="7"/>
      <c r="Y12" s="1">
        <v>43811.953969907408</v>
      </c>
      <c r="Z12">
        <v>9422</v>
      </c>
      <c r="AA12">
        <v>7184</v>
      </c>
      <c r="AB12">
        <v>0</v>
      </c>
      <c r="AC12" t="s">
        <v>13</v>
      </c>
      <c r="AD12">
        <v>1.17091000080109</v>
      </c>
      <c r="AG12">
        <v>1.1702200174331701</v>
      </c>
      <c r="AJ12">
        <v>0</v>
      </c>
      <c r="AK12">
        <v>-1</v>
      </c>
      <c r="AL12" t="s">
        <v>457</v>
      </c>
      <c r="AM12" s="3" t="s">
        <v>23</v>
      </c>
      <c r="AN12" s="7">
        <v>1.17051005363464</v>
      </c>
      <c r="AO12" s="7">
        <v>1.1695308685302701</v>
      </c>
      <c r="AP12" s="7">
        <v>9.7918510436999944E-4</v>
      </c>
      <c r="AQ12" s="7">
        <v>1.1688300371170006</v>
      </c>
      <c r="AR12" s="7">
        <v>1.1680365800857506</v>
      </c>
      <c r="AS12" s="7">
        <v>7.9345703125E-4</v>
      </c>
      <c r="AT12" s="10">
        <v>-224</v>
      </c>
    </row>
    <row r="13" spans="1:50" x14ac:dyDescent="0.3">
      <c r="A13" s="1">
        <v>43812.615787037037</v>
      </c>
      <c r="B13">
        <v>11060</v>
      </c>
      <c r="C13">
        <v>11320</v>
      </c>
      <c r="D13">
        <v>0</v>
      </c>
      <c r="E13" t="s">
        <v>34</v>
      </c>
      <c r="F13">
        <v>1.16691994667053</v>
      </c>
      <c r="G13">
        <v>1.16557836532593</v>
      </c>
      <c r="H13">
        <v>1.3415813445999999E-3</v>
      </c>
      <c r="I13">
        <v>1.1649099588394201</v>
      </c>
      <c r="J13">
        <v>1.16426837444305</v>
      </c>
      <c r="K13">
        <v>6.4158439637000003E-4</v>
      </c>
      <c r="O13" s="5">
        <v>19719</v>
      </c>
      <c r="P13" s="3" t="s">
        <v>24</v>
      </c>
      <c r="Q13" s="7">
        <v>1.1717400550842301</v>
      </c>
      <c r="R13" s="7">
        <v>1.1699744462966899</v>
      </c>
      <c r="S13" s="7">
        <v>1.7656087875399999E-3</v>
      </c>
      <c r="T13" s="7">
        <v>1.16958999633789</v>
      </c>
      <c r="U13" s="7">
        <v>1.1684764623642001</v>
      </c>
      <c r="V13" s="7">
        <v>1.11353397369E-3</v>
      </c>
      <c r="W13" s="7"/>
      <c r="Y13" s="1">
        <v>43811.954039351855</v>
      </c>
      <c r="Z13">
        <v>9422</v>
      </c>
      <c r="AA13">
        <v>7184</v>
      </c>
      <c r="AB13">
        <v>0</v>
      </c>
      <c r="AC13" t="s">
        <v>13</v>
      </c>
      <c r="AD13">
        <v>1.17091000080109</v>
      </c>
      <c r="AG13">
        <v>1.1702200174331701</v>
      </c>
      <c r="AJ13">
        <v>0</v>
      </c>
      <c r="AK13">
        <v>-1</v>
      </c>
      <c r="AL13" t="s">
        <v>457</v>
      </c>
      <c r="AM13" s="3" t="s">
        <v>24</v>
      </c>
      <c r="AN13" s="7">
        <v>1.1717400550842294</v>
      </c>
      <c r="AO13" s="7">
        <v>1.1709671020507804</v>
      </c>
      <c r="AP13" s="7">
        <v>7.7295303344999966E-4</v>
      </c>
      <c r="AQ13" s="7">
        <v>1.1695899963378904</v>
      </c>
      <c r="AR13" s="7">
        <v>1.1692826747894296</v>
      </c>
      <c r="AS13" s="7">
        <v>3.0732154845999985E-4</v>
      </c>
      <c r="AT13" s="10">
        <v>-228</v>
      </c>
    </row>
    <row r="14" spans="1:50" x14ac:dyDescent="0.3">
      <c r="A14" s="1">
        <v>43812.615289351852</v>
      </c>
      <c r="B14">
        <v>20419</v>
      </c>
      <c r="C14">
        <v>13080</v>
      </c>
      <c r="D14">
        <v>0</v>
      </c>
      <c r="E14" t="s">
        <v>18</v>
      </c>
      <c r="F14">
        <v>1.1709899902343801</v>
      </c>
      <c r="G14">
        <v>1.1709352731704701</v>
      </c>
      <c r="H14">
        <v>5.4717063909999998E-5</v>
      </c>
      <c r="I14">
        <v>1.1695799827575699</v>
      </c>
      <c r="J14">
        <v>1.17063140869141</v>
      </c>
      <c r="K14">
        <v>1.05142593384E-3</v>
      </c>
      <c r="O14" s="5">
        <v>15252</v>
      </c>
      <c r="P14" s="3" t="s">
        <v>25</v>
      </c>
      <c r="Q14" s="7">
        <v>1.1703599691391</v>
      </c>
      <c r="R14" s="7">
        <v>1.1709799766540501</v>
      </c>
      <c r="S14" s="7">
        <v>6.2000751494999996E-4</v>
      </c>
      <c r="T14" s="7">
        <v>1.16743004322052</v>
      </c>
      <c r="U14" s="7">
        <v>1.1691859960555999</v>
      </c>
      <c r="V14" s="7">
        <v>1.75595283508E-3</v>
      </c>
      <c r="W14" s="7"/>
      <c r="Y14" s="1">
        <v>43811.954097222224</v>
      </c>
      <c r="Z14">
        <v>9422</v>
      </c>
      <c r="AA14">
        <v>7184</v>
      </c>
      <c r="AB14">
        <v>0</v>
      </c>
      <c r="AC14" t="s">
        <v>13</v>
      </c>
      <c r="AD14">
        <v>1.17091000080109</v>
      </c>
      <c r="AG14">
        <v>1.1702200174331701</v>
      </c>
      <c r="AJ14">
        <v>0</v>
      </c>
      <c r="AK14">
        <v>-1</v>
      </c>
      <c r="AL14" t="s">
        <v>457</v>
      </c>
      <c r="AM14" s="3" t="s">
        <v>25</v>
      </c>
      <c r="AN14" s="7">
        <v>1.1703599691390993</v>
      </c>
      <c r="AO14" s="7">
        <v>1.1711977720260593</v>
      </c>
      <c r="AP14" s="7">
        <v>8.3780288696000025E-4</v>
      </c>
      <c r="AQ14" s="7">
        <v>1.16743004322052</v>
      </c>
      <c r="AR14" s="7">
        <v>1.1696463823318493</v>
      </c>
      <c r="AS14" s="7">
        <v>2.2163391113299989E-3</v>
      </c>
      <c r="AT14" s="10">
        <v>-224</v>
      </c>
    </row>
    <row r="15" spans="1:50" x14ac:dyDescent="0.3">
      <c r="A15" s="1">
        <v>43812.61515046296</v>
      </c>
      <c r="B15">
        <v>12008</v>
      </c>
      <c r="C15">
        <v>13824</v>
      </c>
      <c r="D15">
        <v>0</v>
      </c>
      <c r="E15" t="s">
        <v>14</v>
      </c>
      <c r="F15">
        <v>1.1708300113678001</v>
      </c>
      <c r="G15">
        <v>1.1707448959350599</v>
      </c>
      <c r="H15">
        <v>8.5115432740000003E-5</v>
      </c>
      <c r="I15">
        <v>1.17041003704071</v>
      </c>
      <c r="J15">
        <v>1.1696021556854199</v>
      </c>
      <c r="K15">
        <v>8.0788135528999999E-4</v>
      </c>
      <c r="O15" s="5">
        <v>12468</v>
      </c>
      <c r="P15" s="3" t="s">
        <v>26</v>
      </c>
      <c r="Q15" s="7">
        <v>1.16990995407104</v>
      </c>
      <c r="R15" s="7">
        <v>1.1710633039474501</v>
      </c>
      <c r="S15" s="7">
        <v>1.15334987641E-3</v>
      </c>
      <c r="T15" s="7">
        <v>1.16839003562927</v>
      </c>
      <c r="U15" s="7">
        <v>1.16892969608307</v>
      </c>
      <c r="V15" s="7">
        <v>5.3966045380000004E-4</v>
      </c>
      <c r="W15" s="7"/>
      <c r="Y15" s="1">
        <v>43811.95416666667</v>
      </c>
      <c r="Z15">
        <v>9422</v>
      </c>
      <c r="AA15">
        <v>7184</v>
      </c>
      <c r="AB15">
        <v>0</v>
      </c>
      <c r="AC15" t="s">
        <v>13</v>
      </c>
      <c r="AD15">
        <v>1.17091000080109</v>
      </c>
      <c r="AG15">
        <v>1.1702200174331701</v>
      </c>
      <c r="AJ15">
        <v>0</v>
      </c>
      <c r="AK15">
        <v>-1</v>
      </c>
      <c r="AL15" t="s">
        <v>457</v>
      </c>
      <c r="AM15" s="3" t="s">
        <v>26</v>
      </c>
      <c r="AN15" s="7">
        <v>1.1699099540710405</v>
      </c>
      <c r="AO15" s="7">
        <v>1.1697381734847996</v>
      </c>
      <c r="AP15" s="7">
        <v>1.7178058624E-4</v>
      </c>
      <c r="AQ15" s="7">
        <v>1.1683900356292696</v>
      </c>
      <c r="AR15" s="7">
        <v>1.1676117181777996</v>
      </c>
      <c r="AS15" s="7">
        <v>7.7831745147000043E-4</v>
      </c>
      <c r="AT15" s="10">
        <v>-276</v>
      </c>
    </row>
    <row r="16" spans="1:50" x14ac:dyDescent="0.3">
      <c r="A16" s="1">
        <v>43812.615104166667</v>
      </c>
      <c r="B16">
        <v>1895</v>
      </c>
      <c r="C16">
        <v>14296</v>
      </c>
      <c r="D16">
        <v>0</v>
      </c>
      <c r="E16" t="s">
        <v>13</v>
      </c>
      <c r="F16">
        <v>1.17091000080109</v>
      </c>
      <c r="I16">
        <v>1.1702200174331701</v>
      </c>
      <c r="O16" s="5">
        <v>9860</v>
      </c>
      <c r="P16" s="3" t="s">
        <v>27</v>
      </c>
      <c r="Q16" s="7">
        <v>1.17081999778748</v>
      </c>
      <c r="R16" s="7">
        <v>1.17020404338837</v>
      </c>
      <c r="S16" s="7">
        <v>6.1595439910999998E-4</v>
      </c>
      <c r="T16" s="7">
        <v>1.1690599918365501</v>
      </c>
      <c r="U16" s="7">
        <v>1.16802358627319</v>
      </c>
      <c r="V16" s="7">
        <v>1.0364055633599999E-3</v>
      </c>
      <c r="W16" s="7"/>
      <c r="Y16" s="1">
        <v>43811.954236111109</v>
      </c>
      <c r="Z16">
        <v>9422</v>
      </c>
      <c r="AA16">
        <v>7184</v>
      </c>
      <c r="AB16">
        <v>0</v>
      </c>
      <c r="AC16" t="s">
        <v>13</v>
      </c>
      <c r="AD16">
        <v>1.17091000080109</v>
      </c>
      <c r="AG16">
        <v>1.1702200174331701</v>
      </c>
      <c r="AJ16">
        <v>0</v>
      </c>
      <c r="AK16">
        <v>-1</v>
      </c>
      <c r="AL16" t="s">
        <v>457</v>
      </c>
      <c r="AM16" s="3" t="s">
        <v>27</v>
      </c>
      <c r="AN16" s="7">
        <v>1.1708199977874794</v>
      </c>
      <c r="AO16" s="7">
        <v>1.17053127288818</v>
      </c>
      <c r="AP16" s="7">
        <v>2.8872489929999989E-4</v>
      </c>
      <c r="AQ16" s="7">
        <v>1.1690599918365505</v>
      </c>
      <c r="AR16" s="7">
        <v>1.1686720848083498</v>
      </c>
      <c r="AS16" s="7">
        <v>3.8790702820000006E-4</v>
      </c>
      <c r="AT16" s="10">
        <v>2</v>
      </c>
    </row>
    <row r="17" spans="1:46" x14ac:dyDescent="0.3">
      <c r="A17" s="1">
        <v>43812.615694444445</v>
      </c>
      <c r="B17">
        <v>16924</v>
      </c>
      <c r="C17">
        <v>15408</v>
      </c>
      <c r="D17">
        <v>0</v>
      </c>
      <c r="E17" t="s">
        <v>31</v>
      </c>
      <c r="F17">
        <v>1.16676998138428</v>
      </c>
      <c r="G17">
        <v>1.16881132125854</v>
      </c>
      <c r="H17">
        <v>2.04133987426E-3</v>
      </c>
      <c r="I17">
        <v>1.1649700403213501</v>
      </c>
      <c r="J17">
        <v>1.16621017456055</v>
      </c>
      <c r="K17">
        <v>1.2401342392E-3</v>
      </c>
      <c r="O17" s="5">
        <v>16176</v>
      </c>
      <c r="P17" s="3" t="s">
        <v>28</v>
      </c>
      <c r="Q17" s="7">
        <v>1.1698299646377599</v>
      </c>
      <c r="R17" s="7">
        <v>1.1707116365432699</v>
      </c>
      <c r="S17" s="7">
        <v>8.8167190550999999E-4</v>
      </c>
      <c r="T17" s="7">
        <v>1.1681499481201201</v>
      </c>
      <c r="U17" s="7">
        <v>1.1685483455657999</v>
      </c>
      <c r="V17" s="7">
        <v>3.9839744568E-4</v>
      </c>
      <c r="W17" s="7"/>
      <c r="Y17" s="1">
        <v>43811.954305555555</v>
      </c>
      <c r="Z17">
        <v>9422</v>
      </c>
      <c r="AA17">
        <v>7184</v>
      </c>
      <c r="AB17">
        <v>0</v>
      </c>
      <c r="AC17" t="s">
        <v>13</v>
      </c>
      <c r="AD17">
        <v>1.17091000080109</v>
      </c>
      <c r="AG17">
        <v>1.1702200174331701</v>
      </c>
      <c r="AJ17">
        <v>0</v>
      </c>
      <c r="AK17">
        <v>-1</v>
      </c>
      <c r="AL17" t="s">
        <v>457</v>
      </c>
      <c r="AM17" s="3" t="s">
        <v>28</v>
      </c>
      <c r="AN17" s="7">
        <v>1.1698299646377599</v>
      </c>
      <c r="AO17" s="7">
        <v>1.17062151432037</v>
      </c>
      <c r="AP17" s="7">
        <v>7.9154968261E-4</v>
      </c>
      <c r="AQ17" s="7">
        <v>1.1681499481201205</v>
      </c>
      <c r="AR17" s="7">
        <v>1.16858351230621</v>
      </c>
      <c r="AS17" s="7">
        <v>4.3356418609000012E-4</v>
      </c>
      <c r="AT17" s="10">
        <v>164</v>
      </c>
    </row>
    <row r="18" spans="1:46" x14ac:dyDescent="0.3">
      <c r="A18" s="1">
        <v>43812.61519675926</v>
      </c>
      <c r="B18">
        <v>4500</v>
      </c>
      <c r="C18">
        <v>16660</v>
      </c>
      <c r="D18">
        <v>0</v>
      </c>
      <c r="E18" t="s">
        <v>15</v>
      </c>
      <c r="F18">
        <v>1.1709300279617301</v>
      </c>
      <c r="G18">
        <v>1.1709789037704501</v>
      </c>
      <c r="H18">
        <v>4.887580872E-5</v>
      </c>
      <c r="I18">
        <v>1.1705399751663199</v>
      </c>
      <c r="J18">
        <v>1.17036151885986</v>
      </c>
      <c r="K18">
        <v>1.7845630646E-4</v>
      </c>
      <c r="O18" s="5">
        <v>7636</v>
      </c>
      <c r="P18" s="3" t="s">
        <v>29</v>
      </c>
      <c r="Q18" s="7">
        <v>1.1695200204849201</v>
      </c>
      <c r="R18" s="7">
        <v>1.1702083349227901</v>
      </c>
      <c r="S18" s="7">
        <v>6.8831443787000001E-4</v>
      </c>
      <c r="T18" s="7">
        <v>1.1676100492477399</v>
      </c>
      <c r="U18" s="7">
        <v>1.1691488027572601</v>
      </c>
      <c r="V18" s="7">
        <v>1.5387535095200001E-3</v>
      </c>
      <c r="W18" s="7"/>
      <c r="Y18" s="1">
        <v>43811.954375000001</v>
      </c>
      <c r="Z18">
        <v>9422</v>
      </c>
      <c r="AA18">
        <v>7184</v>
      </c>
      <c r="AB18">
        <v>0</v>
      </c>
      <c r="AC18" t="s">
        <v>13</v>
      </c>
      <c r="AD18">
        <v>1.17091000080109</v>
      </c>
      <c r="AG18">
        <v>1.1702200174331701</v>
      </c>
      <c r="AJ18">
        <v>0</v>
      </c>
      <c r="AK18">
        <v>-1</v>
      </c>
      <c r="AL18" t="s">
        <v>457</v>
      </c>
      <c r="AM18" s="3" t="s">
        <v>29</v>
      </c>
      <c r="AN18" s="7">
        <v>1.1695200204849205</v>
      </c>
      <c r="AO18" s="7">
        <v>1.1695910692214999</v>
      </c>
      <c r="AP18" s="7">
        <v>7.1048736579999957E-5</v>
      </c>
      <c r="AQ18" s="7">
        <v>1.1676100492477406</v>
      </c>
      <c r="AR18" s="7">
        <v>1.1672583818435702</v>
      </c>
      <c r="AS18" s="7">
        <v>3.5166740417000015E-4</v>
      </c>
      <c r="AT18" s="10">
        <v>140</v>
      </c>
    </row>
    <row r="19" spans="1:46" x14ac:dyDescent="0.3">
      <c r="A19" s="1">
        <v>43812.615856481483</v>
      </c>
      <c r="B19">
        <v>6522</v>
      </c>
      <c r="C19">
        <v>18100</v>
      </c>
      <c r="D19">
        <v>0</v>
      </c>
      <c r="E19" t="s">
        <v>36</v>
      </c>
      <c r="F19">
        <v>1.16782999038696</v>
      </c>
      <c r="G19">
        <v>1.1670602560043299</v>
      </c>
      <c r="H19">
        <v>7.6973438262999995E-4</v>
      </c>
      <c r="I19">
        <v>1.16589999198914</v>
      </c>
      <c r="J19">
        <v>1.1652425527572601</v>
      </c>
      <c r="K19">
        <v>6.5743923188000002E-4</v>
      </c>
      <c r="O19" s="5">
        <v>12980</v>
      </c>
      <c r="P19" s="3" t="s">
        <v>30</v>
      </c>
      <c r="Q19" s="7">
        <v>1.16819000244141</v>
      </c>
      <c r="R19" s="7">
        <v>1.16994857788086</v>
      </c>
      <c r="S19" s="7">
        <v>1.7585754394499999E-3</v>
      </c>
      <c r="T19" s="7">
        <v>1.16434001922607</v>
      </c>
      <c r="U19" s="7">
        <v>1.1678880453109699</v>
      </c>
      <c r="V19" s="7">
        <v>3.5480260848999999E-3</v>
      </c>
      <c r="W19" s="7"/>
      <c r="Y19" s="1">
        <v>43811.954456018517</v>
      </c>
      <c r="Z19">
        <v>9422</v>
      </c>
      <c r="AA19">
        <v>7184</v>
      </c>
      <c r="AB19">
        <v>0</v>
      </c>
      <c r="AC19" t="s">
        <v>13</v>
      </c>
      <c r="AD19">
        <v>1.17091000080109</v>
      </c>
      <c r="AG19">
        <v>1.1702200174331701</v>
      </c>
      <c r="AJ19">
        <v>0</v>
      </c>
      <c r="AK19">
        <v>-1</v>
      </c>
      <c r="AL19" t="s">
        <v>457</v>
      </c>
      <c r="AM19" s="3" t="s">
        <v>30</v>
      </c>
      <c r="AN19" s="7">
        <v>1.16819000244141</v>
      </c>
      <c r="AO19" s="7">
        <v>1.1690984964370694</v>
      </c>
      <c r="AP19" s="7">
        <v>9.0849399565999989E-4</v>
      </c>
      <c r="AQ19" s="7">
        <v>1.1643400192260704</v>
      </c>
      <c r="AR19" s="7">
        <v>1.1666350364685096</v>
      </c>
      <c r="AS19" s="7">
        <v>2.2950172424400007E-3</v>
      </c>
      <c r="AT19" s="10">
        <v>-324</v>
      </c>
    </row>
    <row r="20" spans="1:46" x14ac:dyDescent="0.3">
      <c r="A20" s="1">
        <v>43812.615601851852</v>
      </c>
      <c r="B20">
        <v>12095</v>
      </c>
      <c r="C20">
        <v>18444</v>
      </c>
      <c r="D20">
        <v>0</v>
      </c>
      <c r="E20" t="s">
        <v>28</v>
      </c>
      <c r="F20">
        <v>1.1698299646377599</v>
      </c>
      <c r="G20">
        <v>1.1707116365432699</v>
      </c>
      <c r="H20">
        <v>8.8167190550999999E-4</v>
      </c>
      <c r="I20">
        <v>1.1681499481201201</v>
      </c>
      <c r="J20">
        <v>1.1685483455657999</v>
      </c>
      <c r="K20">
        <v>3.9839744568E-4</v>
      </c>
      <c r="O20" s="5">
        <v>20419</v>
      </c>
      <c r="P20" s="3" t="s">
        <v>31</v>
      </c>
      <c r="Q20" s="7">
        <v>1.16676998138428</v>
      </c>
      <c r="R20" s="7">
        <v>1.16881132125854</v>
      </c>
      <c r="S20" s="7">
        <v>2.04133987426E-3</v>
      </c>
      <c r="T20" s="7">
        <v>1.1649700403213501</v>
      </c>
      <c r="U20" s="7">
        <v>1.16621017456055</v>
      </c>
      <c r="V20" s="7">
        <v>1.2401342392E-3</v>
      </c>
      <c r="W20" s="7"/>
      <c r="Y20" s="1">
        <v>43811.954525462963</v>
      </c>
      <c r="Z20">
        <v>9422</v>
      </c>
      <c r="AA20">
        <v>7184</v>
      </c>
      <c r="AB20">
        <v>0</v>
      </c>
      <c r="AC20" t="s">
        <v>13</v>
      </c>
      <c r="AD20">
        <v>1.17091000080109</v>
      </c>
      <c r="AG20">
        <v>1.1702200174331701</v>
      </c>
      <c r="AJ20">
        <v>0</v>
      </c>
      <c r="AK20">
        <v>-1</v>
      </c>
      <c r="AL20" t="s">
        <v>457</v>
      </c>
      <c r="AM20" s="3" t="s">
        <v>31</v>
      </c>
      <c r="AN20" s="7">
        <v>1.1667699813842807</v>
      </c>
      <c r="AO20" s="7">
        <v>1.1673388481140099</v>
      </c>
      <c r="AP20" s="7">
        <v>5.6886672972999996E-4</v>
      </c>
      <c r="AQ20" s="7">
        <v>1.1649700403213501</v>
      </c>
      <c r="AR20" s="7">
        <v>1.1645094156265297</v>
      </c>
      <c r="AS20" s="7">
        <v>4.6062469481999996E-4</v>
      </c>
      <c r="AT20" s="10">
        <v>36</v>
      </c>
    </row>
    <row r="21" spans="1:46" x14ac:dyDescent="0.3">
      <c r="A21" s="1">
        <v>43812.615763888891</v>
      </c>
      <c r="B21">
        <v>18012</v>
      </c>
      <c r="C21">
        <v>18532</v>
      </c>
      <c r="D21">
        <v>0</v>
      </c>
      <c r="E21" t="s">
        <v>33</v>
      </c>
      <c r="F21">
        <v>1.1659799814224201</v>
      </c>
      <c r="G21">
        <v>1.1672102212905899</v>
      </c>
      <c r="H21">
        <v>1.23023986817E-3</v>
      </c>
      <c r="I21">
        <v>1.1641000509262101</v>
      </c>
      <c r="J21">
        <v>1.1644140481948899</v>
      </c>
      <c r="K21">
        <v>3.1399726868000001E-4</v>
      </c>
      <c r="O21" s="5">
        <v>16772</v>
      </c>
      <c r="P21" s="3" t="s">
        <v>32</v>
      </c>
      <c r="Q21" s="7">
        <v>1.16612005233765</v>
      </c>
      <c r="R21" s="7">
        <v>1.1673322916030899</v>
      </c>
      <c r="S21" s="7">
        <v>1.21223926544E-3</v>
      </c>
      <c r="T21" s="7">
        <v>1.16412997245789</v>
      </c>
      <c r="U21" s="7">
        <v>1.1651707887649501</v>
      </c>
      <c r="V21" s="7">
        <v>1.04081630706E-3</v>
      </c>
      <c r="W21" s="7"/>
      <c r="Y21" s="1">
        <v>43811.954606481479</v>
      </c>
      <c r="Z21">
        <v>9422</v>
      </c>
      <c r="AA21">
        <v>7184</v>
      </c>
      <c r="AB21">
        <v>0</v>
      </c>
      <c r="AC21" t="s">
        <v>13</v>
      </c>
      <c r="AD21">
        <v>1.17091000080109</v>
      </c>
      <c r="AG21">
        <v>1.1702200174331701</v>
      </c>
      <c r="AJ21">
        <v>0</v>
      </c>
      <c r="AK21">
        <v>-1</v>
      </c>
      <c r="AL21" t="s">
        <v>457</v>
      </c>
      <c r="AM21" s="3" t="s">
        <v>32</v>
      </c>
      <c r="AN21" s="7">
        <v>1.16612005233765</v>
      </c>
      <c r="AO21" s="7">
        <v>1.1665482521057096</v>
      </c>
      <c r="AP21" s="7">
        <v>4.2819976805999997E-4</v>
      </c>
      <c r="AQ21" s="7">
        <v>1.1641299724578895</v>
      </c>
      <c r="AR21" s="7">
        <v>1.1645594835281405</v>
      </c>
      <c r="AS21" s="7">
        <v>4.2951107025000009E-4</v>
      </c>
      <c r="AT21" s="10">
        <v>158</v>
      </c>
    </row>
    <row r="22" spans="1:46" x14ac:dyDescent="0.3">
      <c r="A22" s="1">
        <v>43812.61582175926</v>
      </c>
      <c r="B22">
        <v>12072</v>
      </c>
      <c r="C22">
        <v>18808</v>
      </c>
      <c r="D22">
        <v>0</v>
      </c>
      <c r="E22" t="s">
        <v>35</v>
      </c>
      <c r="F22">
        <v>1.1671400070190401</v>
      </c>
      <c r="G22">
        <v>1.16599881649017</v>
      </c>
      <c r="H22">
        <v>1.1411905288699999E-3</v>
      </c>
      <c r="I22">
        <v>1.1655199527740501</v>
      </c>
      <c r="J22">
        <v>1.1643267869949301</v>
      </c>
      <c r="K22">
        <v>1.19316577912E-3</v>
      </c>
      <c r="O22" s="5">
        <v>16199</v>
      </c>
      <c r="P22" s="3" t="s">
        <v>33</v>
      </c>
      <c r="Q22" s="7">
        <v>1.1659799814224201</v>
      </c>
      <c r="R22" s="7">
        <v>1.1672102212905899</v>
      </c>
      <c r="S22" s="7">
        <v>1.23023986817E-3</v>
      </c>
      <c r="T22" s="7">
        <v>1.1641000509262101</v>
      </c>
      <c r="U22" s="7">
        <v>1.1644140481948899</v>
      </c>
      <c r="V22" s="7">
        <v>3.1399726868000001E-4</v>
      </c>
      <c r="W22" s="7"/>
      <c r="Y22" s="1">
        <v>43811.954687500001</v>
      </c>
      <c r="Z22">
        <v>9422</v>
      </c>
      <c r="AA22">
        <v>7184</v>
      </c>
      <c r="AB22">
        <v>0</v>
      </c>
      <c r="AC22" t="s">
        <v>13</v>
      </c>
      <c r="AD22">
        <v>1.17091000080109</v>
      </c>
      <c r="AG22">
        <v>1.1702200174331701</v>
      </c>
      <c r="AJ22">
        <v>0</v>
      </c>
      <c r="AK22">
        <v>-1</v>
      </c>
      <c r="AL22" t="s">
        <v>457</v>
      </c>
      <c r="AM22" s="3" t="s">
        <v>33</v>
      </c>
      <c r="AN22" s="7">
        <v>1.1659799814224205</v>
      </c>
      <c r="AO22" s="7">
        <v>1.1656250953674308</v>
      </c>
      <c r="AP22" s="7">
        <v>3.5488605499000002E-4</v>
      </c>
      <c r="AQ22" s="7">
        <v>1.1641000509262094</v>
      </c>
      <c r="AR22" s="7">
        <v>1.1635240316390993</v>
      </c>
      <c r="AS22" s="7">
        <v>5.7601928710999983E-4</v>
      </c>
      <c r="AT22" s="10">
        <v>-306</v>
      </c>
    </row>
    <row r="23" spans="1:46" x14ac:dyDescent="0.3">
      <c r="A23" s="1">
        <v>43812.615543981483</v>
      </c>
      <c r="B23">
        <v>1579</v>
      </c>
      <c r="C23">
        <v>18820</v>
      </c>
      <c r="D23">
        <v>0</v>
      </c>
      <c r="E23" t="s">
        <v>26</v>
      </c>
      <c r="F23">
        <v>1.16990995407104</v>
      </c>
      <c r="G23">
        <v>1.1710633039474501</v>
      </c>
      <c r="H23">
        <v>1.15334987641E-3</v>
      </c>
      <c r="I23">
        <v>1.16839003562927</v>
      </c>
      <c r="J23">
        <v>1.16892969608307</v>
      </c>
      <c r="K23">
        <v>5.3966045380000004E-4</v>
      </c>
      <c r="O23" s="5">
        <v>4500</v>
      </c>
      <c r="P23" s="3" t="s">
        <v>34</v>
      </c>
      <c r="Q23" s="7">
        <v>1.16691994667053</v>
      </c>
      <c r="R23" s="7">
        <v>1.16557836532593</v>
      </c>
      <c r="S23" s="7">
        <v>1.3415813445999999E-3</v>
      </c>
      <c r="T23" s="7">
        <v>1.1649099588394201</v>
      </c>
      <c r="U23" s="7">
        <v>1.16426837444305</v>
      </c>
      <c r="V23" s="7">
        <v>6.4158439637000003E-4</v>
      </c>
      <c r="W23" s="7"/>
      <c r="Y23" s="1">
        <v>43811.954768518517</v>
      </c>
      <c r="Z23">
        <v>9422</v>
      </c>
      <c r="AA23">
        <v>7184</v>
      </c>
      <c r="AB23">
        <v>0</v>
      </c>
      <c r="AC23" t="s">
        <v>13</v>
      </c>
      <c r="AD23">
        <v>1.17091000080109</v>
      </c>
      <c r="AG23">
        <v>1.1702200174331701</v>
      </c>
      <c r="AJ23">
        <v>0</v>
      </c>
      <c r="AK23">
        <v>-1</v>
      </c>
      <c r="AL23" t="s">
        <v>457</v>
      </c>
      <c r="AM23" s="3" t="s">
        <v>34</v>
      </c>
      <c r="AN23" s="7">
        <v>1.1669199466705296</v>
      </c>
      <c r="AO23" s="7">
        <v>1.1666148900985707</v>
      </c>
      <c r="AP23" s="7">
        <v>3.0505657195999998E-4</v>
      </c>
      <c r="AQ23" s="7">
        <v>1.1649099588394201</v>
      </c>
      <c r="AR23" s="7">
        <v>1.1649825572967496</v>
      </c>
      <c r="AS23" s="7">
        <v>7.2598457329999972E-5</v>
      </c>
      <c r="AT23" s="10">
        <v>108</v>
      </c>
    </row>
    <row r="24" spans="1:46" x14ac:dyDescent="0.3">
      <c r="A24" s="1">
        <v>43812.615729166668</v>
      </c>
      <c r="B24">
        <v>11892</v>
      </c>
      <c r="C24">
        <v>19372</v>
      </c>
      <c r="D24">
        <v>0</v>
      </c>
      <c r="E24" t="s">
        <v>32</v>
      </c>
      <c r="F24">
        <v>1.16612005233765</v>
      </c>
      <c r="G24">
        <v>1.1673322916030899</v>
      </c>
      <c r="H24">
        <v>1.21223926544E-3</v>
      </c>
      <c r="I24">
        <v>1.16412997245789</v>
      </c>
      <c r="J24">
        <v>1.1651707887649501</v>
      </c>
      <c r="K24">
        <v>1.04081630706E-3</v>
      </c>
      <c r="O24" s="5">
        <v>12008</v>
      </c>
      <c r="P24" s="3" t="s">
        <v>35</v>
      </c>
      <c r="Q24" s="7">
        <v>1.1671400070190401</v>
      </c>
      <c r="R24" s="7">
        <v>1.16599881649017</v>
      </c>
      <c r="S24" s="7">
        <v>1.1411905288699999E-3</v>
      </c>
      <c r="T24" s="7">
        <v>1.1655199527740501</v>
      </c>
      <c r="U24" s="7">
        <v>1.1643267869949301</v>
      </c>
      <c r="V24" s="7">
        <v>1.19316577912E-3</v>
      </c>
      <c r="W24" s="7"/>
      <c r="Y24" s="1">
        <v>43811.95484953704</v>
      </c>
      <c r="Z24">
        <v>9422</v>
      </c>
      <c r="AA24">
        <v>7184</v>
      </c>
      <c r="AB24">
        <v>0</v>
      </c>
      <c r="AC24" t="s">
        <v>13</v>
      </c>
      <c r="AD24">
        <v>1.17091000080109</v>
      </c>
      <c r="AG24">
        <v>1.1702200174331701</v>
      </c>
      <c r="AJ24">
        <v>0</v>
      </c>
      <c r="AK24">
        <v>-1</v>
      </c>
      <c r="AL24" t="s">
        <v>457</v>
      </c>
      <c r="AM24" s="3" t="s">
        <v>35</v>
      </c>
      <c r="AN24" s="7">
        <v>1.1671400070190396</v>
      </c>
      <c r="AO24" s="7">
        <v>1.1674290895462001</v>
      </c>
      <c r="AP24" s="7">
        <v>2.8908252716000003E-4</v>
      </c>
      <c r="AQ24" s="7">
        <v>1.1655199527740505</v>
      </c>
      <c r="AR24" s="7">
        <v>1.1654248237609901</v>
      </c>
      <c r="AS24" s="7">
        <v>9.5129013059999971E-5</v>
      </c>
      <c r="AT24" s="10">
        <v>206</v>
      </c>
    </row>
    <row r="25" spans="1:46" x14ac:dyDescent="0.3">
      <c r="A25" s="1">
        <v>43812.615671296298</v>
      </c>
      <c r="B25">
        <v>1060</v>
      </c>
      <c r="C25">
        <v>19444</v>
      </c>
      <c r="D25">
        <v>0</v>
      </c>
      <c r="E25" t="s">
        <v>30</v>
      </c>
      <c r="F25">
        <v>1.16819000244141</v>
      </c>
      <c r="G25">
        <v>1.16994857788086</v>
      </c>
      <c r="H25">
        <v>1.7585754394499999E-3</v>
      </c>
      <c r="I25">
        <v>1.16434001922607</v>
      </c>
      <c r="J25">
        <v>1.1678880453109699</v>
      </c>
      <c r="K25">
        <v>3.5480260848999999E-3</v>
      </c>
      <c r="O25" s="6">
        <v>1895</v>
      </c>
      <c r="P25" s="3" t="s">
        <v>36</v>
      </c>
      <c r="Q25" s="7">
        <v>1.16782999038696</v>
      </c>
      <c r="R25" s="7">
        <v>1.1670602560043299</v>
      </c>
      <c r="S25" s="7">
        <v>7.6973438262999995E-4</v>
      </c>
      <c r="T25" s="7">
        <v>1.16589999198914</v>
      </c>
      <c r="U25" s="7">
        <v>1.1652425527572601</v>
      </c>
      <c r="V25" s="7">
        <v>6.5743923188000002E-4</v>
      </c>
      <c r="W25" s="7"/>
      <c r="Y25" s="1">
        <v>43811.954918981479</v>
      </c>
      <c r="Z25">
        <v>9422</v>
      </c>
      <c r="AA25">
        <v>7184</v>
      </c>
      <c r="AB25">
        <v>0</v>
      </c>
      <c r="AC25" t="s">
        <v>13</v>
      </c>
      <c r="AD25">
        <v>1.17091000080109</v>
      </c>
      <c r="AG25">
        <v>1.1702200174331701</v>
      </c>
      <c r="AJ25">
        <v>0</v>
      </c>
      <c r="AK25">
        <v>-1</v>
      </c>
      <c r="AL25" t="s">
        <v>457</v>
      </c>
      <c r="AM25" s="3" t="s">
        <v>36</v>
      </c>
      <c r="AN25" s="7">
        <v>1.1678299903869596</v>
      </c>
      <c r="AO25" s="7">
        <v>1.1671434640884399</v>
      </c>
      <c r="AP25" s="7">
        <v>6.8652629852000008E-4</v>
      </c>
      <c r="AQ25" s="7">
        <v>1.1658999919891395</v>
      </c>
      <c r="AR25" s="7">
        <v>1.1651803255081203</v>
      </c>
      <c r="AS25" s="7">
        <v>7.1966648102000008E-4</v>
      </c>
      <c r="AT25" s="10">
        <v>-236</v>
      </c>
    </row>
    <row r="26" spans="1:46" ht="15.6" x14ac:dyDescent="0.3">
      <c r="A26" s="1"/>
      <c r="P26" s="3" t="s">
        <v>38</v>
      </c>
      <c r="Q26" s="26">
        <v>1.1695300042629242</v>
      </c>
      <c r="R26" s="26">
        <v>1.1696932263996285</v>
      </c>
      <c r="S26" s="24">
        <v>7.7776286913086969E-4</v>
      </c>
      <c r="T26" s="26">
        <v>1.1679970820744834</v>
      </c>
      <c r="U26" s="26">
        <v>1.168234586715698</v>
      </c>
      <c r="V26" s="24">
        <v>8.7818373804695649E-4</v>
      </c>
      <c r="W26" s="7"/>
      <c r="Y26" s="1">
        <v>43811.9533912037</v>
      </c>
      <c r="Z26">
        <v>9422</v>
      </c>
      <c r="AA26">
        <v>7184</v>
      </c>
      <c r="AB26">
        <v>1</v>
      </c>
      <c r="AC26" t="s">
        <v>14</v>
      </c>
      <c r="AD26">
        <v>1.1708300113678001</v>
      </c>
      <c r="AE26">
        <v>1.1709315776825</v>
      </c>
      <c r="AF26">
        <v>1.015663147E-4</v>
      </c>
      <c r="AG26">
        <v>1.17041003704071</v>
      </c>
      <c r="AH26">
        <v>1.1705574989318801</v>
      </c>
      <c r="AI26">
        <v>1.4746189117000001E-4</v>
      </c>
      <c r="AJ26">
        <v>0</v>
      </c>
      <c r="AK26">
        <v>0</v>
      </c>
      <c r="AL26" t="s">
        <v>457</v>
      </c>
      <c r="AM26" s="3" t="s">
        <v>38</v>
      </c>
      <c r="AN26" s="26">
        <v>1.1695300042629244</v>
      </c>
      <c r="AO26" s="26">
        <v>1.1695082757783974</v>
      </c>
      <c r="AP26" s="24">
        <v>3.9858403413087147E-4</v>
      </c>
      <c r="AQ26" s="26">
        <v>1.1679970820744834</v>
      </c>
      <c r="AR26" s="26">
        <v>1.1679999206377107</v>
      </c>
      <c r="AS26" s="24">
        <v>5.393702050904358E-4</v>
      </c>
      <c r="AT26" s="27">
        <v>-34.333333333333336</v>
      </c>
    </row>
    <row r="27" spans="1:46" x14ac:dyDescent="0.3">
      <c r="A27" s="1"/>
      <c r="W27" s="7"/>
      <c r="Y27" s="1">
        <v>43811.954918981479</v>
      </c>
      <c r="Z27">
        <v>9422</v>
      </c>
      <c r="AA27">
        <v>7184</v>
      </c>
      <c r="AB27">
        <v>1</v>
      </c>
      <c r="AC27" t="s">
        <v>14</v>
      </c>
      <c r="AD27">
        <v>1.1708300113678001</v>
      </c>
      <c r="AE27">
        <v>1.1709315776825</v>
      </c>
      <c r="AF27">
        <v>1.015663147E-4</v>
      </c>
      <c r="AG27">
        <v>1.17041003704071</v>
      </c>
      <c r="AH27">
        <v>1.1705574989318801</v>
      </c>
      <c r="AI27">
        <v>1.4746189117000001E-4</v>
      </c>
      <c r="AJ27">
        <v>0</v>
      </c>
      <c r="AK27">
        <v>0</v>
      </c>
      <c r="AL27" t="s">
        <v>457</v>
      </c>
    </row>
    <row r="28" spans="1:46" x14ac:dyDescent="0.3">
      <c r="A28" s="1"/>
      <c r="W28" s="7"/>
      <c r="Y28" s="1">
        <v>43811.95349537037</v>
      </c>
      <c r="Z28">
        <v>9422</v>
      </c>
      <c r="AA28">
        <v>7184</v>
      </c>
      <c r="AB28">
        <v>1</v>
      </c>
      <c r="AC28" t="s">
        <v>14</v>
      </c>
      <c r="AD28">
        <v>1.1708300113678001</v>
      </c>
      <c r="AE28">
        <v>1.1709315776825</v>
      </c>
      <c r="AF28">
        <v>1.015663147E-4</v>
      </c>
      <c r="AG28">
        <v>1.17041003704071</v>
      </c>
      <c r="AH28">
        <v>1.1705574989318801</v>
      </c>
      <c r="AI28">
        <v>1.4746189117000001E-4</v>
      </c>
      <c r="AJ28">
        <v>0</v>
      </c>
      <c r="AK28">
        <v>0</v>
      </c>
      <c r="AL28" t="s">
        <v>457</v>
      </c>
    </row>
    <row r="29" spans="1:46" x14ac:dyDescent="0.3">
      <c r="A29" s="1"/>
      <c r="W29" s="7"/>
      <c r="Y29" s="1">
        <v>43811.953541666669</v>
      </c>
      <c r="Z29">
        <v>9422</v>
      </c>
      <c r="AA29">
        <v>7184</v>
      </c>
      <c r="AB29">
        <v>1</v>
      </c>
      <c r="AC29" t="s">
        <v>14</v>
      </c>
      <c r="AD29">
        <v>1.1708300113678001</v>
      </c>
      <c r="AE29">
        <v>1.1709315776825</v>
      </c>
      <c r="AF29">
        <v>1.015663147E-4</v>
      </c>
      <c r="AG29">
        <v>1.17041003704071</v>
      </c>
      <c r="AH29">
        <v>1.1705574989318801</v>
      </c>
      <c r="AI29">
        <v>1.4746189117000001E-4</v>
      </c>
      <c r="AJ29">
        <v>0</v>
      </c>
      <c r="AK29">
        <v>0</v>
      </c>
      <c r="AL29" t="s">
        <v>457</v>
      </c>
    </row>
    <row r="30" spans="1:46" x14ac:dyDescent="0.3">
      <c r="A30" s="1"/>
      <c r="W30" s="7"/>
      <c r="Y30" s="1">
        <v>43811.953599537039</v>
      </c>
      <c r="Z30">
        <v>9422</v>
      </c>
      <c r="AA30">
        <v>7184</v>
      </c>
      <c r="AB30">
        <v>1</v>
      </c>
      <c r="AC30" t="s">
        <v>14</v>
      </c>
      <c r="AD30">
        <v>1.1708300113678001</v>
      </c>
      <c r="AE30">
        <v>1.1709315776825</v>
      </c>
      <c r="AF30">
        <v>1.015663147E-4</v>
      </c>
      <c r="AG30">
        <v>1.17041003704071</v>
      </c>
      <c r="AH30">
        <v>1.1705574989318801</v>
      </c>
      <c r="AI30">
        <v>1.4746189117000001E-4</v>
      </c>
      <c r="AJ30">
        <v>0</v>
      </c>
      <c r="AK30">
        <v>0</v>
      </c>
      <c r="AL30" t="s">
        <v>457</v>
      </c>
    </row>
    <row r="31" spans="1:46" x14ac:dyDescent="0.3">
      <c r="A31" s="1"/>
      <c r="W31" s="7"/>
      <c r="Y31" s="1">
        <v>43811.953657407408</v>
      </c>
      <c r="Z31">
        <v>9422</v>
      </c>
      <c r="AA31">
        <v>7184</v>
      </c>
      <c r="AB31">
        <v>1</v>
      </c>
      <c r="AC31" t="s">
        <v>14</v>
      </c>
      <c r="AD31">
        <v>1.1708300113678001</v>
      </c>
      <c r="AE31">
        <v>1.1709315776825</v>
      </c>
      <c r="AF31">
        <v>1.015663147E-4</v>
      </c>
      <c r="AG31">
        <v>1.17041003704071</v>
      </c>
      <c r="AH31">
        <v>1.1705574989318801</v>
      </c>
      <c r="AI31">
        <v>1.4746189117000001E-4</v>
      </c>
      <c r="AJ31">
        <v>0</v>
      </c>
      <c r="AK31">
        <v>0</v>
      </c>
      <c r="AL31" t="s">
        <v>457</v>
      </c>
    </row>
    <row r="32" spans="1:46" x14ac:dyDescent="0.3">
      <c r="A32" s="1"/>
      <c r="W32" s="7"/>
      <c r="Y32" s="1">
        <v>43811.953715277778</v>
      </c>
      <c r="Z32">
        <v>9422</v>
      </c>
      <c r="AA32">
        <v>7184</v>
      </c>
      <c r="AB32">
        <v>1</v>
      </c>
      <c r="AC32" t="s">
        <v>14</v>
      </c>
      <c r="AD32">
        <v>1.1708300113678001</v>
      </c>
      <c r="AE32">
        <v>1.1709315776825</v>
      </c>
      <c r="AF32">
        <v>1.015663147E-4</v>
      </c>
      <c r="AG32">
        <v>1.17041003704071</v>
      </c>
      <c r="AH32">
        <v>1.1705574989318801</v>
      </c>
      <c r="AI32">
        <v>1.4746189117000001E-4</v>
      </c>
      <c r="AJ32">
        <v>0</v>
      </c>
      <c r="AK32">
        <v>0</v>
      </c>
      <c r="AL32" t="s">
        <v>457</v>
      </c>
    </row>
    <row r="33" spans="1:38" x14ac:dyDescent="0.3">
      <c r="A33" s="1"/>
      <c r="W33" s="7"/>
      <c r="Y33" s="1">
        <v>43811.953773148147</v>
      </c>
      <c r="Z33">
        <v>9422</v>
      </c>
      <c r="AA33">
        <v>7184</v>
      </c>
      <c r="AB33">
        <v>1</v>
      </c>
      <c r="AC33" t="s">
        <v>14</v>
      </c>
      <c r="AD33">
        <v>1.1708300113678001</v>
      </c>
      <c r="AE33">
        <v>1.1709315776825</v>
      </c>
      <c r="AF33">
        <v>1.015663147E-4</v>
      </c>
      <c r="AG33">
        <v>1.17041003704071</v>
      </c>
      <c r="AH33">
        <v>1.1705574989318801</v>
      </c>
      <c r="AI33">
        <v>1.4746189117000001E-4</v>
      </c>
      <c r="AJ33">
        <v>0</v>
      </c>
      <c r="AK33">
        <v>0</v>
      </c>
      <c r="AL33" t="s">
        <v>457</v>
      </c>
    </row>
    <row r="34" spans="1:38" x14ac:dyDescent="0.3">
      <c r="A34" s="1"/>
      <c r="W34" s="7"/>
      <c r="Y34" s="1">
        <v>43811.953842592593</v>
      </c>
      <c r="Z34">
        <v>9422</v>
      </c>
      <c r="AA34">
        <v>7184</v>
      </c>
      <c r="AB34">
        <v>1</v>
      </c>
      <c r="AC34" t="s">
        <v>14</v>
      </c>
      <c r="AD34">
        <v>1.1708300113678001</v>
      </c>
      <c r="AE34">
        <v>1.1709315776825</v>
      </c>
      <c r="AF34">
        <v>1.015663147E-4</v>
      </c>
      <c r="AG34">
        <v>1.17041003704071</v>
      </c>
      <c r="AH34">
        <v>1.1705574989318801</v>
      </c>
      <c r="AI34">
        <v>1.4746189117000001E-4</v>
      </c>
      <c r="AJ34">
        <v>0</v>
      </c>
      <c r="AK34">
        <v>0</v>
      </c>
      <c r="AL34" t="s">
        <v>457</v>
      </c>
    </row>
    <row r="35" spans="1:38" x14ac:dyDescent="0.3">
      <c r="A35" s="1"/>
      <c r="W35" s="7"/>
      <c r="Y35" s="1">
        <v>43811.953900462962</v>
      </c>
      <c r="Z35">
        <v>9422</v>
      </c>
      <c r="AA35">
        <v>7184</v>
      </c>
      <c r="AB35">
        <v>1</v>
      </c>
      <c r="AC35" t="s">
        <v>14</v>
      </c>
      <c r="AD35">
        <v>1.1708300113678001</v>
      </c>
      <c r="AE35">
        <v>1.1709315776825</v>
      </c>
      <c r="AF35">
        <v>1.015663147E-4</v>
      </c>
      <c r="AG35">
        <v>1.17041003704071</v>
      </c>
      <c r="AH35">
        <v>1.1705574989318801</v>
      </c>
      <c r="AI35">
        <v>1.4746189117000001E-4</v>
      </c>
      <c r="AJ35">
        <v>0</v>
      </c>
      <c r="AK35">
        <v>0</v>
      </c>
      <c r="AL35" t="s">
        <v>457</v>
      </c>
    </row>
    <row r="36" spans="1:38" x14ac:dyDescent="0.3">
      <c r="A36" s="1"/>
      <c r="W36" s="7"/>
      <c r="Y36" s="1">
        <v>43811.953969907408</v>
      </c>
      <c r="Z36">
        <v>9422</v>
      </c>
      <c r="AA36">
        <v>7184</v>
      </c>
      <c r="AB36">
        <v>1</v>
      </c>
      <c r="AC36" t="s">
        <v>14</v>
      </c>
      <c r="AD36">
        <v>1.1708300113678001</v>
      </c>
      <c r="AE36">
        <v>1.1709315776825</v>
      </c>
      <c r="AF36">
        <v>1.015663147E-4</v>
      </c>
      <c r="AG36">
        <v>1.17041003704071</v>
      </c>
      <c r="AH36">
        <v>1.1705574989318801</v>
      </c>
      <c r="AI36">
        <v>1.4746189117000001E-4</v>
      </c>
      <c r="AJ36">
        <v>0</v>
      </c>
      <c r="AK36">
        <v>0</v>
      </c>
      <c r="AL36" t="s">
        <v>457</v>
      </c>
    </row>
    <row r="37" spans="1:38" x14ac:dyDescent="0.3">
      <c r="A37" s="1"/>
      <c r="W37" s="7"/>
      <c r="Y37" s="1">
        <v>43811.954039351855</v>
      </c>
      <c r="Z37">
        <v>9422</v>
      </c>
      <c r="AA37">
        <v>7184</v>
      </c>
      <c r="AB37">
        <v>1</v>
      </c>
      <c r="AC37" t="s">
        <v>14</v>
      </c>
      <c r="AD37">
        <v>1.1708300113678001</v>
      </c>
      <c r="AE37">
        <v>1.1709315776825</v>
      </c>
      <c r="AF37">
        <v>1.015663147E-4</v>
      </c>
      <c r="AG37">
        <v>1.17041003704071</v>
      </c>
      <c r="AH37">
        <v>1.1705574989318801</v>
      </c>
      <c r="AI37">
        <v>1.4746189117000001E-4</v>
      </c>
      <c r="AJ37">
        <v>0</v>
      </c>
      <c r="AK37">
        <v>0</v>
      </c>
      <c r="AL37" t="s">
        <v>457</v>
      </c>
    </row>
    <row r="38" spans="1:38" x14ac:dyDescent="0.3">
      <c r="A38" s="1"/>
      <c r="W38" s="7"/>
      <c r="Y38" s="1">
        <v>43811.954097222224</v>
      </c>
      <c r="Z38">
        <v>9422</v>
      </c>
      <c r="AA38">
        <v>7184</v>
      </c>
      <c r="AB38">
        <v>1</v>
      </c>
      <c r="AC38" t="s">
        <v>14</v>
      </c>
      <c r="AD38">
        <v>1.1708300113678001</v>
      </c>
      <c r="AE38">
        <v>1.1709315776825</v>
      </c>
      <c r="AF38">
        <v>1.015663147E-4</v>
      </c>
      <c r="AG38">
        <v>1.17041003704071</v>
      </c>
      <c r="AH38">
        <v>1.1705574989318801</v>
      </c>
      <c r="AI38">
        <v>1.4746189117000001E-4</v>
      </c>
      <c r="AJ38">
        <v>0</v>
      </c>
      <c r="AK38">
        <v>0</v>
      </c>
      <c r="AL38" t="s">
        <v>457</v>
      </c>
    </row>
    <row r="39" spans="1:38" x14ac:dyDescent="0.3">
      <c r="A39" s="1"/>
      <c r="W39" s="7"/>
      <c r="Y39" s="1">
        <v>43811.95416666667</v>
      </c>
      <c r="Z39">
        <v>9422</v>
      </c>
      <c r="AA39">
        <v>7184</v>
      </c>
      <c r="AB39">
        <v>1</v>
      </c>
      <c r="AC39" t="s">
        <v>14</v>
      </c>
      <c r="AD39">
        <v>1.1708300113678001</v>
      </c>
      <c r="AE39">
        <v>1.1709315776825</v>
      </c>
      <c r="AF39">
        <v>1.015663147E-4</v>
      </c>
      <c r="AG39">
        <v>1.17041003704071</v>
      </c>
      <c r="AH39">
        <v>1.1705574989318801</v>
      </c>
      <c r="AI39">
        <v>1.4746189117000001E-4</v>
      </c>
      <c r="AJ39">
        <v>0</v>
      </c>
      <c r="AK39">
        <v>0</v>
      </c>
      <c r="AL39" t="s">
        <v>457</v>
      </c>
    </row>
    <row r="40" spans="1:38" x14ac:dyDescent="0.3">
      <c r="A40" s="1"/>
      <c r="W40" s="7"/>
      <c r="Y40" s="1">
        <v>43811.954236111109</v>
      </c>
      <c r="Z40">
        <v>9422</v>
      </c>
      <c r="AA40">
        <v>7184</v>
      </c>
      <c r="AB40">
        <v>1</v>
      </c>
      <c r="AC40" t="s">
        <v>14</v>
      </c>
      <c r="AD40">
        <v>1.1708300113678001</v>
      </c>
      <c r="AE40">
        <v>1.1709315776825</v>
      </c>
      <c r="AF40">
        <v>1.015663147E-4</v>
      </c>
      <c r="AG40">
        <v>1.17041003704071</v>
      </c>
      <c r="AH40">
        <v>1.1705574989318801</v>
      </c>
      <c r="AI40">
        <v>1.4746189117000001E-4</v>
      </c>
      <c r="AJ40">
        <v>0</v>
      </c>
      <c r="AK40">
        <v>0</v>
      </c>
      <c r="AL40" t="s">
        <v>457</v>
      </c>
    </row>
    <row r="41" spans="1:38" x14ac:dyDescent="0.3">
      <c r="A41" s="1"/>
      <c r="W41" s="7"/>
      <c r="Y41" s="1">
        <v>43811.954305555555</v>
      </c>
      <c r="Z41">
        <v>9422</v>
      </c>
      <c r="AA41">
        <v>7184</v>
      </c>
      <c r="AB41">
        <v>1</v>
      </c>
      <c r="AC41" t="s">
        <v>14</v>
      </c>
      <c r="AD41">
        <v>1.1708300113678001</v>
      </c>
      <c r="AE41">
        <v>1.1709315776825</v>
      </c>
      <c r="AF41">
        <v>1.015663147E-4</v>
      </c>
      <c r="AG41">
        <v>1.17041003704071</v>
      </c>
      <c r="AH41">
        <v>1.1705574989318801</v>
      </c>
      <c r="AI41">
        <v>1.4746189117000001E-4</v>
      </c>
      <c r="AJ41">
        <v>0</v>
      </c>
      <c r="AK41">
        <v>0</v>
      </c>
      <c r="AL41" t="s">
        <v>457</v>
      </c>
    </row>
    <row r="42" spans="1:38" x14ac:dyDescent="0.3">
      <c r="A42" s="1"/>
      <c r="W42" s="7"/>
      <c r="Y42" s="1">
        <v>43811.954375000001</v>
      </c>
      <c r="Z42">
        <v>9422</v>
      </c>
      <c r="AA42">
        <v>7184</v>
      </c>
      <c r="AB42">
        <v>1</v>
      </c>
      <c r="AC42" t="s">
        <v>14</v>
      </c>
      <c r="AD42">
        <v>1.1708300113678001</v>
      </c>
      <c r="AE42">
        <v>1.1709315776825</v>
      </c>
      <c r="AF42">
        <v>1.015663147E-4</v>
      </c>
      <c r="AG42">
        <v>1.17041003704071</v>
      </c>
      <c r="AH42">
        <v>1.1705574989318801</v>
      </c>
      <c r="AI42">
        <v>1.4746189117000001E-4</v>
      </c>
      <c r="AJ42">
        <v>0</v>
      </c>
      <c r="AK42">
        <v>0</v>
      </c>
      <c r="AL42" t="s">
        <v>457</v>
      </c>
    </row>
    <row r="43" spans="1:38" x14ac:dyDescent="0.3">
      <c r="A43" s="1"/>
      <c r="W43" s="7"/>
      <c r="Y43" s="1">
        <v>43811.954456018517</v>
      </c>
      <c r="Z43">
        <v>9422</v>
      </c>
      <c r="AA43">
        <v>7184</v>
      </c>
      <c r="AB43">
        <v>1</v>
      </c>
      <c r="AC43" t="s">
        <v>14</v>
      </c>
      <c r="AD43">
        <v>1.1708300113678001</v>
      </c>
      <c r="AE43">
        <v>1.1709315776825</v>
      </c>
      <c r="AF43">
        <v>1.015663147E-4</v>
      </c>
      <c r="AG43">
        <v>1.17041003704071</v>
      </c>
      <c r="AH43">
        <v>1.1705574989318801</v>
      </c>
      <c r="AI43">
        <v>1.4746189117000001E-4</v>
      </c>
      <c r="AJ43">
        <v>0</v>
      </c>
      <c r="AK43">
        <v>0</v>
      </c>
      <c r="AL43" t="s">
        <v>457</v>
      </c>
    </row>
    <row r="44" spans="1:38" x14ac:dyDescent="0.3">
      <c r="A44" s="1"/>
      <c r="W44" s="7"/>
      <c r="Y44" s="1">
        <v>43811.954525462963</v>
      </c>
      <c r="Z44">
        <v>9422</v>
      </c>
      <c r="AA44">
        <v>7184</v>
      </c>
      <c r="AB44">
        <v>1</v>
      </c>
      <c r="AC44" t="s">
        <v>14</v>
      </c>
      <c r="AD44">
        <v>1.1708300113678001</v>
      </c>
      <c r="AE44">
        <v>1.1709315776825</v>
      </c>
      <c r="AF44">
        <v>1.015663147E-4</v>
      </c>
      <c r="AG44">
        <v>1.17041003704071</v>
      </c>
      <c r="AH44">
        <v>1.1705574989318801</v>
      </c>
      <c r="AI44">
        <v>1.4746189117000001E-4</v>
      </c>
      <c r="AJ44">
        <v>0</v>
      </c>
      <c r="AK44">
        <v>0</v>
      </c>
      <c r="AL44" t="s">
        <v>457</v>
      </c>
    </row>
    <row r="45" spans="1:38" x14ac:dyDescent="0.3">
      <c r="A45" s="1"/>
      <c r="W45" s="7"/>
      <c r="Y45" s="1">
        <v>43811.954606481479</v>
      </c>
      <c r="Z45">
        <v>9422</v>
      </c>
      <c r="AA45">
        <v>7184</v>
      </c>
      <c r="AB45">
        <v>1</v>
      </c>
      <c r="AC45" t="s">
        <v>14</v>
      </c>
      <c r="AD45">
        <v>1.1708300113678001</v>
      </c>
      <c r="AE45">
        <v>1.1709315776825</v>
      </c>
      <c r="AF45">
        <v>1.015663147E-4</v>
      </c>
      <c r="AG45">
        <v>1.17041003704071</v>
      </c>
      <c r="AH45">
        <v>1.1705574989318801</v>
      </c>
      <c r="AI45">
        <v>1.4746189117000001E-4</v>
      </c>
      <c r="AJ45">
        <v>0</v>
      </c>
      <c r="AK45">
        <v>0</v>
      </c>
      <c r="AL45" t="s">
        <v>457</v>
      </c>
    </row>
    <row r="46" spans="1:38" x14ac:dyDescent="0.3">
      <c r="A46" s="1"/>
      <c r="W46" s="7"/>
      <c r="Y46" s="1">
        <v>43811.954687500001</v>
      </c>
      <c r="Z46">
        <v>9422</v>
      </c>
      <c r="AA46">
        <v>7184</v>
      </c>
      <c r="AB46">
        <v>1</v>
      </c>
      <c r="AC46" t="s">
        <v>14</v>
      </c>
      <c r="AD46">
        <v>1.1708300113678001</v>
      </c>
      <c r="AE46">
        <v>1.1709315776825</v>
      </c>
      <c r="AF46">
        <v>1.015663147E-4</v>
      </c>
      <c r="AG46">
        <v>1.17041003704071</v>
      </c>
      <c r="AH46">
        <v>1.1705574989318801</v>
      </c>
      <c r="AI46">
        <v>1.4746189117000001E-4</v>
      </c>
      <c r="AJ46">
        <v>0</v>
      </c>
      <c r="AK46">
        <v>0</v>
      </c>
      <c r="AL46" t="s">
        <v>457</v>
      </c>
    </row>
    <row r="47" spans="1:38" x14ac:dyDescent="0.3">
      <c r="A47" s="1"/>
      <c r="W47" s="7"/>
      <c r="Y47" s="1">
        <v>43811.954768518517</v>
      </c>
      <c r="Z47">
        <v>9422</v>
      </c>
      <c r="AA47">
        <v>7184</v>
      </c>
      <c r="AB47">
        <v>1</v>
      </c>
      <c r="AC47" t="s">
        <v>14</v>
      </c>
      <c r="AD47">
        <v>1.1708300113678001</v>
      </c>
      <c r="AE47">
        <v>1.1709315776825</v>
      </c>
      <c r="AF47">
        <v>1.015663147E-4</v>
      </c>
      <c r="AG47">
        <v>1.17041003704071</v>
      </c>
      <c r="AH47">
        <v>1.1705574989318801</v>
      </c>
      <c r="AI47">
        <v>1.4746189117000001E-4</v>
      </c>
      <c r="AJ47">
        <v>0</v>
      </c>
      <c r="AK47">
        <v>0</v>
      </c>
      <c r="AL47" t="s">
        <v>457</v>
      </c>
    </row>
    <row r="48" spans="1:38" x14ac:dyDescent="0.3">
      <c r="A48" s="1"/>
      <c r="W48" s="7"/>
      <c r="Y48" s="1">
        <v>43811.95484953704</v>
      </c>
      <c r="Z48">
        <v>9422</v>
      </c>
      <c r="AA48">
        <v>7184</v>
      </c>
      <c r="AB48">
        <v>1</v>
      </c>
      <c r="AC48" t="s">
        <v>14</v>
      </c>
      <c r="AD48">
        <v>1.1708300113678001</v>
      </c>
      <c r="AE48">
        <v>1.1709315776825</v>
      </c>
      <c r="AF48">
        <v>1.015663147E-4</v>
      </c>
      <c r="AG48">
        <v>1.17041003704071</v>
      </c>
      <c r="AH48">
        <v>1.1705574989318801</v>
      </c>
      <c r="AI48">
        <v>1.4746189117000001E-4</v>
      </c>
      <c r="AJ48">
        <v>0</v>
      </c>
      <c r="AK48">
        <v>0</v>
      </c>
      <c r="AL48" t="s">
        <v>457</v>
      </c>
    </row>
    <row r="49" spans="1:38" x14ac:dyDescent="0.3">
      <c r="A49" s="1"/>
      <c r="W49" s="7"/>
      <c r="Y49" s="1">
        <v>43811.9534375</v>
      </c>
      <c r="Z49">
        <v>9422</v>
      </c>
      <c r="AA49">
        <v>7184</v>
      </c>
      <c r="AB49">
        <v>1</v>
      </c>
      <c r="AC49" t="s">
        <v>14</v>
      </c>
      <c r="AD49">
        <v>1.1708300113678001</v>
      </c>
      <c r="AE49">
        <v>1.1709315776825</v>
      </c>
      <c r="AF49">
        <v>1.015663147E-4</v>
      </c>
      <c r="AG49">
        <v>1.17041003704071</v>
      </c>
      <c r="AH49">
        <v>1.1705574989318801</v>
      </c>
      <c r="AI49">
        <v>1.4746189117000001E-4</v>
      </c>
      <c r="AJ49">
        <v>0</v>
      </c>
      <c r="AK49">
        <v>0</v>
      </c>
      <c r="AL49" t="s">
        <v>457</v>
      </c>
    </row>
    <row r="50" spans="1:38" x14ac:dyDescent="0.3">
      <c r="A50" s="1"/>
      <c r="W50" s="7"/>
      <c r="Y50" s="1">
        <v>43811.9533912037</v>
      </c>
      <c r="Z50">
        <v>9422</v>
      </c>
      <c r="AA50">
        <v>7184</v>
      </c>
      <c r="AB50">
        <v>2</v>
      </c>
      <c r="AC50" t="s">
        <v>15</v>
      </c>
      <c r="AD50">
        <v>1.1709300279617301</v>
      </c>
      <c r="AE50">
        <v>1.1708285808563199</v>
      </c>
      <c r="AF50">
        <v>1.0144710541E-4</v>
      </c>
      <c r="AG50">
        <v>1.1705399751663199</v>
      </c>
      <c r="AH50">
        <v>1.17040371894836</v>
      </c>
      <c r="AI50">
        <v>1.3625621796E-4</v>
      </c>
      <c r="AJ50">
        <v>18</v>
      </c>
      <c r="AK50">
        <v>-1</v>
      </c>
      <c r="AL50" t="s">
        <v>457</v>
      </c>
    </row>
    <row r="51" spans="1:38" x14ac:dyDescent="0.3">
      <c r="A51" s="1"/>
      <c r="W51" s="7"/>
      <c r="Y51" s="1">
        <v>43811.954918981479</v>
      </c>
      <c r="Z51">
        <v>9422</v>
      </c>
      <c r="AA51">
        <v>7184</v>
      </c>
      <c r="AB51">
        <v>2</v>
      </c>
      <c r="AC51" t="s">
        <v>15</v>
      </c>
      <c r="AD51">
        <v>1.1709300279617301</v>
      </c>
      <c r="AE51">
        <v>1.1708285808563199</v>
      </c>
      <c r="AF51">
        <v>1.0144710541E-4</v>
      </c>
      <c r="AG51">
        <v>1.1705399751663199</v>
      </c>
      <c r="AH51">
        <v>1.17040371894836</v>
      </c>
      <c r="AI51">
        <v>1.3625621796E-4</v>
      </c>
      <c r="AJ51">
        <v>18</v>
      </c>
      <c r="AK51">
        <v>-1</v>
      </c>
      <c r="AL51" t="s">
        <v>457</v>
      </c>
    </row>
    <row r="52" spans="1:38" x14ac:dyDescent="0.3">
      <c r="A52" s="1"/>
      <c r="W52" s="7"/>
      <c r="Y52" s="1">
        <v>43811.95349537037</v>
      </c>
      <c r="Z52">
        <v>9422</v>
      </c>
      <c r="AA52">
        <v>7184</v>
      </c>
      <c r="AB52">
        <v>2</v>
      </c>
      <c r="AC52" t="s">
        <v>15</v>
      </c>
      <c r="AD52">
        <v>1.1709300279617301</v>
      </c>
      <c r="AE52">
        <v>1.1708285808563199</v>
      </c>
      <c r="AF52">
        <v>1.0144710541E-4</v>
      </c>
      <c r="AG52">
        <v>1.1705399751663199</v>
      </c>
      <c r="AH52">
        <v>1.17040371894836</v>
      </c>
      <c r="AI52">
        <v>1.3625621796E-4</v>
      </c>
      <c r="AJ52">
        <v>18</v>
      </c>
      <c r="AK52">
        <v>-1</v>
      </c>
      <c r="AL52" t="s">
        <v>457</v>
      </c>
    </row>
    <row r="53" spans="1:38" x14ac:dyDescent="0.3">
      <c r="A53" s="1"/>
      <c r="W53" s="7"/>
      <c r="Y53" s="1">
        <v>43811.953541666669</v>
      </c>
      <c r="Z53">
        <v>9422</v>
      </c>
      <c r="AA53">
        <v>7184</v>
      </c>
      <c r="AB53">
        <v>2</v>
      </c>
      <c r="AC53" t="s">
        <v>15</v>
      </c>
      <c r="AD53">
        <v>1.1709300279617301</v>
      </c>
      <c r="AE53">
        <v>1.1708285808563199</v>
      </c>
      <c r="AF53">
        <v>1.0144710541E-4</v>
      </c>
      <c r="AG53">
        <v>1.1705399751663199</v>
      </c>
      <c r="AH53">
        <v>1.17040371894836</v>
      </c>
      <c r="AI53">
        <v>1.3625621796E-4</v>
      </c>
      <c r="AJ53">
        <v>18</v>
      </c>
      <c r="AK53">
        <v>-1</v>
      </c>
      <c r="AL53" t="s">
        <v>457</v>
      </c>
    </row>
    <row r="54" spans="1:38" x14ac:dyDescent="0.3">
      <c r="A54" s="1"/>
      <c r="W54" s="7"/>
      <c r="Y54" s="1">
        <v>43811.953599537039</v>
      </c>
      <c r="Z54">
        <v>9422</v>
      </c>
      <c r="AA54">
        <v>7184</v>
      </c>
      <c r="AB54">
        <v>2</v>
      </c>
      <c r="AC54" t="s">
        <v>15</v>
      </c>
      <c r="AD54">
        <v>1.1709300279617301</v>
      </c>
      <c r="AE54">
        <v>1.1708285808563199</v>
      </c>
      <c r="AF54">
        <v>1.0144710541E-4</v>
      </c>
      <c r="AG54">
        <v>1.1705399751663199</v>
      </c>
      <c r="AH54">
        <v>1.17040371894836</v>
      </c>
      <c r="AI54">
        <v>1.3625621796E-4</v>
      </c>
      <c r="AJ54">
        <v>18</v>
      </c>
      <c r="AK54">
        <v>-1</v>
      </c>
      <c r="AL54" t="s">
        <v>457</v>
      </c>
    </row>
    <row r="55" spans="1:38" x14ac:dyDescent="0.3">
      <c r="A55" s="1"/>
      <c r="W55" s="7"/>
      <c r="Y55" s="1">
        <v>43811.953657407408</v>
      </c>
      <c r="Z55">
        <v>9422</v>
      </c>
      <c r="AA55">
        <v>7184</v>
      </c>
      <c r="AB55">
        <v>2</v>
      </c>
      <c r="AC55" t="s">
        <v>15</v>
      </c>
      <c r="AD55">
        <v>1.1709300279617301</v>
      </c>
      <c r="AE55">
        <v>1.1708285808563199</v>
      </c>
      <c r="AF55">
        <v>1.0144710541E-4</v>
      </c>
      <c r="AG55">
        <v>1.1705399751663199</v>
      </c>
      <c r="AH55">
        <v>1.17040371894836</v>
      </c>
      <c r="AI55">
        <v>1.3625621796E-4</v>
      </c>
      <c r="AJ55">
        <v>18</v>
      </c>
      <c r="AK55">
        <v>-1</v>
      </c>
      <c r="AL55" t="s">
        <v>457</v>
      </c>
    </row>
    <row r="56" spans="1:38" x14ac:dyDescent="0.3">
      <c r="A56" s="1"/>
      <c r="W56" s="7"/>
      <c r="Y56" s="1">
        <v>43811.953715277778</v>
      </c>
      <c r="Z56">
        <v>9422</v>
      </c>
      <c r="AA56">
        <v>7184</v>
      </c>
      <c r="AB56">
        <v>2</v>
      </c>
      <c r="AC56" t="s">
        <v>15</v>
      </c>
      <c r="AD56">
        <v>1.1709300279617301</v>
      </c>
      <c r="AE56">
        <v>1.1708285808563199</v>
      </c>
      <c r="AF56">
        <v>1.0144710541E-4</v>
      </c>
      <c r="AG56">
        <v>1.1705399751663199</v>
      </c>
      <c r="AH56">
        <v>1.17040371894836</v>
      </c>
      <c r="AI56">
        <v>1.3625621796E-4</v>
      </c>
      <c r="AJ56">
        <v>18</v>
      </c>
      <c r="AK56">
        <v>-1</v>
      </c>
      <c r="AL56" t="s">
        <v>457</v>
      </c>
    </row>
    <row r="57" spans="1:38" x14ac:dyDescent="0.3">
      <c r="A57" s="1"/>
      <c r="W57" s="7"/>
      <c r="Y57" s="1">
        <v>43811.953773148147</v>
      </c>
      <c r="Z57">
        <v>9422</v>
      </c>
      <c r="AA57">
        <v>7184</v>
      </c>
      <c r="AB57">
        <v>2</v>
      </c>
      <c r="AC57" t="s">
        <v>15</v>
      </c>
      <c r="AD57">
        <v>1.1709300279617301</v>
      </c>
      <c r="AE57">
        <v>1.1708285808563199</v>
      </c>
      <c r="AF57">
        <v>1.0144710541E-4</v>
      </c>
      <c r="AG57">
        <v>1.1705399751663199</v>
      </c>
      <c r="AH57">
        <v>1.17040371894836</v>
      </c>
      <c r="AI57">
        <v>1.3625621796E-4</v>
      </c>
      <c r="AJ57">
        <v>18</v>
      </c>
      <c r="AK57">
        <v>-1</v>
      </c>
      <c r="AL57" t="s">
        <v>457</v>
      </c>
    </row>
    <row r="58" spans="1:38" x14ac:dyDescent="0.3">
      <c r="A58" s="1"/>
      <c r="W58" s="7"/>
      <c r="Y58" s="1">
        <v>43811.953842592593</v>
      </c>
      <c r="Z58">
        <v>9422</v>
      </c>
      <c r="AA58">
        <v>7184</v>
      </c>
      <c r="AB58">
        <v>2</v>
      </c>
      <c r="AC58" t="s">
        <v>15</v>
      </c>
      <c r="AD58">
        <v>1.1709300279617301</v>
      </c>
      <c r="AE58">
        <v>1.1708285808563199</v>
      </c>
      <c r="AF58">
        <v>1.0144710541E-4</v>
      </c>
      <c r="AG58">
        <v>1.1705399751663199</v>
      </c>
      <c r="AH58">
        <v>1.17040371894836</v>
      </c>
      <c r="AI58">
        <v>1.3625621796E-4</v>
      </c>
      <c r="AJ58">
        <v>18</v>
      </c>
      <c r="AK58">
        <v>-1</v>
      </c>
      <c r="AL58" t="s">
        <v>457</v>
      </c>
    </row>
    <row r="59" spans="1:38" x14ac:dyDescent="0.3">
      <c r="A59" s="1"/>
      <c r="W59" s="7"/>
      <c r="Y59" s="1">
        <v>43811.953900462962</v>
      </c>
      <c r="Z59">
        <v>9422</v>
      </c>
      <c r="AA59">
        <v>7184</v>
      </c>
      <c r="AB59">
        <v>2</v>
      </c>
      <c r="AC59" t="s">
        <v>15</v>
      </c>
      <c r="AD59">
        <v>1.1709300279617301</v>
      </c>
      <c r="AE59">
        <v>1.1708285808563199</v>
      </c>
      <c r="AF59">
        <v>1.0144710541E-4</v>
      </c>
      <c r="AG59">
        <v>1.1705399751663199</v>
      </c>
      <c r="AH59">
        <v>1.17040371894836</v>
      </c>
      <c r="AI59">
        <v>1.3625621796E-4</v>
      </c>
      <c r="AJ59">
        <v>18</v>
      </c>
      <c r="AK59">
        <v>-1</v>
      </c>
      <c r="AL59" t="s">
        <v>457</v>
      </c>
    </row>
    <row r="60" spans="1:38" x14ac:dyDescent="0.3">
      <c r="A60" s="1"/>
      <c r="W60" s="7"/>
      <c r="Y60" s="1">
        <v>43811.953969907408</v>
      </c>
      <c r="Z60">
        <v>9422</v>
      </c>
      <c r="AA60">
        <v>7184</v>
      </c>
      <c r="AB60">
        <v>2</v>
      </c>
      <c r="AC60" t="s">
        <v>15</v>
      </c>
      <c r="AD60">
        <v>1.1709300279617301</v>
      </c>
      <c r="AE60">
        <v>1.1708285808563199</v>
      </c>
      <c r="AF60">
        <v>1.0144710541E-4</v>
      </c>
      <c r="AG60">
        <v>1.1705399751663199</v>
      </c>
      <c r="AH60">
        <v>1.17040371894836</v>
      </c>
      <c r="AI60">
        <v>1.3625621796E-4</v>
      </c>
      <c r="AJ60">
        <v>18</v>
      </c>
      <c r="AK60">
        <v>-1</v>
      </c>
      <c r="AL60" t="s">
        <v>457</v>
      </c>
    </row>
    <row r="61" spans="1:38" x14ac:dyDescent="0.3">
      <c r="A61" s="1"/>
      <c r="W61" s="7"/>
      <c r="Y61" s="1">
        <v>43811.954039351855</v>
      </c>
      <c r="Z61">
        <v>9422</v>
      </c>
      <c r="AA61">
        <v>7184</v>
      </c>
      <c r="AB61">
        <v>2</v>
      </c>
      <c r="AC61" t="s">
        <v>15</v>
      </c>
      <c r="AD61">
        <v>1.1709300279617301</v>
      </c>
      <c r="AE61">
        <v>1.1708285808563199</v>
      </c>
      <c r="AF61">
        <v>1.0144710541E-4</v>
      </c>
      <c r="AG61">
        <v>1.1705399751663199</v>
      </c>
      <c r="AH61">
        <v>1.17040371894836</v>
      </c>
      <c r="AI61">
        <v>1.3625621796E-4</v>
      </c>
      <c r="AJ61">
        <v>18</v>
      </c>
      <c r="AK61">
        <v>-1</v>
      </c>
      <c r="AL61" t="s">
        <v>457</v>
      </c>
    </row>
    <row r="62" spans="1:38" x14ac:dyDescent="0.3">
      <c r="A62" s="1"/>
      <c r="W62" s="7"/>
      <c r="Y62" s="1">
        <v>43811.954097222224</v>
      </c>
      <c r="Z62">
        <v>9422</v>
      </c>
      <c r="AA62">
        <v>7184</v>
      </c>
      <c r="AB62">
        <v>2</v>
      </c>
      <c r="AC62" t="s">
        <v>15</v>
      </c>
      <c r="AD62">
        <v>1.1709300279617301</v>
      </c>
      <c r="AE62">
        <v>1.1708285808563199</v>
      </c>
      <c r="AF62">
        <v>1.0144710541E-4</v>
      </c>
      <c r="AG62">
        <v>1.1705399751663199</v>
      </c>
      <c r="AH62">
        <v>1.17040371894836</v>
      </c>
      <c r="AI62">
        <v>1.3625621796E-4</v>
      </c>
      <c r="AJ62">
        <v>18</v>
      </c>
      <c r="AK62">
        <v>-1</v>
      </c>
      <c r="AL62" t="s">
        <v>457</v>
      </c>
    </row>
    <row r="63" spans="1:38" x14ac:dyDescent="0.3">
      <c r="A63" s="1"/>
      <c r="W63" s="7"/>
      <c r="Y63" s="1">
        <v>43811.95416666667</v>
      </c>
      <c r="Z63">
        <v>9422</v>
      </c>
      <c r="AA63">
        <v>7184</v>
      </c>
      <c r="AB63">
        <v>2</v>
      </c>
      <c r="AC63" t="s">
        <v>15</v>
      </c>
      <c r="AD63">
        <v>1.1709300279617301</v>
      </c>
      <c r="AE63">
        <v>1.1708285808563199</v>
      </c>
      <c r="AF63">
        <v>1.0144710541E-4</v>
      </c>
      <c r="AG63">
        <v>1.1705399751663199</v>
      </c>
      <c r="AH63">
        <v>1.17040371894836</v>
      </c>
      <c r="AI63">
        <v>1.3625621796E-4</v>
      </c>
      <c r="AJ63">
        <v>18</v>
      </c>
      <c r="AK63">
        <v>-1</v>
      </c>
      <c r="AL63" t="s">
        <v>457</v>
      </c>
    </row>
    <row r="64" spans="1:38" x14ac:dyDescent="0.3">
      <c r="A64" s="1"/>
      <c r="W64" s="7"/>
      <c r="Y64" s="1">
        <v>43811.954236111109</v>
      </c>
      <c r="Z64">
        <v>9422</v>
      </c>
      <c r="AA64">
        <v>7184</v>
      </c>
      <c r="AB64">
        <v>2</v>
      </c>
      <c r="AC64" t="s">
        <v>15</v>
      </c>
      <c r="AD64">
        <v>1.1709300279617301</v>
      </c>
      <c r="AE64">
        <v>1.1708285808563199</v>
      </c>
      <c r="AF64">
        <v>1.0144710541E-4</v>
      </c>
      <c r="AG64">
        <v>1.1705399751663199</v>
      </c>
      <c r="AH64">
        <v>1.17040371894836</v>
      </c>
      <c r="AI64">
        <v>1.3625621796E-4</v>
      </c>
      <c r="AJ64">
        <v>18</v>
      </c>
      <c r="AK64">
        <v>-1</v>
      </c>
      <c r="AL64" t="s">
        <v>457</v>
      </c>
    </row>
    <row r="65" spans="1:38" x14ac:dyDescent="0.3">
      <c r="A65" s="1"/>
      <c r="W65" s="7"/>
      <c r="Y65" s="1">
        <v>43811.954305555555</v>
      </c>
      <c r="Z65">
        <v>9422</v>
      </c>
      <c r="AA65">
        <v>7184</v>
      </c>
      <c r="AB65">
        <v>2</v>
      </c>
      <c r="AC65" t="s">
        <v>15</v>
      </c>
      <c r="AD65">
        <v>1.1709300279617301</v>
      </c>
      <c r="AE65">
        <v>1.1708285808563199</v>
      </c>
      <c r="AF65">
        <v>1.0144710541E-4</v>
      </c>
      <c r="AG65">
        <v>1.1705399751663199</v>
      </c>
      <c r="AH65">
        <v>1.17040371894836</v>
      </c>
      <c r="AI65">
        <v>1.3625621796E-4</v>
      </c>
      <c r="AJ65">
        <v>18</v>
      </c>
      <c r="AK65">
        <v>-1</v>
      </c>
      <c r="AL65" t="s">
        <v>457</v>
      </c>
    </row>
    <row r="66" spans="1:38" x14ac:dyDescent="0.3">
      <c r="A66" s="1"/>
      <c r="W66" s="7"/>
      <c r="Y66" s="1">
        <v>43811.954375000001</v>
      </c>
      <c r="Z66">
        <v>9422</v>
      </c>
      <c r="AA66">
        <v>7184</v>
      </c>
      <c r="AB66">
        <v>2</v>
      </c>
      <c r="AC66" t="s">
        <v>15</v>
      </c>
      <c r="AD66">
        <v>1.1709300279617301</v>
      </c>
      <c r="AE66">
        <v>1.1708285808563199</v>
      </c>
      <c r="AF66">
        <v>1.0144710541E-4</v>
      </c>
      <c r="AG66">
        <v>1.1705399751663199</v>
      </c>
      <c r="AH66">
        <v>1.17040371894836</v>
      </c>
      <c r="AI66">
        <v>1.3625621796E-4</v>
      </c>
      <c r="AJ66">
        <v>18</v>
      </c>
      <c r="AK66">
        <v>-1</v>
      </c>
      <c r="AL66" t="s">
        <v>457</v>
      </c>
    </row>
    <row r="67" spans="1:38" x14ac:dyDescent="0.3">
      <c r="A67" s="1"/>
      <c r="W67" s="7"/>
      <c r="Y67" s="1">
        <v>43811.954456018517</v>
      </c>
      <c r="Z67">
        <v>9422</v>
      </c>
      <c r="AA67">
        <v>7184</v>
      </c>
      <c r="AB67">
        <v>2</v>
      </c>
      <c r="AC67" t="s">
        <v>15</v>
      </c>
      <c r="AD67">
        <v>1.1709300279617301</v>
      </c>
      <c r="AE67">
        <v>1.1708285808563199</v>
      </c>
      <c r="AF67">
        <v>1.0144710541E-4</v>
      </c>
      <c r="AG67">
        <v>1.1705399751663199</v>
      </c>
      <c r="AH67">
        <v>1.17040371894836</v>
      </c>
      <c r="AI67">
        <v>1.3625621796E-4</v>
      </c>
      <c r="AJ67">
        <v>18</v>
      </c>
      <c r="AK67">
        <v>-1</v>
      </c>
      <c r="AL67" t="s">
        <v>457</v>
      </c>
    </row>
    <row r="68" spans="1:38" x14ac:dyDescent="0.3">
      <c r="A68" s="1"/>
      <c r="W68" s="7"/>
      <c r="Y68" s="1">
        <v>43811.954525462963</v>
      </c>
      <c r="Z68">
        <v>9422</v>
      </c>
      <c r="AA68">
        <v>7184</v>
      </c>
      <c r="AB68">
        <v>2</v>
      </c>
      <c r="AC68" t="s">
        <v>15</v>
      </c>
      <c r="AD68">
        <v>1.1709300279617301</v>
      </c>
      <c r="AE68">
        <v>1.1708285808563199</v>
      </c>
      <c r="AF68">
        <v>1.0144710541E-4</v>
      </c>
      <c r="AG68">
        <v>1.1705399751663199</v>
      </c>
      <c r="AH68">
        <v>1.17040371894836</v>
      </c>
      <c r="AI68">
        <v>1.3625621796E-4</v>
      </c>
      <c r="AJ68">
        <v>18</v>
      </c>
      <c r="AK68">
        <v>-1</v>
      </c>
      <c r="AL68" t="s">
        <v>457</v>
      </c>
    </row>
    <row r="69" spans="1:38" x14ac:dyDescent="0.3">
      <c r="A69" s="1"/>
      <c r="W69" s="7"/>
      <c r="Y69" s="1">
        <v>43811.954606481479</v>
      </c>
      <c r="Z69">
        <v>9422</v>
      </c>
      <c r="AA69">
        <v>7184</v>
      </c>
      <c r="AB69">
        <v>2</v>
      </c>
      <c r="AC69" t="s">
        <v>15</v>
      </c>
      <c r="AD69">
        <v>1.1709300279617301</v>
      </c>
      <c r="AE69">
        <v>1.1708285808563199</v>
      </c>
      <c r="AF69">
        <v>1.0144710541E-4</v>
      </c>
      <c r="AG69">
        <v>1.1705399751663199</v>
      </c>
      <c r="AH69">
        <v>1.17040371894836</v>
      </c>
      <c r="AI69">
        <v>1.3625621796E-4</v>
      </c>
      <c r="AJ69">
        <v>18</v>
      </c>
      <c r="AK69">
        <v>-1</v>
      </c>
      <c r="AL69" t="s">
        <v>457</v>
      </c>
    </row>
    <row r="70" spans="1:38" x14ac:dyDescent="0.3">
      <c r="A70" s="1"/>
      <c r="W70" s="7"/>
      <c r="Y70" s="1">
        <v>43811.954687500001</v>
      </c>
      <c r="Z70">
        <v>9422</v>
      </c>
      <c r="AA70">
        <v>7184</v>
      </c>
      <c r="AB70">
        <v>2</v>
      </c>
      <c r="AC70" t="s">
        <v>15</v>
      </c>
      <c r="AD70">
        <v>1.1709300279617301</v>
      </c>
      <c r="AE70">
        <v>1.1708285808563199</v>
      </c>
      <c r="AF70">
        <v>1.0144710541E-4</v>
      </c>
      <c r="AG70">
        <v>1.1705399751663199</v>
      </c>
      <c r="AH70">
        <v>1.17040371894836</v>
      </c>
      <c r="AI70">
        <v>1.3625621796E-4</v>
      </c>
      <c r="AJ70">
        <v>18</v>
      </c>
      <c r="AK70">
        <v>-1</v>
      </c>
      <c r="AL70" t="s">
        <v>457</v>
      </c>
    </row>
    <row r="71" spans="1:38" x14ac:dyDescent="0.3">
      <c r="A71" s="1"/>
      <c r="W71" s="7"/>
      <c r="Y71" s="1">
        <v>43811.954768518517</v>
      </c>
      <c r="Z71">
        <v>9422</v>
      </c>
      <c r="AA71">
        <v>7184</v>
      </c>
      <c r="AB71">
        <v>2</v>
      </c>
      <c r="AC71" t="s">
        <v>15</v>
      </c>
      <c r="AD71">
        <v>1.1709300279617301</v>
      </c>
      <c r="AE71">
        <v>1.1708285808563199</v>
      </c>
      <c r="AF71">
        <v>1.0144710541E-4</v>
      </c>
      <c r="AG71">
        <v>1.1705399751663199</v>
      </c>
      <c r="AH71">
        <v>1.17040371894836</v>
      </c>
      <c r="AI71">
        <v>1.3625621796E-4</v>
      </c>
      <c r="AJ71">
        <v>18</v>
      </c>
      <c r="AK71">
        <v>-1</v>
      </c>
      <c r="AL71" t="s">
        <v>457</v>
      </c>
    </row>
    <row r="72" spans="1:38" x14ac:dyDescent="0.3">
      <c r="A72" s="1"/>
      <c r="W72" s="7"/>
      <c r="Y72" s="1">
        <v>43811.95484953704</v>
      </c>
      <c r="Z72">
        <v>9422</v>
      </c>
      <c r="AA72">
        <v>7184</v>
      </c>
      <c r="AB72">
        <v>2</v>
      </c>
      <c r="AC72" t="s">
        <v>15</v>
      </c>
      <c r="AD72">
        <v>1.1709300279617301</v>
      </c>
      <c r="AE72">
        <v>1.1708285808563199</v>
      </c>
      <c r="AF72">
        <v>1.0144710541E-4</v>
      </c>
      <c r="AG72">
        <v>1.1705399751663199</v>
      </c>
      <c r="AH72">
        <v>1.17040371894836</v>
      </c>
      <c r="AI72">
        <v>1.3625621796E-4</v>
      </c>
      <c r="AJ72">
        <v>18</v>
      </c>
      <c r="AK72">
        <v>-1</v>
      </c>
      <c r="AL72" t="s">
        <v>457</v>
      </c>
    </row>
    <row r="73" spans="1:38" x14ac:dyDescent="0.3">
      <c r="A73" s="1"/>
      <c r="W73" s="7"/>
      <c r="Y73" s="1">
        <v>43811.9534375</v>
      </c>
      <c r="Z73">
        <v>9422</v>
      </c>
      <c r="AA73">
        <v>7184</v>
      </c>
      <c r="AB73">
        <v>2</v>
      </c>
      <c r="AC73" t="s">
        <v>15</v>
      </c>
      <c r="AD73">
        <v>1.1709300279617301</v>
      </c>
      <c r="AE73">
        <v>1.1708285808563199</v>
      </c>
      <c r="AF73">
        <v>1.0144710541E-4</v>
      </c>
      <c r="AG73">
        <v>1.1705399751663199</v>
      </c>
      <c r="AH73">
        <v>1.17040371894836</v>
      </c>
      <c r="AI73">
        <v>1.3625621796E-4</v>
      </c>
      <c r="AJ73">
        <v>18</v>
      </c>
      <c r="AK73">
        <v>-1</v>
      </c>
      <c r="AL73" t="s">
        <v>457</v>
      </c>
    </row>
    <row r="74" spans="1:38" x14ac:dyDescent="0.3">
      <c r="A74" s="1"/>
      <c r="W74" s="7"/>
      <c r="Y74" s="1">
        <v>43811.954375000001</v>
      </c>
      <c r="Z74">
        <v>9422</v>
      </c>
      <c r="AA74">
        <v>7184</v>
      </c>
      <c r="AB74">
        <v>3</v>
      </c>
      <c r="AC74" t="s">
        <v>16</v>
      </c>
      <c r="AD74">
        <v>1.1709799766540501</v>
      </c>
      <c r="AE74">
        <v>1.17085444927216</v>
      </c>
      <c r="AF74">
        <v>1.2552738188999999E-4</v>
      </c>
      <c r="AG74">
        <v>1.1705399751663199</v>
      </c>
      <c r="AH74">
        <v>1.1702588796615601</v>
      </c>
      <c r="AI74">
        <v>2.8109550476E-4</v>
      </c>
      <c r="AJ74">
        <v>0</v>
      </c>
      <c r="AK74">
        <v>0</v>
      </c>
      <c r="AL74" t="s">
        <v>457</v>
      </c>
    </row>
    <row r="75" spans="1:38" x14ac:dyDescent="0.3">
      <c r="A75" s="1"/>
      <c r="W75" s="7"/>
      <c r="Y75" s="1">
        <v>43811.954305555555</v>
      </c>
      <c r="Z75">
        <v>9422</v>
      </c>
      <c r="AA75">
        <v>7184</v>
      </c>
      <c r="AB75">
        <v>3</v>
      </c>
      <c r="AC75" t="s">
        <v>16</v>
      </c>
      <c r="AD75">
        <v>1.1709799766540501</v>
      </c>
      <c r="AE75">
        <v>1.17085444927216</v>
      </c>
      <c r="AF75">
        <v>1.2552738188999999E-4</v>
      </c>
      <c r="AG75">
        <v>1.1705399751663199</v>
      </c>
      <c r="AH75">
        <v>1.1702588796615601</v>
      </c>
      <c r="AI75">
        <v>2.8109550476E-4</v>
      </c>
      <c r="AJ75">
        <v>0</v>
      </c>
      <c r="AK75">
        <v>0</v>
      </c>
      <c r="AL75" t="s">
        <v>457</v>
      </c>
    </row>
    <row r="76" spans="1:38" x14ac:dyDescent="0.3">
      <c r="A76" s="1"/>
      <c r="W76" s="7"/>
      <c r="Y76" s="1">
        <v>43811.954525462963</v>
      </c>
      <c r="Z76">
        <v>9422</v>
      </c>
      <c r="AA76">
        <v>7184</v>
      </c>
      <c r="AB76">
        <v>3</v>
      </c>
      <c r="AC76" t="s">
        <v>16</v>
      </c>
      <c r="AD76">
        <v>1.1709799766540501</v>
      </c>
      <c r="AE76">
        <v>1.17085444927216</v>
      </c>
      <c r="AF76">
        <v>1.2552738188999999E-4</v>
      </c>
      <c r="AG76">
        <v>1.1705399751663199</v>
      </c>
      <c r="AH76">
        <v>1.1702588796615601</v>
      </c>
      <c r="AI76">
        <v>2.8109550476E-4</v>
      </c>
      <c r="AJ76">
        <v>0</v>
      </c>
      <c r="AK76">
        <v>0</v>
      </c>
      <c r="AL76" t="s">
        <v>457</v>
      </c>
    </row>
    <row r="77" spans="1:38" x14ac:dyDescent="0.3">
      <c r="A77" s="1"/>
      <c r="W77" s="7"/>
      <c r="Y77" s="1">
        <v>43811.954606481479</v>
      </c>
      <c r="Z77">
        <v>9422</v>
      </c>
      <c r="AA77">
        <v>7184</v>
      </c>
      <c r="AB77">
        <v>3</v>
      </c>
      <c r="AC77" t="s">
        <v>16</v>
      </c>
      <c r="AD77">
        <v>1.1709799766540501</v>
      </c>
      <c r="AE77">
        <v>1.17085444927216</v>
      </c>
      <c r="AF77">
        <v>1.2552738188999999E-4</v>
      </c>
      <c r="AG77">
        <v>1.1705399751663199</v>
      </c>
      <c r="AH77">
        <v>1.1702588796615601</v>
      </c>
      <c r="AI77">
        <v>2.8109550476E-4</v>
      </c>
      <c r="AJ77">
        <v>0</v>
      </c>
      <c r="AK77">
        <v>0</v>
      </c>
      <c r="AL77" t="s">
        <v>457</v>
      </c>
    </row>
    <row r="78" spans="1:38" x14ac:dyDescent="0.3">
      <c r="A78" s="1"/>
      <c r="W78" s="7"/>
      <c r="Y78" s="1">
        <v>43811.954687500001</v>
      </c>
      <c r="Z78">
        <v>9422</v>
      </c>
      <c r="AA78">
        <v>7184</v>
      </c>
      <c r="AB78">
        <v>3</v>
      </c>
      <c r="AC78" t="s">
        <v>16</v>
      </c>
      <c r="AD78">
        <v>1.1709799766540501</v>
      </c>
      <c r="AE78">
        <v>1.17085444927216</v>
      </c>
      <c r="AF78">
        <v>1.2552738188999999E-4</v>
      </c>
      <c r="AG78">
        <v>1.1705399751663199</v>
      </c>
      <c r="AH78">
        <v>1.1702588796615601</v>
      </c>
      <c r="AI78">
        <v>2.8109550476E-4</v>
      </c>
      <c r="AJ78">
        <v>0</v>
      </c>
      <c r="AK78">
        <v>0</v>
      </c>
      <c r="AL78" t="s">
        <v>457</v>
      </c>
    </row>
    <row r="79" spans="1:38" x14ac:dyDescent="0.3">
      <c r="A79" s="1"/>
      <c r="W79" s="7"/>
      <c r="Y79" s="1">
        <v>43811.954768518517</v>
      </c>
      <c r="Z79">
        <v>9422</v>
      </c>
      <c r="AA79">
        <v>7184</v>
      </c>
      <c r="AB79">
        <v>3</v>
      </c>
      <c r="AC79" t="s">
        <v>16</v>
      </c>
      <c r="AD79">
        <v>1.1709799766540501</v>
      </c>
      <c r="AE79">
        <v>1.17085444927216</v>
      </c>
      <c r="AF79">
        <v>1.2552738188999999E-4</v>
      </c>
      <c r="AG79">
        <v>1.1705399751663199</v>
      </c>
      <c r="AH79">
        <v>1.1702588796615601</v>
      </c>
      <c r="AI79">
        <v>2.8109550476E-4</v>
      </c>
      <c r="AJ79">
        <v>0</v>
      </c>
      <c r="AK79">
        <v>0</v>
      </c>
      <c r="AL79" t="s">
        <v>457</v>
      </c>
    </row>
    <row r="80" spans="1:38" x14ac:dyDescent="0.3">
      <c r="A80" s="1"/>
      <c r="W80" s="7"/>
      <c r="Y80" s="1">
        <v>43811.95484953704</v>
      </c>
      <c r="Z80">
        <v>9422</v>
      </c>
      <c r="AA80">
        <v>7184</v>
      </c>
      <c r="AB80">
        <v>3</v>
      </c>
      <c r="AC80" t="s">
        <v>16</v>
      </c>
      <c r="AD80">
        <v>1.1709799766540501</v>
      </c>
      <c r="AE80">
        <v>1.17085444927216</v>
      </c>
      <c r="AF80">
        <v>1.2552738188999999E-4</v>
      </c>
      <c r="AG80">
        <v>1.1705399751663199</v>
      </c>
      <c r="AH80">
        <v>1.1702588796615601</v>
      </c>
      <c r="AI80">
        <v>2.8109550476E-4</v>
      </c>
      <c r="AJ80">
        <v>0</v>
      </c>
      <c r="AK80">
        <v>0</v>
      </c>
      <c r="AL80" t="s">
        <v>457</v>
      </c>
    </row>
    <row r="81" spans="1:38" x14ac:dyDescent="0.3">
      <c r="A81" s="1"/>
      <c r="W81" s="7"/>
      <c r="Y81" s="1">
        <v>43811.954918981479</v>
      </c>
      <c r="Z81">
        <v>9422</v>
      </c>
      <c r="AA81">
        <v>7184</v>
      </c>
      <c r="AB81">
        <v>3</v>
      </c>
      <c r="AC81" t="s">
        <v>16</v>
      </c>
      <c r="AD81">
        <v>1.1709799766540501</v>
      </c>
      <c r="AE81">
        <v>1.17085444927216</v>
      </c>
      <c r="AF81">
        <v>1.2552738188999999E-4</v>
      </c>
      <c r="AG81">
        <v>1.1705399751663199</v>
      </c>
      <c r="AH81">
        <v>1.1702588796615601</v>
      </c>
      <c r="AI81">
        <v>2.8109550476E-4</v>
      </c>
      <c r="AJ81">
        <v>0</v>
      </c>
      <c r="AK81">
        <v>0</v>
      </c>
      <c r="AL81" t="s">
        <v>457</v>
      </c>
    </row>
    <row r="82" spans="1:38" x14ac:dyDescent="0.3">
      <c r="A82" s="1"/>
      <c r="W82" s="7"/>
      <c r="Y82" s="1">
        <v>43811.9533912037</v>
      </c>
      <c r="Z82">
        <v>9422</v>
      </c>
      <c r="AA82">
        <v>7184</v>
      </c>
      <c r="AB82">
        <v>3</v>
      </c>
      <c r="AC82" t="s">
        <v>16</v>
      </c>
      <c r="AD82">
        <v>1.1709799766540501</v>
      </c>
      <c r="AE82">
        <v>1.17085444927216</v>
      </c>
      <c r="AF82">
        <v>1.2552738188999999E-4</v>
      </c>
      <c r="AG82">
        <v>1.1705399751663199</v>
      </c>
      <c r="AH82">
        <v>1.1702588796615601</v>
      </c>
      <c r="AI82">
        <v>2.8109550476E-4</v>
      </c>
      <c r="AJ82">
        <v>0</v>
      </c>
      <c r="AK82">
        <v>0</v>
      </c>
      <c r="AL82" t="s">
        <v>457</v>
      </c>
    </row>
    <row r="83" spans="1:38" x14ac:dyDescent="0.3">
      <c r="A83" s="1"/>
      <c r="W83" s="7"/>
      <c r="Y83" s="1">
        <v>43811.9534375</v>
      </c>
      <c r="Z83">
        <v>9422</v>
      </c>
      <c r="AA83">
        <v>7184</v>
      </c>
      <c r="AB83">
        <v>3</v>
      </c>
      <c r="AC83" t="s">
        <v>16</v>
      </c>
      <c r="AD83">
        <v>1.1709799766540501</v>
      </c>
      <c r="AE83">
        <v>1.17085444927216</v>
      </c>
      <c r="AF83">
        <v>1.2552738188999999E-4</v>
      </c>
      <c r="AG83">
        <v>1.1705399751663199</v>
      </c>
      <c r="AH83">
        <v>1.1702588796615601</v>
      </c>
      <c r="AI83">
        <v>2.8109550476E-4</v>
      </c>
      <c r="AJ83">
        <v>0</v>
      </c>
      <c r="AK83">
        <v>0</v>
      </c>
      <c r="AL83" t="s">
        <v>457</v>
      </c>
    </row>
    <row r="84" spans="1:38" x14ac:dyDescent="0.3">
      <c r="A84" s="1"/>
      <c r="W84" s="7"/>
      <c r="Y84" s="1">
        <v>43811.95349537037</v>
      </c>
      <c r="Z84">
        <v>9422</v>
      </c>
      <c r="AA84">
        <v>7184</v>
      </c>
      <c r="AB84">
        <v>3</v>
      </c>
      <c r="AC84" t="s">
        <v>16</v>
      </c>
      <c r="AD84">
        <v>1.1709799766540501</v>
      </c>
      <c r="AE84">
        <v>1.17085444927216</v>
      </c>
      <c r="AF84">
        <v>1.2552738188999999E-4</v>
      </c>
      <c r="AG84">
        <v>1.1705399751663199</v>
      </c>
      <c r="AH84">
        <v>1.1702588796615601</v>
      </c>
      <c r="AI84">
        <v>2.8109550476E-4</v>
      </c>
      <c r="AJ84">
        <v>0</v>
      </c>
      <c r="AK84">
        <v>0</v>
      </c>
      <c r="AL84" t="s">
        <v>457</v>
      </c>
    </row>
    <row r="85" spans="1:38" x14ac:dyDescent="0.3">
      <c r="A85" s="1"/>
      <c r="W85" s="7"/>
      <c r="Y85" s="1">
        <v>43811.953541666669</v>
      </c>
      <c r="Z85">
        <v>9422</v>
      </c>
      <c r="AA85">
        <v>7184</v>
      </c>
      <c r="AB85">
        <v>3</v>
      </c>
      <c r="AC85" t="s">
        <v>16</v>
      </c>
      <c r="AD85">
        <v>1.1709799766540501</v>
      </c>
      <c r="AE85">
        <v>1.17085444927216</v>
      </c>
      <c r="AF85">
        <v>1.2552738188999999E-4</v>
      </c>
      <c r="AG85">
        <v>1.1705399751663199</v>
      </c>
      <c r="AH85">
        <v>1.1702588796615601</v>
      </c>
      <c r="AI85">
        <v>2.8109550476E-4</v>
      </c>
      <c r="AJ85">
        <v>0</v>
      </c>
      <c r="AK85">
        <v>0</v>
      </c>
      <c r="AL85" t="s">
        <v>457</v>
      </c>
    </row>
    <row r="86" spans="1:38" x14ac:dyDescent="0.3">
      <c r="A86" s="1"/>
      <c r="W86" s="7"/>
      <c r="Y86" s="1">
        <v>43811.953599537039</v>
      </c>
      <c r="Z86">
        <v>9422</v>
      </c>
      <c r="AA86">
        <v>7184</v>
      </c>
      <c r="AB86">
        <v>3</v>
      </c>
      <c r="AC86" t="s">
        <v>16</v>
      </c>
      <c r="AD86">
        <v>1.1709799766540501</v>
      </c>
      <c r="AE86">
        <v>1.17085444927216</v>
      </c>
      <c r="AF86">
        <v>1.2552738188999999E-4</v>
      </c>
      <c r="AG86">
        <v>1.1705399751663199</v>
      </c>
      <c r="AH86">
        <v>1.1702588796615601</v>
      </c>
      <c r="AI86">
        <v>2.8109550476E-4</v>
      </c>
      <c r="AJ86">
        <v>0</v>
      </c>
      <c r="AK86">
        <v>0</v>
      </c>
      <c r="AL86" t="s">
        <v>457</v>
      </c>
    </row>
    <row r="87" spans="1:38" x14ac:dyDescent="0.3">
      <c r="A87" s="1"/>
      <c r="W87" s="7"/>
      <c r="Y87" s="1">
        <v>43811.953657407408</v>
      </c>
      <c r="Z87">
        <v>9422</v>
      </c>
      <c r="AA87">
        <v>7184</v>
      </c>
      <c r="AB87">
        <v>3</v>
      </c>
      <c r="AC87" t="s">
        <v>16</v>
      </c>
      <c r="AD87">
        <v>1.1709799766540501</v>
      </c>
      <c r="AE87">
        <v>1.17085444927216</v>
      </c>
      <c r="AF87">
        <v>1.2552738188999999E-4</v>
      </c>
      <c r="AG87">
        <v>1.1705399751663199</v>
      </c>
      <c r="AH87">
        <v>1.1702588796615601</v>
      </c>
      <c r="AI87">
        <v>2.8109550476E-4</v>
      </c>
      <c r="AJ87">
        <v>0</v>
      </c>
      <c r="AK87">
        <v>0</v>
      </c>
      <c r="AL87" t="s">
        <v>457</v>
      </c>
    </row>
    <row r="88" spans="1:38" x14ac:dyDescent="0.3">
      <c r="A88" s="1"/>
      <c r="W88" s="7"/>
      <c r="Y88" s="1">
        <v>43811.953715277778</v>
      </c>
      <c r="Z88">
        <v>9422</v>
      </c>
      <c r="AA88">
        <v>7184</v>
      </c>
      <c r="AB88">
        <v>3</v>
      </c>
      <c r="AC88" t="s">
        <v>16</v>
      </c>
      <c r="AD88">
        <v>1.1709799766540501</v>
      </c>
      <c r="AE88">
        <v>1.17085444927216</v>
      </c>
      <c r="AF88">
        <v>1.2552738188999999E-4</v>
      </c>
      <c r="AG88">
        <v>1.1705399751663199</v>
      </c>
      <c r="AH88">
        <v>1.1702588796615601</v>
      </c>
      <c r="AI88">
        <v>2.8109550476E-4</v>
      </c>
      <c r="AJ88">
        <v>0</v>
      </c>
      <c r="AK88">
        <v>0</v>
      </c>
      <c r="AL88" t="s">
        <v>457</v>
      </c>
    </row>
    <row r="89" spans="1:38" x14ac:dyDescent="0.3">
      <c r="A89" s="1"/>
      <c r="W89" s="7"/>
      <c r="Y89" s="1">
        <v>43811.953773148147</v>
      </c>
      <c r="Z89">
        <v>9422</v>
      </c>
      <c r="AA89">
        <v>7184</v>
      </c>
      <c r="AB89">
        <v>3</v>
      </c>
      <c r="AC89" t="s">
        <v>16</v>
      </c>
      <c r="AD89">
        <v>1.1709799766540501</v>
      </c>
      <c r="AE89">
        <v>1.17085444927216</v>
      </c>
      <c r="AF89">
        <v>1.2552738188999999E-4</v>
      </c>
      <c r="AG89">
        <v>1.1705399751663199</v>
      </c>
      <c r="AH89">
        <v>1.1702588796615601</v>
      </c>
      <c r="AI89">
        <v>2.8109550476E-4</v>
      </c>
      <c r="AJ89">
        <v>0</v>
      </c>
      <c r="AK89">
        <v>0</v>
      </c>
      <c r="AL89" t="s">
        <v>457</v>
      </c>
    </row>
    <row r="90" spans="1:38" x14ac:dyDescent="0.3">
      <c r="A90" s="1"/>
      <c r="W90" s="7"/>
      <c r="Y90" s="1">
        <v>43811.953842592593</v>
      </c>
      <c r="Z90">
        <v>9422</v>
      </c>
      <c r="AA90">
        <v>7184</v>
      </c>
      <c r="AB90">
        <v>3</v>
      </c>
      <c r="AC90" t="s">
        <v>16</v>
      </c>
      <c r="AD90">
        <v>1.1709799766540501</v>
      </c>
      <c r="AE90">
        <v>1.17085444927216</v>
      </c>
      <c r="AF90">
        <v>1.2552738188999999E-4</v>
      </c>
      <c r="AG90">
        <v>1.1705399751663199</v>
      </c>
      <c r="AH90">
        <v>1.1702588796615601</v>
      </c>
      <c r="AI90">
        <v>2.8109550476E-4</v>
      </c>
      <c r="AJ90">
        <v>0</v>
      </c>
      <c r="AK90">
        <v>0</v>
      </c>
      <c r="AL90" t="s">
        <v>457</v>
      </c>
    </row>
    <row r="91" spans="1:38" x14ac:dyDescent="0.3">
      <c r="A91" s="1"/>
      <c r="W91" s="7"/>
      <c r="Y91" s="1">
        <v>43811.953900462962</v>
      </c>
      <c r="Z91">
        <v>9422</v>
      </c>
      <c r="AA91">
        <v>7184</v>
      </c>
      <c r="AB91">
        <v>3</v>
      </c>
      <c r="AC91" t="s">
        <v>16</v>
      </c>
      <c r="AD91">
        <v>1.1709799766540501</v>
      </c>
      <c r="AE91">
        <v>1.17085444927216</v>
      </c>
      <c r="AF91">
        <v>1.2552738188999999E-4</v>
      </c>
      <c r="AG91">
        <v>1.1705399751663199</v>
      </c>
      <c r="AH91">
        <v>1.1702588796615601</v>
      </c>
      <c r="AI91">
        <v>2.8109550476E-4</v>
      </c>
      <c r="AJ91">
        <v>0</v>
      </c>
      <c r="AK91">
        <v>0</v>
      </c>
      <c r="AL91" t="s">
        <v>457</v>
      </c>
    </row>
    <row r="92" spans="1:38" x14ac:dyDescent="0.3">
      <c r="A92" s="1"/>
      <c r="W92" s="7"/>
      <c r="Y92" s="1">
        <v>43811.953969907408</v>
      </c>
      <c r="Z92">
        <v>9422</v>
      </c>
      <c r="AA92">
        <v>7184</v>
      </c>
      <c r="AB92">
        <v>3</v>
      </c>
      <c r="AC92" t="s">
        <v>16</v>
      </c>
      <c r="AD92">
        <v>1.1709799766540501</v>
      </c>
      <c r="AE92">
        <v>1.17085444927216</v>
      </c>
      <c r="AF92">
        <v>1.2552738188999999E-4</v>
      </c>
      <c r="AG92">
        <v>1.1705399751663199</v>
      </c>
      <c r="AH92">
        <v>1.1702588796615601</v>
      </c>
      <c r="AI92">
        <v>2.8109550476E-4</v>
      </c>
      <c r="AJ92">
        <v>0</v>
      </c>
      <c r="AK92">
        <v>0</v>
      </c>
      <c r="AL92" t="s">
        <v>457</v>
      </c>
    </row>
    <row r="93" spans="1:38" x14ac:dyDescent="0.3">
      <c r="A93" s="1"/>
      <c r="W93" s="7"/>
      <c r="Y93" s="1">
        <v>43811.954039351855</v>
      </c>
      <c r="Z93">
        <v>9422</v>
      </c>
      <c r="AA93">
        <v>7184</v>
      </c>
      <c r="AB93">
        <v>3</v>
      </c>
      <c r="AC93" t="s">
        <v>16</v>
      </c>
      <c r="AD93">
        <v>1.1709799766540501</v>
      </c>
      <c r="AE93">
        <v>1.17085444927216</v>
      </c>
      <c r="AF93">
        <v>1.2552738188999999E-4</v>
      </c>
      <c r="AG93">
        <v>1.1705399751663199</v>
      </c>
      <c r="AH93">
        <v>1.1702588796615601</v>
      </c>
      <c r="AI93">
        <v>2.8109550476E-4</v>
      </c>
      <c r="AJ93">
        <v>0</v>
      </c>
      <c r="AK93">
        <v>0</v>
      </c>
      <c r="AL93" t="s">
        <v>457</v>
      </c>
    </row>
    <row r="94" spans="1:38" x14ac:dyDescent="0.3">
      <c r="A94" s="1"/>
      <c r="W94" s="7"/>
      <c r="Y94" s="1">
        <v>43811.954097222224</v>
      </c>
      <c r="Z94">
        <v>9422</v>
      </c>
      <c r="AA94">
        <v>7184</v>
      </c>
      <c r="AB94">
        <v>3</v>
      </c>
      <c r="AC94" t="s">
        <v>16</v>
      </c>
      <c r="AD94">
        <v>1.1709799766540501</v>
      </c>
      <c r="AE94">
        <v>1.17085444927216</v>
      </c>
      <c r="AF94">
        <v>1.2552738188999999E-4</v>
      </c>
      <c r="AG94">
        <v>1.1705399751663199</v>
      </c>
      <c r="AH94">
        <v>1.1702588796615601</v>
      </c>
      <c r="AI94">
        <v>2.8109550476E-4</v>
      </c>
      <c r="AJ94">
        <v>0</v>
      </c>
      <c r="AK94">
        <v>0</v>
      </c>
      <c r="AL94" t="s">
        <v>457</v>
      </c>
    </row>
    <row r="95" spans="1:38" x14ac:dyDescent="0.3">
      <c r="A95" s="1"/>
      <c r="W95" s="7"/>
      <c r="Y95" s="1">
        <v>43811.95416666667</v>
      </c>
      <c r="Z95">
        <v>9422</v>
      </c>
      <c r="AA95">
        <v>7184</v>
      </c>
      <c r="AB95">
        <v>3</v>
      </c>
      <c r="AC95" t="s">
        <v>16</v>
      </c>
      <c r="AD95">
        <v>1.1709799766540501</v>
      </c>
      <c r="AE95">
        <v>1.17085444927216</v>
      </c>
      <c r="AF95">
        <v>1.2552738188999999E-4</v>
      </c>
      <c r="AG95">
        <v>1.1705399751663199</v>
      </c>
      <c r="AH95">
        <v>1.1702588796615601</v>
      </c>
      <c r="AI95">
        <v>2.8109550476E-4</v>
      </c>
      <c r="AJ95">
        <v>0</v>
      </c>
      <c r="AK95">
        <v>0</v>
      </c>
      <c r="AL95" t="s">
        <v>457</v>
      </c>
    </row>
    <row r="96" spans="1:38" x14ac:dyDescent="0.3">
      <c r="A96" s="1"/>
      <c r="W96" s="7"/>
      <c r="Y96" s="1">
        <v>43811.954236111109</v>
      </c>
      <c r="Z96">
        <v>9422</v>
      </c>
      <c r="AA96">
        <v>7184</v>
      </c>
      <c r="AB96">
        <v>3</v>
      </c>
      <c r="AC96" t="s">
        <v>16</v>
      </c>
      <c r="AD96">
        <v>1.1709799766540501</v>
      </c>
      <c r="AE96">
        <v>1.17085444927216</v>
      </c>
      <c r="AF96">
        <v>1.2552738188999999E-4</v>
      </c>
      <c r="AG96">
        <v>1.1705399751663199</v>
      </c>
      <c r="AH96">
        <v>1.1702588796615601</v>
      </c>
      <c r="AI96">
        <v>2.8109550476E-4</v>
      </c>
      <c r="AJ96">
        <v>0</v>
      </c>
      <c r="AK96">
        <v>0</v>
      </c>
      <c r="AL96" t="s">
        <v>457</v>
      </c>
    </row>
    <row r="97" spans="1:38" x14ac:dyDescent="0.3">
      <c r="A97" s="1"/>
      <c r="W97" s="7"/>
      <c r="Y97" s="1">
        <v>43811.954456018517</v>
      </c>
      <c r="Z97">
        <v>9422</v>
      </c>
      <c r="AA97">
        <v>7184</v>
      </c>
      <c r="AB97">
        <v>3</v>
      </c>
      <c r="AC97" t="s">
        <v>16</v>
      </c>
      <c r="AD97">
        <v>1.1709799766540501</v>
      </c>
      <c r="AE97">
        <v>1.17085444927216</v>
      </c>
      <c r="AF97">
        <v>1.2552738188999999E-4</v>
      </c>
      <c r="AG97">
        <v>1.1705399751663199</v>
      </c>
      <c r="AH97">
        <v>1.1702588796615601</v>
      </c>
      <c r="AI97">
        <v>2.8109550476E-4</v>
      </c>
      <c r="AJ97">
        <v>0</v>
      </c>
      <c r="AK97">
        <v>0</v>
      </c>
      <c r="AL97" t="s">
        <v>457</v>
      </c>
    </row>
    <row r="98" spans="1:38" x14ac:dyDescent="0.3">
      <c r="A98" s="1"/>
      <c r="W98" s="7"/>
      <c r="Y98" s="1">
        <v>43811.9533912037</v>
      </c>
      <c r="Z98">
        <v>9422</v>
      </c>
      <c r="AA98">
        <v>7184</v>
      </c>
      <c r="AB98">
        <v>4</v>
      </c>
      <c r="AC98" t="s">
        <v>17</v>
      </c>
      <c r="AD98">
        <v>1.17127001285553</v>
      </c>
      <c r="AE98">
        <v>1.1713514328002901</v>
      </c>
      <c r="AF98">
        <v>8.1419944759999997E-5</v>
      </c>
      <c r="AG98">
        <v>1.1701200008392301</v>
      </c>
      <c r="AH98">
        <v>1.1705063581466699</v>
      </c>
      <c r="AI98">
        <v>3.8635730743999999E-4</v>
      </c>
      <c r="AJ98">
        <v>14</v>
      </c>
      <c r="AK98">
        <v>0</v>
      </c>
      <c r="AL98" t="s">
        <v>458</v>
      </c>
    </row>
    <row r="99" spans="1:38" x14ac:dyDescent="0.3">
      <c r="A99" s="1"/>
      <c r="Y99" s="1">
        <v>43811.9534375</v>
      </c>
      <c r="Z99">
        <v>9422</v>
      </c>
      <c r="AA99">
        <v>7184</v>
      </c>
      <c r="AB99">
        <v>4</v>
      </c>
      <c r="AC99" t="s">
        <v>17</v>
      </c>
      <c r="AD99">
        <v>1.17127001285553</v>
      </c>
      <c r="AE99">
        <v>1.1713514328002901</v>
      </c>
      <c r="AF99">
        <v>8.1419944759999997E-5</v>
      </c>
      <c r="AG99">
        <v>1.1701200008392301</v>
      </c>
      <c r="AH99">
        <v>1.1705063581466699</v>
      </c>
      <c r="AI99">
        <v>3.8635730743999999E-4</v>
      </c>
      <c r="AJ99">
        <v>14</v>
      </c>
      <c r="AK99">
        <v>0</v>
      </c>
      <c r="AL99" t="s">
        <v>458</v>
      </c>
    </row>
    <row r="100" spans="1:38" x14ac:dyDescent="0.3">
      <c r="A100" s="1"/>
      <c r="Y100" s="1">
        <v>43811.95349537037</v>
      </c>
      <c r="Z100">
        <v>9422</v>
      </c>
      <c r="AA100">
        <v>7184</v>
      </c>
      <c r="AB100">
        <v>4</v>
      </c>
      <c r="AC100" t="s">
        <v>17</v>
      </c>
      <c r="AD100">
        <v>1.17127001285553</v>
      </c>
      <c r="AE100">
        <v>1.1713514328002901</v>
      </c>
      <c r="AF100">
        <v>8.1419944759999997E-5</v>
      </c>
      <c r="AG100">
        <v>1.1701200008392301</v>
      </c>
      <c r="AH100">
        <v>1.1705063581466699</v>
      </c>
      <c r="AI100">
        <v>3.8635730743999999E-4</v>
      </c>
      <c r="AJ100">
        <v>14</v>
      </c>
      <c r="AK100">
        <v>0</v>
      </c>
      <c r="AL100" t="s">
        <v>458</v>
      </c>
    </row>
    <row r="101" spans="1:38" x14ac:dyDescent="0.3">
      <c r="A101" s="1"/>
      <c r="Y101" s="1">
        <v>43811.953541666669</v>
      </c>
      <c r="Z101">
        <v>9422</v>
      </c>
      <c r="AA101">
        <v>7184</v>
      </c>
      <c r="AB101">
        <v>4</v>
      </c>
      <c r="AC101" t="s">
        <v>17</v>
      </c>
      <c r="AD101">
        <v>1.17127001285553</v>
      </c>
      <c r="AE101">
        <v>1.1713514328002901</v>
      </c>
      <c r="AF101">
        <v>8.1419944759999997E-5</v>
      </c>
      <c r="AG101">
        <v>1.1701200008392301</v>
      </c>
      <c r="AH101">
        <v>1.1705063581466699</v>
      </c>
      <c r="AI101">
        <v>3.8635730743999999E-4</v>
      </c>
      <c r="AJ101">
        <v>14</v>
      </c>
      <c r="AK101">
        <v>0</v>
      </c>
      <c r="AL101" t="s">
        <v>458</v>
      </c>
    </row>
    <row r="102" spans="1:38" x14ac:dyDescent="0.3">
      <c r="A102" s="1"/>
      <c r="Y102" s="1">
        <v>43811.953599537039</v>
      </c>
      <c r="Z102">
        <v>9422</v>
      </c>
      <c r="AA102">
        <v>7184</v>
      </c>
      <c r="AB102">
        <v>4</v>
      </c>
      <c r="AC102" t="s">
        <v>17</v>
      </c>
      <c r="AD102">
        <v>1.17127001285553</v>
      </c>
      <c r="AE102">
        <v>1.1713514328002901</v>
      </c>
      <c r="AF102">
        <v>8.1419944759999997E-5</v>
      </c>
      <c r="AG102">
        <v>1.1701200008392301</v>
      </c>
      <c r="AH102">
        <v>1.1705063581466699</v>
      </c>
      <c r="AI102">
        <v>3.8635730743999999E-4</v>
      </c>
      <c r="AJ102">
        <v>14</v>
      </c>
      <c r="AK102">
        <v>0</v>
      </c>
      <c r="AL102" t="s">
        <v>458</v>
      </c>
    </row>
    <row r="103" spans="1:38" x14ac:dyDescent="0.3">
      <c r="A103" s="1"/>
      <c r="Y103" s="1">
        <v>43811.953657407408</v>
      </c>
      <c r="Z103">
        <v>9422</v>
      </c>
      <c r="AA103">
        <v>7184</v>
      </c>
      <c r="AB103">
        <v>4</v>
      </c>
      <c r="AC103" t="s">
        <v>17</v>
      </c>
      <c r="AD103">
        <v>1.17127001285553</v>
      </c>
      <c r="AE103">
        <v>1.1713514328002901</v>
      </c>
      <c r="AF103">
        <v>8.1419944759999997E-5</v>
      </c>
      <c r="AG103">
        <v>1.1701200008392301</v>
      </c>
      <c r="AH103">
        <v>1.1705063581466699</v>
      </c>
      <c r="AI103">
        <v>3.8635730743999999E-4</v>
      </c>
      <c r="AJ103">
        <v>14</v>
      </c>
      <c r="AK103">
        <v>0</v>
      </c>
      <c r="AL103" t="s">
        <v>458</v>
      </c>
    </row>
    <row r="104" spans="1:38" x14ac:dyDescent="0.3">
      <c r="A104" s="1"/>
      <c r="Y104" s="1">
        <v>43811.953715277778</v>
      </c>
      <c r="Z104">
        <v>9422</v>
      </c>
      <c r="AA104">
        <v>7184</v>
      </c>
      <c r="AB104">
        <v>4</v>
      </c>
      <c r="AC104" t="s">
        <v>17</v>
      </c>
      <c r="AD104">
        <v>1.17127001285553</v>
      </c>
      <c r="AE104">
        <v>1.1713514328002901</v>
      </c>
      <c r="AF104">
        <v>8.1419944759999997E-5</v>
      </c>
      <c r="AG104">
        <v>1.1701200008392301</v>
      </c>
      <c r="AH104">
        <v>1.1705063581466699</v>
      </c>
      <c r="AI104">
        <v>3.8635730743999999E-4</v>
      </c>
      <c r="AJ104">
        <v>14</v>
      </c>
      <c r="AK104">
        <v>0</v>
      </c>
      <c r="AL104" t="s">
        <v>458</v>
      </c>
    </row>
    <row r="105" spans="1:38" x14ac:dyDescent="0.3">
      <c r="A105" s="1"/>
      <c r="Y105" s="1">
        <v>43811.953773148147</v>
      </c>
      <c r="Z105">
        <v>9422</v>
      </c>
      <c r="AA105">
        <v>7184</v>
      </c>
      <c r="AB105">
        <v>4</v>
      </c>
      <c r="AC105" t="s">
        <v>17</v>
      </c>
      <c r="AD105">
        <v>1.17127001285553</v>
      </c>
      <c r="AE105">
        <v>1.1713514328002901</v>
      </c>
      <c r="AF105">
        <v>8.1419944759999997E-5</v>
      </c>
      <c r="AG105">
        <v>1.1701200008392301</v>
      </c>
      <c r="AH105">
        <v>1.1705063581466699</v>
      </c>
      <c r="AI105">
        <v>3.8635730743999999E-4</v>
      </c>
      <c r="AJ105">
        <v>14</v>
      </c>
      <c r="AK105">
        <v>0</v>
      </c>
      <c r="AL105" t="s">
        <v>458</v>
      </c>
    </row>
    <row r="106" spans="1:38" x14ac:dyDescent="0.3">
      <c r="A106" s="1"/>
      <c r="Y106" s="1">
        <v>43811.953842592593</v>
      </c>
      <c r="Z106">
        <v>9422</v>
      </c>
      <c r="AA106">
        <v>7184</v>
      </c>
      <c r="AB106">
        <v>4</v>
      </c>
      <c r="AC106" t="s">
        <v>17</v>
      </c>
      <c r="AD106">
        <v>1.17127001285553</v>
      </c>
      <c r="AE106">
        <v>1.1713514328002901</v>
      </c>
      <c r="AF106">
        <v>8.1419944759999997E-5</v>
      </c>
      <c r="AG106">
        <v>1.1701200008392301</v>
      </c>
      <c r="AH106">
        <v>1.1705063581466699</v>
      </c>
      <c r="AI106">
        <v>3.8635730743999999E-4</v>
      </c>
      <c r="AJ106">
        <v>14</v>
      </c>
      <c r="AK106">
        <v>0</v>
      </c>
      <c r="AL106" t="s">
        <v>458</v>
      </c>
    </row>
    <row r="107" spans="1:38" x14ac:dyDescent="0.3">
      <c r="A107" s="1"/>
      <c r="Y107" s="1">
        <v>43811.953900462962</v>
      </c>
      <c r="Z107">
        <v>9422</v>
      </c>
      <c r="AA107">
        <v>7184</v>
      </c>
      <c r="AB107">
        <v>4</v>
      </c>
      <c r="AC107" t="s">
        <v>17</v>
      </c>
      <c r="AD107">
        <v>1.17127001285553</v>
      </c>
      <c r="AE107">
        <v>1.1713514328002901</v>
      </c>
      <c r="AF107">
        <v>8.1419944759999997E-5</v>
      </c>
      <c r="AG107">
        <v>1.1701200008392301</v>
      </c>
      <c r="AH107">
        <v>1.1705063581466699</v>
      </c>
      <c r="AI107">
        <v>3.8635730743999999E-4</v>
      </c>
      <c r="AJ107">
        <v>14</v>
      </c>
      <c r="AK107">
        <v>0</v>
      </c>
      <c r="AL107" t="s">
        <v>458</v>
      </c>
    </row>
    <row r="108" spans="1:38" x14ac:dyDescent="0.3">
      <c r="A108" s="1"/>
      <c r="Y108" s="1">
        <v>43811.953969907408</v>
      </c>
      <c r="Z108">
        <v>9422</v>
      </c>
      <c r="AA108">
        <v>7184</v>
      </c>
      <c r="AB108">
        <v>4</v>
      </c>
      <c r="AC108" t="s">
        <v>17</v>
      </c>
      <c r="AD108">
        <v>1.17127001285553</v>
      </c>
      <c r="AE108">
        <v>1.1713514328002901</v>
      </c>
      <c r="AF108">
        <v>8.1419944759999997E-5</v>
      </c>
      <c r="AG108">
        <v>1.1701200008392301</v>
      </c>
      <c r="AH108">
        <v>1.1705063581466699</v>
      </c>
      <c r="AI108">
        <v>3.8635730743999999E-4</v>
      </c>
      <c r="AJ108">
        <v>14</v>
      </c>
      <c r="AK108">
        <v>0</v>
      </c>
      <c r="AL108" t="s">
        <v>458</v>
      </c>
    </row>
    <row r="109" spans="1:38" x14ac:dyDescent="0.3">
      <c r="A109" s="1"/>
      <c r="Y109" s="1">
        <v>43811.954039351855</v>
      </c>
      <c r="Z109">
        <v>9422</v>
      </c>
      <c r="AA109">
        <v>7184</v>
      </c>
      <c r="AB109">
        <v>4</v>
      </c>
      <c r="AC109" t="s">
        <v>17</v>
      </c>
      <c r="AD109">
        <v>1.17127001285553</v>
      </c>
      <c r="AE109">
        <v>1.1713514328002901</v>
      </c>
      <c r="AF109">
        <v>8.1419944759999997E-5</v>
      </c>
      <c r="AG109">
        <v>1.1701200008392301</v>
      </c>
      <c r="AH109">
        <v>1.1705063581466699</v>
      </c>
      <c r="AI109">
        <v>3.8635730743999999E-4</v>
      </c>
      <c r="AJ109">
        <v>14</v>
      </c>
      <c r="AK109">
        <v>0</v>
      </c>
      <c r="AL109" t="s">
        <v>458</v>
      </c>
    </row>
    <row r="110" spans="1:38" x14ac:dyDescent="0.3">
      <c r="A110" s="1"/>
      <c r="Y110" s="1">
        <v>43811.954097222224</v>
      </c>
      <c r="Z110">
        <v>9422</v>
      </c>
      <c r="AA110">
        <v>7184</v>
      </c>
      <c r="AB110">
        <v>4</v>
      </c>
      <c r="AC110" t="s">
        <v>17</v>
      </c>
      <c r="AD110">
        <v>1.17127001285553</v>
      </c>
      <c r="AE110">
        <v>1.1713514328002901</v>
      </c>
      <c r="AF110">
        <v>8.1419944759999997E-5</v>
      </c>
      <c r="AG110">
        <v>1.1701200008392301</v>
      </c>
      <c r="AH110">
        <v>1.1705063581466699</v>
      </c>
      <c r="AI110">
        <v>3.8635730743999999E-4</v>
      </c>
      <c r="AJ110">
        <v>14</v>
      </c>
      <c r="AK110">
        <v>0</v>
      </c>
      <c r="AL110" t="s">
        <v>458</v>
      </c>
    </row>
    <row r="111" spans="1:38" x14ac:dyDescent="0.3">
      <c r="A111" s="1"/>
      <c r="Y111" s="1">
        <v>43811.95416666667</v>
      </c>
      <c r="Z111">
        <v>9422</v>
      </c>
      <c r="AA111">
        <v>7184</v>
      </c>
      <c r="AB111">
        <v>4</v>
      </c>
      <c r="AC111" t="s">
        <v>17</v>
      </c>
      <c r="AD111">
        <v>1.17127001285553</v>
      </c>
      <c r="AE111">
        <v>1.1713514328002901</v>
      </c>
      <c r="AF111">
        <v>8.1419944759999997E-5</v>
      </c>
      <c r="AG111">
        <v>1.1701200008392301</v>
      </c>
      <c r="AH111">
        <v>1.1705063581466699</v>
      </c>
      <c r="AI111">
        <v>3.8635730743999999E-4</v>
      </c>
      <c r="AJ111">
        <v>14</v>
      </c>
      <c r="AK111">
        <v>0</v>
      </c>
      <c r="AL111" t="s">
        <v>458</v>
      </c>
    </row>
    <row r="112" spans="1:38" x14ac:dyDescent="0.3">
      <c r="A112" s="1"/>
      <c r="Y112" s="1">
        <v>43811.954236111109</v>
      </c>
      <c r="Z112">
        <v>9422</v>
      </c>
      <c r="AA112">
        <v>7184</v>
      </c>
      <c r="AB112">
        <v>4</v>
      </c>
      <c r="AC112" t="s">
        <v>17</v>
      </c>
      <c r="AD112">
        <v>1.17127001285553</v>
      </c>
      <c r="AE112">
        <v>1.1713514328002901</v>
      </c>
      <c r="AF112">
        <v>8.1419944759999997E-5</v>
      </c>
      <c r="AG112">
        <v>1.1701200008392301</v>
      </c>
      <c r="AH112">
        <v>1.1705063581466699</v>
      </c>
      <c r="AI112">
        <v>3.8635730743999999E-4</v>
      </c>
      <c r="AJ112">
        <v>14</v>
      </c>
      <c r="AK112">
        <v>0</v>
      </c>
      <c r="AL112" t="s">
        <v>458</v>
      </c>
    </row>
    <row r="113" spans="1:38" x14ac:dyDescent="0.3">
      <c r="A113" s="1"/>
      <c r="Y113" s="1">
        <v>43811.954305555555</v>
      </c>
      <c r="Z113">
        <v>9422</v>
      </c>
      <c r="AA113">
        <v>7184</v>
      </c>
      <c r="AB113">
        <v>4</v>
      </c>
      <c r="AC113" t="s">
        <v>17</v>
      </c>
      <c r="AD113">
        <v>1.17127001285553</v>
      </c>
      <c r="AE113">
        <v>1.1713514328002901</v>
      </c>
      <c r="AF113">
        <v>8.1419944759999997E-5</v>
      </c>
      <c r="AG113">
        <v>1.1701200008392301</v>
      </c>
      <c r="AH113">
        <v>1.1705063581466699</v>
      </c>
      <c r="AI113">
        <v>3.8635730743999999E-4</v>
      </c>
      <c r="AJ113">
        <v>14</v>
      </c>
      <c r="AK113">
        <v>0</v>
      </c>
      <c r="AL113" t="s">
        <v>458</v>
      </c>
    </row>
    <row r="114" spans="1:38" x14ac:dyDescent="0.3">
      <c r="A114" s="1"/>
      <c r="Y114" s="1">
        <v>43811.954375000001</v>
      </c>
      <c r="Z114">
        <v>9422</v>
      </c>
      <c r="AA114">
        <v>7184</v>
      </c>
      <c r="AB114">
        <v>4</v>
      </c>
      <c r="AC114" t="s">
        <v>17</v>
      </c>
      <c r="AD114">
        <v>1.17127001285553</v>
      </c>
      <c r="AE114">
        <v>1.1713514328002901</v>
      </c>
      <c r="AF114">
        <v>8.1419944759999997E-5</v>
      </c>
      <c r="AG114">
        <v>1.1701200008392301</v>
      </c>
      <c r="AH114">
        <v>1.1705063581466699</v>
      </c>
      <c r="AI114">
        <v>3.8635730743999999E-4</v>
      </c>
      <c r="AJ114">
        <v>14</v>
      </c>
      <c r="AK114">
        <v>0</v>
      </c>
      <c r="AL114" t="s">
        <v>458</v>
      </c>
    </row>
    <row r="115" spans="1:38" x14ac:dyDescent="0.3">
      <c r="A115" s="1"/>
      <c r="Y115" s="1">
        <v>43811.954456018517</v>
      </c>
      <c r="Z115">
        <v>9422</v>
      </c>
      <c r="AA115">
        <v>7184</v>
      </c>
      <c r="AB115">
        <v>4</v>
      </c>
      <c r="AC115" t="s">
        <v>17</v>
      </c>
      <c r="AD115">
        <v>1.17127001285553</v>
      </c>
      <c r="AE115">
        <v>1.1713514328002901</v>
      </c>
      <c r="AF115">
        <v>8.1419944759999997E-5</v>
      </c>
      <c r="AG115">
        <v>1.1701200008392301</v>
      </c>
      <c r="AH115">
        <v>1.1705063581466699</v>
      </c>
      <c r="AI115">
        <v>3.8635730743999999E-4</v>
      </c>
      <c r="AJ115">
        <v>14</v>
      </c>
      <c r="AK115">
        <v>0</v>
      </c>
      <c r="AL115" t="s">
        <v>458</v>
      </c>
    </row>
    <row r="116" spans="1:38" x14ac:dyDescent="0.3">
      <c r="A116" s="1"/>
      <c r="Y116" s="1">
        <v>43811.954525462963</v>
      </c>
      <c r="Z116">
        <v>9422</v>
      </c>
      <c r="AA116">
        <v>7184</v>
      </c>
      <c r="AB116">
        <v>4</v>
      </c>
      <c r="AC116" t="s">
        <v>17</v>
      </c>
      <c r="AD116">
        <v>1.17127001285553</v>
      </c>
      <c r="AE116">
        <v>1.1713514328002901</v>
      </c>
      <c r="AF116">
        <v>8.1419944759999997E-5</v>
      </c>
      <c r="AG116">
        <v>1.1701200008392301</v>
      </c>
      <c r="AH116">
        <v>1.1705063581466699</v>
      </c>
      <c r="AI116">
        <v>3.8635730743999999E-4</v>
      </c>
      <c r="AJ116">
        <v>14</v>
      </c>
      <c r="AK116">
        <v>0</v>
      </c>
      <c r="AL116" t="s">
        <v>458</v>
      </c>
    </row>
    <row r="117" spans="1:38" x14ac:dyDescent="0.3">
      <c r="A117" s="1"/>
      <c r="Y117" s="1">
        <v>43811.954606481479</v>
      </c>
      <c r="Z117">
        <v>9422</v>
      </c>
      <c r="AA117">
        <v>7184</v>
      </c>
      <c r="AB117">
        <v>4</v>
      </c>
      <c r="AC117" t="s">
        <v>17</v>
      </c>
      <c r="AD117">
        <v>1.17127001285553</v>
      </c>
      <c r="AE117">
        <v>1.1713514328002901</v>
      </c>
      <c r="AF117">
        <v>8.1419944759999997E-5</v>
      </c>
      <c r="AG117">
        <v>1.1701200008392301</v>
      </c>
      <c r="AH117">
        <v>1.1705063581466699</v>
      </c>
      <c r="AI117">
        <v>3.8635730743999999E-4</v>
      </c>
      <c r="AJ117">
        <v>14</v>
      </c>
      <c r="AK117">
        <v>0</v>
      </c>
      <c r="AL117" t="s">
        <v>458</v>
      </c>
    </row>
    <row r="118" spans="1:38" x14ac:dyDescent="0.3">
      <c r="A118" s="1"/>
      <c r="Y118" s="1">
        <v>43811.954687500001</v>
      </c>
      <c r="Z118">
        <v>9422</v>
      </c>
      <c r="AA118">
        <v>7184</v>
      </c>
      <c r="AB118">
        <v>4</v>
      </c>
      <c r="AC118" t="s">
        <v>17</v>
      </c>
      <c r="AD118">
        <v>1.17127001285553</v>
      </c>
      <c r="AE118">
        <v>1.1713514328002901</v>
      </c>
      <c r="AF118">
        <v>8.1419944759999997E-5</v>
      </c>
      <c r="AG118">
        <v>1.1701200008392301</v>
      </c>
      <c r="AH118">
        <v>1.1705063581466699</v>
      </c>
      <c r="AI118">
        <v>3.8635730743999999E-4</v>
      </c>
      <c r="AJ118">
        <v>14</v>
      </c>
      <c r="AK118">
        <v>0</v>
      </c>
      <c r="AL118" t="s">
        <v>458</v>
      </c>
    </row>
    <row r="119" spans="1:38" x14ac:dyDescent="0.3">
      <c r="A119" s="1"/>
      <c r="Y119" s="1">
        <v>43811.954768518517</v>
      </c>
      <c r="Z119">
        <v>9422</v>
      </c>
      <c r="AA119">
        <v>7184</v>
      </c>
      <c r="AB119">
        <v>4</v>
      </c>
      <c r="AC119" t="s">
        <v>17</v>
      </c>
      <c r="AD119">
        <v>1.17127001285553</v>
      </c>
      <c r="AE119">
        <v>1.1713514328002901</v>
      </c>
      <c r="AF119">
        <v>8.1419944759999997E-5</v>
      </c>
      <c r="AG119">
        <v>1.1701200008392301</v>
      </c>
      <c r="AH119">
        <v>1.1705063581466699</v>
      </c>
      <c r="AI119">
        <v>3.8635730743999999E-4</v>
      </c>
      <c r="AJ119">
        <v>14</v>
      </c>
      <c r="AK119">
        <v>0</v>
      </c>
      <c r="AL119" t="s">
        <v>458</v>
      </c>
    </row>
    <row r="120" spans="1:38" x14ac:dyDescent="0.3">
      <c r="A120" s="1"/>
      <c r="Y120" s="1">
        <v>43811.95484953704</v>
      </c>
      <c r="Z120">
        <v>9422</v>
      </c>
      <c r="AA120">
        <v>7184</v>
      </c>
      <c r="AB120">
        <v>4</v>
      </c>
      <c r="AC120" t="s">
        <v>17</v>
      </c>
      <c r="AD120">
        <v>1.17127001285553</v>
      </c>
      <c r="AE120">
        <v>1.1713514328002901</v>
      </c>
      <c r="AF120">
        <v>8.1419944759999997E-5</v>
      </c>
      <c r="AG120">
        <v>1.1701200008392301</v>
      </c>
      <c r="AH120">
        <v>1.1705063581466699</v>
      </c>
      <c r="AI120">
        <v>3.8635730743999999E-4</v>
      </c>
      <c r="AJ120">
        <v>14</v>
      </c>
      <c r="AK120">
        <v>0</v>
      </c>
      <c r="AL120" t="s">
        <v>458</v>
      </c>
    </row>
    <row r="121" spans="1:38" x14ac:dyDescent="0.3">
      <c r="A121" s="1"/>
      <c r="Y121" s="1">
        <v>43811.954918981479</v>
      </c>
      <c r="Z121">
        <v>9422</v>
      </c>
      <c r="AA121">
        <v>7184</v>
      </c>
      <c r="AB121">
        <v>4</v>
      </c>
      <c r="AC121" t="s">
        <v>17</v>
      </c>
      <c r="AD121">
        <v>1.17127001285553</v>
      </c>
      <c r="AE121">
        <v>1.1713514328002901</v>
      </c>
      <c r="AF121">
        <v>8.1419944759999997E-5</v>
      </c>
      <c r="AG121">
        <v>1.1701200008392301</v>
      </c>
      <c r="AH121">
        <v>1.1705063581466699</v>
      </c>
      <c r="AI121">
        <v>3.8635730743999999E-4</v>
      </c>
      <c r="AJ121">
        <v>14</v>
      </c>
      <c r="AK121">
        <v>0</v>
      </c>
      <c r="AL121" t="s">
        <v>458</v>
      </c>
    </row>
    <row r="122" spans="1:38" x14ac:dyDescent="0.3">
      <c r="A122" s="1"/>
      <c r="Y122" s="1">
        <v>43811.9533912037</v>
      </c>
      <c r="Z122">
        <v>9422</v>
      </c>
      <c r="AA122">
        <v>7184</v>
      </c>
      <c r="AB122">
        <v>5</v>
      </c>
      <c r="AC122" t="s">
        <v>18</v>
      </c>
      <c r="AD122">
        <v>1.1709899902343801</v>
      </c>
      <c r="AE122">
        <v>1.1706844568252599</v>
      </c>
      <c r="AF122">
        <v>3.0553340912000001E-4</v>
      </c>
      <c r="AG122">
        <v>1.1695799827575699</v>
      </c>
      <c r="AH122">
        <v>1.1701012849807699</v>
      </c>
      <c r="AI122">
        <v>5.213022232E-4</v>
      </c>
      <c r="AJ122">
        <v>24</v>
      </c>
      <c r="AK122">
        <v>0</v>
      </c>
      <c r="AL122" t="s">
        <v>458</v>
      </c>
    </row>
    <row r="123" spans="1:38" x14ac:dyDescent="0.3">
      <c r="A123" s="1"/>
      <c r="Y123" s="1">
        <v>43811.954918981479</v>
      </c>
      <c r="Z123">
        <v>9422</v>
      </c>
      <c r="AA123">
        <v>7184</v>
      </c>
      <c r="AB123">
        <v>5</v>
      </c>
      <c r="AC123" t="s">
        <v>18</v>
      </c>
      <c r="AD123">
        <v>1.1709899902343801</v>
      </c>
      <c r="AE123">
        <v>1.1706844568252599</v>
      </c>
      <c r="AF123">
        <v>3.0553340912000001E-4</v>
      </c>
      <c r="AG123">
        <v>1.1695799827575699</v>
      </c>
      <c r="AH123">
        <v>1.1701012849807699</v>
      </c>
      <c r="AI123">
        <v>5.213022232E-4</v>
      </c>
      <c r="AJ123">
        <v>24</v>
      </c>
      <c r="AK123">
        <v>0</v>
      </c>
      <c r="AL123" t="s">
        <v>458</v>
      </c>
    </row>
    <row r="124" spans="1:38" x14ac:dyDescent="0.3">
      <c r="A124" s="1"/>
      <c r="Y124" s="1">
        <v>43811.95349537037</v>
      </c>
      <c r="Z124">
        <v>9422</v>
      </c>
      <c r="AA124">
        <v>7184</v>
      </c>
      <c r="AB124">
        <v>5</v>
      </c>
      <c r="AC124" t="s">
        <v>18</v>
      </c>
      <c r="AD124">
        <v>1.1709899902343801</v>
      </c>
      <c r="AE124">
        <v>1.1706844568252599</v>
      </c>
      <c r="AF124">
        <v>3.0553340912000001E-4</v>
      </c>
      <c r="AG124">
        <v>1.1695799827575699</v>
      </c>
      <c r="AH124">
        <v>1.1701012849807699</v>
      </c>
      <c r="AI124">
        <v>5.213022232E-4</v>
      </c>
      <c r="AJ124">
        <v>24</v>
      </c>
      <c r="AK124">
        <v>0</v>
      </c>
      <c r="AL124" t="s">
        <v>458</v>
      </c>
    </row>
    <row r="125" spans="1:38" x14ac:dyDescent="0.3">
      <c r="A125" s="1"/>
      <c r="Y125" s="1">
        <v>43811.953541666669</v>
      </c>
      <c r="Z125">
        <v>9422</v>
      </c>
      <c r="AA125">
        <v>7184</v>
      </c>
      <c r="AB125">
        <v>5</v>
      </c>
      <c r="AC125" t="s">
        <v>18</v>
      </c>
      <c r="AD125">
        <v>1.1709899902343801</v>
      </c>
      <c r="AE125">
        <v>1.1706844568252599</v>
      </c>
      <c r="AF125">
        <v>3.0553340912000001E-4</v>
      </c>
      <c r="AG125">
        <v>1.1695799827575699</v>
      </c>
      <c r="AH125">
        <v>1.1701012849807699</v>
      </c>
      <c r="AI125">
        <v>5.213022232E-4</v>
      </c>
      <c r="AJ125">
        <v>24</v>
      </c>
      <c r="AK125">
        <v>0</v>
      </c>
      <c r="AL125" t="s">
        <v>458</v>
      </c>
    </row>
    <row r="126" spans="1:38" x14ac:dyDescent="0.3">
      <c r="A126" s="1"/>
      <c r="Y126" s="1">
        <v>43811.953599537039</v>
      </c>
      <c r="Z126">
        <v>9422</v>
      </c>
      <c r="AA126">
        <v>7184</v>
      </c>
      <c r="AB126">
        <v>5</v>
      </c>
      <c r="AC126" t="s">
        <v>18</v>
      </c>
      <c r="AD126">
        <v>1.1709899902343801</v>
      </c>
      <c r="AE126">
        <v>1.1706844568252599</v>
      </c>
      <c r="AF126">
        <v>3.0553340912000001E-4</v>
      </c>
      <c r="AG126">
        <v>1.1695799827575699</v>
      </c>
      <c r="AH126">
        <v>1.1701012849807699</v>
      </c>
      <c r="AI126">
        <v>5.213022232E-4</v>
      </c>
      <c r="AJ126">
        <v>24</v>
      </c>
      <c r="AK126">
        <v>0</v>
      </c>
      <c r="AL126" t="s">
        <v>458</v>
      </c>
    </row>
    <row r="127" spans="1:38" x14ac:dyDescent="0.3">
      <c r="A127" s="1"/>
      <c r="Y127" s="1">
        <v>43811.953657407408</v>
      </c>
      <c r="Z127">
        <v>9422</v>
      </c>
      <c r="AA127">
        <v>7184</v>
      </c>
      <c r="AB127">
        <v>5</v>
      </c>
      <c r="AC127" t="s">
        <v>18</v>
      </c>
      <c r="AD127">
        <v>1.1709899902343801</v>
      </c>
      <c r="AE127">
        <v>1.1706844568252599</v>
      </c>
      <c r="AF127">
        <v>3.0553340912000001E-4</v>
      </c>
      <c r="AG127">
        <v>1.1695799827575699</v>
      </c>
      <c r="AH127">
        <v>1.1701012849807699</v>
      </c>
      <c r="AI127">
        <v>5.213022232E-4</v>
      </c>
      <c r="AJ127">
        <v>24</v>
      </c>
      <c r="AK127">
        <v>0</v>
      </c>
      <c r="AL127" t="s">
        <v>458</v>
      </c>
    </row>
    <row r="128" spans="1:38" x14ac:dyDescent="0.3">
      <c r="A128" s="1"/>
      <c r="Y128" s="1">
        <v>43811.953715277778</v>
      </c>
      <c r="Z128">
        <v>9422</v>
      </c>
      <c r="AA128">
        <v>7184</v>
      </c>
      <c r="AB128">
        <v>5</v>
      </c>
      <c r="AC128" t="s">
        <v>18</v>
      </c>
      <c r="AD128">
        <v>1.1709899902343801</v>
      </c>
      <c r="AE128">
        <v>1.1706844568252599</v>
      </c>
      <c r="AF128">
        <v>3.0553340912000001E-4</v>
      </c>
      <c r="AG128">
        <v>1.1695799827575699</v>
      </c>
      <c r="AH128">
        <v>1.1701012849807699</v>
      </c>
      <c r="AI128">
        <v>5.213022232E-4</v>
      </c>
      <c r="AJ128">
        <v>24</v>
      </c>
      <c r="AK128">
        <v>0</v>
      </c>
      <c r="AL128" t="s">
        <v>458</v>
      </c>
    </row>
    <row r="129" spans="1:38" x14ac:dyDescent="0.3">
      <c r="A129" s="1"/>
      <c r="Y129" s="1">
        <v>43811.953773148147</v>
      </c>
      <c r="Z129">
        <v>9422</v>
      </c>
      <c r="AA129">
        <v>7184</v>
      </c>
      <c r="AB129">
        <v>5</v>
      </c>
      <c r="AC129" t="s">
        <v>18</v>
      </c>
      <c r="AD129">
        <v>1.1709899902343801</v>
      </c>
      <c r="AE129">
        <v>1.1706844568252599</v>
      </c>
      <c r="AF129">
        <v>3.0553340912000001E-4</v>
      </c>
      <c r="AG129">
        <v>1.1695799827575699</v>
      </c>
      <c r="AH129">
        <v>1.1701012849807699</v>
      </c>
      <c r="AI129">
        <v>5.213022232E-4</v>
      </c>
      <c r="AJ129">
        <v>24</v>
      </c>
      <c r="AK129">
        <v>0</v>
      </c>
      <c r="AL129" t="s">
        <v>458</v>
      </c>
    </row>
    <row r="130" spans="1:38" x14ac:dyDescent="0.3">
      <c r="A130" s="1"/>
      <c r="Y130" s="1">
        <v>43811.953842592593</v>
      </c>
      <c r="Z130">
        <v>9422</v>
      </c>
      <c r="AA130">
        <v>7184</v>
      </c>
      <c r="AB130">
        <v>5</v>
      </c>
      <c r="AC130" t="s">
        <v>18</v>
      </c>
      <c r="AD130">
        <v>1.1709899902343801</v>
      </c>
      <c r="AE130">
        <v>1.1706844568252599</v>
      </c>
      <c r="AF130">
        <v>3.0553340912000001E-4</v>
      </c>
      <c r="AG130">
        <v>1.1695799827575699</v>
      </c>
      <c r="AH130">
        <v>1.1701012849807699</v>
      </c>
      <c r="AI130">
        <v>5.213022232E-4</v>
      </c>
      <c r="AJ130">
        <v>24</v>
      </c>
      <c r="AK130">
        <v>0</v>
      </c>
      <c r="AL130" t="s">
        <v>458</v>
      </c>
    </row>
    <row r="131" spans="1:38" x14ac:dyDescent="0.3">
      <c r="A131" s="1"/>
      <c r="Y131" s="1">
        <v>43811.953900462962</v>
      </c>
      <c r="Z131">
        <v>9422</v>
      </c>
      <c r="AA131">
        <v>7184</v>
      </c>
      <c r="AB131">
        <v>5</v>
      </c>
      <c r="AC131" t="s">
        <v>18</v>
      </c>
      <c r="AD131">
        <v>1.1709899902343801</v>
      </c>
      <c r="AE131">
        <v>1.1706844568252599</v>
      </c>
      <c r="AF131">
        <v>3.0553340912000001E-4</v>
      </c>
      <c r="AG131">
        <v>1.1695799827575699</v>
      </c>
      <c r="AH131">
        <v>1.1701012849807699</v>
      </c>
      <c r="AI131">
        <v>5.213022232E-4</v>
      </c>
      <c r="AJ131">
        <v>24</v>
      </c>
      <c r="AK131">
        <v>0</v>
      </c>
      <c r="AL131" t="s">
        <v>458</v>
      </c>
    </row>
    <row r="132" spans="1:38" x14ac:dyDescent="0.3">
      <c r="A132" s="1"/>
      <c r="Y132" s="1">
        <v>43811.953969907408</v>
      </c>
      <c r="Z132">
        <v>9422</v>
      </c>
      <c r="AA132">
        <v>7184</v>
      </c>
      <c r="AB132">
        <v>5</v>
      </c>
      <c r="AC132" t="s">
        <v>18</v>
      </c>
      <c r="AD132">
        <v>1.1709899902343801</v>
      </c>
      <c r="AE132">
        <v>1.1706844568252599</v>
      </c>
      <c r="AF132">
        <v>3.0553340912000001E-4</v>
      </c>
      <c r="AG132">
        <v>1.1695799827575699</v>
      </c>
      <c r="AH132">
        <v>1.1701012849807699</v>
      </c>
      <c r="AI132">
        <v>5.213022232E-4</v>
      </c>
      <c r="AJ132">
        <v>24</v>
      </c>
      <c r="AK132">
        <v>0</v>
      </c>
      <c r="AL132" t="s">
        <v>458</v>
      </c>
    </row>
    <row r="133" spans="1:38" x14ac:dyDescent="0.3">
      <c r="A133" s="1"/>
      <c r="Y133" s="1">
        <v>43811.954039351855</v>
      </c>
      <c r="Z133">
        <v>9422</v>
      </c>
      <c r="AA133">
        <v>7184</v>
      </c>
      <c r="AB133">
        <v>5</v>
      </c>
      <c r="AC133" t="s">
        <v>18</v>
      </c>
      <c r="AD133">
        <v>1.1709899902343801</v>
      </c>
      <c r="AE133">
        <v>1.1706844568252599</v>
      </c>
      <c r="AF133">
        <v>3.0553340912000001E-4</v>
      </c>
      <c r="AG133">
        <v>1.1695799827575699</v>
      </c>
      <c r="AH133">
        <v>1.1701012849807699</v>
      </c>
      <c r="AI133">
        <v>5.213022232E-4</v>
      </c>
      <c r="AJ133">
        <v>24</v>
      </c>
      <c r="AK133">
        <v>0</v>
      </c>
      <c r="AL133" t="s">
        <v>458</v>
      </c>
    </row>
    <row r="134" spans="1:38" x14ac:dyDescent="0.3">
      <c r="A134" s="1"/>
      <c r="Y134" s="1">
        <v>43811.954097222224</v>
      </c>
      <c r="Z134">
        <v>9422</v>
      </c>
      <c r="AA134">
        <v>7184</v>
      </c>
      <c r="AB134">
        <v>5</v>
      </c>
      <c r="AC134" t="s">
        <v>18</v>
      </c>
      <c r="AD134">
        <v>1.1709899902343801</v>
      </c>
      <c r="AE134">
        <v>1.1706844568252599</v>
      </c>
      <c r="AF134">
        <v>3.0553340912000001E-4</v>
      </c>
      <c r="AG134">
        <v>1.1695799827575699</v>
      </c>
      <c r="AH134">
        <v>1.1701012849807699</v>
      </c>
      <c r="AI134">
        <v>5.213022232E-4</v>
      </c>
      <c r="AJ134">
        <v>24</v>
      </c>
      <c r="AK134">
        <v>0</v>
      </c>
      <c r="AL134" t="s">
        <v>458</v>
      </c>
    </row>
    <row r="135" spans="1:38" x14ac:dyDescent="0.3">
      <c r="A135" s="1"/>
      <c r="Y135" s="1">
        <v>43811.95416666667</v>
      </c>
      <c r="Z135">
        <v>9422</v>
      </c>
      <c r="AA135">
        <v>7184</v>
      </c>
      <c r="AB135">
        <v>5</v>
      </c>
      <c r="AC135" t="s">
        <v>18</v>
      </c>
      <c r="AD135">
        <v>1.1709899902343801</v>
      </c>
      <c r="AE135">
        <v>1.1706844568252599</v>
      </c>
      <c r="AF135">
        <v>3.0553340912000001E-4</v>
      </c>
      <c r="AG135">
        <v>1.1695799827575699</v>
      </c>
      <c r="AH135">
        <v>1.1701012849807699</v>
      </c>
      <c r="AI135">
        <v>5.213022232E-4</v>
      </c>
      <c r="AJ135">
        <v>24</v>
      </c>
      <c r="AK135">
        <v>0</v>
      </c>
      <c r="AL135" t="s">
        <v>458</v>
      </c>
    </row>
    <row r="136" spans="1:38" x14ac:dyDescent="0.3">
      <c r="A136" s="1"/>
      <c r="Y136" s="1">
        <v>43811.954236111109</v>
      </c>
      <c r="Z136">
        <v>9422</v>
      </c>
      <c r="AA136">
        <v>7184</v>
      </c>
      <c r="AB136">
        <v>5</v>
      </c>
      <c r="AC136" t="s">
        <v>18</v>
      </c>
      <c r="AD136">
        <v>1.1709899902343801</v>
      </c>
      <c r="AE136">
        <v>1.1706844568252599</v>
      </c>
      <c r="AF136">
        <v>3.0553340912000001E-4</v>
      </c>
      <c r="AG136">
        <v>1.1695799827575699</v>
      </c>
      <c r="AH136">
        <v>1.1701012849807699</v>
      </c>
      <c r="AI136">
        <v>5.213022232E-4</v>
      </c>
      <c r="AJ136">
        <v>24</v>
      </c>
      <c r="AK136">
        <v>0</v>
      </c>
      <c r="AL136" t="s">
        <v>458</v>
      </c>
    </row>
    <row r="137" spans="1:38" x14ac:dyDescent="0.3">
      <c r="A137" s="1"/>
      <c r="Y137" s="1">
        <v>43811.954305555555</v>
      </c>
      <c r="Z137">
        <v>9422</v>
      </c>
      <c r="AA137">
        <v>7184</v>
      </c>
      <c r="AB137">
        <v>5</v>
      </c>
      <c r="AC137" t="s">
        <v>18</v>
      </c>
      <c r="AD137">
        <v>1.1709899902343801</v>
      </c>
      <c r="AE137">
        <v>1.1706844568252599</v>
      </c>
      <c r="AF137">
        <v>3.0553340912000001E-4</v>
      </c>
      <c r="AG137">
        <v>1.1695799827575699</v>
      </c>
      <c r="AH137">
        <v>1.1701012849807699</v>
      </c>
      <c r="AI137">
        <v>5.213022232E-4</v>
      </c>
      <c r="AJ137">
        <v>24</v>
      </c>
      <c r="AK137">
        <v>0</v>
      </c>
      <c r="AL137" t="s">
        <v>458</v>
      </c>
    </row>
    <row r="138" spans="1:38" x14ac:dyDescent="0.3">
      <c r="A138" s="1"/>
      <c r="Y138" s="1">
        <v>43811.954375000001</v>
      </c>
      <c r="Z138">
        <v>9422</v>
      </c>
      <c r="AA138">
        <v>7184</v>
      </c>
      <c r="AB138">
        <v>5</v>
      </c>
      <c r="AC138" t="s">
        <v>18</v>
      </c>
      <c r="AD138">
        <v>1.1709899902343801</v>
      </c>
      <c r="AE138">
        <v>1.1706844568252599</v>
      </c>
      <c r="AF138">
        <v>3.0553340912000001E-4</v>
      </c>
      <c r="AG138">
        <v>1.1695799827575699</v>
      </c>
      <c r="AH138">
        <v>1.1701012849807699</v>
      </c>
      <c r="AI138">
        <v>5.213022232E-4</v>
      </c>
      <c r="AJ138">
        <v>24</v>
      </c>
      <c r="AK138">
        <v>0</v>
      </c>
      <c r="AL138" t="s">
        <v>458</v>
      </c>
    </row>
    <row r="139" spans="1:38" x14ac:dyDescent="0.3">
      <c r="A139" s="1"/>
      <c r="Y139" s="1">
        <v>43811.954456018517</v>
      </c>
      <c r="Z139">
        <v>9422</v>
      </c>
      <c r="AA139">
        <v>7184</v>
      </c>
      <c r="AB139">
        <v>5</v>
      </c>
      <c r="AC139" t="s">
        <v>18</v>
      </c>
      <c r="AD139">
        <v>1.1709899902343801</v>
      </c>
      <c r="AE139">
        <v>1.1706844568252599</v>
      </c>
      <c r="AF139">
        <v>3.0553340912000001E-4</v>
      </c>
      <c r="AG139">
        <v>1.1695799827575699</v>
      </c>
      <c r="AH139">
        <v>1.1701012849807699</v>
      </c>
      <c r="AI139">
        <v>5.213022232E-4</v>
      </c>
      <c r="AJ139">
        <v>24</v>
      </c>
      <c r="AK139">
        <v>0</v>
      </c>
      <c r="AL139" t="s">
        <v>458</v>
      </c>
    </row>
    <row r="140" spans="1:38" x14ac:dyDescent="0.3">
      <c r="A140" s="1"/>
      <c r="Y140" s="1">
        <v>43811.954525462963</v>
      </c>
      <c r="Z140">
        <v>9422</v>
      </c>
      <c r="AA140">
        <v>7184</v>
      </c>
      <c r="AB140">
        <v>5</v>
      </c>
      <c r="AC140" t="s">
        <v>18</v>
      </c>
      <c r="AD140">
        <v>1.1709899902343801</v>
      </c>
      <c r="AE140">
        <v>1.1706844568252599</v>
      </c>
      <c r="AF140">
        <v>3.0553340912000001E-4</v>
      </c>
      <c r="AG140">
        <v>1.1695799827575699</v>
      </c>
      <c r="AH140">
        <v>1.1701012849807699</v>
      </c>
      <c r="AI140">
        <v>5.213022232E-4</v>
      </c>
      <c r="AJ140">
        <v>24</v>
      </c>
      <c r="AK140">
        <v>0</v>
      </c>
      <c r="AL140" t="s">
        <v>458</v>
      </c>
    </row>
    <row r="141" spans="1:38" x14ac:dyDescent="0.3">
      <c r="A141" s="1"/>
      <c r="Y141" s="1">
        <v>43811.954606481479</v>
      </c>
      <c r="Z141">
        <v>9422</v>
      </c>
      <c r="AA141">
        <v>7184</v>
      </c>
      <c r="AB141">
        <v>5</v>
      </c>
      <c r="AC141" t="s">
        <v>18</v>
      </c>
      <c r="AD141">
        <v>1.1709899902343801</v>
      </c>
      <c r="AE141">
        <v>1.1706844568252599</v>
      </c>
      <c r="AF141">
        <v>3.0553340912000001E-4</v>
      </c>
      <c r="AG141">
        <v>1.1695799827575699</v>
      </c>
      <c r="AH141">
        <v>1.1701012849807699</v>
      </c>
      <c r="AI141">
        <v>5.213022232E-4</v>
      </c>
      <c r="AJ141">
        <v>24</v>
      </c>
      <c r="AK141">
        <v>0</v>
      </c>
      <c r="AL141" t="s">
        <v>458</v>
      </c>
    </row>
    <row r="142" spans="1:38" x14ac:dyDescent="0.3">
      <c r="A142" s="1"/>
      <c r="Y142" s="1">
        <v>43811.954687500001</v>
      </c>
      <c r="Z142">
        <v>9422</v>
      </c>
      <c r="AA142">
        <v>7184</v>
      </c>
      <c r="AB142">
        <v>5</v>
      </c>
      <c r="AC142" t="s">
        <v>18</v>
      </c>
      <c r="AD142">
        <v>1.1709899902343801</v>
      </c>
      <c r="AE142">
        <v>1.1706844568252599</v>
      </c>
      <c r="AF142">
        <v>3.0553340912000001E-4</v>
      </c>
      <c r="AG142">
        <v>1.1695799827575699</v>
      </c>
      <c r="AH142">
        <v>1.1701012849807699</v>
      </c>
      <c r="AI142">
        <v>5.213022232E-4</v>
      </c>
      <c r="AJ142">
        <v>24</v>
      </c>
      <c r="AK142">
        <v>0</v>
      </c>
      <c r="AL142" t="s">
        <v>458</v>
      </c>
    </row>
    <row r="143" spans="1:38" x14ac:dyDescent="0.3">
      <c r="A143" s="1"/>
      <c r="Y143" s="1">
        <v>43811.954768518517</v>
      </c>
      <c r="Z143">
        <v>9422</v>
      </c>
      <c r="AA143">
        <v>7184</v>
      </c>
      <c r="AB143">
        <v>5</v>
      </c>
      <c r="AC143" t="s">
        <v>18</v>
      </c>
      <c r="AD143">
        <v>1.1709899902343801</v>
      </c>
      <c r="AE143">
        <v>1.1706844568252599</v>
      </c>
      <c r="AF143">
        <v>3.0553340912000001E-4</v>
      </c>
      <c r="AG143">
        <v>1.1695799827575699</v>
      </c>
      <c r="AH143">
        <v>1.1701012849807699</v>
      </c>
      <c r="AI143">
        <v>5.213022232E-4</v>
      </c>
      <c r="AJ143">
        <v>24</v>
      </c>
      <c r="AK143">
        <v>0</v>
      </c>
      <c r="AL143" t="s">
        <v>458</v>
      </c>
    </row>
    <row r="144" spans="1:38" x14ac:dyDescent="0.3">
      <c r="A144" s="1"/>
      <c r="Y144" s="1">
        <v>43811.95484953704</v>
      </c>
      <c r="Z144">
        <v>9422</v>
      </c>
      <c r="AA144">
        <v>7184</v>
      </c>
      <c r="AB144">
        <v>5</v>
      </c>
      <c r="AC144" t="s">
        <v>18</v>
      </c>
      <c r="AD144">
        <v>1.1709899902343801</v>
      </c>
      <c r="AE144">
        <v>1.1706844568252599</v>
      </c>
      <c r="AF144">
        <v>3.0553340912000001E-4</v>
      </c>
      <c r="AG144">
        <v>1.1695799827575699</v>
      </c>
      <c r="AH144">
        <v>1.1701012849807699</v>
      </c>
      <c r="AI144">
        <v>5.213022232E-4</v>
      </c>
      <c r="AJ144">
        <v>24</v>
      </c>
      <c r="AK144">
        <v>0</v>
      </c>
      <c r="AL144" t="s">
        <v>458</v>
      </c>
    </row>
    <row r="145" spans="1:38" x14ac:dyDescent="0.3">
      <c r="A145" s="1"/>
      <c r="Y145" s="1">
        <v>43811.9534375</v>
      </c>
      <c r="Z145">
        <v>9422</v>
      </c>
      <c r="AA145">
        <v>7184</v>
      </c>
      <c r="AB145">
        <v>5</v>
      </c>
      <c r="AC145" t="s">
        <v>18</v>
      </c>
      <c r="AD145">
        <v>1.1709899902343801</v>
      </c>
      <c r="AE145">
        <v>1.1706844568252599</v>
      </c>
      <c r="AF145">
        <v>3.0553340912000001E-4</v>
      </c>
      <c r="AG145">
        <v>1.1695799827575699</v>
      </c>
      <c r="AH145">
        <v>1.1701012849807699</v>
      </c>
      <c r="AI145">
        <v>5.213022232E-4</v>
      </c>
      <c r="AJ145">
        <v>24</v>
      </c>
      <c r="AK145">
        <v>0</v>
      </c>
      <c r="AL145" t="s">
        <v>458</v>
      </c>
    </row>
    <row r="146" spans="1:38" x14ac:dyDescent="0.3">
      <c r="A146" s="1"/>
      <c r="Y146" s="1">
        <v>43811.953842592593</v>
      </c>
      <c r="Z146">
        <v>9422</v>
      </c>
      <c r="AA146">
        <v>7184</v>
      </c>
      <c r="AB146">
        <v>6</v>
      </c>
      <c r="AC146" t="s">
        <v>19</v>
      </c>
      <c r="AD146">
        <v>1.1705900430679299</v>
      </c>
      <c r="AE146">
        <v>1.17097616195679</v>
      </c>
      <c r="AF146">
        <v>3.8611888886E-4</v>
      </c>
      <c r="AG146">
        <v>1.1699700355529801</v>
      </c>
      <c r="AH146">
        <v>1.17008805274963</v>
      </c>
      <c r="AI146">
        <v>1.1801719665E-4</v>
      </c>
      <c r="AJ146">
        <v>20</v>
      </c>
      <c r="AK146">
        <v>0</v>
      </c>
      <c r="AL146" t="s">
        <v>458</v>
      </c>
    </row>
    <row r="147" spans="1:38" x14ac:dyDescent="0.3">
      <c r="A147" s="1"/>
      <c r="Y147" s="1">
        <v>43811.953773148147</v>
      </c>
      <c r="Z147">
        <v>9422</v>
      </c>
      <c r="AA147">
        <v>7184</v>
      </c>
      <c r="AB147">
        <v>6</v>
      </c>
      <c r="AC147" t="s">
        <v>19</v>
      </c>
      <c r="AD147">
        <v>1.1705900430679299</v>
      </c>
      <c r="AE147">
        <v>1.17097616195679</v>
      </c>
      <c r="AF147">
        <v>3.8611888886E-4</v>
      </c>
      <c r="AG147">
        <v>1.1699700355529801</v>
      </c>
      <c r="AH147">
        <v>1.17008805274963</v>
      </c>
      <c r="AI147">
        <v>1.1801719665E-4</v>
      </c>
      <c r="AJ147">
        <v>20</v>
      </c>
      <c r="AK147">
        <v>0</v>
      </c>
      <c r="AL147" t="s">
        <v>458</v>
      </c>
    </row>
    <row r="148" spans="1:38" x14ac:dyDescent="0.3">
      <c r="A148" s="1"/>
      <c r="Y148" s="1">
        <v>43811.953969907408</v>
      </c>
      <c r="Z148">
        <v>9422</v>
      </c>
      <c r="AA148">
        <v>7184</v>
      </c>
      <c r="AB148">
        <v>6</v>
      </c>
      <c r="AC148" t="s">
        <v>19</v>
      </c>
      <c r="AD148">
        <v>1.1705900430679299</v>
      </c>
      <c r="AE148">
        <v>1.17097616195679</v>
      </c>
      <c r="AF148">
        <v>3.8611888886E-4</v>
      </c>
      <c r="AG148">
        <v>1.1699700355529801</v>
      </c>
      <c r="AH148">
        <v>1.17008805274963</v>
      </c>
      <c r="AI148">
        <v>1.1801719665E-4</v>
      </c>
      <c r="AJ148">
        <v>20</v>
      </c>
      <c r="AK148">
        <v>0</v>
      </c>
      <c r="AL148" t="s">
        <v>458</v>
      </c>
    </row>
    <row r="149" spans="1:38" x14ac:dyDescent="0.3">
      <c r="A149" s="1"/>
      <c r="Y149" s="1">
        <v>43811.954039351855</v>
      </c>
      <c r="Z149">
        <v>9422</v>
      </c>
      <c r="AA149">
        <v>7184</v>
      </c>
      <c r="AB149">
        <v>6</v>
      </c>
      <c r="AC149" t="s">
        <v>19</v>
      </c>
      <c r="AD149">
        <v>1.1705900430679299</v>
      </c>
      <c r="AE149">
        <v>1.17097616195679</v>
      </c>
      <c r="AF149">
        <v>3.8611888886E-4</v>
      </c>
      <c r="AG149">
        <v>1.1699700355529801</v>
      </c>
      <c r="AH149">
        <v>1.17008805274963</v>
      </c>
      <c r="AI149">
        <v>1.1801719665E-4</v>
      </c>
      <c r="AJ149">
        <v>20</v>
      </c>
      <c r="AK149">
        <v>0</v>
      </c>
      <c r="AL149" t="s">
        <v>458</v>
      </c>
    </row>
    <row r="150" spans="1:38" x14ac:dyDescent="0.3">
      <c r="A150" s="1"/>
      <c r="Y150" s="1">
        <v>43811.954097222224</v>
      </c>
      <c r="Z150">
        <v>9422</v>
      </c>
      <c r="AA150">
        <v>7184</v>
      </c>
      <c r="AB150">
        <v>6</v>
      </c>
      <c r="AC150" t="s">
        <v>19</v>
      </c>
      <c r="AD150">
        <v>1.1705900430679299</v>
      </c>
      <c r="AE150">
        <v>1.17097616195679</v>
      </c>
      <c r="AF150">
        <v>3.8611888886E-4</v>
      </c>
      <c r="AG150">
        <v>1.1699700355529801</v>
      </c>
      <c r="AH150">
        <v>1.17008805274963</v>
      </c>
      <c r="AI150">
        <v>1.1801719665E-4</v>
      </c>
      <c r="AJ150">
        <v>20</v>
      </c>
      <c r="AK150">
        <v>0</v>
      </c>
      <c r="AL150" t="s">
        <v>458</v>
      </c>
    </row>
    <row r="151" spans="1:38" x14ac:dyDescent="0.3">
      <c r="A151" s="1"/>
      <c r="Y151" s="1">
        <v>43811.95416666667</v>
      </c>
      <c r="Z151">
        <v>9422</v>
      </c>
      <c r="AA151">
        <v>7184</v>
      </c>
      <c r="AB151">
        <v>6</v>
      </c>
      <c r="AC151" t="s">
        <v>19</v>
      </c>
      <c r="AD151">
        <v>1.1705900430679299</v>
      </c>
      <c r="AE151">
        <v>1.17097616195679</v>
      </c>
      <c r="AF151">
        <v>3.8611888886E-4</v>
      </c>
      <c r="AG151">
        <v>1.1699700355529801</v>
      </c>
      <c r="AH151">
        <v>1.17008805274963</v>
      </c>
      <c r="AI151">
        <v>1.1801719665E-4</v>
      </c>
      <c r="AJ151">
        <v>20</v>
      </c>
      <c r="AK151">
        <v>0</v>
      </c>
      <c r="AL151" t="s">
        <v>458</v>
      </c>
    </row>
    <row r="152" spans="1:38" x14ac:dyDescent="0.3">
      <c r="A152" s="1"/>
      <c r="Y152" s="1">
        <v>43811.954236111109</v>
      </c>
      <c r="Z152">
        <v>9422</v>
      </c>
      <c r="AA152">
        <v>7184</v>
      </c>
      <c r="AB152">
        <v>6</v>
      </c>
      <c r="AC152" t="s">
        <v>19</v>
      </c>
      <c r="AD152">
        <v>1.1705900430679299</v>
      </c>
      <c r="AE152">
        <v>1.17097616195679</v>
      </c>
      <c r="AF152">
        <v>3.8611888886E-4</v>
      </c>
      <c r="AG152">
        <v>1.1699700355529801</v>
      </c>
      <c r="AH152">
        <v>1.17008805274963</v>
      </c>
      <c r="AI152">
        <v>1.1801719665E-4</v>
      </c>
      <c r="AJ152">
        <v>20</v>
      </c>
      <c r="AK152">
        <v>0</v>
      </c>
      <c r="AL152" t="s">
        <v>458</v>
      </c>
    </row>
    <row r="153" spans="1:38" x14ac:dyDescent="0.3">
      <c r="A153" s="1"/>
      <c r="Y153" s="1">
        <v>43811.954305555555</v>
      </c>
      <c r="Z153">
        <v>9422</v>
      </c>
      <c r="AA153">
        <v>7184</v>
      </c>
      <c r="AB153">
        <v>6</v>
      </c>
      <c r="AC153" t="s">
        <v>19</v>
      </c>
      <c r="AD153">
        <v>1.1705900430679299</v>
      </c>
      <c r="AE153">
        <v>1.17097616195679</v>
      </c>
      <c r="AF153">
        <v>3.8611888886E-4</v>
      </c>
      <c r="AG153">
        <v>1.1699700355529801</v>
      </c>
      <c r="AH153">
        <v>1.17008805274963</v>
      </c>
      <c r="AI153">
        <v>1.1801719665E-4</v>
      </c>
      <c r="AJ153">
        <v>20</v>
      </c>
      <c r="AK153">
        <v>0</v>
      </c>
      <c r="AL153" t="s">
        <v>458</v>
      </c>
    </row>
    <row r="154" spans="1:38" x14ac:dyDescent="0.3">
      <c r="A154" s="1"/>
      <c r="Y154" s="1">
        <v>43811.954375000001</v>
      </c>
      <c r="Z154">
        <v>9422</v>
      </c>
      <c r="AA154">
        <v>7184</v>
      </c>
      <c r="AB154">
        <v>6</v>
      </c>
      <c r="AC154" t="s">
        <v>19</v>
      </c>
      <c r="AD154">
        <v>1.1705900430679299</v>
      </c>
      <c r="AE154">
        <v>1.17097616195679</v>
      </c>
      <c r="AF154">
        <v>3.8611888886E-4</v>
      </c>
      <c r="AG154">
        <v>1.1699700355529801</v>
      </c>
      <c r="AH154">
        <v>1.17008805274963</v>
      </c>
      <c r="AI154">
        <v>1.1801719665E-4</v>
      </c>
      <c r="AJ154">
        <v>20</v>
      </c>
      <c r="AK154">
        <v>0</v>
      </c>
      <c r="AL154" t="s">
        <v>458</v>
      </c>
    </row>
    <row r="155" spans="1:38" x14ac:dyDescent="0.3">
      <c r="A155" s="1"/>
      <c r="Y155" s="1">
        <v>43811.954456018517</v>
      </c>
      <c r="Z155">
        <v>9422</v>
      </c>
      <c r="AA155">
        <v>7184</v>
      </c>
      <c r="AB155">
        <v>6</v>
      </c>
      <c r="AC155" t="s">
        <v>19</v>
      </c>
      <c r="AD155">
        <v>1.1705900430679299</v>
      </c>
      <c r="AE155">
        <v>1.17097616195679</v>
      </c>
      <c r="AF155">
        <v>3.8611888886E-4</v>
      </c>
      <c r="AG155">
        <v>1.1699700355529801</v>
      </c>
      <c r="AH155">
        <v>1.17008805274963</v>
      </c>
      <c r="AI155">
        <v>1.1801719665E-4</v>
      </c>
      <c r="AJ155">
        <v>20</v>
      </c>
      <c r="AK155">
        <v>0</v>
      </c>
      <c r="AL155" t="s">
        <v>458</v>
      </c>
    </row>
    <row r="156" spans="1:38" x14ac:dyDescent="0.3">
      <c r="A156" s="1"/>
      <c r="Y156" s="1">
        <v>43811.954525462963</v>
      </c>
      <c r="Z156">
        <v>9422</v>
      </c>
      <c r="AA156">
        <v>7184</v>
      </c>
      <c r="AB156">
        <v>6</v>
      </c>
      <c r="AC156" t="s">
        <v>19</v>
      </c>
      <c r="AD156">
        <v>1.1705900430679299</v>
      </c>
      <c r="AE156">
        <v>1.17097616195679</v>
      </c>
      <c r="AF156">
        <v>3.8611888886E-4</v>
      </c>
      <c r="AG156">
        <v>1.1699700355529801</v>
      </c>
      <c r="AH156">
        <v>1.17008805274963</v>
      </c>
      <c r="AI156">
        <v>1.1801719665E-4</v>
      </c>
      <c r="AJ156">
        <v>20</v>
      </c>
      <c r="AK156">
        <v>0</v>
      </c>
      <c r="AL156" t="s">
        <v>458</v>
      </c>
    </row>
    <row r="157" spans="1:38" x14ac:dyDescent="0.3">
      <c r="A157" s="1"/>
      <c r="Y157" s="1">
        <v>43811.954606481479</v>
      </c>
      <c r="Z157">
        <v>9422</v>
      </c>
      <c r="AA157">
        <v>7184</v>
      </c>
      <c r="AB157">
        <v>6</v>
      </c>
      <c r="AC157" t="s">
        <v>19</v>
      </c>
      <c r="AD157">
        <v>1.1705900430679299</v>
      </c>
      <c r="AE157">
        <v>1.17097616195679</v>
      </c>
      <c r="AF157">
        <v>3.8611888886E-4</v>
      </c>
      <c r="AG157">
        <v>1.1699700355529801</v>
      </c>
      <c r="AH157">
        <v>1.17008805274963</v>
      </c>
      <c r="AI157">
        <v>1.1801719665E-4</v>
      </c>
      <c r="AJ157">
        <v>20</v>
      </c>
      <c r="AK157">
        <v>0</v>
      </c>
      <c r="AL157" t="s">
        <v>458</v>
      </c>
    </row>
    <row r="158" spans="1:38" x14ac:dyDescent="0.3">
      <c r="A158" s="1"/>
      <c r="Y158" s="1">
        <v>43811.954687500001</v>
      </c>
      <c r="Z158">
        <v>9422</v>
      </c>
      <c r="AA158">
        <v>7184</v>
      </c>
      <c r="AB158">
        <v>6</v>
      </c>
      <c r="AC158" t="s">
        <v>19</v>
      </c>
      <c r="AD158">
        <v>1.1705900430679299</v>
      </c>
      <c r="AE158">
        <v>1.17097616195679</v>
      </c>
      <c r="AF158">
        <v>3.8611888886E-4</v>
      </c>
      <c r="AG158">
        <v>1.1699700355529801</v>
      </c>
      <c r="AH158">
        <v>1.17008805274963</v>
      </c>
      <c r="AI158">
        <v>1.1801719665E-4</v>
      </c>
      <c r="AJ158">
        <v>20</v>
      </c>
      <c r="AK158">
        <v>0</v>
      </c>
      <c r="AL158" t="s">
        <v>458</v>
      </c>
    </row>
    <row r="159" spans="1:38" x14ac:dyDescent="0.3">
      <c r="A159" s="1"/>
      <c r="Y159" s="1">
        <v>43811.954768518517</v>
      </c>
      <c r="Z159">
        <v>9422</v>
      </c>
      <c r="AA159">
        <v>7184</v>
      </c>
      <c r="AB159">
        <v>6</v>
      </c>
      <c r="AC159" t="s">
        <v>19</v>
      </c>
      <c r="AD159">
        <v>1.1705900430679299</v>
      </c>
      <c r="AE159">
        <v>1.17097616195679</v>
      </c>
      <c r="AF159">
        <v>3.8611888886E-4</v>
      </c>
      <c r="AG159">
        <v>1.1699700355529801</v>
      </c>
      <c r="AH159">
        <v>1.17008805274963</v>
      </c>
      <c r="AI159">
        <v>1.1801719665E-4</v>
      </c>
      <c r="AJ159">
        <v>20</v>
      </c>
      <c r="AK159">
        <v>0</v>
      </c>
      <c r="AL159" t="s">
        <v>458</v>
      </c>
    </row>
    <row r="160" spans="1:38" x14ac:dyDescent="0.3">
      <c r="A160" s="1"/>
      <c r="Y160" s="1">
        <v>43811.95484953704</v>
      </c>
      <c r="Z160">
        <v>9422</v>
      </c>
      <c r="AA160">
        <v>7184</v>
      </c>
      <c r="AB160">
        <v>6</v>
      </c>
      <c r="AC160" t="s">
        <v>19</v>
      </c>
      <c r="AD160">
        <v>1.1705900430679299</v>
      </c>
      <c r="AE160">
        <v>1.17097616195679</v>
      </c>
      <c r="AF160">
        <v>3.8611888886E-4</v>
      </c>
      <c r="AG160">
        <v>1.1699700355529801</v>
      </c>
      <c r="AH160">
        <v>1.17008805274963</v>
      </c>
      <c r="AI160">
        <v>1.1801719665E-4</v>
      </c>
      <c r="AJ160">
        <v>20</v>
      </c>
      <c r="AK160">
        <v>0</v>
      </c>
      <c r="AL160" t="s">
        <v>458</v>
      </c>
    </row>
    <row r="161" spans="1:38" x14ac:dyDescent="0.3">
      <c r="A161" s="1"/>
      <c r="Y161" s="1">
        <v>43811.954918981479</v>
      </c>
      <c r="Z161">
        <v>9422</v>
      </c>
      <c r="AA161">
        <v>7184</v>
      </c>
      <c r="AB161">
        <v>6</v>
      </c>
      <c r="AC161" t="s">
        <v>19</v>
      </c>
      <c r="AD161">
        <v>1.1705900430679299</v>
      </c>
      <c r="AE161">
        <v>1.17097616195679</v>
      </c>
      <c r="AF161">
        <v>3.8611888886E-4</v>
      </c>
      <c r="AG161">
        <v>1.1699700355529801</v>
      </c>
      <c r="AH161">
        <v>1.17008805274963</v>
      </c>
      <c r="AI161">
        <v>1.1801719665E-4</v>
      </c>
      <c r="AJ161">
        <v>20</v>
      </c>
      <c r="AK161">
        <v>0</v>
      </c>
      <c r="AL161" t="s">
        <v>458</v>
      </c>
    </row>
    <row r="162" spans="1:38" x14ac:dyDescent="0.3">
      <c r="A162" s="1"/>
      <c r="Y162" s="1">
        <v>43811.9533912037</v>
      </c>
      <c r="Z162">
        <v>9422</v>
      </c>
      <c r="AA162">
        <v>7184</v>
      </c>
      <c r="AB162">
        <v>6</v>
      </c>
      <c r="AC162" t="s">
        <v>19</v>
      </c>
      <c r="AD162">
        <v>1.1705900430679299</v>
      </c>
      <c r="AE162">
        <v>1.17097616195679</v>
      </c>
      <c r="AF162">
        <v>3.8611888886E-4</v>
      </c>
      <c r="AG162">
        <v>1.1699700355529801</v>
      </c>
      <c r="AH162">
        <v>1.17008805274963</v>
      </c>
      <c r="AI162">
        <v>1.1801719665E-4</v>
      </c>
      <c r="AJ162">
        <v>20</v>
      </c>
      <c r="AK162">
        <v>0</v>
      </c>
      <c r="AL162" t="s">
        <v>458</v>
      </c>
    </row>
    <row r="163" spans="1:38" x14ac:dyDescent="0.3">
      <c r="A163" s="1"/>
      <c r="Y163" s="1">
        <v>43811.9534375</v>
      </c>
      <c r="Z163">
        <v>9422</v>
      </c>
      <c r="AA163">
        <v>7184</v>
      </c>
      <c r="AB163">
        <v>6</v>
      </c>
      <c r="AC163" t="s">
        <v>19</v>
      </c>
      <c r="AD163">
        <v>1.1705900430679299</v>
      </c>
      <c r="AE163">
        <v>1.17097616195679</v>
      </c>
      <c r="AF163">
        <v>3.8611888886E-4</v>
      </c>
      <c r="AG163">
        <v>1.1699700355529801</v>
      </c>
      <c r="AH163">
        <v>1.17008805274963</v>
      </c>
      <c r="AI163">
        <v>1.1801719665E-4</v>
      </c>
      <c r="AJ163">
        <v>20</v>
      </c>
      <c r="AK163">
        <v>0</v>
      </c>
      <c r="AL163" t="s">
        <v>458</v>
      </c>
    </row>
    <row r="164" spans="1:38" x14ac:dyDescent="0.3">
      <c r="A164" s="1"/>
      <c r="Y164" s="1">
        <v>43811.95349537037</v>
      </c>
      <c r="Z164">
        <v>9422</v>
      </c>
      <c r="AA164">
        <v>7184</v>
      </c>
      <c r="AB164">
        <v>6</v>
      </c>
      <c r="AC164" t="s">
        <v>19</v>
      </c>
      <c r="AD164">
        <v>1.1705900430679299</v>
      </c>
      <c r="AE164">
        <v>1.17097616195679</v>
      </c>
      <c r="AF164">
        <v>3.8611888886E-4</v>
      </c>
      <c r="AG164">
        <v>1.1699700355529801</v>
      </c>
      <c r="AH164">
        <v>1.17008805274963</v>
      </c>
      <c r="AI164">
        <v>1.1801719665E-4</v>
      </c>
      <c r="AJ164">
        <v>20</v>
      </c>
      <c r="AK164">
        <v>0</v>
      </c>
      <c r="AL164" t="s">
        <v>458</v>
      </c>
    </row>
    <row r="165" spans="1:38" x14ac:dyDescent="0.3">
      <c r="A165" s="1"/>
      <c r="Y165" s="1">
        <v>43811.953541666669</v>
      </c>
      <c r="Z165">
        <v>9422</v>
      </c>
      <c r="AA165">
        <v>7184</v>
      </c>
      <c r="AB165">
        <v>6</v>
      </c>
      <c r="AC165" t="s">
        <v>19</v>
      </c>
      <c r="AD165">
        <v>1.1705900430679299</v>
      </c>
      <c r="AE165">
        <v>1.17097616195679</v>
      </c>
      <c r="AF165">
        <v>3.8611888886E-4</v>
      </c>
      <c r="AG165">
        <v>1.1699700355529801</v>
      </c>
      <c r="AH165">
        <v>1.17008805274963</v>
      </c>
      <c r="AI165">
        <v>1.1801719665E-4</v>
      </c>
      <c r="AJ165">
        <v>20</v>
      </c>
      <c r="AK165">
        <v>0</v>
      </c>
      <c r="AL165" t="s">
        <v>458</v>
      </c>
    </row>
    <row r="166" spans="1:38" x14ac:dyDescent="0.3">
      <c r="A166" s="1"/>
      <c r="Y166" s="1">
        <v>43811.953599537039</v>
      </c>
      <c r="Z166">
        <v>9422</v>
      </c>
      <c r="AA166">
        <v>7184</v>
      </c>
      <c r="AB166">
        <v>6</v>
      </c>
      <c r="AC166" t="s">
        <v>19</v>
      </c>
      <c r="AD166">
        <v>1.1705900430679299</v>
      </c>
      <c r="AE166">
        <v>1.17097616195679</v>
      </c>
      <c r="AF166">
        <v>3.8611888886E-4</v>
      </c>
      <c r="AG166">
        <v>1.1699700355529801</v>
      </c>
      <c r="AH166">
        <v>1.17008805274963</v>
      </c>
      <c r="AI166">
        <v>1.1801719665E-4</v>
      </c>
      <c r="AJ166">
        <v>20</v>
      </c>
      <c r="AK166">
        <v>0</v>
      </c>
      <c r="AL166" t="s">
        <v>458</v>
      </c>
    </row>
    <row r="167" spans="1:38" x14ac:dyDescent="0.3">
      <c r="A167" s="1"/>
      <c r="Y167" s="1">
        <v>43811.953657407408</v>
      </c>
      <c r="Z167">
        <v>9422</v>
      </c>
      <c r="AA167">
        <v>7184</v>
      </c>
      <c r="AB167">
        <v>6</v>
      </c>
      <c r="AC167" t="s">
        <v>19</v>
      </c>
      <c r="AD167">
        <v>1.1705900430679299</v>
      </c>
      <c r="AE167">
        <v>1.17097616195679</v>
      </c>
      <c r="AF167">
        <v>3.8611888886E-4</v>
      </c>
      <c r="AG167">
        <v>1.1699700355529801</v>
      </c>
      <c r="AH167">
        <v>1.17008805274963</v>
      </c>
      <c r="AI167">
        <v>1.1801719665E-4</v>
      </c>
      <c r="AJ167">
        <v>20</v>
      </c>
      <c r="AK167">
        <v>0</v>
      </c>
      <c r="AL167" t="s">
        <v>458</v>
      </c>
    </row>
    <row r="168" spans="1:38" x14ac:dyDescent="0.3">
      <c r="A168" s="1"/>
      <c r="Y168" s="1">
        <v>43811.953715277778</v>
      </c>
      <c r="Z168">
        <v>9422</v>
      </c>
      <c r="AA168">
        <v>7184</v>
      </c>
      <c r="AB168">
        <v>6</v>
      </c>
      <c r="AC168" t="s">
        <v>19</v>
      </c>
      <c r="AD168">
        <v>1.1705900430679299</v>
      </c>
      <c r="AE168">
        <v>1.17097616195679</v>
      </c>
      <c r="AF168">
        <v>3.8611888886E-4</v>
      </c>
      <c r="AG168">
        <v>1.1699700355529801</v>
      </c>
      <c r="AH168">
        <v>1.17008805274963</v>
      </c>
      <c r="AI168">
        <v>1.1801719665E-4</v>
      </c>
      <c r="AJ168">
        <v>20</v>
      </c>
      <c r="AK168">
        <v>0</v>
      </c>
      <c r="AL168" t="s">
        <v>458</v>
      </c>
    </row>
    <row r="169" spans="1:38" x14ac:dyDescent="0.3">
      <c r="A169" s="1"/>
      <c r="Y169" s="1">
        <v>43811.953900462962</v>
      </c>
      <c r="Z169">
        <v>9422</v>
      </c>
      <c r="AA169">
        <v>7184</v>
      </c>
      <c r="AB169">
        <v>6</v>
      </c>
      <c r="AC169" t="s">
        <v>19</v>
      </c>
      <c r="AD169">
        <v>1.1705900430679299</v>
      </c>
      <c r="AE169">
        <v>1.17097616195679</v>
      </c>
      <c r="AF169">
        <v>3.8611888886E-4</v>
      </c>
      <c r="AG169">
        <v>1.1699700355529801</v>
      </c>
      <c r="AH169">
        <v>1.17008805274963</v>
      </c>
      <c r="AI169">
        <v>1.1801719665E-4</v>
      </c>
      <c r="AJ169">
        <v>20</v>
      </c>
      <c r="AK169">
        <v>0</v>
      </c>
      <c r="AL169" t="s">
        <v>458</v>
      </c>
    </row>
    <row r="170" spans="1:38" x14ac:dyDescent="0.3">
      <c r="A170" s="1"/>
      <c r="Y170" s="1">
        <v>43811.9533912037</v>
      </c>
      <c r="Z170">
        <v>9422</v>
      </c>
      <c r="AA170">
        <v>7184</v>
      </c>
      <c r="AB170">
        <v>7</v>
      </c>
      <c r="AC170" t="s">
        <v>20</v>
      </c>
      <c r="AD170">
        <v>1.17044997215271</v>
      </c>
      <c r="AE170">
        <v>1.17039799690247</v>
      </c>
      <c r="AF170">
        <v>5.1975250240000003E-5</v>
      </c>
      <c r="AG170">
        <v>1.1694699525833101</v>
      </c>
      <c r="AH170">
        <v>1.16959881782532</v>
      </c>
      <c r="AI170">
        <v>1.2886524200999999E-4</v>
      </c>
      <c r="AJ170">
        <v>22</v>
      </c>
      <c r="AK170">
        <v>0</v>
      </c>
      <c r="AL170" t="s">
        <v>458</v>
      </c>
    </row>
    <row r="171" spans="1:38" x14ac:dyDescent="0.3">
      <c r="A171" s="1"/>
      <c r="Y171" s="1">
        <v>43811.954918981479</v>
      </c>
      <c r="Z171">
        <v>9422</v>
      </c>
      <c r="AA171">
        <v>7184</v>
      </c>
      <c r="AB171">
        <v>7</v>
      </c>
      <c r="AC171" t="s">
        <v>20</v>
      </c>
      <c r="AD171">
        <v>1.17044997215271</v>
      </c>
      <c r="AE171">
        <v>1.17039799690247</v>
      </c>
      <c r="AF171">
        <v>5.1975250240000003E-5</v>
      </c>
      <c r="AG171">
        <v>1.1694699525833101</v>
      </c>
      <c r="AH171">
        <v>1.16959881782532</v>
      </c>
      <c r="AI171">
        <v>1.2886524200999999E-4</v>
      </c>
      <c r="AJ171">
        <v>22</v>
      </c>
      <c r="AK171">
        <v>0</v>
      </c>
      <c r="AL171" t="s">
        <v>458</v>
      </c>
    </row>
    <row r="172" spans="1:38" x14ac:dyDescent="0.3">
      <c r="A172" s="1"/>
      <c r="Y172" s="1">
        <v>43811.95349537037</v>
      </c>
      <c r="Z172">
        <v>9422</v>
      </c>
      <c r="AA172">
        <v>7184</v>
      </c>
      <c r="AB172">
        <v>7</v>
      </c>
      <c r="AC172" t="s">
        <v>20</v>
      </c>
      <c r="AD172">
        <v>1.17044997215271</v>
      </c>
      <c r="AE172">
        <v>1.17039799690247</v>
      </c>
      <c r="AF172">
        <v>5.1975250240000003E-5</v>
      </c>
      <c r="AG172">
        <v>1.1694699525833101</v>
      </c>
      <c r="AH172">
        <v>1.16959881782532</v>
      </c>
      <c r="AI172">
        <v>1.2886524200999999E-4</v>
      </c>
      <c r="AJ172">
        <v>22</v>
      </c>
      <c r="AK172">
        <v>0</v>
      </c>
      <c r="AL172" t="s">
        <v>458</v>
      </c>
    </row>
    <row r="173" spans="1:38" x14ac:dyDescent="0.3">
      <c r="A173" s="1"/>
      <c r="Y173" s="1">
        <v>43811.953541666669</v>
      </c>
      <c r="Z173">
        <v>9422</v>
      </c>
      <c r="AA173">
        <v>7184</v>
      </c>
      <c r="AB173">
        <v>7</v>
      </c>
      <c r="AC173" t="s">
        <v>20</v>
      </c>
      <c r="AD173">
        <v>1.17044997215271</v>
      </c>
      <c r="AE173">
        <v>1.17039799690247</v>
      </c>
      <c r="AF173">
        <v>5.1975250240000003E-5</v>
      </c>
      <c r="AG173">
        <v>1.1694699525833101</v>
      </c>
      <c r="AH173">
        <v>1.16959881782532</v>
      </c>
      <c r="AI173">
        <v>1.2886524200999999E-4</v>
      </c>
      <c r="AJ173">
        <v>22</v>
      </c>
      <c r="AK173">
        <v>0</v>
      </c>
      <c r="AL173" t="s">
        <v>458</v>
      </c>
    </row>
    <row r="174" spans="1:38" x14ac:dyDescent="0.3">
      <c r="A174" s="1"/>
      <c r="Y174" s="1">
        <v>43811.953599537039</v>
      </c>
      <c r="Z174">
        <v>9422</v>
      </c>
      <c r="AA174">
        <v>7184</v>
      </c>
      <c r="AB174">
        <v>7</v>
      </c>
      <c r="AC174" t="s">
        <v>20</v>
      </c>
      <c r="AD174">
        <v>1.17044997215271</v>
      </c>
      <c r="AE174">
        <v>1.17039799690247</v>
      </c>
      <c r="AF174">
        <v>5.1975250240000003E-5</v>
      </c>
      <c r="AG174">
        <v>1.1694699525833101</v>
      </c>
      <c r="AH174">
        <v>1.16959881782532</v>
      </c>
      <c r="AI174">
        <v>1.2886524200999999E-4</v>
      </c>
      <c r="AJ174">
        <v>22</v>
      </c>
      <c r="AK174">
        <v>0</v>
      </c>
      <c r="AL174" t="s">
        <v>458</v>
      </c>
    </row>
    <row r="175" spans="1:38" x14ac:dyDescent="0.3">
      <c r="A175" s="1"/>
      <c r="Y175" s="1">
        <v>43811.953657407408</v>
      </c>
      <c r="Z175">
        <v>9422</v>
      </c>
      <c r="AA175">
        <v>7184</v>
      </c>
      <c r="AB175">
        <v>7</v>
      </c>
      <c r="AC175" t="s">
        <v>20</v>
      </c>
      <c r="AD175">
        <v>1.17044997215271</v>
      </c>
      <c r="AE175">
        <v>1.17039799690247</v>
      </c>
      <c r="AF175">
        <v>5.1975250240000003E-5</v>
      </c>
      <c r="AG175">
        <v>1.1694699525833101</v>
      </c>
      <c r="AH175">
        <v>1.16959881782532</v>
      </c>
      <c r="AI175">
        <v>1.2886524200999999E-4</v>
      </c>
      <c r="AJ175">
        <v>22</v>
      </c>
      <c r="AK175">
        <v>0</v>
      </c>
      <c r="AL175" t="s">
        <v>458</v>
      </c>
    </row>
    <row r="176" spans="1:38" x14ac:dyDescent="0.3">
      <c r="A176" s="1"/>
      <c r="Y176" s="1">
        <v>43811.953715277778</v>
      </c>
      <c r="Z176">
        <v>9422</v>
      </c>
      <c r="AA176">
        <v>7184</v>
      </c>
      <c r="AB176">
        <v>7</v>
      </c>
      <c r="AC176" t="s">
        <v>20</v>
      </c>
      <c r="AD176">
        <v>1.17044997215271</v>
      </c>
      <c r="AE176">
        <v>1.17039799690247</v>
      </c>
      <c r="AF176">
        <v>5.1975250240000003E-5</v>
      </c>
      <c r="AG176">
        <v>1.1694699525833101</v>
      </c>
      <c r="AH176">
        <v>1.16959881782532</v>
      </c>
      <c r="AI176">
        <v>1.2886524200999999E-4</v>
      </c>
      <c r="AJ176">
        <v>22</v>
      </c>
      <c r="AK176">
        <v>0</v>
      </c>
      <c r="AL176" t="s">
        <v>458</v>
      </c>
    </row>
    <row r="177" spans="1:38" x14ac:dyDescent="0.3">
      <c r="A177" s="1"/>
      <c r="Y177" s="1">
        <v>43811.953773148147</v>
      </c>
      <c r="Z177">
        <v>9422</v>
      </c>
      <c r="AA177">
        <v>7184</v>
      </c>
      <c r="AB177">
        <v>7</v>
      </c>
      <c r="AC177" t="s">
        <v>20</v>
      </c>
      <c r="AD177">
        <v>1.17044997215271</v>
      </c>
      <c r="AE177">
        <v>1.17039799690247</v>
      </c>
      <c r="AF177">
        <v>5.1975250240000003E-5</v>
      </c>
      <c r="AG177">
        <v>1.1694699525833101</v>
      </c>
      <c r="AH177">
        <v>1.16959881782532</v>
      </c>
      <c r="AI177">
        <v>1.2886524200999999E-4</v>
      </c>
      <c r="AJ177">
        <v>22</v>
      </c>
      <c r="AK177">
        <v>0</v>
      </c>
      <c r="AL177" t="s">
        <v>458</v>
      </c>
    </row>
    <row r="178" spans="1:38" x14ac:dyDescent="0.3">
      <c r="A178" s="1"/>
      <c r="Y178" s="1">
        <v>43811.953842592593</v>
      </c>
      <c r="Z178">
        <v>9422</v>
      </c>
      <c r="AA178">
        <v>7184</v>
      </c>
      <c r="AB178">
        <v>7</v>
      </c>
      <c r="AC178" t="s">
        <v>20</v>
      </c>
      <c r="AD178">
        <v>1.17044997215271</v>
      </c>
      <c r="AE178">
        <v>1.17039799690247</v>
      </c>
      <c r="AF178">
        <v>5.1975250240000003E-5</v>
      </c>
      <c r="AG178">
        <v>1.1694699525833101</v>
      </c>
      <c r="AH178">
        <v>1.16959881782532</v>
      </c>
      <c r="AI178">
        <v>1.2886524200999999E-4</v>
      </c>
      <c r="AJ178">
        <v>22</v>
      </c>
      <c r="AK178">
        <v>0</v>
      </c>
      <c r="AL178" t="s">
        <v>458</v>
      </c>
    </row>
    <row r="179" spans="1:38" x14ac:dyDescent="0.3">
      <c r="A179" s="1"/>
      <c r="Y179" s="1">
        <v>43811.953900462962</v>
      </c>
      <c r="Z179">
        <v>9422</v>
      </c>
      <c r="AA179">
        <v>7184</v>
      </c>
      <c r="AB179">
        <v>7</v>
      </c>
      <c r="AC179" t="s">
        <v>20</v>
      </c>
      <c r="AD179">
        <v>1.17044997215271</v>
      </c>
      <c r="AE179">
        <v>1.17039799690247</v>
      </c>
      <c r="AF179">
        <v>5.1975250240000003E-5</v>
      </c>
      <c r="AG179">
        <v>1.1694699525833101</v>
      </c>
      <c r="AH179">
        <v>1.16959881782532</v>
      </c>
      <c r="AI179">
        <v>1.2886524200999999E-4</v>
      </c>
      <c r="AJ179">
        <v>22</v>
      </c>
      <c r="AK179">
        <v>0</v>
      </c>
      <c r="AL179" t="s">
        <v>458</v>
      </c>
    </row>
    <row r="180" spans="1:38" x14ac:dyDescent="0.3">
      <c r="A180" s="1"/>
      <c r="Y180" s="1">
        <v>43811.953969907408</v>
      </c>
      <c r="Z180">
        <v>9422</v>
      </c>
      <c r="AA180">
        <v>7184</v>
      </c>
      <c r="AB180">
        <v>7</v>
      </c>
      <c r="AC180" t="s">
        <v>20</v>
      </c>
      <c r="AD180">
        <v>1.17044997215271</v>
      </c>
      <c r="AE180">
        <v>1.17039799690247</v>
      </c>
      <c r="AF180">
        <v>5.1975250240000003E-5</v>
      </c>
      <c r="AG180">
        <v>1.1694699525833101</v>
      </c>
      <c r="AH180">
        <v>1.16959881782532</v>
      </c>
      <c r="AI180">
        <v>1.2886524200999999E-4</v>
      </c>
      <c r="AJ180">
        <v>22</v>
      </c>
      <c r="AK180">
        <v>0</v>
      </c>
      <c r="AL180" t="s">
        <v>458</v>
      </c>
    </row>
    <row r="181" spans="1:38" x14ac:dyDescent="0.3">
      <c r="A181" s="1"/>
      <c r="Y181" s="1">
        <v>43811.954039351855</v>
      </c>
      <c r="Z181">
        <v>9422</v>
      </c>
      <c r="AA181">
        <v>7184</v>
      </c>
      <c r="AB181">
        <v>7</v>
      </c>
      <c r="AC181" t="s">
        <v>20</v>
      </c>
      <c r="AD181">
        <v>1.17044997215271</v>
      </c>
      <c r="AE181">
        <v>1.17039799690247</v>
      </c>
      <c r="AF181">
        <v>5.1975250240000003E-5</v>
      </c>
      <c r="AG181">
        <v>1.1694699525833101</v>
      </c>
      <c r="AH181">
        <v>1.16959881782532</v>
      </c>
      <c r="AI181">
        <v>1.2886524200999999E-4</v>
      </c>
      <c r="AJ181">
        <v>22</v>
      </c>
      <c r="AK181">
        <v>0</v>
      </c>
      <c r="AL181" t="s">
        <v>458</v>
      </c>
    </row>
    <row r="182" spans="1:38" x14ac:dyDescent="0.3">
      <c r="A182" s="1"/>
      <c r="Y182" s="1">
        <v>43811.954097222224</v>
      </c>
      <c r="Z182">
        <v>9422</v>
      </c>
      <c r="AA182">
        <v>7184</v>
      </c>
      <c r="AB182">
        <v>7</v>
      </c>
      <c r="AC182" t="s">
        <v>20</v>
      </c>
      <c r="AD182">
        <v>1.17044997215271</v>
      </c>
      <c r="AE182">
        <v>1.17039799690247</v>
      </c>
      <c r="AF182">
        <v>5.1975250240000003E-5</v>
      </c>
      <c r="AG182">
        <v>1.1694699525833101</v>
      </c>
      <c r="AH182">
        <v>1.16959881782532</v>
      </c>
      <c r="AI182">
        <v>1.2886524200999999E-4</v>
      </c>
      <c r="AJ182">
        <v>22</v>
      </c>
      <c r="AK182">
        <v>0</v>
      </c>
      <c r="AL182" t="s">
        <v>458</v>
      </c>
    </row>
    <row r="183" spans="1:38" x14ac:dyDescent="0.3">
      <c r="A183" s="1"/>
      <c r="Y183" s="1">
        <v>43811.95416666667</v>
      </c>
      <c r="Z183">
        <v>9422</v>
      </c>
      <c r="AA183">
        <v>7184</v>
      </c>
      <c r="AB183">
        <v>7</v>
      </c>
      <c r="AC183" t="s">
        <v>20</v>
      </c>
      <c r="AD183">
        <v>1.17044997215271</v>
      </c>
      <c r="AE183">
        <v>1.17039799690247</v>
      </c>
      <c r="AF183">
        <v>5.1975250240000003E-5</v>
      </c>
      <c r="AG183">
        <v>1.1694699525833101</v>
      </c>
      <c r="AH183">
        <v>1.16959881782532</v>
      </c>
      <c r="AI183">
        <v>1.2886524200999999E-4</v>
      </c>
      <c r="AJ183">
        <v>22</v>
      </c>
      <c r="AK183">
        <v>0</v>
      </c>
      <c r="AL183" t="s">
        <v>458</v>
      </c>
    </row>
    <row r="184" spans="1:38" x14ac:dyDescent="0.3">
      <c r="A184" s="1"/>
      <c r="Y184" s="1">
        <v>43811.954236111109</v>
      </c>
      <c r="Z184">
        <v>9422</v>
      </c>
      <c r="AA184">
        <v>7184</v>
      </c>
      <c r="AB184">
        <v>7</v>
      </c>
      <c r="AC184" t="s">
        <v>20</v>
      </c>
      <c r="AD184">
        <v>1.17044997215271</v>
      </c>
      <c r="AE184">
        <v>1.17039799690247</v>
      </c>
      <c r="AF184">
        <v>5.1975250240000003E-5</v>
      </c>
      <c r="AG184">
        <v>1.1694699525833101</v>
      </c>
      <c r="AH184">
        <v>1.16959881782532</v>
      </c>
      <c r="AI184">
        <v>1.2886524200999999E-4</v>
      </c>
      <c r="AJ184">
        <v>22</v>
      </c>
      <c r="AK184">
        <v>0</v>
      </c>
      <c r="AL184" t="s">
        <v>458</v>
      </c>
    </row>
    <row r="185" spans="1:38" x14ac:dyDescent="0.3">
      <c r="A185" s="1"/>
      <c r="Y185" s="1">
        <v>43811.954305555555</v>
      </c>
      <c r="Z185">
        <v>9422</v>
      </c>
      <c r="AA185">
        <v>7184</v>
      </c>
      <c r="AB185">
        <v>7</v>
      </c>
      <c r="AC185" t="s">
        <v>20</v>
      </c>
      <c r="AD185">
        <v>1.17044997215271</v>
      </c>
      <c r="AE185">
        <v>1.17039799690247</v>
      </c>
      <c r="AF185">
        <v>5.1975250240000003E-5</v>
      </c>
      <c r="AG185">
        <v>1.1694699525833101</v>
      </c>
      <c r="AH185">
        <v>1.16959881782532</v>
      </c>
      <c r="AI185">
        <v>1.2886524200999999E-4</v>
      </c>
      <c r="AJ185">
        <v>22</v>
      </c>
      <c r="AK185">
        <v>0</v>
      </c>
      <c r="AL185" t="s">
        <v>458</v>
      </c>
    </row>
    <row r="186" spans="1:38" x14ac:dyDescent="0.3">
      <c r="A186" s="1"/>
      <c r="Y186" s="1">
        <v>43811.954375000001</v>
      </c>
      <c r="Z186">
        <v>9422</v>
      </c>
      <c r="AA186">
        <v>7184</v>
      </c>
      <c r="AB186">
        <v>7</v>
      </c>
      <c r="AC186" t="s">
        <v>20</v>
      </c>
      <c r="AD186">
        <v>1.17044997215271</v>
      </c>
      <c r="AE186">
        <v>1.17039799690247</v>
      </c>
      <c r="AF186">
        <v>5.1975250240000003E-5</v>
      </c>
      <c r="AG186">
        <v>1.1694699525833101</v>
      </c>
      <c r="AH186">
        <v>1.16959881782532</v>
      </c>
      <c r="AI186">
        <v>1.2886524200999999E-4</v>
      </c>
      <c r="AJ186">
        <v>22</v>
      </c>
      <c r="AK186">
        <v>0</v>
      </c>
      <c r="AL186" t="s">
        <v>458</v>
      </c>
    </row>
    <row r="187" spans="1:38" x14ac:dyDescent="0.3">
      <c r="A187" s="1"/>
      <c r="Y187" s="1">
        <v>43811.954456018517</v>
      </c>
      <c r="Z187">
        <v>9422</v>
      </c>
      <c r="AA187">
        <v>7184</v>
      </c>
      <c r="AB187">
        <v>7</v>
      </c>
      <c r="AC187" t="s">
        <v>20</v>
      </c>
      <c r="AD187">
        <v>1.17044997215271</v>
      </c>
      <c r="AE187">
        <v>1.17039799690247</v>
      </c>
      <c r="AF187">
        <v>5.1975250240000003E-5</v>
      </c>
      <c r="AG187">
        <v>1.1694699525833101</v>
      </c>
      <c r="AH187">
        <v>1.16959881782532</v>
      </c>
      <c r="AI187">
        <v>1.2886524200999999E-4</v>
      </c>
      <c r="AJ187">
        <v>22</v>
      </c>
      <c r="AK187">
        <v>0</v>
      </c>
      <c r="AL187" t="s">
        <v>458</v>
      </c>
    </row>
    <row r="188" spans="1:38" x14ac:dyDescent="0.3">
      <c r="A188" s="1"/>
      <c r="Y188" s="1">
        <v>43811.954525462963</v>
      </c>
      <c r="Z188">
        <v>9422</v>
      </c>
      <c r="AA188">
        <v>7184</v>
      </c>
      <c r="AB188">
        <v>7</v>
      </c>
      <c r="AC188" t="s">
        <v>20</v>
      </c>
      <c r="AD188">
        <v>1.17044997215271</v>
      </c>
      <c r="AE188">
        <v>1.17039799690247</v>
      </c>
      <c r="AF188">
        <v>5.1975250240000003E-5</v>
      </c>
      <c r="AG188">
        <v>1.1694699525833101</v>
      </c>
      <c r="AH188">
        <v>1.16959881782532</v>
      </c>
      <c r="AI188">
        <v>1.2886524200999999E-4</v>
      </c>
      <c r="AJ188">
        <v>22</v>
      </c>
      <c r="AK188">
        <v>0</v>
      </c>
      <c r="AL188" t="s">
        <v>458</v>
      </c>
    </row>
    <row r="189" spans="1:38" x14ac:dyDescent="0.3">
      <c r="A189" s="1"/>
      <c r="Y189" s="1">
        <v>43811.954606481479</v>
      </c>
      <c r="Z189">
        <v>9422</v>
      </c>
      <c r="AA189">
        <v>7184</v>
      </c>
      <c r="AB189">
        <v>7</v>
      </c>
      <c r="AC189" t="s">
        <v>20</v>
      </c>
      <c r="AD189">
        <v>1.17044997215271</v>
      </c>
      <c r="AE189">
        <v>1.17039799690247</v>
      </c>
      <c r="AF189">
        <v>5.1975250240000003E-5</v>
      </c>
      <c r="AG189">
        <v>1.1694699525833101</v>
      </c>
      <c r="AH189">
        <v>1.16959881782532</v>
      </c>
      <c r="AI189">
        <v>1.2886524200999999E-4</v>
      </c>
      <c r="AJ189">
        <v>22</v>
      </c>
      <c r="AK189">
        <v>0</v>
      </c>
      <c r="AL189" t="s">
        <v>458</v>
      </c>
    </row>
    <row r="190" spans="1:38" x14ac:dyDescent="0.3">
      <c r="A190" s="1"/>
      <c r="Y190" s="1">
        <v>43811.954687500001</v>
      </c>
      <c r="Z190">
        <v>9422</v>
      </c>
      <c r="AA190">
        <v>7184</v>
      </c>
      <c r="AB190">
        <v>7</v>
      </c>
      <c r="AC190" t="s">
        <v>20</v>
      </c>
      <c r="AD190">
        <v>1.17044997215271</v>
      </c>
      <c r="AE190">
        <v>1.17039799690247</v>
      </c>
      <c r="AF190">
        <v>5.1975250240000003E-5</v>
      </c>
      <c r="AG190">
        <v>1.1694699525833101</v>
      </c>
      <c r="AH190">
        <v>1.16959881782532</v>
      </c>
      <c r="AI190">
        <v>1.2886524200999999E-4</v>
      </c>
      <c r="AJ190">
        <v>22</v>
      </c>
      <c r="AK190">
        <v>0</v>
      </c>
      <c r="AL190" t="s">
        <v>458</v>
      </c>
    </row>
    <row r="191" spans="1:38" x14ac:dyDescent="0.3">
      <c r="A191" s="1"/>
      <c r="Y191" s="1">
        <v>43811.954768518517</v>
      </c>
      <c r="Z191">
        <v>9422</v>
      </c>
      <c r="AA191">
        <v>7184</v>
      </c>
      <c r="AB191">
        <v>7</v>
      </c>
      <c r="AC191" t="s">
        <v>20</v>
      </c>
      <c r="AD191">
        <v>1.17044997215271</v>
      </c>
      <c r="AE191">
        <v>1.17039799690247</v>
      </c>
      <c r="AF191">
        <v>5.1975250240000003E-5</v>
      </c>
      <c r="AG191">
        <v>1.1694699525833101</v>
      </c>
      <c r="AH191">
        <v>1.16959881782532</v>
      </c>
      <c r="AI191">
        <v>1.2886524200999999E-4</v>
      </c>
      <c r="AJ191">
        <v>22</v>
      </c>
      <c r="AK191">
        <v>0</v>
      </c>
      <c r="AL191" t="s">
        <v>458</v>
      </c>
    </row>
    <row r="192" spans="1:38" x14ac:dyDescent="0.3">
      <c r="A192" s="1"/>
      <c r="Y192" s="1">
        <v>43811.95484953704</v>
      </c>
      <c r="Z192">
        <v>9422</v>
      </c>
      <c r="AA192">
        <v>7184</v>
      </c>
      <c r="AB192">
        <v>7</v>
      </c>
      <c r="AC192" t="s">
        <v>20</v>
      </c>
      <c r="AD192">
        <v>1.17044997215271</v>
      </c>
      <c r="AE192">
        <v>1.17039799690247</v>
      </c>
      <c r="AF192">
        <v>5.1975250240000003E-5</v>
      </c>
      <c r="AG192">
        <v>1.1694699525833101</v>
      </c>
      <c r="AH192">
        <v>1.16959881782532</v>
      </c>
      <c r="AI192">
        <v>1.2886524200999999E-4</v>
      </c>
      <c r="AJ192">
        <v>22</v>
      </c>
      <c r="AK192">
        <v>0</v>
      </c>
      <c r="AL192" t="s">
        <v>458</v>
      </c>
    </row>
    <row r="193" spans="1:38" x14ac:dyDescent="0.3">
      <c r="A193" s="1"/>
      <c r="Y193" s="1">
        <v>43811.9534375</v>
      </c>
      <c r="Z193">
        <v>9422</v>
      </c>
      <c r="AA193">
        <v>7184</v>
      </c>
      <c r="AB193">
        <v>7</v>
      </c>
      <c r="AC193" t="s">
        <v>20</v>
      </c>
      <c r="AD193">
        <v>1.17044997215271</v>
      </c>
      <c r="AE193">
        <v>1.17039799690247</v>
      </c>
      <c r="AF193">
        <v>5.1975250240000003E-5</v>
      </c>
      <c r="AG193">
        <v>1.1694699525833101</v>
      </c>
      <c r="AH193">
        <v>1.16959881782532</v>
      </c>
      <c r="AI193">
        <v>1.2886524200999999E-4</v>
      </c>
      <c r="AJ193">
        <v>22</v>
      </c>
      <c r="AK193">
        <v>0</v>
      </c>
      <c r="AL193" t="s">
        <v>458</v>
      </c>
    </row>
    <row r="194" spans="1:38" x14ac:dyDescent="0.3">
      <c r="A194" s="1"/>
      <c r="Y194" s="1">
        <v>43811.9533912037</v>
      </c>
      <c r="Z194">
        <v>9422</v>
      </c>
      <c r="AA194">
        <v>7184</v>
      </c>
      <c r="AB194">
        <v>8</v>
      </c>
      <c r="AC194" t="s">
        <v>21</v>
      </c>
      <c r="AD194">
        <v>1.1702400445938099</v>
      </c>
      <c r="AE194">
        <v>1.1703138351440401</v>
      </c>
      <c r="AF194">
        <v>7.379055023E-5</v>
      </c>
      <c r="AG194">
        <v>1.16964995861053</v>
      </c>
      <c r="AH194">
        <v>1.16947877407074</v>
      </c>
      <c r="AI194">
        <v>1.7118453979E-4</v>
      </c>
      <c r="AJ194">
        <v>-8</v>
      </c>
      <c r="AK194">
        <v>0</v>
      </c>
      <c r="AL194" t="s">
        <v>457</v>
      </c>
    </row>
    <row r="195" spans="1:38" x14ac:dyDescent="0.3">
      <c r="A195" s="1"/>
      <c r="Y195" s="1">
        <v>43811.954918981479</v>
      </c>
      <c r="Z195">
        <v>9422</v>
      </c>
      <c r="AA195">
        <v>7184</v>
      </c>
      <c r="AB195">
        <v>8</v>
      </c>
      <c r="AC195" t="s">
        <v>21</v>
      </c>
      <c r="AD195">
        <v>1.1702400445938099</v>
      </c>
      <c r="AE195">
        <v>1.1703138351440401</v>
      </c>
      <c r="AF195">
        <v>7.379055023E-5</v>
      </c>
      <c r="AG195">
        <v>1.16964995861053</v>
      </c>
      <c r="AH195">
        <v>1.16947877407074</v>
      </c>
      <c r="AI195">
        <v>1.7118453979E-4</v>
      </c>
      <c r="AJ195">
        <v>-8</v>
      </c>
      <c r="AK195">
        <v>0</v>
      </c>
      <c r="AL195" t="s">
        <v>457</v>
      </c>
    </row>
    <row r="196" spans="1:38" x14ac:dyDescent="0.3">
      <c r="A196" s="1"/>
      <c r="Y196" s="1">
        <v>43811.95349537037</v>
      </c>
      <c r="Z196">
        <v>9422</v>
      </c>
      <c r="AA196">
        <v>7184</v>
      </c>
      <c r="AB196">
        <v>8</v>
      </c>
      <c r="AC196" t="s">
        <v>21</v>
      </c>
      <c r="AD196">
        <v>1.1702400445938099</v>
      </c>
      <c r="AE196">
        <v>1.1703138351440401</v>
      </c>
      <c r="AF196">
        <v>7.379055023E-5</v>
      </c>
      <c r="AG196">
        <v>1.16964995861053</v>
      </c>
      <c r="AH196">
        <v>1.16947877407074</v>
      </c>
      <c r="AI196">
        <v>1.7118453979E-4</v>
      </c>
      <c r="AJ196">
        <v>-8</v>
      </c>
      <c r="AK196">
        <v>0</v>
      </c>
      <c r="AL196" t="s">
        <v>457</v>
      </c>
    </row>
    <row r="197" spans="1:38" x14ac:dyDescent="0.3">
      <c r="A197" s="1"/>
      <c r="Y197" s="1">
        <v>43811.953541666669</v>
      </c>
      <c r="Z197">
        <v>9422</v>
      </c>
      <c r="AA197">
        <v>7184</v>
      </c>
      <c r="AB197">
        <v>8</v>
      </c>
      <c r="AC197" t="s">
        <v>21</v>
      </c>
      <c r="AD197">
        <v>1.1702400445938099</v>
      </c>
      <c r="AE197">
        <v>1.1703138351440401</v>
      </c>
      <c r="AF197">
        <v>7.379055023E-5</v>
      </c>
      <c r="AG197">
        <v>1.16964995861053</v>
      </c>
      <c r="AH197">
        <v>1.16947877407074</v>
      </c>
      <c r="AI197">
        <v>1.7118453979E-4</v>
      </c>
      <c r="AJ197">
        <v>-8</v>
      </c>
      <c r="AK197">
        <v>0</v>
      </c>
      <c r="AL197" t="s">
        <v>457</v>
      </c>
    </row>
    <row r="198" spans="1:38" x14ac:dyDescent="0.3">
      <c r="A198" s="1"/>
      <c r="Y198" s="1">
        <v>43811.953599537039</v>
      </c>
      <c r="Z198">
        <v>9422</v>
      </c>
      <c r="AA198">
        <v>7184</v>
      </c>
      <c r="AB198">
        <v>8</v>
      </c>
      <c r="AC198" t="s">
        <v>21</v>
      </c>
      <c r="AD198">
        <v>1.1702400445938099</v>
      </c>
      <c r="AE198">
        <v>1.1703138351440401</v>
      </c>
      <c r="AF198">
        <v>7.379055023E-5</v>
      </c>
      <c r="AG198">
        <v>1.16964995861053</v>
      </c>
      <c r="AH198">
        <v>1.16947877407074</v>
      </c>
      <c r="AI198">
        <v>1.7118453979E-4</v>
      </c>
      <c r="AJ198">
        <v>-8</v>
      </c>
      <c r="AK198">
        <v>0</v>
      </c>
      <c r="AL198" t="s">
        <v>457</v>
      </c>
    </row>
    <row r="199" spans="1:38" x14ac:dyDescent="0.3">
      <c r="A199" s="1"/>
      <c r="Y199" s="1">
        <v>43811.953657407408</v>
      </c>
      <c r="Z199">
        <v>9422</v>
      </c>
      <c r="AA199">
        <v>7184</v>
      </c>
      <c r="AB199">
        <v>8</v>
      </c>
      <c r="AC199" t="s">
        <v>21</v>
      </c>
      <c r="AD199">
        <v>1.1702400445938099</v>
      </c>
      <c r="AE199">
        <v>1.1703138351440401</v>
      </c>
      <c r="AF199">
        <v>7.379055023E-5</v>
      </c>
      <c r="AG199">
        <v>1.16964995861053</v>
      </c>
      <c r="AH199">
        <v>1.16947877407074</v>
      </c>
      <c r="AI199">
        <v>1.7118453979E-4</v>
      </c>
      <c r="AJ199">
        <v>-8</v>
      </c>
      <c r="AK199">
        <v>0</v>
      </c>
      <c r="AL199" t="s">
        <v>457</v>
      </c>
    </row>
    <row r="200" spans="1:38" x14ac:dyDescent="0.3">
      <c r="A200" s="1"/>
      <c r="Y200" s="1">
        <v>43811.953715277778</v>
      </c>
      <c r="Z200">
        <v>9422</v>
      </c>
      <c r="AA200">
        <v>7184</v>
      </c>
      <c r="AB200">
        <v>8</v>
      </c>
      <c r="AC200" t="s">
        <v>21</v>
      </c>
      <c r="AD200">
        <v>1.1702400445938099</v>
      </c>
      <c r="AE200">
        <v>1.1703138351440401</v>
      </c>
      <c r="AF200">
        <v>7.379055023E-5</v>
      </c>
      <c r="AG200">
        <v>1.16964995861053</v>
      </c>
      <c r="AH200">
        <v>1.16947877407074</v>
      </c>
      <c r="AI200">
        <v>1.7118453979E-4</v>
      </c>
      <c r="AJ200">
        <v>-8</v>
      </c>
      <c r="AK200">
        <v>0</v>
      </c>
      <c r="AL200" t="s">
        <v>457</v>
      </c>
    </row>
    <row r="201" spans="1:38" x14ac:dyDescent="0.3">
      <c r="A201" s="1"/>
      <c r="Y201" s="1">
        <v>43811.953773148147</v>
      </c>
      <c r="Z201">
        <v>9422</v>
      </c>
      <c r="AA201">
        <v>7184</v>
      </c>
      <c r="AB201">
        <v>8</v>
      </c>
      <c r="AC201" t="s">
        <v>21</v>
      </c>
      <c r="AD201">
        <v>1.1702400445938099</v>
      </c>
      <c r="AE201">
        <v>1.1703138351440401</v>
      </c>
      <c r="AF201">
        <v>7.379055023E-5</v>
      </c>
      <c r="AG201">
        <v>1.16964995861053</v>
      </c>
      <c r="AH201">
        <v>1.16947877407074</v>
      </c>
      <c r="AI201">
        <v>1.7118453979E-4</v>
      </c>
      <c r="AJ201">
        <v>-8</v>
      </c>
      <c r="AK201">
        <v>0</v>
      </c>
      <c r="AL201" t="s">
        <v>457</v>
      </c>
    </row>
    <row r="202" spans="1:38" x14ac:dyDescent="0.3">
      <c r="A202" s="1"/>
      <c r="Y202" s="1">
        <v>43811.953842592593</v>
      </c>
      <c r="Z202">
        <v>9422</v>
      </c>
      <c r="AA202">
        <v>7184</v>
      </c>
      <c r="AB202">
        <v>8</v>
      </c>
      <c r="AC202" t="s">
        <v>21</v>
      </c>
      <c r="AD202">
        <v>1.1702400445938099</v>
      </c>
      <c r="AE202">
        <v>1.1703138351440401</v>
      </c>
      <c r="AF202">
        <v>7.379055023E-5</v>
      </c>
      <c r="AG202">
        <v>1.16964995861053</v>
      </c>
      <c r="AH202">
        <v>1.16947877407074</v>
      </c>
      <c r="AI202">
        <v>1.7118453979E-4</v>
      </c>
      <c r="AJ202">
        <v>-8</v>
      </c>
      <c r="AK202">
        <v>0</v>
      </c>
      <c r="AL202" t="s">
        <v>457</v>
      </c>
    </row>
    <row r="203" spans="1:38" x14ac:dyDescent="0.3">
      <c r="A203" s="1"/>
      <c r="Y203" s="1">
        <v>43811.953900462962</v>
      </c>
      <c r="Z203">
        <v>9422</v>
      </c>
      <c r="AA203">
        <v>7184</v>
      </c>
      <c r="AB203">
        <v>8</v>
      </c>
      <c r="AC203" t="s">
        <v>21</v>
      </c>
      <c r="AD203">
        <v>1.1702400445938099</v>
      </c>
      <c r="AE203">
        <v>1.1703138351440401</v>
      </c>
      <c r="AF203">
        <v>7.379055023E-5</v>
      </c>
      <c r="AG203">
        <v>1.16964995861053</v>
      </c>
      <c r="AH203">
        <v>1.16947877407074</v>
      </c>
      <c r="AI203">
        <v>1.7118453979E-4</v>
      </c>
      <c r="AJ203">
        <v>-8</v>
      </c>
      <c r="AK203">
        <v>0</v>
      </c>
      <c r="AL203" t="s">
        <v>457</v>
      </c>
    </row>
    <row r="204" spans="1:38" x14ac:dyDescent="0.3">
      <c r="A204" s="1"/>
      <c r="Y204" s="1">
        <v>43811.953969907408</v>
      </c>
      <c r="Z204">
        <v>9422</v>
      </c>
      <c r="AA204">
        <v>7184</v>
      </c>
      <c r="AB204">
        <v>8</v>
      </c>
      <c r="AC204" t="s">
        <v>21</v>
      </c>
      <c r="AD204">
        <v>1.1702400445938099</v>
      </c>
      <c r="AE204">
        <v>1.1703138351440401</v>
      </c>
      <c r="AF204">
        <v>7.379055023E-5</v>
      </c>
      <c r="AG204">
        <v>1.16964995861053</v>
      </c>
      <c r="AH204">
        <v>1.16947877407074</v>
      </c>
      <c r="AI204">
        <v>1.7118453979E-4</v>
      </c>
      <c r="AJ204">
        <v>-8</v>
      </c>
      <c r="AK204">
        <v>0</v>
      </c>
      <c r="AL204" t="s">
        <v>457</v>
      </c>
    </row>
    <row r="205" spans="1:38" x14ac:dyDescent="0.3">
      <c r="A205" s="1"/>
      <c r="Y205" s="1">
        <v>43811.954039351855</v>
      </c>
      <c r="Z205">
        <v>9422</v>
      </c>
      <c r="AA205">
        <v>7184</v>
      </c>
      <c r="AB205">
        <v>8</v>
      </c>
      <c r="AC205" t="s">
        <v>21</v>
      </c>
      <c r="AD205">
        <v>1.1702400445938099</v>
      </c>
      <c r="AE205">
        <v>1.1703138351440401</v>
      </c>
      <c r="AF205">
        <v>7.379055023E-5</v>
      </c>
      <c r="AG205">
        <v>1.16964995861053</v>
      </c>
      <c r="AH205">
        <v>1.16947877407074</v>
      </c>
      <c r="AI205">
        <v>1.7118453979E-4</v>
      </c>
      <c r="AJ205">
        <v>-8</v>
      </c>
      <c r="AK205">
        <v>0</v>
      </c>
      <c r="AL205" t="s">
        <v>457</v>
      </c>
    </row>
    <row r="206" spans="1:38" x14ac:dyDescent="0.3">
      <c r="A206" s="1"/>
      <c r="Y206" s="1">
        <v>43811.954097222224</v>
      </c>
      <c r="Z206">
        <v>9422</v>
      </c>
      <c r="AA206">
        <v>7184</v>
      </c>
      <c r="AB206">
        <v>8</v>
      </c>
      <c r="AC206" t="s">
        <v>21</v>
      </c>
      <c r="AD206">
        <v>1.1702400445938099</v>
      </c>
      <c r="AE206">
        <v>1.1703138351440401</v>
      </c>
      <c r="AF206">
        <v>7.379055023E-5</v>
      </c>
      <c r="AG206">
        <v>1.16964995861053</v>
      </c>
      <c r="AH206">
        <v>1.16947877407074</v>
      </c>
      <c r="AI206">
        <v>1.7118453979E-4</v>
      </c>
      <c r="AJ206">
        <v>-8</v>
      </c>
      <c r="AK206">
        <v>0</v>
      </c>
      <c r="AL206" t="s">
        <v>457</v>
      </c>
    </row>
    <row r="207" spans="1:38" x14ac:dyDescent="0.3">
      <c r="A207" s="1"/>
      <c r="Y207" s="1">
        <v>43811.95416666667</v>
      </c>
      <c r="Z207">
        <v>9422</v>
      </c>
      <c r="AA207">
        <v>7184</v>
      </c>
      <c r="AB207">
        <v>8</v>
      </c>
      <c r="AC207" t="s">
        <v>21</v>
      </c>
      <c r="AD207">
        <v>1.1702400445938099</v>
      </c>
      <c r="AE207">
        <v>1.1703138351440401</v>
      </c>
      <c r="AF207">
        <v>7.379055023E-5</v>
      </c>
      <c r="AG207">
        <v>1.16964995861053</v>
      </c>
      <c r="AH207">
        <v>1.16947877407074</v>
      </c>
      <c r="AI207">
        <v>1.7118453979E-4</v>
      </c>
      <c r="AJ207">
        <v>-8</v>
      </c>
      <c r="AK207">
        <v>0</v>
      </c>
      <c r="AL207" t="s">
        <v>457</v>
      </c>
    </row>
    <row r="208" spans="1:38" x14ac:dyDescent="0.3">
      <c r="A208" s="1"/>
      <c r="Y208" s="1">
        <v>43811.954236111109</v>
      </c>
      <c r="Z208">
        <v>9422</v>
      </c>
      <c r="AA208">
        <v>7184</v>
      </c>
      <c r="AB208">
        <v>8</v>
      </c>
      <c r="AC208" t="s">
        <v>21</v>
      </c>
      <c r="AD208">
        <v>1.1702400445938099</v>
      </c>
      <c r="AE208">
        <v>1.1703138351440401</v>
      </c>
      <c r="AF208">
        <v>7.379055023E-5</v>
      </c>
      <c r="AG208">
        <v>1.16964995861053</v>
      </c>
      <c r="AH208">
        <v>1.16947877407074</v>
      </c>
      <c r="AI208">
        <v>1.7118453979E-4</v>
      </c>
      <c r="AJ208">
        <v>-8</v>
      </c>
      <c r="AK208">
        <v>0</v>
      </c>
      <c r="AL208" t="s">
        <v>457</v>
      </c>
    </row>
    <row r="209" spans="1:38" x14ac:dyDescent="0.3">
      <c r="A209" s="1"/>
      <c r="Y209" s="1">
        <v>43811.954305555555</v>
      </c>
      <c r="Z209">
        <v>9422</v>
      </c>
      <c r="AA209">
        <v>7184</v>
      </c>
      <c r="AB209">
        <v>8</v>
      </c>
      <c r="AC209" t="s">
        <v>21</v>
      </c>
      <c r="AD209">
        <v>1.1702400445938099</v>
      </c>
      <c r="AE209">
        <v>1.1703138351440401</v>
      </c>
      <c r="AF209">
        <v>7.379055023E-5</v>
      </c>
      <c r="AG209">
        <v>1.16964995861053</v>
      </c>
      <c r="AH209">
        <v>1.16947877407074</v>
      </c>
      <c r="AI209">
        <v>1.7118453979E-4</v>
      </c>
      <c r="AJ209">
        <v>-8</v>
      </c>
      <c r="AK209">
        <v>0</v>
      </c>
      <c r="AL209" t="s">
        <v>457</v>
      </c>
    </row>
    <row r="210" spans="1:38" x14ac:dyDescent="0.3">
      <c r="A210" s="1"/>
      <c r="Y210" s="1">
        <v>43811.954375000001</v>
      </c>
      <c r="Z210">
        <v>9422</v>
      </c>
      <c r="AA210">
        <v>7184</v>
      </c>
      <c r="AB210">
        <v>8</v>
      </c>
      <c r="AC210" t="s">
        <v>21</v>
      </c>
      <c r="AD210">
        <v>1.1702400445938099</v>
      </c>
      <c r="AE210">
        <v>1.1703138351440401</v>
      </c>
      <c r="AF210">
        <v>7.379055023E-5</v>
      </c>
      <c r="AG210">
        <v>1.16964995861053</v>
      </c>
      <c r="AH210">
        <v>1.16947877407074</v>
      </c>
      <c r="AI210">
        <v>1.7118453979E-4</v>
      </c>
      <c r="AJ210">
        <v>-8</v>
      </c>
      <c r="AK210">
        <v>0</v>
      </c>
      <c r="AL210" t="s">
        <v>457</v>
      </c>
    </row>
    <row r="211" spans="1:38" x14ac:dyDescent="0.3">
      <c r="A211" s="1"/>
      <c r="Y211" s="1">
        <v>43811.954456018517</v>
      </c>
      <c r="Z211">
        <v>9422</v>
      </c>
      <c r="AA211">
        <v>7184</v>
      </c>
      <c r="AB211">
        <v>8</v>
      </c>
      <c r="AC211" t="s">
        <v>21</v>
      </c>
      <c r="AD211">
        <v>1.1702400445938099</v>
      </c>
      <c r="AE211">
        <v>1.1703138351440401</v>
      </c>
      <c r="AF211">
        <v>7.379055023E-5</v>
      </c>
      <c r="AG211">
        <v>1.16964995861053</v>
      </c>
      <c r="AH211">
        <v>1.16947877407074</v>
      </c>
      <c r="AI211">
        <v>1.7118453979E-4</v>
      </c>
      <c r="AJ211">
        <v>-8</v>
      </c>
      <c r="AK211">
        <v>0</v>
      </c>
      <c r="AL211" t="s">
        <v>457</v>
      </c>
    </row>
    <row r="212" spans="1:38" x14ac:dyDescent="0.3">
      <c r="A212" s="1"/>
      <c r="Y212" s="1">
        <v>43811.954525462963</v>
      </c>
      <c r="Z212">
        <v>9422</v>
      </c>
      <c r="AA212">
        <v>7184</v>
      </c>
      <c r="AB212">
        <v>8</v>
      </c>
      <c r="AC212" t="s">
        <v>21</v>
      </c>
      <c r="AD212">
        <v>1.1702400445938099</v>
      </c>
      <c r="AE212">
        <v>1.1703138351440401</v>
      </c>
      <c r="AF212">
        <v>7.379055023E-5</v>
      </c>
      <c r="AG212">
        <v>1.16964995861053</v>
      </c>
      <c r="AH212">
        <v>1.16947877407074</v>
      </c>
      <c r="AI212">
        <v>1.7118453979E-4</v>
      </c>
      <c r="AJ212">
        <v>-8</v>
      </c>
      <c r="AK212">
        <v>0</v>
      </c>
      <c r="AL212" t="s">
        <v>457</v>
      </c>
    </row>
    <row r="213" spans="1:38" x14ac:dyDescent="0.3">
      <c r="A213" s="1"/>
      <c r="Y213" s="1">
        <v>43811.954606481479</v>
      </c>
      <c r="Z213">
        <v>9422</v>
      </c>
      <c r="AA213">
        <v>7184</v>
      </c>
      <c r="AB213">
        <v>8</v>
      </c>
      <c r="AC213" t="s">
        <v>21</v>
      </c>
      <c r="AD213">
        <v>1.1702400445938099</v>
      </c>
      <c r="AE213">
        <v>1.1703138351440401</v>
      </c>
      <c r="AF213">
        <v>7.379055023E-5</v>
      </c>
      <c r="AG213">
        <v>1.16964995861053</v>
      </c>
      <c r="AH213">
        <v>1.16947877407074</v>
      </c>
      <c r="AI213">
        <v>1.7118453979E-4</v>
      </c>
      <c r="AJ213">
        <v>-8</v>
      </c>
      <c r="AK213">
        <v>0</v>
      </c>
      <c r="AL213" t="s">
        <v>457</v>
      </c>
    </row>
    <row r="214" spans="1:38" x14ac:dyDescent="0.3">
      <c r="A214" s="1"/>
      <c r="Y214" s="1">
        <v>43811.954687500001</v>
      </c>
      <c r="Z214">
        <v>9422</v>
      </c>
      <c r="AA214">
        <v>7184</v>
      </c>
      <c r="AB214">
        <v>8</v>
      </c>
      <c r="AC214" t="s">
        <v>21</v>
      </c>
      <c r="AD214">
        <v>1.1702400445938099</v>
      </c>
      <c r="AE214">
        <v>1.1703138351440401</v>
      </c>
      <c r="AF214">
        <v>7.379055023E-5</v>
      </c>
      <c r="AG214">
        <v>1.16964995861053</v>
      </c>
      <c r="AH214">
        <v>1.16947877407074</v>
      </c>
      <c r="AI214">
        <v>1.7118453979E-4</v>
      </c>
      <c r="AJ214">
        <v>-8</v>
      </c>
      <c r="AK214">
        <v>0</v>
      </c>
      <c r="AL214" t="s">
        <v>457</v>
      </c>
    </row>
    <row r="215" spans="1:38" x14ac:dyDescent="0.3">
      <c r="A215" s="1"/>
      <c r="Y215" s="1">
        <v>43811.954768518517</v>
      </c>
      <c r="Z215">
        <v>9422</v>
      </c>
      <c r="AA215">
        <v>7184</v>
      </c>
      <c r="AB215">
        <v>8</v>
      </c>
      <c r="AC215" t="s">
        <v>21</v>
      </c>
      <c r="AD215">
        <v>1.1702400445938099</v>
      </c>
      <c r="AE215">
        <v>1.1703138351440401</v>
      </c>
      <c r="AF215">
        <v>7.379055023E-5</v>
      </c>
      <c r="AG215">
        <v>1.16964995861053</v>
      </c>
      <c r="AH215">
        <v>1.16947877407074</v>
      </c>
      <c r="AI215">
        <v>1.7118453979E-4</v>
      </c>
      <c r="AJ215">
        <v>-8</v>
      </c>
      <c r="AK215">
        <v>0</v>
      </c>
      <c r="AL215" t="s">
        <v>457</v>
      </c>
    </row>
    <row r="216" spans="1:38" x14ac:dyDescent="0.3">
      <c r="A216" s="1"/>
      <c r="Y216" s="1">
        <v>43811.95484953704</v>
      </c>
      <c r="Z216">
        <v>9422</v>
      </c>
      <c r="AA216">
        <v>7184</v>
      </c>
      <c r="AB216">
        <v>8</v>
      </c>
      <c r="AC216" t="s">
        <v>21</v>
      </c>
      <c r="AD216">
        <v>1.1702400445938099</v>
      </c>
      <c r="AE216">
        <v>1.1703138351440401</v>
      </c>
      <c r="AF216">
        <v>7.379055023E-5</v>
      </c>
      <c r="AG216">
        <v>1.16964995861053</v>
      </c>
      <c r="AH216">
        <v>1.16947877407074</v>
      </c>
      <c r="AI216">
        <v>1.7118453979E-4</v>
      </c>
      <c r="AJ216">
        <v>-8</v>
      </c>
      <c r="AK216">
        <v>0</v>
      </c>
      <c r="AL216" t="s">
        <v>457</v>
      </c>
    </row>
    <row r="217" spans="1:38" x14ac:dyDescent="0.3">
      <c r="A217" s="1"/>
      <c r="Y217" s="1">
        <v>43811.9534375</v>
      </c>
      <c r="Z217">
        <v>9422</v>
      </c>
      <c r="AA217">
        <v>7184</v>
      </c>
      <c r="AB217">
        <v>8</v>
      </c>
      <c r="AC217" t="s">
        <v>21</v>
      </c>
      <c r="AD217">
        <v>1.1702400445938099</v>
      </c>
      <c r="AE217">
        <v>1.1703138351440401</v>
      </c>
      <c r="AF217">
        <v>7.379055023E-5</v>
      </c>
      <c r="AG217">
        <v>1.16964995861053</v>
      </c>
      <c r="AH217">
        <v>1.16947877407074</v>
      </c>
      <c r="AI217">
        <v>1.7118453979E-4</v>
      </c>
      <c r="AJ217">
        <v>-8</v>
      </c>
      <c r="AK217">
        <v>0</v>
      </c>
      <c r="AL217" t="s">
        <v>457</v>
      </c>
    </row>
    <row r="218" spans="1:38" x14ac:dyDescent="0.3">
      <c r="A218" s="1"/>
      <c r="Y218" s="1">
        <v>43811.9533912037</v>
      </c>
      <c r="Z218">
        <v>9422</v>
      </c>
      <c r="AA218">
        <v>7184</v>
      </c>
      <c r="AB218">
        <v>9</v>
      </c>
      <c r="AC218" t="s">
        <v>22</v>
      </c>
      <c r="AD218">
        <v>1.1698900461196899</v>
      </c>
      <c r="AE218">
        <v>1.1703759431839</v>
      </c>
      <c r="AF218">
        <v>4.8589706421E-4</v>
      </c>
      <c r="AG218">
        <v>1.1684999465942401</v>
      </c>
      <c r="AH218">
        <v>1.1690977811813399</v>
      </c>
      <c r="AI218">
        <v>5.9783458710000001E-4</v>
      </c>
      <c r="AJ218">
        <v>90</v>
      </c>
      <c r="AK218">
        <v>0</v>
      </c>
      <c r="AL218" t="s">
        <v>458</v>
      </c>
    </row>
    <row r="219" spans="1:38" x14ac:dyDescent="0.3">
      <c r="A219" s="1"/>
      <c r="Y219" s="1">
        <v>43811.954918981479</v>
      </c>
      <c r="Z219">
        <v>9422</v>
      </c>
      <c r="AA219">
        <v>7184</v>
      </c>
      <c r="AB219">
        <v>9</v>
      </c>
      <c r="AC219" t="s">
        <v>22</v>
      </c>
      <c r="AD219">
        <v>1.1698900461196899</v>
      </c>
      <c r="AE219">
        <v>1.1703759431839</v>
      </c>
      <c r="AF219">
        <v>4.8589706421E-4</v>
      </c>
      <c r="AG219">
        <v>1.1684999465942401</v>
      </c>
      <c r="AH219">
        <v>1.1690977811813399</v>
      </c>
      <c r="AI219">
        <v>5.9783458710000001E-4</v>
      </c>
      <c r="AJ219">
        <v>90</v>
      </c>
      <c r="AK219">
        <v>0</v>
      </c>
      <c r="AL219" t="s">
        <v>458</v>
      </c>
    </row>
    <row r="220" spans="1:38" x14ac:dyDescent="0.3">
      <c r="A220" s="1"/>
      <c r="Y220" s="1">
        <v>43811.95349537037</v>
      </c>
      <c r="Z220">
        <v>9422</v>
      </c>
      <c r="AA220">
        <v>7184</v>
      </c>
      <c r="AB220">
        <v>9</v>
      </c>
      <c r="AC220" t="s">
        <v>22</v>
      </c>
      <c r="AD220">
        <v>1.1698900461196899</v>
      </c>
      <c r="AE220">
        <v>1.1703759431839</v>
      </c>
      <c r="AF220">
        <v>4.8589706421E-4</v>
      </c>
      <c r="AG220">
        <v>1.1684999465942401</v>
      </c>
      <c r="AH220">
        <v>1.1690977811813399</v>
      </c>
      <c r="AI220">
        <v>5.9783458710000001E-4</v>
      </c>
      <c r="AJ220">
        <v>90</v>
      </c>
      <c r="AK220">
        <v>0</v>
      </c>
      <c r="AL220" t="s">
        <v>458</v>
      </c>
    </row>
    <row r="221" spans="1:38" x14ac:dyDescent="0.3">
      <c r="A221" s="1"/>
      <c r="Y221" s="1">
        <v>43811.953541666669</v>
      </c>
      <c r="Z221">
        <v>9422</v>
      </c>
      <c r="AA221">
        <v>7184</v>
      </c>
      <c r="AB221">
        <v>9</v>
      </c>
      <c r="AC221" t="s">
        <v>22</v>
      </c>
      <c r="AD221">
        <v>1.1698900461196899</v>
      </c>
      <c r="AE221">
        <v>1.1703759431839</v>
      </c>
      <c r="AF221">
        <v>4.8589706421E-4</v>
      </c>
      <c r="AG221">
        <v>1.1684999465942401</v>
      </c>
      <c r="AH221">
        <v>1.1690977811813399</v>
      </c>
      <c r="AI221">
        <v>5.9783458710000001E-4</v>
      </c>
      <c r="AJ221">
        <v>90</v>
      </c>
      <c r="AK221">
        <v>0</v>
      </c>
      <c r="AL221" t="s">
        <v>458</v>
      </c>
    </row>
    <row r="222" spans="1:38" x14ac:dyDescent="0.3">
      <c r="A222" s="1"/>
      <c r="Y222" s="1">
        <v>43811.953599537039</v>
      </c>
      <c r="Z222">
        <v>9422</v>
      </c>
      <c r="AA222">
        <v>7184</v>
      </c>
      <c r="AB222">
        <v>9</v>
      </c>
      <c r="AC222" t="s">
        <v>22</v>
      </c>
      <c r="AD222">
        <v>1.1698900461196899</v>
      </c>
      <c r="AE222">
        <v>1.1703759431839</v>
      </c>
      <c r="AF222">
        <v>4.8589706421E-4</v>
      </c>
      <c r="AG222">
        <v>1.1684999465942401</v>
      </c>
      <c r="AH222">
        <v>1.1690977811813399</v>
      </c>
      <c r="AI222">
        <v>5.9783458710000001E-4</v>
      </c>
      <c r="AJ222">
        <v>90</v>
      </c>
      <c r="AK222">
        <v>0</v>
      </c>
      <c r="AL222" t="s">
        <v>458</v>
      </c>
    </row>
    <row r="223" spans="1:38" x14ac:dyDescent="0.3">
      <c r="A223" s="1"/>
      <c r="Y223" s="1">
        <v>43811.953657407408</v>
      </c>
      <c r="Z223">
        <v>9422</v>
      </c>
      <c r="AA223">
        <v>7184</v>
      </c>
      <c r="AB223">
        <v>9</v>
      </c>
      <c r="AC223" t="s">
        <v>22</v>
      </c>
      <c r="AD223">
        <v>1.1698900461196899</v>
      </c>
      <c r="AE223">
        <v>1.1703759431839</v>
      </c>
      <c r="AF223">
        <v>4.8589706421E-4</v>
      </c>
      <c r="AG223">
        <v>1.1684999465942401</v>
      </c>
      <c r="AH223">
        <v>1.1690977811813399</v>
      </c>
      <c r="AI223">
        <v>5.9783458710000001E-4</v>
      </c>
      <c r="AJ223">
        <v>90</v>
      </c>
      <c r="AK223">
        <v>0</v>
      </c>
      <c r="AL223" t="s">
        <v>458</v>
      </c>
    </row>
    <row r="224" spans="1:38" x14ac:dyDescent="0.3">
      <c r="A224" s="1"/>
      <c r="Y224" s="1">
        <v>43811.953715277778</v>
      </c>
      <c r="Z224">
        <v>9422</v>
      </c>
      <c r="AA224">
        <v>7184</v>
      </c>
      <c r="AB224">
        <v>9</v>
      </c>
      <c r="AC224" t="s">
        <v>22</v>
      </c>
      <c r="AD224">
        <v>1.1698900461196899</v>
      </c>
      <c r="AE224">
        <v>1.1703759431839</v>
      </c>
      <c r="AF224">
        <v>4.8589706421E-4</v>
      </c>
      <c r="AG224">
        <v>1.1684999465942401</v>
      </c>
      <c r="AH224">
        <v>1.1690977811813399</v>
      </c>
      <c r="AI224">
        <v>5.9783458710000001E-4</v>
      </c>
      <c r="AJ224">
        <v>90</v>
      </c>
      <c r="AK224">
        <v>0</v>
      </c>
      <c r="AL224" t="s">
        <v>458</v>
      </c>
    </row>
    <row r="225" spans="1:38" x14ac:dyDescent="0.3">
      <c r="A225" s="1"/>
      <c r="Y225" s="1">
        <v>43811.953773148147</v>
      </c>
      <c r="Z225">
        <v>9422</v>
      </c>
      <c r="AA225">
        <v>7184</v>
      </c>
      <c r="AB225">
        <v>9</v>
      </c>
      <c r="AC225" t="s">
        <v>22</v>
      </c>
      <c r="AD225">
        <v>1.1698900461196899</v>
      </c>
      <c r="AE225">
        <v>1.1703759431839</v>
      </c>
      <c r="AF225">
        <v>4.8589706421E-4</v>
      </c>
      <c r="AG225">
        <v>1.1684999465942401</v>
      </c>
      <c r="AH225">
        <v>1.1690977811813399</v>
      </c>
      <c r="AI225">
        <v>5.9783458710000001E-4</v>
      </c>
      <c r="AJ225">
        <v>90</v>
      </c>
      <c r="AK225">
        <v>0</v>
      </c>
      <c r="AL225" t="s">
        <v>458</v>
      </c>
    </row>
    <row r="226" spans="1:38" x14ac:dyDescent="0.3">
      <c r="A226" s="1"/>
      <c r="Y226" s="1">
        <v>43811.953842592593</v>
      </c>
      <c r="Z226">
        <v>9422</v>
      </c>
      <c r="AA226">
        <v>7184</v>
      </c>
      <c r="AB226">
        <v>9</v>
      </c>
      <c r="AC226" t="s">
        <v>22</v>
      </c>
      <c r="AD226">
        <v>1.1698900461196899</v>
      </c>
      <c r="AE226">
        <v>1.1703759431839</v>
      </c>
      <c r="AF226">
        <v>4.8589706421E-4</v>
      </c>
      <c r="AG226">
        <v>1.1684999465942401</v>
      </c>
      <c r="AH226">
        <v>1.1690977811813399</v>
      </c>
      <c r="AI226">
        <v>5.9783458710000001E-4</v>
      </c>
      <c r="AJ226">
        <v>90</v>
      </c>
      <c r="AK226">
        <v>0</v>
      </c>
      <c r="AL226" t="s">
        <v>458</v>
      </c>
    </row>
    <row r="227" spans="1:38" x14ac:dyDescent="0.3">
      <c r="A227" s="1"/>
      <c r="Y227" s="1">
        <v>43811.953900462962</v>
      </c>
      <c r="Z227">
        <v>9422</v>
      </c>
      <c r="AA227">
        <v>7184</v>
      </c>
      <c r="AB227">
        <v>9</v>
      </c>
      <c r="AC227" t="s">
        <v>22</v>
      </c>
      <c r="AD227">
        <v>1.1698900461196899</v>
      </c>
      <c r="AE227">
        <v>1.1703759431839</v>
      </c>
      <c r="AF227">
        <v>4.8589706421E-4</v>
      </c>
      <c r="AG227">
        <v>1.1684999465942401</v>
      </c>
      <c r="AH227">
        <v>1.1690977811813399</v>
      </c>
      <c r="AI227">
        <v>5.9783458710000001E-4</v>
      </c>
      <c r="AJ227">
        <v>90</v>
      </c>
      <c r="AK227">
        <v>0</v>
      </c>
      <c r="AL227" t="s">
        <v>458</v>
      </c>
    </row>
    <row r="228" spans="1:38" x14ac:dyDescent="0.3">
      <c r="A228" s="1"/>
      <c r="Y228" s="1">
        <v>43811.953969907408</v>
      </c>
      <c r="Z228">
        <v>9422</v>
      </c>
      <c r="AA228">
        <v>7184</v>
      </c>
      <c r="AB228">
        <v>9</v>
      </c>
      <c r="AC228" t="s">
        <v>22</v>
      </c>
      <c r="AD228">
        <v>1.1698900461196899</v>
      </c>
      <c r="AE228">
        <v>1.1703759431839</v>
      </c>
      <c r="AF228">
        <v>4.8589706421E-4</v>
      </c>
      <c r="AG228">
        <v>1.1684999465942401</v>
      </c>
      <c r="AH228">
        <v>1.1690977811813399</v>
      </c>
      <c r="AI228">
        <v>5.9783458710000001E-4</v>
      </c>
      <c r="AJ228">
        <v>90</v>
      </c>
      <c r="AK228">
        <v>0</v>
      </c>
      <c r="AL228" t="s">
        <v>458</v>
      </c>
    </row>
    <row r="229" spans="1:38" x14ac:dyDescent="0.3">
      <c r="A229" s="1"/>
      <c r="Y229" s="1">
        <v>43811.954039351855</v>
      </c>
      <c r="Z229">
        <v>9422</v>
      </c>
      <c r="AA229">
        <v>7184</v>
      </c>
      <c r="AB229">
        <v>9</v>
      </c>
      <c r="AC229" t="s">
        <v>22</v>
      </c>
      <c r="AD229">
        <v>1.1698900461196899</v>
      </c>
      <c r="AE229">
        <v>1.1703759431839</v>
      </c>
      <c r="AF229">
        <v>4.8589706421E-4</v>
      </c>
      <c r="AG229">
        <v>1.1684999465942401</v>
      </c>
      <c r="AH229">
        <v>1.1690977811813399</v>
      </c>
      <c r="AI229">
        <v>5.9783458710000001E-4</v>
      </c>
      <c r="AJ229">
        <v>90</v>
      </c>
      <c r="AK229">
        <v>0</v>
      </c>
      <c r="AL229" t="s">
        <v>458</v>
      </c>
    </row>
    <row r="230" spans="1:38" x14ac:dyDescent="0.3">
      <c r="A230" s="1"/>
      <c r="Y230" s="1">
        <v>43811.954097222224</v>
      </c>
      <c r="Z230">
        <v>9422</v>
      </c>
      <c r="AA230">
        <v>7184</v>
      </c>
      <c r="AB230">
        <v>9</v>
      </c>
      <c r="AC230" t="s">
        <v>22</v>
      </c>
      <c r="AD230">
        <v>1.1698900461196899</v>
      </c>
      <c r="AE230">
        <v>1.1703759431839</v>
      </c>
      <c r="AF230">
        <v>4.8589706421E-4</v>
      </c>
      <c r="AG230">
        <v>1.1684999465942401</v>
      </c>
      <c r="AH230">
        <v>1.1690977811813399</v>
      </c>
      <c r="AI230">
        <v>5.9783458710000001E-4</v>
      </c>
      <c r="AJ230">
        <v>90</v>
      </c>
      <c r="AK230">
        <v>0</v>
      </c>
      <c r="AL230" t="s">
        <v>458</v>
      </c>
    </row>
    <row r="231" spans="1:38" x14ac:dyDescent="0.3">
      <c r="A231" s="1"/>
      <c r="Y231" s="1">
        <v>43811.95416666667</v>
      </c>
      <c r="Z231">
        <v>9422</v>
      </c>
      <c r="AA231">
        <v>7184</v>
      </c>
      <c r="AB231">
        <v>9</v>
      </c>
      <c r="AC231" t="s">
        <v>22</v>
      </c>
      <c r="AD231">
        <v>1.1698900461196899</v>
      </c>
      <c r="AE231">
        <v>1.1703759431839</v>
      </c>
      <c r="AF231">
        <v>4.8589706421E-4</v>
      </c>
      <c r="AG231">
        <v>1.1684999465942401</v>
      </c>
      <c r="AH231">
        <v>1.1690977811813399</v>
      </c>
      <c r="AI231">
        <v>5.9783458710000001E-4</v>
      </c>
      <c r="AJ231">
        <v>90</v>
      </c>
      <c r="AK231">
        <v>0</v>
      </c>
      <c r="AL231" t="s">
        <v>458</v>
      </c>
    </row>
    <row r="232" spans="1:38" x14ac:dyDescent="0.3">
      <c r="A232" s="1"/>
      <c r="Y232" s="1">
        <v>43811.954236111109</v>
      </c>
      <c r="Z232">
        <v>9422</v>
      </c>
      <c r="AA232">
        <v>7184</v>
      </c>
      <c r="AB232">
        <v>9</v>
      </c>
      <c r="AC232" t="s">
        <v>22</v>
      </c>
      <c r="AD232">
        <v>1.1698900461196899</v>
      </c>
      <c r="AE232">
        <v>1.1703759431839</v>
      </c>
      <c r="AF232">
        <v>4.8589706421E-4</v>
      </c>
      <c r="AG232">
        <v>1.1684999465942401</v>
      </c>
      <c r="AH232">
        <v>1.1690977811813399</v>
      </c>
      <c r="AI232">
        <v>5.9783458710000001E-4</v>
      </c>
      <c r="AJ232">
        <v>90</v>
      </c>
      <c r="AK232">
        <v>0</v>
      </c>
      <c r="AL232" t="s">
        <v>458</v>
      </c>
    </row>
    <row r="233" spans="1:38" x14ac:dyDescent="0.3">
      <c r="A233" s="1"/>
      <c r="Y233" s="1">
        <v>43811.954305555555</v>
      </c>
      <c r="Z233">
        <v>9422</v>
      </c>
      <c r="AA233">
        <v>7184</v>
      </c>
      <c r="AB233">
        <v>9</v>
      </c>
      <c r="AC233" t="s">
        <v>22</v>
      </c>
      <c r="AD233">
        <v>1.1698900461196899</v>
      </c>
      <c r="AE233">
        <v>1.1703759431839</v>
      </c>
      <c r="AF233">
        <v>4.8589706421E-4</v>
      </c>
      <c r="AG233">
        <v>1.1684999465942401</v>
      </c>
      <c r="AH233">
        <v>1.1690977811813399</v>
      </c>
      <c r="AI233">
        <v>5.9783458710000001E-4</v>
      </c>
      <c r="AJ233">
        <v>90</v>
      </c>
      <c r="AK233">
        <v>0</v>
      </c>
      <c r="AL233" t="s">
        <v>458</v>
      </c>
    </row>
    <row r="234" spans="1:38" x14ac:dyDescent="0.3">
      <c r="A234" s="1"/>
      <c r="Y234" s="1">
        <v>43811.954375000001</v>
      </c>
      <c r="Z234">
        <v>9422</v>
      </c>
      <c r="AA234">
        <v>7184</v>
      </c>
      <c r="AB234">
        <v>9</v>
      </c>
      <c r="AC234" t="s">
        <v>22</v>
      </c>
      <c r="AD234">
        <v>1.1698900461196899</v>
      </c>
      <c r="AE234">
        <v>1.1703759431839</v>
      </c>
      <c r="AF234">
        <v>4.8589706421E-4</v>
      </c>
      <c r="AG234">
        <v>1.1684999465942401</v>
      </c>
      <c r="AH234">
        <v>1.1690977811813399</v>
      </c>
      <c r="AI234">
        <v>5.9783458710000001E-4</v>
      </c>
      <c r="AJ234">
        <v>90</v>
      </c>
      <c r="AK234">
        <v>0</v>
      </c>
      <c r="AL234" t="s">
        <v>458</v>
      </c>
    </row>
    <row r="235" spans="1:38" x14ac:dyDescent="0.3">
      <c r="A235" s="1"/>
      <c r="Y235" s="1">
        <v>43811.954456018517</v>
      </c>
      <c r="Z235">
        <v>9422</v>
      </c>
      <c r="AA235">
        <v>7184</v>
      </c>
      <c r="AB235">
        <v>9</v>
      </c>
      <c r="AC235" t="s">
        <v>22</v>
      </c>
      <c r="AD235">
        <v>1.1698900461196899</v>
      </c>
      <c r="AE235">
        <v>1.1703759431839</v>
      </c>
      <c r="AF235">
        <v>4.8589706421E-4</v>
      </c>
      <c r="AG235">
        <v>1.1684999465942401</v>
      </c>
      <c r="AH235">
        <v>1.1690977811813399</v>
      </c>
      <c r="AI235">
        <v>5.9783458710000001E-4</v>
      </c>
      <c r="AJ235">
        <v>90</v>
      </c>
      <c r="AK235">
        <v>0</v>
      </c>
      <c r="AL235" t="s">
        <v>458</v>
      </c>
    </row>
    <row r="236" spans="1:38" x14ac:dyDescent="0.3">
      <c r="A236" s="1"/>
      <c r="Y236" s="1">
        <v>43811.954525462963</v>
      </c>
      <c r="Z236">
        <v>9422</v>
      </c>
      <c r="AA236">
        <v>7184</v>
      </c>
      <c r="AB236">
        <v>9</v>
      </c>
      <c r="AC236" t="s">
        <v>22</v>
      </c>
      <c r="AD236">
        <v>1.1698900461196899</v>
      </c>
      <c r="AE236">
        <v>1.1703759431839</v>
      </c>
      <c r="AF236">
        <v>4.8589706421E-4</v>
      </c>
      <c r="AG236">
        <v>1.1684999465942401</v>
      </c>
      <c r="AH236">
        <v>1.1690977811813399</v>
      </c>
      <c r="AI236">
        <v>5.9783458710000001E-4</v>
      </c>
      <c r="AJ236">
        <v>90</v>
      </c>
      <c r="AK236">
        <v>0</v>
      </c>
      <c r="AL236" t="s">
        <v>458</v>
      </c>
    </row>
    <row r="237" spans="1:38" x14ac:dyDescent="0.3">
      <c r="A237" s="1"/>
      <c r="Y237" s="1">
        <v>43811.954606481479</v>
      </c>
      <c r="Z237">
        <v>9422</v>
      </c>
      <c r="AA237">
        <v>7184</v>
      </c>
      <c r="AB237">
        <v>9</v>
      </c>
      <c r="AC237" t="s">
        <v>22</v>
      </c>
      <c r="AD237">
        <v>1.1698900461196899</v>
      </c>
      <c r="AE237">
        <v>1.1703759431839</v>
      </c>
      <c r="AF237">
        <v>4.8589706421E-4</v>
      </c>
      <c r="AG237">
        <v>1.1684999465942401</v>
      </c>
      <c r="AH237">
        <v>1.1690977811813399</v>
      </c>
      <c r="AI237">
        <v>5.9783458710000001E-4</v>
      </c>
      <c r="AJ237">
        <v>90</v>
      </c>
      <c r="AK237">
        <v>0</v>
      </c>
      <c r="AL237" t="s">
        <v>458</v>
      </c>
    </row>
    <row r="238" spans="1:38" x14ac:dyDescent="0.3">
      <c r="A238" s="1"/>
      <c r="Y238" s="1">
        <v>43811.954687500001</v>
      </c>
      <c r="Z238">
        <v>9422</v>
      </c>
      <c r="AA238">
        <v>7184</v>
      </c>
      <c r="AB238">
        <v>9</v>
      </c>
      <c r="AC238" t="s">
        <v>22</v>
      </c>
      <c r="AD238">
        <v>1.1698900461196899</v>
      </c>
      <c r="AE238">
        <v>1.1703759431839</v>
      </c>
      <c r="AF238">
        <v>4.8589706421E-4</v>
      </c>
      <c r="AG238">
        <v>1.1684999465942401</v>
      </c>
      <c r="AH238">
        <v>1.1690977811813399</v>
      </c>
      <c r="AI238">
        <v>5.9783458710000001E-4</v>
      </c>
      <c r="AJ238">
        <v>90</v>
      </c>
      <c r="AK238">
        <v>0</v>
      </c>
      <c r="AL238" t="s">
        <v>458</v>
      </c>
    </row>
    <row r="239" spans="1:38" x14ac:dyDescent="0.3">
      <c r="A239" s="1"/>
      <c r="Y239" s="1">
        <v>43811.954768518517</v>
      </c>
      <c r="Z239">
        <v>9422</v>
      </c>
      <c r="AA239">
        <v>7184</v>
      </c>
      <c r="AB239">
        <v>9</v>
      </c>
      <c r="AC239" t="s">
        <v>22</v>
      </c>
      <c r="AD239">
        <v>1.1698900461196899</v>
      </c>
      <c r="AE239">
        <v>1.1703759431839</v>
      </c>
      <c r="AF239">
        <v>4.8589706421E-4</v>
      </c>
      <c r="AG239">
        <v>1.1684999465942401</v>
      </c>
      <c r="AH239">
        <v>1.1690977811813399</v>
      </c>
      <c r="AI239">
        <v>5.9783458710000001E-4</v>
      </c>
      <c r="AJ239">
        <v>90</v>
      </c>
      <c r="AK239">
        <v>0</v>
      </c>
      <c r="AL239" t="s">
        <v>458</v>
      </c>
    </row>
    <row r="240" spans="1:38" x14ac:dyDescent="0.3">
      <c r="A240" s="1"/>
      <c r="Y240" s="1">
        <v>43811.95484953704</v>
      </c>
      <c r="Z240">
        <v>9422</v>
      </c>
      <c r="AA240">
        <v>7184</v>
      </c>
      <c r="AB240">
        <v>9</v>
      </c>
      <c r="AC240" t="s">
        <v>22</v>
      </c>
      <c r="AD240">
        <v>1.1698900461196899</v>
      </c>
      <c r="AE240">
        <v>1.1703759431839</v>
      </c>
      <c r="AF240">
        <v>4.8589706421E-4</v>
      </c>
      <c r="AG240">
        <v>1.1684999465942401</v>
      </c>
      <c r="AH240">
        <v>1.1690977811813399</v>
      </c>
      <c r="AI240">
        <v>5.9783458710000001E-4</v>
      </c>
      <c r="AJ240">
        <v>90</v>
      </c>
      <c r="AK240">
        <v>0</v>
      </c>
      <c r="AL240" t="s">
        <v>458</v>
      </c>
    </row>
    <row r="241" spans="1:38" x14ac:dyDescent="0.3">
      <c r="A241" s="1"/>
      <c r="Y241" s="1">
        <v>43811.9534375</v>
      </c>
      <c r="Z241">
        <v>9422</v>
      </c>
      <c r="AA241">
        <v>7184</v>
      </c>
      <c r="AB241">
        <v>9</v>
      </c>
      <c r="AC241" t="s">
        <v>22</v>
      </c>
      <c r="AD241">
        <v>1.1698900461196899</v>
      </c>
      <c r="AE241">
        <v>1.1703759431839</v>
      </c>
      <c r="AF241">
        <v>4.8589706421E-4</v>
      </c>
      <c r="AG241">
        <v>1.1684999465942401</v>
      </c>
      <c r="AH241">
        <v>1.1690977811813399</v>
      </c>
      <c r="AI241">
        <v>5.9783458710000001E-4</v>
      </c>
      <c r="AJ241">
        <v>90</v>
      </c>
      <c r="AK241">
        <v>0</v>
      </c>
      <c r="AL241" t="s">
        <v>458</v>
      </c>
    </row>
    <row r="242" spans="1:38" x14ac:dyDescent="0.3">
      <c r="A242" s="1"/>
      <c r="Y242" s="1">
        <v>43811.9533912037</v>
      </c>
      <c r="Z242">
        <v>9422</v>
      </c>
      <c r="AA242">
        <v>7184</v>
      </c>
      <c r="AB242">
        <v>10</v>
      </c>
      <c r="AC242" t="s">
        <v>23</v>
      </c>
      <c r="AD242">
        <v>1.17051005363464</v>
      </c>
      <c r="AE242">
        <v>1.1695308685302701</v>
      </c>
      <c r="AF242">
        <v>9.7918510437000009E-4</v>
      </c>
      <c r="AG242">
        <v>1.168830037117</v>
      </c>
      <c r="AH242">
        <v>1.16803658008575</v>
      </c>
      <c r="AI242">
        <v>7.9345703125E-4</v>
      </c>
      <c r="AJ242">
        <v>-224</v>
      </c>
      <c r="AK242">
        <v>0</v>
      </c>
      <c r="AL242" t="s">
        <v>459</v>
      </c>
    </row>
    <row r="243" spans="1:38" x14ac:dyDescent="0.3">
      <c r="A243" s="1"/>
      <c r="Y243" s="1">
        <v>43811.954918981479</v>
      </c>
      <c r="Z243">
        <v>9422</v>
      </c>
      <c r="AA243">
        <v>7184</v>
      </c>
      <c r="AB243">
        <v>10</v>
      </c>
      <c r="AC243" t="s">
        <v>23</v>
      </c>
      <c r="AD243">
        <v>1.17051005363464</v>
      </c>
      <c r="AE243">
        <v>1.1695308685302701</v>
      </c>
      <c r="AF243">
        <v>9.7918510437000009E-4</v>
      </c>
      <c r="AG243">
        <v>1.168830037117</v>
      </c>
      <c r="AH243">
        <v>1.16803658008575</v>
      </c>
      <c r="AI243">
        <v>7.9345703125E-4</v>
      </c>
      <c r="AJ243">
        <v>-224</v>
      </c>
      <c r="AK243">
        <v>0</v>
      </c>
      <c r="AL243" t="s">
        <v>459</v>
      </c>
    </row>
    <row r="244" spans="1:38" x14ac:dyDescent="0.3">
      <c r="A244" s="1"/>
      <c r="Y244" s="1">
        <v>43811.95349537037</v>
      </c>
      <c r="Z244">
        <v>9422</v>
      </c>
      <c r="AA244">
        <v>7184</v>
      </c>
      <c r="AB244">
        <v>10</v>
      </c>
      <c r="AC244" t="s">
        <v>23</v>
      </c>
      <c r="AD244">
        <v>1.17051005363464</v>
      </c>
      <c r="AE244">
        <v>1.1695308685302701</v>
      </c>
      <c r="AF244">
        <v>9.7918510437000009E-4</v>
      </c>
      <c r="AG244">
        <v>1.168830037117</v>
      </c>
      <c r="AH244">
        <v>1.16803658008575</v>
      </c>
      <c r="AI244">
        <v>7.9345703125E-4</v>
      </c>
      <c r="AJ244">
        <v>-224</v>
      </c>
      <c r="AK244">
        <v>0</v>
      </c>
      <c r="AL244" t="s">
        <v>459</v>
      </c>
    </row>
    <row r="245" spans="1:38" x14ac:dyDescent="0.3">
      <c r="A245" s="1"/>
      <c r="Y245" s="1">
        <v>43811.953541666669</v>
      </c>
      <c r="Z245">
        <v>9422</v>
      </c>
      <c r="AA245">
        <v>7184</v>
      </c>
      <c r="AB245">
        <v>10</v>
      </c>
      <c r="AC245" t="s">
        <v>23</v>
      </c>
      <c r="AD245">
        <v>1.17051005363464</v>
      </c>
      <c r="AE245">
        <v>1.1695308685302701</v>
      </c>
      <c r="AF245">
        <v>9.7918510437000009E-4</v>
      </c>
      <c r="AG245">
        <v>1.168830037117</v>
      </c>
      <c r="AH245">
        <v>1.16803658008575</v>
      </c>
      <c r="AI245">
        <v>7.9345703125E-4</v>
      </c>
      <c r="AJ245">
        <v>-224</v>
      </c>
      <c r="AK245">
        <v>0</v>
      </c>
      <c r="AL245" t="s">
        <v>459</v>
      </c>
    </row>
    <row r="246" spans="1:38" x14ac:dyDescent="0.3">
      <c r="A246" s="1"/>
      <c r="Y246" s="1">
        <v>43811.953599537039</v>
      </c>
      <c r="Z246">
        <v>9422</v>
      </c>
      <c r="AA246">
        <v>7184</v>
      </c>
      <c r="AB246">
        <v>10</v>
      </c>
      <c r="AC246" t="s">
        <v>23</v>
      </c>
      <c r="AD246">
        <v>1.17051005363464</v>
      </c>
      <c r="AE246">
        <v>1.1695308685302701</v>
      </c>
      <c r="AF246">
        <v>9.7918510437000009E-4</v>
      </c>
      <c r="AG246">
        <v>1.168830037117</v>
      </c>
      <c r="AH246">
        <v>1.16803658008575</v>
      </c>
      <c r="AI246">
        <v>7.9345703125E-4</v>
      </c>
      <c r="AJ246">
        <v>-224</v>
      </c>
      <c r="AK246">
        <v>0</v>
      </c>
      <c r="AL246" t="s">
        <v>459</v>
      </c>
    </row>
    <row r="247" spans="1:38" x14ac:dyDescent="0.3">
      <c r="A247" s="1"/>
      <c r="Y247" s="1">
        <v>43811.953657407408</v>
      </c>
      <c r="Z247">
        <v>9422</v>
      </c>
      <c r="AA247">
        <v>7184</v>
      </c>
      <c r="AB247">
        <v>10</v>
      </c>
      <c r="AC247" t="s">
        <v>23</v>
      </c>
      <c r="AD247">
        <v>1.17051005363464</v>
      </c>
      <c r="AE247">
        <v>1.1695308685302701</v>
      </c>
      <c r="AF247">
        <v>9.7918510437000009E-4</v>
      </c>
      <c r="AG247">
        <v>1.168830037117</v>
      </c>
      <c r="AH247">
        <v>1.16803658008575</v>
      </c>
      <c r="AI247">
        <v>7.9345703125E-4</v>
      </c>
      <c r="AJ247">
        <v>-224</v>
      </c>
      <c r="AK247">
        <v>0</v>
      </c>
      <c r="AL247" t="s">
        <v>459</v>
      </c>
    </row>
    <row r="248" spans="1:38" x14ac:dyDescent="0.3">
      <c r="A248" s="1"/>
      <c r="Y248" s="1">
        <v>43811.953715277778</v>
      </c>
      <c r="Z248">
        <v>9422</v>
      </c>
      <c r="AA248">
        <v>7184</v>
      </c>
      <c r="AB248">
        <v>10</v>
      </c>
      <c r="AC248" t="s">
        <v>23</v>
      </c>
      <c r="AD248">
        <v>1.17051005363464</v>
      </c>
      <c r="AE248">
        <v>1.1695308685302701</v>
      </c>
      <c r="AF248">
        <v>9.7918510437000009E-4</v>
      </c>
      <c r="AG248">
        <v>1.168830037117</v>
      </c>
      <c r="AH248">
        <v>1.16803658008575</v>
      </c>
      <c r="AI248">
        <v>7.9345703125E-4</v>
      </c>
      <c r="AJ248">
        <v>-224</v>
      </c>
      <c r="AK248">
        <v>0</v>
      </c>
      <c r="AL248" t="s">
        <v>459</v>
      </c>
    </row>
    <row r="249" spans="1:38" x14ac:dyDescent="0.3">
      <c r="A249" s="1"/>
      <c r="Y249" s="1">
        <v>43811.953773148147</v>
      </c>
      <c r="Z249">
        <v>9422</v>
      </c>
      <c r="AA249">
        <v>7184</v>
      </c>
      <c r="AB249">
        <v>10</v>
      </c>
      <c r="AC249" t="s">
        <v>23</v>
      </c>
      <c r="AD249">
        <v>1.17051005363464</v>
      </c>
      <c r="AE249">
        <v>1.1695308685302701</v>
      </c>
      <c r="AF249">
        <v>9.7918510437000009E-4</v>
      </c>
      <c r="AG249">
        <v>1.168830037117</v>
      </c>
      <c r="AH249">
        <v>1.16803658008575</v>
      </c>
      <c r="AI249">
        <v>7.9345703125E-4</v>
      </c>
      <c r="AJ249">
        <v>-224</v>
      </c>
      <c r="AK249">
        <v>0</v>
      </c>
      <c r="AL249" t="s">
        <v>459</v>
      </c>
    </row>
    <row r="250" spans="1:38" x14ac:dyDescent="0.3">
      <c r="A250" s="1"/>
      <c r="Y250" s="1">
        <v>43811.953842592593</v>
      </c>
      <c r="Z250">
        <v>9422</v>
      </c>
      <c r="AA250">
        <v>7184</v>
      </c>
      <c r="AB250">
        <v>10</v>
      </c>
      <c r="AC250" t="s">
        <v>23</v>
      </c>
      <c r="AD250">
        <v>1.17051005363464</v>
      </c>
      <c r="AE250">
        <v>1.1695308685302701</v>
      </c>
      <c r="AF250">
        <v>9.7918510437000009E-4</v>
      </c>
      <c r="AG250">
        <v>1.168830037117</v>
      </c>
      <c r="AH250">
        <v>1.16803658008575</v>
      </c>
      <c r="AI250">
        <v>7.9345703125E-4</v>
      </c>
      <c r="AJ250">
        <v>-224</v>
      </c>
      <c r="AK250">
        <v>0</v>
      </c>
      <c r="AL250" t="s">
        <v>459</v>
      </c>
    </row>
    <row r="251" spans="1:38" x14ac:dyDescent="0.3">
      <c r="A251" s="1"/>
      <c r="Y251" s="1">
        <v>43811.953900462962</v>
      </c>
      <c r="Z251">
        <v>9422</v>
      </c>
      <c r="AA251">
        <v>7184</v>
      </c>
      <c r="AB251">
        <v>10</v>
      </c>
      <c r="AC251" t="s">
        <v>23</v>
      </c>
      <c r="AD251">
        <v>1.17051005363464</v>
      </c>
      <c r="AE251">
        <v>1.1695308685302701</v>
      </c>
      <c r="AF251">
        <v>9.7918510437000009E-4</v>
      </c>
      <c r="AG251">
        <v>1.168830037117</v>
      </c>
      <c r="AH251">
        <v>1.16803658008575</v>
      </c>
      <c r="AI251">
        <v>7.9345703125E-4</v>
      </c>
      <c r="AJ251">
        <v>-224</v>
      </c>
      <c r="AK251">
        <v>0</v>
      </c>
      <c r="AL251" t="s">
        <v>459</v>
      </c>
    </row>
    <row r="252" spans="1:38" x14ac:dyDescent="0.3">
      <c r="A252" s="1"/>
      <c r="Y252" s="1">
        <v>43811.953969907408</v>
      </c>
      <c r="Z252">
        <v>9422</v>
      </c>
      <c r="AA252">
        <v>7184</v>
      </c>
      <c r="AB252">
        <v>10</v>
      </c>
      <c r="AC252" t="s">
        <v>23</v>
      </c>
      <c r="AD252">
        <v>1.17051005363464</v>
      </c>
      <c r="AE252">
        <v>1.1695308685302701</v>
      </c>
      <c r="AF252">
        <v>9.7918510437000009E-4</v>
      </c>
      <c r="AG252">
        <v>1.168830037117</v>
      </c>
      <c r="AH252">
        <v>1.16803658008575</v>
      </c>
      <c r="AI252">
        <v>7.9345703125E-4</v>
      </c>
      <c r="AJ252">
        <v>-224</v>
      </c>
      <c r="AK252">
        <v>0</v>
      </c>
      <c r="AL252" t="s">
        <v>459</v>
      </c>
    </row>
    <row r="253" spans="1:38" x14ac:dyDescent="0.3">
      <c r="A253" s="1"/>
      <c r="Y253" s="1">
        <v>43811.954039351855</v>
      </c>
      <c r="Z253">
        <v>9422</v>
      </c>
      <c r="AA253">
        <v>7184</v>
      </c>
      <c r="AB253">
        <v>10</v>
      </c>
      <c r="AC253" t="s">
        <v>23</v>
      </c>
      <c r="AD253">
        <v>1.17051005363464</v>
      </c>
      <c r="AE253">
        <v>1.1695308685302701</v>
      </c>
      <c r="AF253">
        <v>9.7918510437000009E-4</v>
      </c>
      <c r="AG253">
        <v>1.168830037117</v>
      </c>
      <c r="AH253">
        <v>1.16803658008575</v>
      </c>
      <c r="AI253">
        <v>7.9345703125E-4</v>
      </c>
      <c r="AJ253">
        <v>-224</v>
      </c>
      <c r="AK253">
        <v>0</v>
      </c>
      <c r="AL253" t="s">
        <v>459</v>
      </c>
    </row>
    <row r="254" spans="1:38" x14ac:dyDescent="0.3">
      <c r="A254" s="1"/>
      <c r="Y254" s="1">
        <v>43811.954097222224</v>
      </c>
      <c r="Z254">
        <v>9422</v>
      </c>
      <c r="AA254">
        <v>7184</v>
      </c>
      <c r="AB254">
        <v>10</v>
      </c>
      <c r="AC254" t="s">
        <v>23</v>
      </c>
      <c r="AD254">
        <v>1.17051005363464</v>
      </c>
      <c r="AE254">
        <v>1.1695308685302701</v>
      </c>
      <c r="AF254">
        <v>9.7918510437000009E-4</v>
      </c>
      <c r="AG254">
        <v>1.168830037117</v>
      </c>
      <c r="AH254">
        <v>1.16803658008575</v>
      </c>
      <c r="AI254">
        <v>7.9345703125E-4</v>
      </c>
      <c r="AJ254">
        <v>-224</v>
      </c>
      <c r="AK254">
        <v>0</v>
      </c>
      <c r="AL254" t="s">
        <v>459</v>
      </c>
    </row>
    <row r="255" spans="1:38" x14ac:dyDescent="0.3">
      <c r="A255" s="1"/>
      <c r="Y255" s="1">
        <v>43811.95416666667</v>
      </c>
      <c r="Z255">
        <v>9422</v>
      </c>
      <c r="AA255">
        <v>7184</v>
      </c>
      <c r="AB255">
        <v>10</v>
      </c>
      <c r="AC255" t="s">
        <v>23</v>
      </c>
      <c r="AD255">
        <v>1.17051005363464</v>
      </c>
      <c r="AE255">
        <v>1.1695308685302701</v>
      </c>
      <c r="AF255">
        <v>9.7918510437000009E-4</v>
      </c>
      <c r="AG255">
        <v>1.168830037117</v>
      </c>
      <c r="AH255">
        <v>1.16803658008575</v>
      </c>
      <c r="AI255">
        <v>7.9345703125E-4</v>
      </c>
      <c r="AJ255">
        <v>-224</v>
      </c>
      <c r="AK255">
        <v>0</v>
      </c>
      <c r="AL255" t="s">
        <v>459</v>
      </c>
    </row>
    <row r="256" spans="1:38" x14ac:dyDescent="0.3">
      <c r="A256" s="1"/>
      <c r="Y256" s="1">
        <v>43811.954236111109</v>
      </c>
      <c r="Z256">
        <v>9422</v>
      </c>
      <c r="AA256">
        <v>7184</v>
      </c>
      <c r="AB256">
        <v>10</v>
      </c>
      <c r="AC256" t="s">
        <v>23</v>
      </c>
      <c r="AD256">
        <v>1.17051005363464</v>
      </c>
      <c r="AE256">
        <v>1.1695308685302701</v>
      </c>
      <c r="AF256">
        <v>9.7918510437000009E-4</v>
      </c>
      <c r="AG256">
        <v>1.168830037117</v>
      </c>
      <c r="AH256">
        <v>1.16803658008575</v>
      </c>
      <c r="AI256">
        <v>7.9345703125E-4</v>
      </c>
      <c r="AJ256">
        <v>-224</v>
      </c>
      <c r="AK256">
        <v>0</v>
      </c>
      <c r="AL256" t="s">
        <v>459</v>
      </c>
    </row>
    <row r="257" spans="1:38" x14ac:dyDescent="0.3">
      <c r="A257" s="1"/>
      <c r="Y257" s="1">
        <v>43811.954305555555</v>
      </c>
      <c r="Z257">
        <v>9422</v>
      </c>
      <c r="AA257">
        <v>7184</v>
      </c>
      <c r="AB257">
        <v>10</v>
      </c>
      <c r="AC257" t="s">
        <v>23</v>
      </c>
      <c r="AD257">
        <v>1.17051005363464</v>
      </c>
      <c r="AE257">
        <v>1.1695308685302701</v>
      </c>
      <c r="AF257">
        <v>9.7918510437000009E-4</v>
      </c>
      <c r="AG257">
        <v>1.168830037117</v>
      </c>
      <c r="AH257">
        <v>1.16803658008575</v>
      </c>
      <c r="AI257">
        <v>7.9345703125E-4</v>
      </c>
      <c r="AJ257">
        <v>-224</v>
      </c>
      <c r="AK257">
        <v>0</v>
      </c>
      <c r="AL257" t="s">
        <v>459</v>
      </c>
    </row>
    <row r="258" spans="1:38" x14ac:dyDescent="0.3">
      <c r="A258" s="1"/>
      <c r="Y258" s="1">
        <v>43811.954375000001</v>
      </c>
      <c r="Z258">
        <v>9422</v>
      </c>
      <c r="AA258">
        <v>7184</v>
      </c>
      <c r="AB258">
        <v>10</v>
      </c>
      <c r="AC258" t="s">
        <v>23</v>
      </c>
      <c r="AD258">
        <v>1.17051005363464</v>
      </c>
      <c r="AE258">
        <v>1.1695308685302701</v>
      </c>
      <c r="AF258">
        <v>9.7918510437000009E-4</v>
      </c>
      <c r="AG258">
        <v>1.168830037117</v>
      </c>
      <c r="AH258">
        <v>1.16803658008575</v>
      </c>
      <c r="AI258">
        <v>7.9345703125E-4</v>
      </c>
      <c r="AJ258">
        <v>-224</v>
      </c>
      <c r="AK258">
        <v>0</v>
      </c>
      <c r="AL258" t="s">
        <v>459</v>
      </c>
    </row>
    <row r="259" spans="1:38" x14ac:dyDescent="0.3">
      <c r="A259" s="1"/>
      <c r="Y259" s="1">
        <v>43811.954456018517</v>
      </c>
      <c r="Z259">
        <v>9422</v>
      </c>
      <c r="AA259">
        <v>7184</v>
      </c>
      <c r="AB259">
        <v>10</v>
      </c>
      <c r="AC259" t="s">
        <v>23</v>
      </c>
      <c r="AD259">
        <v>1.17051005363464</v>
      </c>
      <c r="AE259">
        <v>1.1695308685302701</v>
      </c>
      <c r="AF259">
        <v>9.7918510437000009E-4</v>
      </c>
      <c r="AG259">
        <v>1.168830037117</v>
      </c>
      <c r="AH259">
        <v>1.16803658008575</v>
      </c>
      <c r="AI259">
        <v>7.9345703125E-4</v>
      </c>
      <c r="AJ259">
        <v>-224</v>
      </c>
      <c r="AK259">
        <v>0</v>
      </c>
      <c r="AL259" t="s">
        <v>459</v>
      </c>
    </row>
    <row r="260" spans="1:38" x14ac:dyDescent="0.3">
      <c r="A260" s="1"/>
      <c r="Y260" s="1">
        <v>43811.954525462963</v>
      </c>
      <c r="Z260">
        <v>9422</v>
      </c>
      <c r="AA260">
        <v>7184</v>
      </c>
      <c r="AB260">
        <v>10</v>
      </c>
      <c r="AC260" t="s">
        <v>23</v>
      </c>
      <c r="AD260">
        <v>1.17051005363464</v>
      </c>
      <c r="AE260">
        <v>1.1695308685302701</v>
      </c>
      <c r="AF260">
        <v>9.7918510437000009E-4</v>
      </c>
      <c r="AG260">
        <v>1.168830037117</v>
      </c>
      <c r="AH260">
        <v>1.16803658008575</v>
      </c>
      <c r="AI260">
        <v>7.9345703125E-4</v>
      </c>
      <c r="AJ260">
        <v>-224</v>
      </c>
      <c r="AK260">
        <v>0</v>
      </c>
      <c r="AL260" t="s">
        <v>459</v>
      </c>
    </row>
    <row r="261" spans="1:38" x14ac:dyDescent="0.3">
      <c r="A261" s="1"/>
      <c r="Y261" s="1">
        <v>43811.954606481479</v>
      </c>
      <c r="Z261">
        <v>9422</v>
      </c>
      <c r="AA261">
        <v>7184</v>
      </c>
      <c r="AB261">
        <v>10</v>
      </c>
      <c r="AC261" t="s">
        <v>23</v>
      </c>
      <c r="AD261">
        <v>1.17051005363464</v>
      </c>
      <c r="AE261">
        <v>1.1695308685302701</v>
      </c>
      <c r="AF261">
        <v>9.7918510437000009E-4</v>
      </c>
      <c r="AG261">
        <v>1.168830037117</v>
      </c>
      <c r="AH261">
        <v>1.16803658008575</v>
      </c>
      <c r="AI261">
        <v>7.9345703125E-4</v>
      </c>
      <c r="AJ261">
        <v>-224</v>
      </c>
      <c r="AK261">
        <v>0</v>
      </c>
      <c r="AL261" t="s">
        <v>459</v>
      </c>
    </row>
    <row r="262" spans="1:38" x14ac:dyDescent="0.3">
      <c r="A262" s="1"/>
      <c r="Y262" s="1">
        <v>43811.954687500001</v>
      </c>
      <c r="Z262">
        <v>9422</v>
      </c>
      <c r="AA262">
        <v>7184</v>
      </c>
      <c r="AB262">
        <v>10</v>
      </c>
      <c r="AC262" t="s">
        <v>23</v>
      </c>
      <c r="AD262">
        <v>1.17051005363464</v>
      </c>
      <c r="AE262">
        <v>1.1695308685302701</v>
      </c>
      <c r="AF262">
        <v>9.7918510437000009E-4</v>
      </c>
      <c r="AG262">
        <v>1.168830037117</v>
      </c>
      <c r="AH262">
        <v>1.16803658008575</v>
      </c>
      <c r="AI262">
        <v>7.9345703125E-4</v>
      </c>
      <c r="AJ262">
        <v>-224</v>
      </c>
      <c r="AK262">
        <v>0</v>
      </c>
      <c r="AL262" t="s">
        <v>459</v>
      </c>
    </row>
    <row r="263" spans="1:38" x14ac:dyDescent="0.3">
      <c r="A263" s="1"/>
      <c r="Y263" s="1">
        <v>43811.954768518517</v>
      </c>
      <c r="Z263">
        <v>9422</v>
      </c>
      <c r="AA263">
        <v>7184</v>
      </c>
      <c r="AB263">
        <v>10</v>
      </c>
      <c r="AC263" t="s">
        <v>23</v>
      </c>
      <c r="AD263">
        <v>1.17051005363464</v>
      </c>
      <c r="AE263">
        <v>1.1695308685302701</v>
      </c>
      <c r="AF263">
        <v>9.7918510437000009E-4</v>
      </c>
      <c r="AG263">
        <v>1.168830037117</v>
      </c>
      <c r="AH263">
        <v>1.16803658008575</v>
      </c>
      <c r="AI263">
        <v>7.9345703125E-4</v>
      </c>
      <c r="AJ263">
        <v>-224</v>
      </c>
      <c r="AK263">
        <v>0</v>
      </c>
      <c r="AL263" t="s">
        <v>459</v>
      </c>
    </row>
    <row r="264" spans="1:38" x14ac:dyDescent="0.3">
      <c r="A264" s="1"/>
      <c r="Y264" s="1">
        <v>43811.95484953704</v>
      </c>
      <c r="Z264">
        <v>9422</v>
      </c>
      <c r="AA264">
        <v>7184</v>
      </c>
      <c r="AB264">
        <v>10</v>
      </c>
      <c r="AC264" t="s">
        <v>23</v>
      </c>
      <c r="AD264">
        <v>1.17051005363464</v>
      </c>
      <c r="AE264">
        <v>1.1695308685302701</v>
      </c>
      <c r="AF264">
        <v>9.7918510437000009E-4</v>
      </c>
      <c r="AG264">
        <v>1.168830037117</v>
      </c>
      <c r="AH264">
        <v>1.16803658008575</v>
      </c>
      <c r="AI264">
        <v>7.9345703125E-4</v>
      </c>
      <c r="AJ264">
        <v>-224</v>
      </c>
      <c r="AK264">
        <v>0</v>
      </c>
      <c r="AL264" t="s">
        <v>459</v>
      </c>
    </row>
    <row r="265" spans="1:38" x14ac:dyDescent="0.3">
      <c r="A265" s="1"/>
      <c r="Y265" s="1">
        <v>43811.9534375</v>
      </c>
      <c r="Z265">
        <v>9422</v>
      </c>
      <c r="AA265">
        <v>7184</v>
      </c>
      <c r="AB265">
        <v>10</v>
      </c>
      <c r="AC265" t="s">
        <v>23</v>
      </c>
      <c r="AD265">
        <v>1.17051005363464</v>
      </c>
      <c r="AE265">
        <v>1.1695308685302701</v>
      </c>
      <c r="AF265">
        <v>9.7918510437000009E-4</v>
      </c>
      <c r="AG265">
        <v>1.168830037117</v>
      </c>
      <c r="AH265">
        <v>1.16803658008575</v>
      </c>
      <c r="AI265">
        <v>7.9345703125E-4</v>
      </c>
      <c r="AJ265">
        <v>-224</v>
      </c>
      <c r="AK265">
        <v>0</v>
      </c>
      <c r="AL265" t="s">
        <v>459</v>
      </c>
    </row>
    <row r="266" spans="1:38" x14ac:dyDescent="0.3">
      <c r="A266" s="1"/>
      <c r="Y266" s="1">
        <v>43811.9533912037</v>
      </c>
      <c r="Z266">
        <v>9422</v>
      </c>
      <c r="AA266">
        <v>7184</v>
      </c>
      <c r="AB266">
        <v>11</v>
      </c>
      <c r="AC266" t="s">
        <v>24</v>
      </c>
      <c r="AD266">
        <v>1.1717400550842301</v>
      </c>
      <c r="AE266">
        <v>1.1709671020507799</v>
      </c>
      <c r="AF266">
        <v>7.7295303344999998E-4</v>
      </c>
      <c r="AG266">
        <v>1.16958999633789</v>
      </c>
      <c r="AH266">
        <v>1.16928267478943</v>
      </c>
      <c r="AI266">
        <v>3.0732154846000001E-4</v>
      </c>
      <c r="AJ266">
        <v>-228</v>
      </c>
      <c r="AK266">
        <v>0</v>
      </c>
      <c r="AL266" t="s">
        <v>459</v>
      </c>
    </row>
    <row r="267" spans="1:38" x14ac:dyDescent="0.3">
      <c r="A267" s="1"/>
      <c r="Y267" s="1">
        <v>43811.9534375</v>
      </c>
      <c r="Z267">
        <v>9422</v>
      </c>
      <c r="AA267">
        <v>7184</v>
      </c>
      <c r="AB267">
        <v>11</v>
      </c>
      <c r="AC267" t="s">
        <v>24</v>
      </c>
      <c r="AD267">
        <v>1.1717400550842301</v>
      </c>
      <c r="AE267">
        <v>1.1709671020507799</v>
      </c>
      <c r="AF267">
        <v>7.7295303344999998E-4</v>
      </c>
      <c r="AG267">
        <v>1.16958999633789</v>
      </c>
      <c r="AH267">
        <v>1.16928267478943</v>
      </c>
      <c r="AI267">
        <v>3.0732154846000001E-4</v>
      </c>
      <c r="AJ267">
        <v>-228</v>
      </c>
      <c r="AK267">
        <v>0</v>
      </c>
      <c r="AL267" t="s">
        <v>459</v>
      </c>
    </row>
    <row r="268" spans="1:38" x14ac:dyDescent="0.3">
      <c r="A268" s="1"/>
      <c r="Y268" s="1">
        <v>43811.95349537037</v>
      </c>
      <c r="Z268">
        <v>9422</v>
      </c>
      <c r="AA268">
        <v>7184</v>
      </c>
      <c r="AB268">
        <v>11</v>
      </c>
      <c r="AC268" t="s">
        <v>24</v>
      </c>
      <c r="AD268">
        <v>1.1717400550842301</v>
      </c>
      <c r="AE268">
        <v>1.1709671020507799</v>
      </c>
      <c r="AF268">
        <v>7.7295303344999998E-4</v>
      </c>
      <c r="AG268">
        <v>1.16958999633789</v>
      </c>
      <c r="AH268">
        <v>1.16928267478943</v>
      </c>
      <c r="AI268">
        <v>3.0732154846000001E-4</v>
      </c>
      <c r="AJ268">
        <v>-228</v>
      </c>
      <c r="AK268">
        <v>0</v>
      </c>
      <c r="AL268" t="s">
        <v>459</v>
      </c>
    </row>
    <row r="269" spans="1:38" x14ac:dyDescent="0.3">
      <c r="A269" s="1"/>
      <c r="Y269" s="1">
        <v>43811.953541666669</v>
      </c>
      <c r="Z269">
        <v>9422</v>
      </c>
      <c r="AA269">
        <v>7184</v>
      </c>
      <c r="AB269">
        <v>11</v>
      </c>
      <c r="AC269" t="s">
        <v>24</v>
      </c>
      <c r="AD269">
        <v>1.1717400550842301</v>
      </c>
      <c r="AE269">
        <v>1.1709671020507799</v>
      </c>
      <c r="AF269">
        <v>7.7295303344999998E-4</v>
      </c>
      <c r="AG269">
        <v>1.16958999633789</v>
      </c>
      <c r="AH269">
        <v>1.16928267478943</v>
      </c>
      <c r="AI269">
        <v>3.0732154846000001E-4</v>
      </c>
      <c r="AJ269">
        <v>-228</v>
      </c>
      <c r="AK269">
        <v>0</v>
      </c>
      <c r="AL269" t="s">
        <v>459</v>
      </c>
    </row>
    <row r="270" spans="1:38" x14ac:dyDescent="0.3">
      <c r="A270" s="1"/>
      <c r="Y270" s="1">
        <v>43811.953599537039</v>
      </c>
      <c r="Z270">
        <v>9422</v>
      </c>
      <c r="AA270">
        <v>7184</v>
      </c>
      <c r="AB270">
        <v>11</v>
      </c>
      <c r="AC270" t="s">
        <v>24</v>
      </c>
      <c r="AD270">
        <v>1.1717400550842301</v>
      </c>
      <c r="AE270">
        <v>1.1709671020507799</v>
      </c>
      <c r="AF270">
        <v>7.7295303344999998E-4</v>
      </c>
      <c r="AG270">
        <v>1.16958999633789</v>
      </c>
      <c r="AH270">
        <v>1.16928267478943</v>
      </c>
      <c r="AI270">
        <v>3.0732154846000001E-4</v>
      </c>
      <c r="AJ270">
        <v>-228</v>
      </c>
      <c r="AK270">
        <v>0</v>
      </c>
      <c r="AL270" t="s">
        <v>459</v>
      </c>
    </row>
    <row r="271" spans="1:38" x14ac:dyDescent="0.3">
      <c r="A271" s="1"/>
      <c r="Y271" s="1">
        <v>43811.953657407408</v>
      </c>
      <c r="Z271">
        <v>9422</v>
      </c>
      <c r="AA271">
        <v>7184</v>
      </c>
      <c r="AB271">
        <v>11</v>
      </c>
      <c r="AC271" t="s">
        <v>24</v>
      </c>
      <c r="AD271">
        <v>1.1717400550842301</v>
      </c>
      <c r="AE271">
        <v>1.1709671020507799</v>
      </c>
      <c r="AF271">
        <v>7.7295303344999998E-4</v>
      </c>
      <c r="AG271">
        <v>1.16958999633789</v>
      </c>
      <c r="AH271">
        <v>1.16928267478943</v>
      </c>
      <c r="AI271">
        <v>3.0732154846000001E-4</v>
      </c>
      <c r="AJ271">
        <v>-228</v>
      </c>
      <c r="AK271">
        <v>0</v>
      </c>
      <c r="AL271" t="s">
        <v>459</v>
      </c>
    </row>
    <row r="272" spans="1:38" x14ac:dyDescent="0.3">
      <c r="A272" s="1"/>
      <c r="Y272" s="1">
        <v>43811.953715277778</v>
      </c>
      <c r="Z272">
        <v>9422</v>
      </c>
      <c r="AA272">
        <v>7184</v>
      </c>
      <c r="AB272">
        <v>11</v>
      </c>
      <c r="AC272" t="s">
        <v>24</v>
      </c>
      <c r="AD272">
        <v>1.1717400550842301</v>
      </c>
      <c r="AE272">
        <v>1.1709671020507799</v>
      </c>
      <c r="AF272">
        <v>7.7295303344999998E-4</v>
      </c>
      <c r="AG272">
        <v>1.16958999633789</v>
      </c>
      <c r="AH272">
        <v>1.16928267478943</v>
      </c>
      <c r="AI272">
        <v>3.0732154846000001E-4</v>
      </c>
      <c r="AJ272">
        <v>-228</v>
      </c>
      <c r="AK272">
        <v>0</v>
      </c>
      <c r="AL272" t="s">
        <v>459</v>
      </c>
    </row>
    <row r="273" spans="1:38" x14ac:dyDescent="0.3">
      <c r="A273" s="1"/>
      <c r="Y273" s="1">
        <v>43811.953773148147</v>
      </c>
      <c r="Z273">
        <v>9422</v>
      </c>
      <c r="AA273">
        <v>7184</v>
      </c>
      <c r="AB273">
        <v>11</v>
      </c>
      <c r="AC273" t="s">
        <v>24</v>
      </c>
      <c r="AD273">
        <v>1.1717400550842301</v>
      </c>
      <c r="AE273">
        <v>1.1709671020507799</v>
      </c>
      <c r="AF273">
        <v>7.7295303344999998E-4</v>
      </c>
      <c r="AG273">
        <v>1.16958999633789</v>
      </c>
      <c r="AH273">
        <v>1.16928267478943</v>
      </c>
      <c r="AI273">
        <v>3.0732154846000001E-4</v>
      </c>
      <c r="AJ273">
        <v>-228</v>
      </c>
      <c r="AK273">
        <v>0</v>
      </c>
      <c r="AL273" t="s">
        <v>459</v>
      </c>
    </row>
    <row r="274" spans="1:38" x14ac:dyDescent="0.3">
      <c r="A274" s="1"/>
      <c r="Y274" s="1">
        <v>43811.953842592593</v>
      </c>
      <c r="Z274">
        <v>9422</v>
      </c>
      <c r="AA274">
        <v>7184</v>
      </c>
      <c r="AB274">
        <v>11</v>
      </c>
      <c r="AC274" t="s">
        <v>24</v>
      </c>
      <c r="AD274">
        <v>1.1717400550842301</v>
      </c>
      <c r="AE274">
        <v>1.1709671020507799</v>
      </c>
      <c r="AF274">
        <v>7.7295303344999998E-4</v>
      </c>
      <c r="AG274">
        <v>1.16958999633789</v>
      </c>
      <c r="AH274">
        <v>1.16928267478943</v>
      </c>
      <c r="AI274">
        <v>3.0732154846000001E-4</v>
      </c>
      <c r="AJ274">
        <v>-228</v>
      </c>
      <c r="AK274">
        <v>0</v>
      </c>
      <c r="AL274" t="s">
        <v>459</v>
      </c>
    </row>
    <row r="275" spans="1:38" x14ac:dyDescent="0.3">
      <c r="A275" s="1"/>
      <c r="Y275" s="1">
        <v>43811.953900462962</v>
      </c>
      <c r="Z275">
        <v>9422</v>
      </c>
      <c r="AA275">
        <v>7184</v>
      </c>
      <c r="AB275">
        <v>11</v>
      </c>
      <c r="AC275" t="s">
        <v>24</v>
      </c>
      <c r="AD275">
        <v>1.1717400550842301</v>
      </c>
      <c r="AE275">
        <v>1.1709671020507799</v>
      </c>
      <c r="AF275">
        <v>7.7295303344999998E-4</v>
      </c>
      <c r="AG275">
        <v>1.16958999633789</v>
      </c>
      <c r="AH275">
        <v>1.16928267478943</v>
      </c>
      <c r="AI275">
        <v>3.0732154846000001E-4</v>
      </c>
      <c r="AJ275">
        <v>-228</v>
      </c>
      <c r="AK275">
        <v>0</v>
      </c>
      <c r="AL275" t="s">
        <v>459</v>
      </c>
    </row>
    <row r="276" spans="1:38" x14ac:dyDescent="0.3">
      <c r="A276" s="1"/>
      <c r="Y276" s="1">
        <v>43811.953969907408</v>
      </c>
      <c r="Z276">
        <v>9422</v>
      </c>
      <c r="AA276">
        <v>7184</v>
      </c>
      <c r="AB276">
        <v>11</v>
      </c>
      <c r="AC276" t="s">
        <v>24</v>
      </c>
      <c r="AD276">
        <v>1.1717400550842301</v>
      </c>
      <c r="AE276">
        <v>1.1709671020507799</v>
      </c>
      <c r="AF276">
        <v>7.7295303344999998E-4</v>
      </c>
      <c r="AG276">
        <v>1.16958999633789</v>
      </c>
      <c r="AH276">
        <v>1.16928267478943</v>
      </c>
      <c r="AI276">
        <v>3.0732154846000001E-4</v>
      </c>
      <c r="AJ276">
        <v>-228</v>
      </c>
      <c r="AK276">
        <v>0</v>
      </c>
      <c r="AL276" t="s">
        <v>459</v>
      </c>
    </row>
    <row r="277" spans="1:38" x14ac:dyDescent="0.3">
      <c r="A277" s="1"/>
      <c r="Y277" s="1">
        <v>43811.954039351855</v>
      </c>
      <c r="Z277">
        <v>9422</v>
      </c>
      <c r="AA277">
        <v>7184</v>
      </c>
      <c r="AB277">
        <v>11</v>
      </c>
      <c r="AC277" t="s">
        <v>24</v>
      </c>
      <c r="AD277">
        <v>1.1717400550842301</v>
      </c>
      <c r="AE277">
        <v>1.1709671020507799</v>
      </c>
      <c r="AF277">
        <v>7.7295303344999998E-4</v>
      </c>
      <c r="AG277">
        <v>1.16958999633789</v>
      </c>
      <c r="AH277">
        <v>1.16928267478943</v>
      </c>
      <c r="AI277">
        <v>3.0732154846000001E-4</v>
      </c>
      <c r="AJ277">
        <v>-228</v>
      </c>
      <c r="AK277">
        <v>0</v>
      </c>
      <c r="AL277" t="s">
        <v>459</v>
      </c>
    </row>
    <row r="278" spans="1:38" x14ac:dyDescent="0.3">
      <c r="A278" s="1"/>
      <c r="Y278" s="1">
        <v>43811.954097222224</v>
      </c>
      <c r="Z278">
        <v>9422</v>
      </c>
      <c r="AA278">
        <v>7184</v>
      </c>
      <c r="AB278">
        <v>11</v>
      </c>
      <c r="AC278" t="s">
        <v>24</v>
      </c>
      <c r="AD278">
        <v>1.1717400550842301</v>
      </c>
      <c r="AE278">
        <v>1.1709671020507799</v>
      </c>
      <c r="AF278">
        <v>7.7295303344999998E-4</v>
      </c>
      <c r="AG278">
        <v>1.16958999633789</v>
      </c>
      <c r="AH278">
        <v>1.16928267478943</v>
      </c>
      <c r="AI278">
        <v>3.0732154846000001E-4</v>
      </c>
      <c r="AJ278">
        <v>-228</v>
      </c>
      <c r="AK278">
        <v>0</v>
      </c>
      <c r="AL278" t="s">
        <v>459</v>
      </c>
    </row>
    <row r="279" spans="1:38" x14ac:dyDescent="0.3">
      <c r="A279" s="1"/>
      <c r="Y279" s="1">
        <v>43811.95416666667</v>
      </c>
      <c r="Z279">
        <v>9422</v>
      </c>
      <c r="AA279">
        <v>7184</v>
      </c>
      <c r="AB279">
        <v>11</v>
      </c>
      <c r="AC279" t="s">
        <v>24</v>
      </c>
      <c r="AD279">
        <v>1.1717400550842301</v>
      </c>
      <c r="AE279">
        <v>1.1709671020507799</v>
      </c>
      <c r="AF279">
        <v>7.7295303344999998E-4</v>
      </c>
      <c r="AG279">
        <v>1.16958999633789</v>
      </c>
      <c r="AH279">
        <v>1.16928267478943</v>
      </c>
      <c r="AI279">
        <v>3.0732154846000001E-4</v>
      </c>
      <c r="AJ279">
        <v>-228</v>
      </c>
      <c r="AK279">
        <v>0</v>
      </c>
      <c r="AL279" t="s">
        <v>459</v>
      </c>
    </row>
    <row r="280" spans="1:38" x14ac:dyDescent="0.3">
      <c r="A280" s="1"/>
      <c r="Y280" s="1">
        <v>43811.954236111109</v>
      </c>
      <c r="Z280">
        <v>9422</v>
      </c>
      <c r="AA280">
        <v>7184</v>
      </c>
      <c r="AB280">
        <v>11</v>
      </c>
      <c r="AC280" t="s">
        <v>24</v>
      </c>
      <c r="AD280">
        <v>1.1717400550842301</v>
      </c>
      <c r="AE280">
        <v>1.1709671020507799</v>
      </c>
      <c r="AF280">
        <v>7.7295303344999998E-4</v>
      </c>
      <c r="AG280">
        <v>1.16958999633789</v>
      </c>
      <c r="AH280">
        <v>1.16928267478943</v>
      </c>
      <c r="AI280">
        <v>3.0732154846000001E-4</v>
      </c>
      <c r="AJ280">
        <v>-228</v>
      </c>
      <c r="AK280">
        <v>0</v>
      </c>
      <c r="AL280" t="s">
        <v>459</v>
      </c>
    </row>
    <row r="281" spans="1:38" x14ac:dyDescent="0.3">
      <c r="A281" s="1"/>
      <c r="Y281" s="1">
        <v>43811.954305555555</v>
      </c>
      <c r="Z281">
        <v>9422</v>
      </c>
      <c r="AA281">
        <v>7184</v>
      </c>
      <c r="AB281">
        <v>11</v>
      </c>
      <c r="AC281" t="s">
        <v>24</v>
      </c>
      <c r="AD281">
        <v>1.1717400550842301</v>
      </c>
      <c r="AE281">
        <v>1.1709671020507799</v>
      </c>
      <c r="AF281">
        <v>7.7295303344999998E-4</v>
      </c>
      <c r="AG281">
        <v>1.16958999633789</v>
      </c>
      <c r="AH281">
        <v>1.16928267478943</v>
      </c>
      <c r="AI281">
        <v>3.0732154846000001E-4</v>
      </c>
      <c r="AJ281">
        <v>-228</v>
      </c>
      <c r="AK281">
        <v>0</v>
      </c>
      <c r="AL281" t="s">
        <v>459</v>
      </c>
    </row>
    <row r="282" spans="1:38" x14ac:dyDescent="0.3">
      <c r="A282" s="1"/>
      <c r="Y282" s="1">
        <v>43811.954375000001</v>
      </c>
      <c r="Z282">
        <v>9422</v>
      </c>
      <c r="AA282">
        <v>7184</v>
      </c>
      <c r="AB282">
        <v>11</v>
      </c>
      <c r="AC282" t="s">
        <v>24</v>
      </c>
      <c r="AD282">
        <v>1.1717400550842301</v>
      </c>
      <c r="AE282">
        <v>1.1709671020507799</v>
      </c>
      <c r="AF282">
        <v>7.7295303344999998E-4</v>
      </c>
      <c r="AG282">
        <v>1.16958999633789</v>
      </c>
      <c r="AH282">
        <v>1.16928267478943</v>
      </c>
      <c r="AI282">
        <v>3.0732154846000001E-4</v>
      </c>
      <c r="AJ282">
        <v>-228</v>
      </c>
      <c r="AK282">
        <v>0</v>
      </c>
      <c r="AL282" t="s">
        <v>459</v>
      </c>
    </row>
    <row r="283" spans="1:38" x14ac:dyDescent="0.3">
      <c r="A283" s="1"/>
      <c r="Y283" s="1">
        <v>43811.954456018517</v>
      </c>
      <c r="Z283">
        <v>9422</v>
      </c>
      <c r="AA283">
        <v>7184</v>
      </c>
      <c r="AB283">
        <v>11</v>
      </c>
      <c r="AC283" t="s">
        <v>24</v>
      </c>
      <c r="AD283">
        <v>1.1717400550842301</v>
      </c>
      <c r="AE283">
        <v>1.1709671020507799</v>
      </c>
      <c r="AF283">
        <v>7.7295303344999998E-4</v>
      </c>
      <c r="AG283">
        <v>1.16958999633789</v>
      </c>
      <c r="AH283">
        <v>1.16928267478943</v>
      </c>
      <c r="AI283">
        <v>3.0732154846000001E-4</v>
      </c>
      <c r="AJ283">
        <v>-228</v>
      </c>
      <c r="AK283">
        <v>0</v>
      </c>
      <c r="AL283" t="s">
        <v>459</v>
      </c>
    </row>
    <row r="284" spans="1:38" x14ac:dyDescent="0.3">
      <c r="A284" s="1"/>
      <c r="Y284" s="1">
        <v>43811.954525462963</v>
      </c>
      <c r="Z284">
        <v>9422</v>
      </c>
      <c r="AA284">
        <v>7184</v>
      </c>
      <c r="AB284">
        <v>11</v>
      </c>
      <c r="AC284" t="s">
        <v>24</v>
      </c>
      <c r="AD284">
        <v>1.1717400550842301</v>
      </c>
      <c r="AE284">
        <v>1.1709671020507799</v>
      </c>
      <c r="AF284">
        <v>7.7295303344999998E-4</v>
      </c>
      <c r="AG284">
        <v>1.16958999633789</v>
      </c>
      <c r="AH284">
        <v>1.16928267478943</v>
      </c>
      <c r="AI284">
        <v>3.0732154846000001E-4</v>
      </c>
      <c r="AJ284">
        <v>-228</v>
      </c>
      <c r="AK284">
        <v>0</v>
      </c>
      <c r="AL284" t="s">
        <v>459</v>
      </c>
    </row>
    <row r="285" spans="1:38" x14ac:dyDescent="0.3">
      <c r="A285" s="1"/>
      <c r="Y285" s="1">
        <v>43811.954606481479</v>
      </c>
      <c r="Z285">
        <v>9422</v>
      </c>
      <c r="AA285">
        <v>7184</v>
      </c>
      <c r="AB285">
        <v>11</v>
      </c>
      <c r="AC285" t="s">
        <v>24</v>
      </c>
      <c r="AD285">
        <v>1.1717400550842301</v>
      </c>
      <c r="AE285">
        <v>1.1709671020507799</v>
      </c>
      <c r="AF285">
        <v>7.7295303344999998E-4</v>
      </c>
      <c r="AG285">
        <v>1.16958999633789</v>
      </c>
      <c r="AH285">
        <v>1.16928267478943</v>
      </c>
      <c r="AI285">
        <v>3.0732154846000001E-4</v>
      </c>
      <c r="AJ285">
        <v>-228</v>
      </c>
      <c r="AK285">
        <v>0</v>
      </c>
      <c r="AL285" t="s">
        <v>459</v>
      </c>
    </row>
    <row r="286" spans="1:38" x14ac:dyDescent="0.3">
      <c r="A286" s="1"/>
      <c r="Y286" s="1">
        <v>43811.954687500001</v>
      </c>
      <c r="Z286">
        <v>9422</v>
      </c>
      <c r="AA286">
        <v>7184</v>
      </c>
      <c r="AB286">
        <v>11</v>
      </c>
      <c r="AC286" t="s">
        <v>24</v>
      </c>
      <c r="AD286">
        <v>1.1717400550842301</v>
      </c>
      <c r="AE286">
        <v>1.1709671020507799</v>
      </c>
      <c r="AF286">
        <v>7.7295303344999998E-4</v>
      </c>
      <c r="AG286">
        <v>1.16958999633789</v>
      </c>
      <c r="AH286">
        <v>1.16928267478943</v>
      </c>
      <c r="AI286">
        <v>3.0732154846000001E-4</v>
      </c>
      <c r="AJ286">
        <v>-228</v>
      </c>
      <c r="AK286">
        <v>0</v>
      </c>
      <c r="AL286" t="s">
        <v>459</v>
      </c>
    </row>
    <row r="287" spans="1:38" x14ac:dyDescent="0.3">
      <c r="A287" s="1"/>
      <c r="Y287" s="1">
        <v>43811.954768518517</v>
      </c>
      <c r="Z287">
        <v>9422</v>
      </c>
      <c r="AA287">
        <v>7184</v>
      </c>
      <c r="AB287">
        <v>11</v>
      </c>
      <c r="AC287" t="s">
        <v>24</v>
      </c>
      <c r="AD287">
        <v>1.1717400550842301</v>
      </c>
      <c r="AE287">
        <v>1.1709671020507799</v>
      </c>
      <c r="AF287">
        <v>7.7295303344999998E-4</v>
      </c>
      <c r="AG287">
        <v>1.16958999633789</v>
      </c>
      <c r="AH287">
        <v>1.16928267478943</v>
      </c>
      <c r="AI287">
        <v>3.0732154846000001E-4</v>
      </c>
      <c r="AJ287">
        <v>-228</v>
      </c>
      <c r="AK287">
        <v>0</v>
      </c>
      <c r="AL287" t="s">
        <v>459</v>
      </c>
    </row>
    <row r="288" spans="1:38" x14ac:dyDescent="0.3">
      <c r="A288" s="1"/>
      <c r="Y288" s="1">
        <v>43811.95484953704</v>
      </c>
      <c r="Z288">
        <v>9422</v>
      </c>
      <c r="AA288">
        <v>7184</v>
      </c>
      <c r="AB288">
        <v>11</v>
      </c>
      <c r="AC288" t="s">
        <v>24</v>
      </c>
      <c r="AD288">
        <v>1.1717400550842301</v>
      </c>
      <c r="AE288">
        <v>1.1709671020507799</v>
      </c>
      <c r="AF288">
        <v>7.7295303344999998E-4</v>
      </c>
      <c r="AG288">
        <v>1.16958999633789</v>
      </c>
      <c r="AH288">
        <v>1.16928267478943</v>
      </c>
      <c r="AI288">
        <v>3.0732154846000001E-4</v>
      </c>
      <c r="AJ288">
        <v>-228</v>
      </c>
      <c r="AK288">
        <v>0</v>
      </c>
      <c r="AL288" t="s">
        <v>459</v>
      </c>
    </row>
    <row r="289" spans="1:38" x14ac:dyDescent="0.3">
      <c r="A289" s="1"/>
      <c r="Y289" s="1">
        <v>43811.954918981479</v>
      </c>
      <c r="Z289">
        <v>9422</v>
      </c>
      <c r="AA289">
        <v>7184</v>
      </c>
      <c r="AB289">
        <v>11</v>
      </c>
      <c r="AC289" t="s">
        <v>24</v>
      </c>
      <c r="AD289">
        <v>1.1717400550842301</v>
      </c>
      <c r="AE289">
        <v>1.1709671020507799</v>
      </c>
      <c r="AF289">
        <v>7.7295303344999998E-4</v>
      </c>
      <c r="AG289">
        <v>1.16958999633789</v>
      </c>
      <c r="AH289">
        <v>1.16928267478943</v>
      </c>
      <c r="AI289">
        <v>3.0732154846000001E-4</v>
      </c>
      <c r="AJ289">
        <v>-228</v>
      </c>
      <c r="AK289">
        <v>0</v>
      </c>
      <c r="AL289" t="s">
        <v>459</v>
      </c>
    </row>
    <row r="290" spans="1:38" x14ac:dyDescent="0.3">
      <c r="A290" s="1"/>
      <c r="Y290" s="1">
        <v>43811.9533912037</v>
      </c>
      <c r="Z290">
        <v>9422</v>
      </c>
      <c r="AA290">
        <v>7184</v>
      </c>
      <c r="AB290">
        <v>12</v>
      </c>
      <c r="AC290" t="s">
        <v>25</v>
      </c>
      <c r="AD290">
        <v>1.1703599691391</v>
      </c>
      <c r="AE290">
        <v>1.17119777202606</v>
      </c>
      <c r="AF290">
        <v>8.3780288696000003E-4</v>
      </c>
      <c r="AG290">
        <v>1.16743004322052</v>
      </c>
      <c r="AH290">
        <v>1.1696463823318499</v>
      </c>
      <c r="AI290">
        <v>2.2163391113299998E-3</v>
      </c>
      <c r="AJ290">
        <v>-224</v>
      </c>
      <c r="AK290">
        <v>0</v>
      </c>
      <c r="AL290" t="s">
        <v>459</v>
      </c>
    </row>
    <row r="291" spans="1:38" x14ac:dyDescent="0.3">
      <c r="A291" s="1"/>
      <c r="Y291" s="1">
        <v>43811.9534375</v>
      </c>
      <c r="Z291">
        <v>9422</v>
      </c>
      <c r="AA291">
        <v>7184</v>
      </c>
      <c r="AB291">
        <v>12</v>
      </c>
      <c r="AC291" t="s">
        <v>25</v>
      </c>
      <c r="AD291">
        <v>1.1703599691391</v>
      </c>
      <c r="AE291">
        <v>1.17119777202606</v>
      </c>
      <c r="AF291">
        <v>8.3780288696000003E-4</v>
      </c>
      <c r="AG291">
        <v>1.16743004322052</v>
      </c>
      <c r="AH291">
        <v>1.1696463823318499</v>
      </c>
      <c r="AI291">
        <v>2.2163391113299998E-3</v>
      </c>
      <c r="AJ291">
        <v>-224</v>
      </c>
      <c r="AK291">
        <v>0</v>
      </c>
      <c r="AL291" t="s">
        <v>459</v>
      </c>
    </row>
    <row r="292" spans="1:38" x14ac:dyDescent="0.3">
      <c r="A292" s="1"/>
      <c r="Y292" s="1">
        <v>43811.95349537037</v>
      </c>
      <c r="Z292">
        <v>9422</v>
      </c>
      <c r="AA292">
        <v>7184</v>
      </c>
      <c r="AB292">
        <v>12</v>
      </c>
      <c r="AC292" t="s">
        <v>25</v>
      </c>
      <c r="AD292">
        <v>1.1703599691391</v>
      </c>
      <c r="AE292">
        <v>1.17119777202606</v>
      </c>
      <c r="AF292">
        <v>8.3780288696000003E-4</v>
      </c>
      <c r="AG292">
        <v>1.16743004322052</v>
      </c>
      <c r="AH292">
        <v>1.1696463823318499</v>
      </c>
      <c r="AI292">
        <v>2.2163391113299998E-3</v>
      </c>
      <c r="AJ292">
        <v>-224</v>
      </c>
      <c r="AK292">
        <v>0</v>
      </c>
      <c r="AL292" t="s">
        <v>459</v>
      </c>
    </row>
    <row r="293" spans="1:38" x14ac:dyDescent="0.3">
      <c r="A293" s="1"/>
      <c r="Y293" s="1">
        <v>43811.953541666669</v>
      </c>
      <c r="Z293">
        <v>9422</v>
      </c>
      <c r="AA293">
        <v>7184</v>
      </c>
      <c r="AB293">
        <v>12</v>
      </c>
      <c r="AC293" t="s">
        <v>25</v>
      </c>
      <c r="AD293">
        <v>1.1703599691391</v>
      </c>
      <c r="AE293">
        <v>1.17119777202606</v>
      </c>
      <c r="AF293">
        <v>8.3780288696000003E-4</v>
      </c>
      <c r="AG293">
        <v>1.16743004322052</v>
      </c>
      <c r="AH293">
        <v>1.1696463823318499</v>
      </c>
      <c r="AI293">
        <v>2.2163391113299998E-3</v>
      </c>
      <c r="AJ293">
        <v>-224</v>
      </c>
      <c r="AK293">
        <v>0</v>
      </c>
      <c r="AL293" t="s">
        <v>459</v>
      </c>
    </row>
    <row r="294" spans="1:38" x14ac:dyDescent="0.3">
      <c r="A294" s="1"/>
      <c r="Y294" s="1">
        <v>43811.953599537039</v>
      </c>
      <c r="Z294">
        <v>9422</v>
      </c>
      <c r="AA294">
        <v>7184</v>
      </c>
      <c r="AB294">
        <v>12</v>
      </c>
      <c r="AC294" t="s">
        <v>25</v>
      </c>
      <c r="AD294">
        <v>1.1703599691391</v>
      </c>
      <c r="AE294">
        <v>1.17119777202606</v>
      </c>
      <c r="AF294">
        <v>8.3780288696000003E-4</v>
      </c>
      <c r="AG294">
        <v>1.16743004322052</v>
      </c>
      <c r="AH294">
        <v>1.1696463823318499</v>
      </c>
      <c r="AI294">
        <v>2.2163391113299998E-3</v>
      </c>
      <c r="AJ294">
        <v>-224</v>
      </c>
      <c r="AK294">
        <v>0</v>
      </c>
      <c r="AL294" t="s">
        <v>459</v>
      </c>
    </row>
    <row r="295" spans="1:38" x14ac:dyDescent="0.3">
      <c r="A295" s="1"/>
      <c r="Y295" s="1">
        <v>43811.953657407408</v>
      </c>
      <c r="Z295">
        <v>9422</v>
      </c>
      <c r="AA295">
        <v>7184</v>
      </c>
      <c r="AB295">
        <v>12</v>
      </c>
      <c r="AC295" t="s">
        <v>25</v>
      </c>
      <c r="AD295">
        <v>1.1703599691391</v>
      </c>
      <c r="AE295">
        <v>1.17119777202606</v>
      </c>
      <c r="AF295">
        <v>8.3780288696000003E-4</v>
      </c>
      <c r="AG295">
        <v>1.16743004322052</v>
      </c>
      <c r="AH295">
        <v>1.1696463823318499</v>
      </c>
      <c r="AI295">
        <v>2.2163391113299998E-3</v>
      </c>
      <c r="AJ295">
        <v>-224</v>
      </c>
      <c r="AK295">
        <v>0</v>
      </c>
      <c r="AL295" t="s">
        <v>459</v>
      </c>
    </row>
    <row r="296" spans="1:38" x14ac:dyDescent="0.3">
      <c r="A296" s="1"/>
      <c r="Y296" s="1">
        <v>43811.953715277778</v>
      </c>
      <c r="Z296">
        <v>9422</v>
      </c>
      <c r="AA296">
        <v>7184</v>
      </c>
      <c r="AB296">
        <v>12</v>
      </c>
      <c r="AC296" t="s">
        <v>25</v>
      </c>
      <c r="AD296">
        <v>1.1703599691391</v>
      </c>
      <c r="AE296">
        <v>1.17119777202606</v>
      </c>
      <c r="AF296">
        <v>8.3780288696000003E-4</v>
      </c>
      <c r="AG296">
        <v>1.16743004322052</v>
      </c>
      <c r="AH296">
        <v>1.1696463823318499</v>
      </c>
      <c r="AI296">
        <v>2.2163391113299998E-3</v>
      </c>
      <c r="AJ296">
        <v>-224</v>
      </c>
      <c r="AK296">
        <v>0</v>
      </c>
      <c r="AL296" t="s">
        <v>459</v>
      </c>
    </row>
    <row r="297" spans="1:38" x14ac:dyDescent="0.3">
      <c r="A297" s="1"/>
      <c r="Y297" s="1">
        <v>43811.953773148147</v>
      </c>
      <c r="Z297">
        <v>9422</v>
      </c>
      <c r="AA297">
        <v>7184</v>
      </c>
      <c r="AB297">
        <v>12</v>
      </c>
      <c r="AC297" t="s">
        <v>25</v>
      </c>
      <c r="AD297">
        <v>1.1703599691391</v>
      </c>
      <c r="AE297">
        <v>1.17119777202606</v>
      </c>
      <c r="AF297">
        <v>8.3780288696000003E-4</v>
      </c>
      <c r="AG297">
        <v>1.16743004322052</v>
      </c>
      <c r="AH297">
        <v>1.1696463823318499</v>
      </c>
      <c r="AI297">
        <v>2.2163391113299998E-3</v>
      </c>
      <c r="AJ297">
        <v>-224</v>
      </c>
      <c r="AK297">
        <v>0</v>
      </c>
      <c r="AL297" t="s">
        <v>459</v>
      </c>
    </row>
    <row r="298" spans="1:38" x14ac:dyDescent="0.3">
      <c r="A298" s="1"/>
      <c r="Y298" s="1">
        <v>43811.953842592593</v>
      </c>
      <c r="Z298">
        <v>9422</v>
      </c>
      <c r="AA298">
        <v>7184</v>
      </c>
      <c r="AB298">
        <v>12</v>
      </c>
      <c r="AC298" t="s">
        <v>25</v>
      </c>
      <c r="AD298">
        <v>1.1703599691391</v>
      </c>
      <c r="AE298">
        <v>1.17119777202606</v>
      </c>
      <c r="AF298">
        <v>8.3780288696000003E-4</v>
      </c>
      <c r="AG298">
        <v>1.16743004322052</v>
      </c>
      <c r="AH298">
        <v>1.1696463823318499</v>
      </c>
      <c r="AI298">
        <v>2.2163391113299998E-3</v>
      </c>
      <c r="AJ298">
        <v>-224</v>
      </c>
      <c r="AK298">
        <v>0</v>
      </c>
      <c r="AL298" t="s">
        <v>459</v>
      </c>
    </row>
    <row r="299" spans="1:38" x14ac:dyDescent="0.3">
      <c r="A299" s="1"/>
      <c r="Y299" s="1">
        <v>43811.953900462962</v>
      </c>
      <c r="Z299">
        <v>9422</v>
      </c>
      <c r="AA299">
        <v>7184</v>
      </c>
      <c r="AB299">
        <v>12</v>
      </c>
      <c r="AC299" t="s">
        <v>25</v>
      </c>
      <c r="AD299">
        <v>1.1703599691391</v>
      </c>
      <c r="AE299">
        <v>1.17119777202606</v>
      </c>
      <c r="AF299">
        <v>8.3780288696000003E-4</v>
      </c>
      <c r="AG299">
        <v>1.16743004322052</v>
      </c>
      <c r="AH299">
        <v>1.1696463823318499</v>
      </c>
      <c r="AI299">
        <v>2.2163391113299998E-3</v>
      </c>
      <c r="AJ299">
        <v>-224</v>
      </c>
      <c r="AK299">
        <v>0</v>
      </c>
      <c r="AL299" t="s">
        <v>459</v>
      </c>
    </row>
    <row r="300" spans="1:38" x14ac:dyDescent="0.3">
      <c r="A300" s="1"/>
      <c r="Y300" s="1">
        <v>43811.953969907408</v>
      </c>
      <c r="Z300">
        <v>9422</v>
      </c>
      <c r="AA300">
        <v>7184</v>
      </c>
      <c r="AB300">
        <v>12</v>
      </c>
      <c r="AC300" t="s">
        <v>25</v>
      </c>
      <c r="AD300">
        <v>1.1703599691391</v>
      </c>
      <c r="AE300">
        <v>1.17119777202606</v>
      </c>
      <c r="AF300">
        <v>8.3780288696000003E-4</v>
      </c>
      <c r="AG300">
        <v>1.16743004322052</v>
      </c>
      <c r="AH300">
        <v>1.1696463823318499</v>
      </c>
      <c r="AI300">
        <v>2.2163391113299998E-3</v>
      </c>
      <c r="AJ300">
        <v>-224</v>
      </c>
      <c r="AK300">
        <v>0</v>
      </c>
      <c r="AL300" t="s">
        <v>459</v>
      </c>
    </row>
    <row r="301" spans="1:38" x14ac:dyDescent="0.3">
      <c r="A301" s="1"/>
      <c r="Y301" s="1">
        <v>43811.954039351855</v>
      </c>
      <c r="Z301">
        <v>9422</v>
      </c>
      <c r="AA301">
        <v>7184</v>
      </c>
      <c r="AB301">
        <v>12</v>
      </c>
      <c r="AC301" t="s">
        <v>25</v>
      </c>
      <c r="AD301">
        <v>1.1703599691391</v>
      </c>
      <c r="AE301">
        <v>1.17119777202606</v>
      </c>
      <c r="AF301">
        <v>8.3780288696000003E-4</v>
      </c>
      <c r="AG301">
        <v>1.16743004322052</v>
      </c>
      <c r="AH301">
        <v>1.1696463823318499</v>
      </c>
      <c r="AI301">
        <v>2.2163391113299998E-3</v>
      </c>
      <c r="AJ301">
        <v>-224</v>
      </c>
      <c r="AK301">
        <v>0</v>
      </c>
      <c r="AL301" t="s">
        <v>459</v>
      </c>
    </row>
    <row r="302" spans="1:38" x14ac:dyDescent="0.3">
      <c r="A302" s="1"/>
      <c r="Y302" s="1">
        <v>43811.954097222224</v>
      </c>
      <c r="Z302">
        <v>9422</v>
      </c>
      <c r="AA302">
        <v>7184</v>
      </c>
      <c r="AB302">
        <v>12</v>
      </c>
      <c r="AC302" t="s">
        <v>25</v>
      </c>
      <c r="AD302">
        <v>1.1703599691391</v>
      </c>
      <c r="AE302">
        <v>1.17119777202606</v>
      </c>
      <c r="AF302">
        <v>8.3780288696000003E-4</v>
      </c>
      <c r="AG302">
        <v>1.16743004322052</v>
      </c>
      <c r="AH302">
        <v>1.1696463823318499</v>
      </c>
      <c r="AI302">
        <v>2.2163391113299998E-3</v>
      </c>
      <c r="AJ302">
        <v>-224</v>
      </c>
      <c r="AK302">
        <v>0</v>
      </c>
      <c r="AL302" t="s">
        <v>459</v>
      </c>
    </row>
    <row r="303" spans="1:38" x14ac:dyDescent="0.3">
      <c r="A303" s="1"/>
      <c r="Y303" s="1">
        <v>43811.95416666667</v>
      </c>
      <c r="Z303">
        <v>9422</v>
      </c>
      <c r="AA303">
        <v>7184</v>
      </c>
      <c r="AB303">
        <v>12</v>
      </c>
      <c r="AC303" t="s">
        <v>25</v>
      </c>
      <c r="AD303">
        <v>1.1703599691391</v>
      </c>
      <c r="AE303">
        <v>1.17119777202606</v>
      </c>
      <c r="AF303">
        <v>8.3780288696000003E-4</v>
      </c>
      <c r="AG303">
        <v>1.16743004322052</v>
      </c>
      <c r="AH303">
        <v>1.1696463823318499</v>
      </c>
      <c r="AI303">
        <v>2.2163391113299998E-3</v>
      </c>
      <c r="AJ303">
        <v>-224</v>
      </c>
      <c r="AK303">
        <v>0</v>
      </c>
      <c r="AL303" t="s">
        <v>459</v>
      </c>
    </row>
    <row r="304" spans="1:38" x14ac:dyDescent="0.3">
      <c r="A304" s="1"/>
      <c r="Y304" s="1">
        <v>43811.954236111109</v>
      </c>
      <c r="Z304">
        <v>9422</v>
      </c>
      <c r="AA304">
        <v>7184</v>
      </c>
      <c r="AB304">
        <v>12</v>
      </c>
      <c r="AC304" t="s">
        <v>25</v>
      </c>
      <c r="AD304">
        <v>1.1703599691391</v>
      </c>
      <c r="AE304">
        <v>1.17119777202606</v>
      </c>
      <c r="AF304">
        <v>8.3780288696000003E-4</v>
      </c>
      <c r="AG304">
        <v>1.16743004322052</v>
      </c>
      <c r="AH304">
        <v>1.1696463823318499</v>
      </c>
      <c r="AI304">
        <v>2.2163391113299998E-3</v>
      </c>
      <c r="AJ304">
        <v>-224</v>
      </c>
      <c r="AK304">
        <v>0</v>
      </c>
      <c r="AL304" t="s">
        <v>459</v>
      </c>
    </row>
    <row r="305" spans="1:38" x14ac:dyDescent="0.3">
      <c r="A305" s="1"/>
      <c r="Y305" s="1">
        <v>43811.954305555555</v>
      </c>
      <c r="Z305">
        <v>9422</v>
      </c>
      <c r="AA305">
        <v>7184</v>
      </c>
      <c r="AB305">
        <v>12</v>
      </c>
      <c r="AC305" t="s">
        <v>25</v>
      </c>
      <c r="AD305">
        <v>1.1703599691391</v>
      </c>
      <c r="AE305">
        <v>1.17119777202606</v>
      </c>
      <c r="AF305">
        <v>8.3780288696000003E-4</v>
      </c>
      <c r="AG305">
        <v>1.16743004322052</v>
      </c>
      <c r="AH305">
        <v>1.1696463823318499</v>
      </c>
      <c r="AI305">
        <v>2.2163391113299998E-3</v>
      </c>
      <c r="AJ305">
        <v>-224</v>
      </c>
      <c r="AK305">
        <v>0</v>
      </c>
      <c r="AL305" t="s">
        <v>459</v>
      </c>
    </row>
    <row r="306" spans="1:38" x14ac:dyDescent="0.3">
      <c r="A306" s="1"/>
      <c r="Y306" s="1">
        <v>43811.954375000001</v>
      </c>
      <c r="Z306">
        <v>9422</v>
      </c>
      <c r="AA306">
        <v>7184</v>
      </c>
      <c r="AB306">
        <v>12</v>
      </c>
      <c r="AC306" t="s">
        <v>25</v>
      </c>
      <c r="AD306">
        <v>1.1703599691391</v>
      </c>
      <c r="AE306">
        <v>1.17119777202606</v>
      </c>
      <c r="AF306">
        <v>8.3780288696000003E-4</v>
      </c>
      <c r="AG306">
        <v>1.16743004322052</v>
      </c>
      <c r="AH306">
        <v>1.1696463823318499</v>
      </c>
      <c r="AI306">
        <v>2.2163391113299998E-3</v>
      </c>
      <c r="AJ306">
        <v>-224</v>
      </c>
      <c r="AK306">
        <v>0</v>
      </c>
      <c r="AL306" t="s">
        <v>459</v>
      </c>
    </row>
    <row r="307" spans="1:38" x14ac:dyDescent="0.3">
      <c r="A307" s="1"/>
      <c r="Y307" s="1">
        <v>43811.954456018517</v>
      </c>
      <c r="Z307">
        <v>9422</v>
      </c>
      <c r="AA307">
        <v>7184</v>
      </c>
      <c r="AB307">
        <v>12</v>
      </c>
      <c r="AC307" t="s">
        <v>25</v>
      </c>
      <c r="AD307">
        <v>1.1703599691391</v>
      </c>
      <c r="AE307">
        <v>1.17119777202606</v>
      </c>
      <c r="AF307">
        <v>8.3780288696000003E-4</v>
      </c>
      <c r="AG307">
        <v>1.16743004322052</v>
      </c>
      <c r="AH307">
        <v>1.1696463823318499</v>
      </c>
      <c r="AI307">
        <v>2.2163391113299998E-3</v>
      </c>
      <c r="AJ307">
        <v>-224</v>
      </c>
      <c r="AK307">
        <v>0</v>
      </c>
      <c r="AL307" t="s">
        <v>459</v>
      </c>
    </row>
    <row r="308" spans="1:38" x14ac:dyDescent="0.3">
      <c r="A308" s="1"/>
      <c r="Y308" s="1">
        <v>43811.954525462963</v>
      </c>
      <c r="Z308">
        <v>9422</v>
      </c>
      <c r="AA308">
        <v>7184</v>
      </c>
      <c r="AB308">
        <v>12</v>
      </c>
      <c r="AC308" t="s">
        <v>25</v>
      </c>
      <c r="AD308">
        <v>1.1703599691391</v>
      </c>
      <c r="AE308">
        <v>1.17119777202606</v>
      </c>
      <c r="AF308">
        <v>8.3780288696000003E-4</v>
      </c>
      <c r="AG308">
        <v>1.16743004322052</v>
      </c>
      <c r="AH308">
        <v>1.1696463823318499</v>
      </c>
      <c r="AI308">
        <v>2.2163391113299998E-3</v>
      </c>
      <c r="AJ308">
        <v>-224</v>
      </c>
      <c r="AK308">
        <v>0</v>
      </c>
      <c r="AL308" t="s">
        <v>459</v>
      </c>
    </row>
    <row r="309" spans="1:38" x14ac:dyDescent="0.3">
      <c r="A309" s="1"/>
      <c r="Y309" s="1">
        <v>43811.954606481479</v>
      </c>
      <c r="Z309">
        <v>9422</v>
      </c>
      <c r="AA309">
        <v>7184</v>
      </c>
      <c r="AB309">
        <v>12</v>
      </c>
      <c r="AC309" t="s">
        <v>25</v>
      </c>
      <c r="AD309">
        <v>1.1703599691391</v>
      </c>
      <c r="AE309">
        <v>1.17119777202606</v>
      </c>
      <c r="AF309">
        <v>8.3780288696000003E-4</v>
      </c>
      <c r="AG309">
        <v>1.16743004322052</v>
      </c>
      <c r="AH309">
        <v>1.1696463823318499</v>
      </c>
      <c r="AI309">
        <v>2.2163391113299998E-3</v>
      </c>
      <c r="AJ309">
        <v>-224</v>
      </c>
      <c r="AK309">
        <v>0</v>
      </c>
      <c r="AL309" t="s">
        <v>459</v>
      </c>
    </row>
    <row r="310" spans="1:38" x14ac:dyDescent="0.3">
      <c r="A310" s="1"/>
      <c r="Y310" s="1">
        <v>43811.954687500001</v>
      </c>
      <c r="Z310">
        <v>9422</v>
      </c>
      <c r="AA310">
        <v>7184</v>
      </c>
      <c r="AB310">
        <v>12</v>
      </c>
      <c r="AC310" t="s">
        <v>25</v>
      </c>
      <c r="AD310">
        <v>1.1703599691391</v>
      </c>
      <c r="AE310">
        <v>1.17119777202606</v>
      </c>
      <c r="AF310">
        <v>8.3780288696000003E-4</v>
      </c>
      <c r="AG310">
        <v>1.16743004322052</v>
      </c>
      <c r="AH310">
        <v>1.1696463823318499</v>
      </c>
      <c r="AI310">
        <v>2.2163391113299998E-3</v>
      </c>
      <c r="AJ310">
        <v>-224</v>
      </c>
      <c r="AK310">
        <v>0</v>
      </c>
      <c r="AL310" t="s">
        <v>459</v>
      </c>
    </row>
    <row r="311" spans="1:38" x14ac:dyDescent="0.3">
      <c r="A311" s="1"/>
      <c r="Y311" s="1">
        <v>43811.954768518517</v>
      </c>
      <c r="Z311">
        <v>9422</v>
      </c>
      <c r="AA311">
        <v>7184</v>
      </c>
      <c r="AB311">
        <v>12</v>
      </c>
      <c r="AC311" t="s">
        <v>25</v>
      </c>
      <c r="AD311">
        <v>1.1703599691391</v>
      </c>
      <c r="AE311">
        <v>1.17119777202606</v>
      </c>
      <c r="AF311">
        <v>8.3780288696000003E-4</v>
      </c>
      <c r="AG311">
        <v>1.16743004322052</v>
      </c>
      <c r="AH311">
        <v>1.1696463823318499</v>
      </c>
      <c r="AI311">
        <v>2.2163391113299998E-3</v>
      </c>
      <c r="AJ311">
        <v>-224</v>
      </c>
      <c r="AK311">
        <v>0</v>
      </c>
      <c r="AL311" t="s">
        <v>459</v>
      </c>
    </row>
    <row r="312" spans="1:38" x14ac:dyDescent="0.3">
      <c r="A312" s="1"/>
      <c r="Y312" s="1">
        <v>43811.95484953704</v>
      </c>
      <c r="Z312">
        <v>9422</v>
      </c>
      <c r="AA312">
        <v>7184</v>
      </c>
      <c r="AB312">
        <v>12</v>
      </c>
      <c r="AC312" t="s">
        <v>25</v>
      </c>
      <c r="AD312">
        <v>1.1703599691391</v>
      </c>
      <c r="AE312">
        <v>1.17119777202606</v>
      </c>
      <c r="AF312">
        <v>8.3780288696000003E-4</v>
      </c>
      <c r="AG312">
        <v>1.16743004322052</v>
      </c>
      <c r="AH312">
        <v>1.1696463823318499</v>
      </c>
      <c r="AI312">
        <v>2.2163391113299998E-3</v>
      </c>
      <c r="AJ312">
        <v>-224</v>
      </c>
      <c r="AK312">
        <v>0</v>
      </c>
      <c r="AL312" t="s">
        <v>459</v>
      </c>
    </row>
    <row r="313" spans="1:38" x14ac:dyDescent="0.3">
      <c r="A313" s="1"/>
      <c r="Y313" s="1">
        <v>43811.954918981479</v>
      </c>
      <c r="Z313">
        <v>9422</v>
      </c>
      <c r="AA313">
        <v>7184</v>
      </c>
      <c r="AB313">
        <v>12</v>
      </c>
      <c r="AC313" t="s">
        <v>25</v>
      </c>
      <c r="AD313">
        <v>1.1703599691391</v>
      </c>
      <c r="AE313">
        <v>1.17119777202606</v>
      </c>
      <c r="AF313">
        <v>8.3780288696000003E-4</v>
      </c>
      <c r="AG313">
        <v>1.16743004322052</v>
      </c>
      <c r="AH313">
        <v>1.1696463823318499</v>
      </c>
      <c r="AI313">
        <v>2.2163391113299998E-3</v>
      </c>
      <c r="AJ313">
        <v>-224</v>
      </c>
      <c r="AK313">
        <v>0</v>
      </c>
      <c r="AL313" t="s">
        <v>459</v>
      </c>
    </row>
    <row r="314" spans="1:38" x14ac:dyDescent="0.3">
      <c r="A314" s="1"/>
      <c r="Y314" s="1">
        <v>43811.9533912037</v>
      </c>
      <c r="Z314">
        <v>9422</v>
      </c>
      <c r="AA314">
        <v>7184</v>
      </c>
      <c r="AB314">
        <v>13</v>
      </c>
      <c r="AC314" t="s">
        <v>26</v>
      </c>
      <c r="AD314">
        <v>1.16990995407104</v>
      </c>
      <c r="AE314">
        <v>1.1697381734848</v>
      </c>
      <c r="AF314">
        <v>1.7178058624E-4</v>
      </c>
      <c r="AG314">
        <v>1.16839003562927</v>
      </c>
      <c r="AH314">
        <v>1.1676117181778001</v>
      </c>
      <c r="AI314">
        <v>7.7831745147E-4</v>
      </c>
      <c r="AJ314">
        <v>-276</v>
      </c>
      <c r="AK314">
        <v>0</v>
      </c>
      <c r="AL314" t="s">
        <v>457</v>
      </c>
    </row>
    <row r="315" spans="1:38" x14ac:dyDescent="0.3">
      <c r="A315" s="1"/>
      <c r="Y315" s="1">
        <v>43811.9534375</v>
      </c>
      <c r="Z315">
        <v>9422</v>
      </c>
      <c r="AA315">
        <v>7184</v>
      </c>
      <c r="AB315">
        <v>13</v>
      </c>
      <c r="AC315" t="s">
        <v>26</v>
      </c>
      <c r="AD315">
        <v>1.16990995407104</v>
      </c>
      <c r="AE315">
        <v>1.1697381734848</v>
      </c>
      <c r="AF315">
        <v>1.7178058624E-4</v>
      </c>
      <c r="AG315">
        <v>1.16839003562927</v>
      </c>
      <c r="AH315">
        <v>1.1676117181778001</v>
      </c>
      <c r="AI315">
        <v>7.7831745147E-4</v>
      </c>
      <c r="AJ315">
        <v>-276</v>
      </c>
      <c r="AK315">
        <v>0</v>
      </c>
      <c r="AL315" t="s">
        <v>457</v>
      </c>
    </row>
    <row r="316" spans="1:38" x14ac:dyDescent="0.3">
      <c r="A316" s="1"/>
      <c r="Y316" s="1">
        <v>43811.95349537037</v>
      </c>
      <c r="Z316">
        <v>9422</v>
      </c>
      <c r="AA316">
        <v>7184</v>
      </c>
      <c r="AB316">
        <v>13</v>
      </c>
      <c r="AC316" t="s">
        <v>26</v>
      </c>
      <c r="AD316">
        <v>1.16990995407104</v>
      </c>
      <c r="AE316">
        <v>1.1697381734848</v>
      </c>
      <c r="AF316">
        <v>1.7178058624E-4</v>
      </c>
      <c r="AG316">
        <v>1.16839003562927</v>
      </c>
      <c r="AH316">
        <v>1.1676117181778001</v>
      </c>
      <c r="AI316">
        <v>7.7831745147E-4</v>
      </c>
      <c r="AJ316">
        <v>-276</v>
      </c>
      <c r="AK316">
        <v>0</v>
      </c>
      <c r="AL316" t="s">
        <v>457</v>
      </c>
    </row>
    <row r="317" spans="1:38" x14ac:dyDescent="0.3">
      <c r="A317" s="1"/>
      <c r="Y317" s="1">
        <v>43811.953541666669</v>
      </c>
      <c r="Z317">
        <v>9422</v>
      </c>
      <c r="AA317">
        <v>7184</v>
      </c>
      <c r="AB317">
        <v>13</v>
      </c>
      <c r="AC317" t="s">
        <v>26</v>
      </c>
      <c r="AD317">
        <v>1.16990995407104</v>
      </c>
      <c r="AE317">
        <v>1.1697381734848</v>
      </c>
      <c r="AF317">
        <v>1.7178058624E-4</v>
      </c>
      <c r="AG317">
        <v>1.16839003562927</v>
      </c>
      <c r="AH317">
        <v>1.1676117181778001</v>
      </c>
      <c r="AI317">
        <v>7.7831745147E-4</v>
      </c>
      <c r="AJ317">
        <v>-276</v>
      </c>
      <c r="AK317">
        <v>0</v>
      </c>
      <c r="AL317" t="s">
        <v>457</v>
      </c>
    </row>
    <row r="318" spans="1:38" x14ac:dyDescent="0.3">
      <c r="A318" s="1"/>
      <c r="Y318" s="1">
        <v>43811.953599537039</v>
      </c>
      <c r="Z318">
        <v>9422</v>
      </c>
      <c r="AA318">
        <v>7184</v>
      </c>
      <c r="AB318">
        <v>13</v>
      </c>
      <c r="AC318" t="s">
        <v>26</v>
      </c>
      <c r="AD318">
        <v>1.16990995407104</v>
      </c>
      <c r="AE318">
        <v>1.1697381734848</v>
      </c>
      <c r="AF318">
        <v>1.7178058624E-4</v>
      </c>
      <c r="AG318">
        <v>1.16839003562927</v>
      </c>
      <c r="AH318">
        <v>1.1676117181778001</v>
      </c>
      <c r="AI318">
        <v>7.7831745147E-4</v>
      </c>
      <c r="AJ318">
        <v>-276</v>
      </c>
      <c r="AK318">
        <v>0</v>
      </c>
      <c r="AL318" t="s">
        <v>457</v>
      </c>
    </row>
    <row r="319" spans="1:38" x14ac:dyDescent="0.3">
      <c r="A319" s="1"/>
      <c r="Y319" s="1">
        <v>43811.953657407408</v>
      </c>
      <c r="Z319">
        <v>9422</v>
      </c>
      <c r="AA319">
        <v>7184</v>
      </c>
      <c r="AB319">
        <v>13</v>
      </c>
      <c r="AC319" t="s">
        <v>26</v>
      </c>
      <c r="AD319">
        <v>1.16990995407104</v>
      </c>
      <c r="AE319">
        <v>1.1697381734848</v>
      </c>
      <c r="AF319">
        <v>1.7178058624E-4</v>
      </c>
      <c r="AG319">
        <v>1.16839003562927</v>
      </c>
      <c r="AH319">
        <v>1.1676117181778001</v>
      </c>
      <c r="AI319">
        <v>7.7831745147E-4</v>
      </c>
      <c r="AJ319">
        <v>-276</v>
      </c>
      <c r="AK319">
        <v>0</v>
      </c>
      <c r="AL319" t="s">
        <v>457</v>
      </c>
    </row>
    <row r="320" spans="1:38" x14ac:dyDescent="0.3">
      <c r="A320" s="1"/>
      <c r="Y320" s="1">
        <v>43811.953715277778</v>
      </c>
      <c r="Z320">
        <v>9422</v>
      </c>
      <c r="AA320">
        <v>7184</v>
      </c>
      <c r="AB320">
        <v>13</v>
      </c>
      <c r="AC320" t="s">
        <v>26</v>
      </c>
      <c r="AD320">
        <v>1.16990995407104</v>
      </c>
      <c r="AE320">
        <v>1.1697381734848</v>
      </c>
      <c r="AF320">
        <v>1.7178058624E-4</v>
      </c>
      <c r="AG320">
        <v>1.16839003562927</v>
      </c>
      <c r="AH320">
        <v>1.1676117181778001</v>
      </c>
      <c r="AI320">
        <v>7.7831745147E-4</v>
      </c>
      <c r="AJ320">
        <v>-276</v>
      </c>
      <c r="AK320">
        <v>0</v>
      </c>
      <c r="AL320" t="s">
        <v>457</v>
      </c>
    </row>
    <row r="321" spans="1:38" x14ac:dyDescent="0.3">
      <c r="A321" s="1"/>
      <c r="Y321" s="1">
        <v>43811.953773148147</v>
      </c>
      <c r="Z321">
        <v>9422</v>
      </c>
      <c r="AA321">
        <v>7184</v>
      </c>
      <c r="AB321">
        <v>13</v>
      </c>
      <c r="AC321" t="s">
        <v>26</v>
      </c>
      <c r="AD321">
        <v>1.16990995407104</v>
      </c>
      <c r="AE321">
        <v>1.1697381734848</v>
      </c>
      <c r="AF321">
        <v>1.7178058624E-4</v>
      </c>
      <c r="AG321">
        <v>1.16839003562927</v>
      </c>
      <c r="AH321">
        <v>1.1676117181778001</v>
      </c>
      <c r="AI321">
        <v>7.7831745147E-4</v>
      </c>
      <c r="AJ321">
        <v>-276</v>
      </c>
      <c r="AK321">
        <v>0</v>
      </c>
      <c r="AL321" t="s">
        <v>457</v>
      </c>
    </row>
    <row r="322" spans="1:38" x14ac:dyDescent="0.3">
      <c r="A322" s="1"/>
      <c r="Y322" s="1">
        <v>43811.953842592593</v>
      </c>
      <c r="Z322">
        <v>9422</v>
      </c>
      <c r="AA322">
        <v>7184</v>
      </c>
      <c r="AB322">
        <v>13</v>
      </c>
      <c r="AC322" t="s">
        <v>26</v>
      </c>
      <c r="AD322">
        <v>1.16990995407104</v>
      </c>
      <c r="AE322">
        <v>1.1697381734848</v>
      </c>
      <c r="AF322">
        <v>1.7178058624E-4</v>
      </c>
      <c r="AG322">
        <v>1.16839003562927</v>
      </c>
      <c r="AH322">
        <v>1.1676117181778001</v>
      </c>
      <c r="AI322">
        <v>7.7831745147E-4</v>
      </c>
      <c r="AJ322">
        <v>-276</v>
      </c>
      <c r="AK322">
        <v>0</v>
      </c>
      <c r="AL322" t="s">
        <v>457</v>
      </c>
    </row>
    <row r="323" spans="1:38" x14ac:dyDescent="0.3">
      <c r="A323" s="1"/>
      <c r="Y323" s="1">
        <v>43811.953900462962</v>
      </c>
      <c r="Z323">
        <v>9422</v>
      </c>
      <c r="AA323">
        <v>7184</v>
      </c>
      <c r="AB323">
        <v>13</v>
      </c>
      <c r="AC323" t="s">
        <v>26</v>
      </c>
      <c r="AD323">
        <v>1.16990995407104</v>
      </c>
      <c r="AE323">
        <v>1.1697381734848</v>
      </c>
      <c r="AF323">
        <v>1.7178058624E-4</v>
      </c>
      <c r="AG323">
        <v>1.16839003562927</v>
      </c>
      <c r="AH323">
        <v>1.1676117181778001</v>
      </c>
      <c r="AI323">
        <v>7.7831745147E-4</v>
      </c>
      <c r="AJ323">
        <v>-276</v>
      </c>
      <c r="AK323">
        <v>0</v>
      </c>
      <c r="AL323" t="s">
        <v>457</v>
      </c>
    </row>
    <row r="324" spans="1:38" x14ac:dyDescent="0.3">
      <c r="A324" s="1"/>
      <c r="Y324" s="1">
        <v>43811.953969907408</v>
      </c>
      <c r="Z324">
        <v>9422</v>
      </c>
      <c r="AA324">
        <v>7184</v>
      </c>
      <c r="AB324">
        <v>13</v>
      </c>
      <c r="AC324" t="s">
        <v>26</v>
      </c>
      <c r="AD324">
        <v>1.16990995407104</v>
      </c>
      <c r="AE324">
        <v>1.1697381734848</v>
      </c>
      <c r="AF324">
        <v>1.7178058624E-4</v>
      </c>
      <c r="AG324">
        <v>1.16839003562927</v>
      </c>
      <c r="AH324">
        <v>1.1676117181778001</v>
      </c>
      <c r="AI324">
        <v>7.7831745147E-4</v>
      </c>
      <c r="AJ324">
        <v>-276</v>
      </c>
      <c r="AK324">
        <v>0</v>
      </c>
      <c r="AL324" t="s">
        <v>457</v>
      </c>
    </row>
    <row r="325" spans="1:38" x14ac:dyDescent="0.3">
      <c r="A325" s="1"/>
      <c r="Y325" s="1">
        <v>43811.954039351855</v>
      </c>
      <c r="Z325">
        <v>9422</v>
      </c>
      <c r="AA325">
        <v>7184</v>
      </c>
      <c r="AB325">
        <v>13</v>
      </c>
      <c r="AC325" t="s">
        <v>26</v>
      </c>
      <c r="AD325">
        <v>1.16990995407104</v>
      </c>
      <c r="AE325">
        <v>1.1697381734848</v>
      </c>
      <c r="AF325">
        <v>1.7178058624E-4</v>
      </c>
      <c r="AG325">
        <v>1.16839003562927</v>
      </c>
      <c r="AH325">
        <v>1.1676117181778001</v>
      </c>
      <c r="AI325">
        <v>7.7831745147E-4</v>
      </c>
      <c r="AJ325">
        <v>-276</v>
      </c>
      <c r="AK325">
        <v>0</v>
      </c>
      <c r="AL325" t="s">
        <v>457</v>
      </c>
    </row>
    <row r="326" spans="1:38" x14ac:dyDescent="0.3">
      <c r="A326" s="1"/>
      <c r="Y326" s="1">
        <v>43811.954097222224</v>
      </c>
      <c r="Z326">
        <v>9422</v>
      </c>
      <c r="AA326">
        <v>7184</v>
      </c>
      <c r="AB326">
        <v>13</v>
      </c>
      <c r="AC326" t="s">
        <v>26</v>
      </c>
      <c r="AD326">
        <v>1.16990995407104</v>
      </c>
      <c r="AE326">
        <v>1.1697381734848</v>
      </c>
      <c r="AF326">
        <v>1.7178058624E-4</v>
      </c>
      <c r="AG326">
        <v>1.16839003562927</v>
      </c>
      <c r="AH326">
        <v>1.1676117181778001</v>
      </c>
      <c r="AI326">
        <v>7.7831745147E-4</v>
      </c>
      <c r="AJ326">
        <v>-276</v>
      </c>
      <c r="AK326">
        <v>0</v>
      </c>
      <c r="AL326" t="s">
        <v>457</v>
      </c>
    </row>
    <row r="327" spans="1:38" x14ac:dyDescent="0.3">
      <c r="A327" s="1"/>
      <c r="Y327" s="1">
        <v>43811.95416666667</v>
      </c>
      <c r="Z327">
        <v>9422</v>
      </c>
      <c r="AA327">
        <v>7184</v>
      </c>
      <c r="AB327">
        <v>13</v>
      </c>
      <c r="AC327" t="s">
        <v>26</v>
      </c>
      <c r="AD327">
        <v>1.16990995407104</v>
      </c>
      <c r="AE327">
        <v>1.1697381734848</v>
      </c>
      <c r="AF327">
        <v>1.7178058624E-4</v>
      </c>
      <c r="AG327">
        <v>1.16839003562927</v>
      </c>
      <c r="AH327">
        <v>1.1676117181778001</v>
      </c>
      <c r="AI327">
        <v>7.7831745147E-4</v>
      </c>
      <c r="AJ327">
        <v>-276</v>
      </c>
      <c r="AK327">
        <v>0</v>
      </c>
      <c r="AL327" t="s">
        <v>457</v>
      </c>
    </row>
    <row r="328" spans="1:38" x14ac:dyDescent="0.3">
      <c r="A328" s="1"/>
      <c r="Y328" s="1">
        <v>43811.954236111109</v>
      </c>
      <c r="Z328">
        <v>9422</v>
      </c>
      <c r="AA328">
        <v>7184</v>
      </c>
      <c r="AB328">
        <v>13</v>
      </c>
      <c r="AC328" t="s">
        <v>26</v>
      </c>
      <c r="AD328">
        <v>1.16990995407104</v>
      </c>
      <c r="AE328">
        <v>1.1697381734848</v>
      </c>
      <c r="AF328">
        <v>1.7178058624E-4</v>
      </c>
      <c r="AG328">
        <v>1.16839003562927</v>
      </c>
      <c r="AH328">
        <v>1.1676117181778001</v>
      </c>
      <c r="AI328">
        <v>7.7831745147E-4</v>
      </c>
      <c r="AJ328">
        <v>-276</v>
      </c>
      <c r="AK328">
        <v>0</v>
      </c>
      <c r="AL328" t="s">
        <v>457</v>
      </c>
    </row>
    <row r="329" spans="1:38" x14ac:dyDescent="0.3">
      <c r="A329" s="1"/>
      <c r="Y329" s="1">
        <v>43811.954305555555</v>
      </c>
      <c r="Z329">
        <v>9422</v>
      </c>
      <c r="AA329">
        <v>7184</v>
      </c>
      <c r="AB329">
        <v>13</v>
      </c>
      <c r="AC329" t="s">
        <v>26</v>
      </c>
      <c r="AD329">
        <v>1.16990995407104</v>
      </c>
      <c r="AE329">
        <v>1.1697381734848</v>
      </c>
      <c r="AF329">
        <v>1.7178058624E-4</v>
      </c>
      <c r="AG329">
        <v>1.16839003562927</v>
      </c>
      <c r="AH329">
        <v>1.1676117181778001</v>
      </c>
      <c r="AI329">
        <v>7.7831745147E-4</v>
      </c>
      <c r="AJ329">
        <v>-276</v>
      </c>
      <c r="AK329">
        <v>0</v>
      </c>
      <c r="AL329" t="s">
        <v>457</v>
      </c>
    </row>
    <row r="330" spans="1:38" x14ac:dyDescent="0.3">
      <c r="A330" s="1"/>
      <c r="Y330" s="1">
        <v>43811.954375000001</v>
      </c>
      <c r="Z330">
        <v>9422</v>
      </c>
      <c r="AA330">
        <v>7184</v>
      </c>
      <c r="AB330">
        <v>13</v>
      </c>
      <c r="AC330" t="s">
        <v>26</v>
      </c>
      <c r="AD330">
        <v>1.16990995407104</v>
      </c>
      <c r="AE330">
        <v>1.1697381734848</v>
      </c>
      <c r="AF330">
        <v>1.7178058624E-4</v>
      </c>
      <c r="AG330">
        <v>1.16839003562927</v>
      </c>
      <c r="AH330">
        <v>1.1676117181778001</v>
      </c>
      <c r="AI330">
        <v>7.7831745147E-4</v>
      </c>
      <c r="AJ330">
        <v>-276</v>
      </c>
      <c r="AK330">
        <v>0</v>
      </c>
      <c r="AL330" t="s">
        <v>457</v>
      </c>
    </row>
    <row r="331" spans="1:38" x14ac:dyDescent="0.3">
      <c r="A331" s="1"/>
      <c r="Y331" s="1">
        <v>43811.954456018517</v>
      </c>
      <c r="Z331">
        <v>9422</v>
      </c>
      <c r="AA331">
        <v>7184</v>
      </c>
      <c r="AB331">
        <v>13</v>
      </c>
      <c r="AC331" t="s">
        <v>26</v>
      </c>
      <c r="AD331">
        <v>1.16990995407104</v>
      </c>
      <c r="AE331">
        <v>1.1697381734848</v>
      </c>
      <c r="AF331">
        <v>1.7178058624E-4</v>
      </c>
      <c r="AG331">
        <v>1.16839003562927</v>
      </c>
      <c r="AH331">
        <v>1.1676117181778001</v>
      </c>
      <c r="AI331">
        <v>7.7831745147E-4</v>
      </c>
      <c r="AJ331">
        <v>-276</v>
      </c>
      <c r="AK331">
        <v>0</v>
      </c>
      <c r="AL331" t="s">
        <v>457</v>
      </c>
    </row>
    <row r="332" spans="1:38" x14ac:dyDescent="0.3">
      <c r="A332" s="1"/>
      <c r="Y332" s="1">
        <v>43811.954525462963</v>
      </c>
      <c r="Z332">
        <v>9422</v>
      </c>
      <c r="AA332">
        <v>7184</v>
      </c>
      <c r="AB332">
        <v>13</v>
      </c>
      <c r="AC332" t="s">
        <v>26</v>
      </c>
      <c r="AD332">
        <v>1.16990995407104</v>
      </c>
      <c r="AE332">
        <v>1.1697381734848</v>
      </c>
      <c r="AF332">
        <v>1.7178058624E-4</v>
      </c>
      <c r="AG332">
        <v>1.16839003562927</v>
      </c>
      <c r="AH332">
        <v>1.1676117181778001</v>
      </c>
      <c r="AI332">
        <v>7.7831745147E-4</v>
      </c>
      <c r="AJ332">
        <v>-276</v>
      </c>
      <c r="AK332">
        <v>0</v>
      </c>
      <c r="AL332" t="s">
        <v>457</v>
      </c>
    </row>
    <row r="333" spans="1:38" x14ac:dyDescent="0.3">
      <c r="A333" s="1"/>
      <c r="Y333" s="1">
        <v>43811.954606481479</v>
      </c>
      <c r="Z333">
        <v>9422</v>
      </c>
      <c r="AA333">
        <v>7184</v>
      </c>
      <c r="AB333">
        <v>13</v>
      </c>
      <c r="AC333" t="s">
        <v>26</v>
      </c>
      <c r="AD333">
        <v>1.16990995407104</v>
      </c>
      <c r="AE333">
        <v>1.1697381734848</v>
      </c>
      <c r="AF333">
        <v>1.7178058624E-4</v>
      </c>
      <c r="AG333">
        <v>1.16839003562927</v>
      </c>
      <c r="AH333">
        <v>1.1676117181778001</v>
      </c>
      <c r="AI333">
        <v>7.7831745147E-4</v>
      </c>
      <c r="AJ333">
        <v>-276</v>
      </c>
      <c r="AK333">
        <v>0</v>
      </c>
      <c r="AL333" t="s">
        <v>457</v>
      </c>
    </row>
    <row r="334" spans="1:38" x14ac:dyDescent="0.3">
      <c r="A334" s="1"/>
      <c r="Y334" s="1">
        <v>43811.954687500001</v>
      </c>
      <c r="Z334">
        <v>9422</v>
      </c>
      <c r="AA334">
        <v>7184</v>
      </c>
      <c r="AB334">
        <v>13</v>
      </c>
      <c r="AC334" t="s">
        <v>26</v>
      </c>
      <c r="AD334">
        <v>1.16990995407104</v>
      </c>
      <c r="AE334">
        <v>1.1697381734848</v>
      </c>
      <c r="AF334">
        <v>1.7178058624E-4</v>
      </c>
      <c r="AG334">
        <v>1.16839003562927</v>
      </c>
      <c r="AH334">
        <v>1.1676117181778001</v>
      </c>
      <c r="AI334">
        <v>7.7831745147E-4</v>
      </c>
      <c r="AJ334">
        <v>-276</v>
      </c>
      <c r="AK334">
        <v>0</v>
      </c>
      <c r="AL334" t="s">
        <v>457</v>
      </c>
    </row>
    <row r="335" spans="1:38" x14ac:dyDescent="0.3">
      <c r="A335" s="1"/>
      <c r="Y335" s="1">
        <v>43811.954768518517</v>
      </c>
      <c r="Z335">
        <v>9422</v>
      </c>
      <c r="AA335">
        <v>7184</v>
      </c>
      <c r="AB335">
        <v>13</v>
      </c>
      <c r="AC335" t="s">
        <v>26</v>
      </c>
      <c r="AD335">
        <v>1.16990995407104</v>
      </c>
      <c r="AE335">
        <v>1.1697381734848</v>
      </c>
      <c r="AF335">
        <v>1.7178058624E-4</v>
      </c>
      <c r="AG335">
        <v>1.16839003562927</v>
      </c>
      <c r="AH335">
        <v>1.1676117181778001</v>
      </c>
      <c r="AI335">
        <v>7.7831745147E-4</v>
      </c>
      <c r="AJ335">
        <v>-276</v>
      </c>
      <c r="AK335">
        <v>0</v>
      </c>
      <c r="AL335" t="s">
        <v>457</v>
      </c>
    </row>
    <row r="336" spans="1:38" x14ac:dyDescent="0.3">
      <c r="A336" s="1"/>
      <c r="Y336" s="1">
        <v>43811.95484953704</v>
      </c>
      <c r="Z336">
        <v>9422</v>
      </c>
      <c r="AA336">
        <v>7184</v>
      </c>
      <c r="AB336">
        <v>13</v>
      </c>
      <c r="AC336" t="s">
        <v>26</v>
      </c>
      <c r="AD336">
        <v>1.16990995407104</v>
      </c>
      <c r="AE336">
        <v>1.1697381734848</v>
      </c>
      <c r="AF336">
        <v>1.7178058624E-4</v>
      </c>
      <c r="AG336">
        <v>1.16839003562927</v>
      </c>
      <c r="AH336">
        <v>1.1676117181778001</v>
      </c>
      <c r="AI336">
        <v>7.7831745147E-4</v>
      </c>
      <c r="AJ336">
        <v>-276</v>
      </c>
      <c r="AK336">
        <v>0</v>
      </c>
      <c r="AL336" t="s">
        <v>457</v>
      </c>
    </row>
    <row r="337" spans="1:38" x14ac:dyDescent="0.3">
      <c r="A337" s="1"/>
      <c r="Y337" s="1">
        <v>43811.954918981479</v>
      </c>
      <c r="Z337">
        <v>9422</v>
      </c>
      <c r="AA337">
        <v>7184</v>
      </c>
      <c r="AB337">
        <v>13</v>
      </c>
      <c r="AC337" t="s">
        <v>26</v>
      </c>
      <c r="AD337">
        <v>1.16990995407104</v>
      </c>
      <c r="AE337">
        <v>1.1697381734848</v>
      </c>
      <c r="AF337">
        <v>1.7178058624E-4</v>
      </c>
      <c r="AG337">
        <v>1.16839003562927</v>
      </c>
      <c r="AH337">
        <v>1.1676117181778001</v>
      </c>
      <c r="AI337">
        <v>7.7831745147E-4</v>
      </c>
      <c r="AJ337">
        <v>-276</v>
      </c>
      <c r="AK337">
        <v>0</v>
      </c>
      <c r="AL337" t="s">
        <v>457</v>
      </c>
    </row>
    <row r="338" spans="1:38" x14ac:dyDescent="0.3">
      <c r="A338" s="1"/>
      <c r="Y338" s="1">
        <v>43811.9533912037</v>
      </c>
      <c r="Z338">
        <v>9422</v>
      </c>
      <c r="AA338">
        <v>7184</v>
      </c>
      <c r="AB338">
        <v>14</v>
      </c>
      <c r="AC338" t="s">
        <v>27</v>
      </c>
      <c r="AD338">
        <v>1.17081999778748</v>
      </c>
      <c r="AE338">
        <v>1.17053127288818</v>
      </c>
      <c r="AF338">
        <v>2.887248993E-4</v>
      </c>
      <c r="AG338">
        <v>1.1690599918365501</v>
      </c>
      <c r="AH338">
        <v>1.1686720848083501</v>
      </c>
      <c r="AI338">
        <v>3.879070282E-4</v>
      </c>
      <c r="AJ338">
        <v>2</v>
      </c>
      <c r="AK338">
        <v>0</v>
      </c>
      <c r="AL338" t="s">
        <v>457</v>
      </c>
    </row>
    <row r="339" spans="1:38" x14ac:dyDescent="0.3">
      <c r="A339" s="1"/>
      <c r="Y339" s="1">
        <v>43811.9534375</v>
      </c>
      <c r="Z339">
        <v>9422</v>
      </c>
      <c r="AA339">
        <v>7184</v>
      </c>
      <c r="AB339">
        <v>14</v>
      </c>
      <c r="AC339" t="s">
        <v>27</v>
      </c>
      <c r="AD339">
        <v>1.17081999778748</v>
      </c>
      <c r="AE339">
        <v>1.17053127288818</v>
      </c>
      <c r="AF339">
        <v>2.887248993E-4</v>
      </c>
      <c r="AG339">
        <v>1.1690599918365501</v>
      </c>
      <c r="AH339">
        <v>1.1686720848083501</v>
      </c>
      <c r="AI339">
        <v>3.879070282E-4</v>
      </c>
      <c r="AJ339">
        <v>2</v>
      </c>
      <c r="AK339">
        <v>0</v>
      </c>
      <c r="AL339" t="s">
        <v>457</v>
      </c>
    </row>
    <row r="340" spans="1:38" x14ac:dyDescent="0.3">
      <c r="A340" s="1"/>
      <c r="Y340" s="1">
        <v>43811.95349537037</v>
      </c>
      <c r="Z340">
        <v>9422</v>
      </c>
      <c r="AA340">
        <v>7184</v>
      </c>
      <c r="AB340">
        <v>14</v>
      </c>
      <c r="AC340" t="s">
        <v>27</v>
      </c>
      <c r="AD340">
        <v>1.17081999778748</v>
      </c>
      <c r="AE340">
        <v>1.17053127288818</v>
      </c>
      <c r="AF340">
        <v>2.887248993E-4</v>
      </c>
      <c r="AG340">
        <v>1.1690599918365501</v>
      </c>
      <c r="AH340">
        <v>1.1686720848083501</v>
      </c>
      <c r="AI340">
        <v>3.879070282E-4</v>
      </c>
      <c r="AJ340">
        <v>2</v>
      </c>
      <c r="AK340">
        <v>0</v>
      </c>
      <c r="AL340" t="s">
        <v>457</v>
      </c>
    </row>
    <row r="341" spans="1:38" x14ac:dyDescent="0.3">
      <c r="A341" s="1"/>
      <c r="Y341" s="1">
        <v>43811.953541666669</v>
      </c>
      <c r="Z341">
        <v>9422</v>
      </c>
      <c r="AA341">
        <v>7184</v>
      </c>
      <c r="AB341">
        <v>14</v>
      </c>
      <c r="AC341" t="s">
        <v>27</v>
      </c>
      <c r="AD341">
        <v>1.17081999778748</v>
      </c>
      <c r="AE341">
        <v>1.17053127288818</v>
      </c>
      <c r="AF341">
        <v>2.887248993E-4</v>
      </c>
      <c r="AG341">
        <v>1.1690599918365501</v>
      </c>
      <c r="AH341">
        <v>1.1686720848083501</v>
      </c>
      <c r="AI341">
        <v>3.879070282E-4</v>
      </c>
      <c r="AJ341">
        <v>2</v>
      </c>
      <c r="AK341">
        <v>0</v>
      </c>
      <c r="AL341" t="s">
        <v>457</v>
      </c>
    </row>
    <row r="342" spans="1:38" x14ac:dyDescent="0.3">
      <c r="A342" s="1"/>
      <c r="Y342" s="1">
        <v>43811.953599537039</v>
      </c>
      <c r="Z342">
        <v>9422</v>
      </c>
      <c r="AA342">
        <v>7184</v>
      </c>
      <c r="AB342">
        <v>14</v>
      </c>
      <c r="AC342" t="s">
        <v>27</v>
      </c>
      <c r="AD342">
        <v>1.17081999778748</v>
      </c>
      <c r="AE342">
        <v>1.17053127288818</v>
      </c>
      <c r="AF342">
        <v>2.887248993E-4</v>
      </c>
      <c r="AG342">
        <v>1.1690599918365501</v>
      </c>
      <c r="AH342">
        <v>1.1686720848083501</v>
      </c>
      <c r="AI342">
        <v>3.879070282E-4</v>
      </c>
      <c r="AJ342">
        <v>2</v>
      </c>
      <c r="AK342">
        <v>0</v>
      </c>
      <c r="AL342" t="s">
        <v>457</v>
      </c>
    </row>
    <row r="343" spans="1:38" x14ac:dyDescent="0.3">
      <c r="A343" s="1"/>
      <c r="Y343" s="1">
        <v>43811.953657407408</v>
      </c>
      <c r="Z343">
        <v>9422</v>
      </c>
      <c r="AA343">
        <v>7184</v>
      </c>
      <c r="AB343">
        <v>14</v>
      </c>
      <c r="AC343" t="s">
        <v>27</v>
      </c>
      <c r="AD343">
        <v>1.17081999778748</v>
      </c>
      <c r="AE343">
        <v>1.17053127288818</v>
      </c>
      <c r="AF343">
        <v>2.887248993E-4</v>
      </c>
      <c r="AG343">
        <v>1.1690599918365501</v>
      </c>
      <c r="AH343">
        <v>1.1686720848083501</v>
      </c>
      <c r="AI343">
        <v>3.879070282E-4</v>
      </c>
      <c r="AJ343">
        <v>2</v>
      </c>
      <c r="AK343">
        <v>0</v>
      </c>
      <c r="AL343" t="s">
        <v>457</v>
      </c>
    </row>
    <row r="344" spans="1:38" x14ac:dyDescent="0.3">
      <c r="A344" s="1"/>
      <c r="Y344" s="1">
        <v>43811.953715277778</v>
      </c>
      <c r="Z344">
        <v>9422</v>
      </c>
      <c r="AA344">
        <v>7184</v>
      </c>
      <c r="AB344">
        <v>14</v>
      </c>
      <c r="AC344" t="s">
        <v>27</v>
      </c>
      <c r="AD344">
        <v>1.17081999778748</v>
      </c>
      <c r="AE344">
        <v>1.17053127288818</v>
      </c>
      <c r="AF344">
        <v>2.887248993E-4</v>
      </c>
      <c r="AG344">
        <v>1.1690599918365501</v>
      </c>
      <c r="AH344">
        <v>1.1686720848083501</v>
      </c>
      <c r="AI344">
        <v>3.879070282E-4</v>
      </c>
      <c r="AJ344">
        <v>2</v>
      </c>
      <c r="AK344">
        <v>0</v>
      </c>
      <c r="AL344" t="s">
        <v>457</v>
      </c>
    </row>
    <row r="345" spans="1:38" x14ac:dyDescent="0.3">
      <c r="A345" s="1"/>
      <c r="Y345" s="1">
        <v>43811.953773148147</v>
      </c>
      <c r="Z345">
        <v>9422</v>
      </c>
      <c r="AA345">
        <v>7184</v>
      </c>
      <c r="AB345">
        <v>14</v>
      </c>
      <c r="AC345" t="s">
        <v>27</v>
      </c>
      <c r="AD345">
        <v>1.17081999778748</v>
      </c>
      <c r="AE345">
        <v>1.17053127288818</v>
      </c>
      <c r="AF345">
        <v>2.887248993E-4</v>
      </c>
      <c r="AG345">
        <v>1.1690599918365501</v>
      </c>
      <c r="AH345">
        <v>1.1686720848083501</v>
      </c>
      <c r="AI345">
        <v>3.879070282E-4</v>
      </c>
      <c r="AJ345">
        <v>2</v>
      </c>
      <c r="AK345">
        <v>0</v>
      </c>
      <c r="AL345" t="s">
        <v>457</v>
      </c>
    </row>
    <row r="346" spans="1:38" x14ac:dyDescent="0.3">
      <c r="A346" s="1"/>
      <c r="Y346" s="1">
        <v>43811.953842592593</v>
      </c>
      <c r="Z346">
        <v>9422</v>
      </c>
      <c r="AA346">
        <v>7184</v>
      </c>
      <c r="AB346">
        <v>14</v>
      </c>
      <c r="AC346" t="s">
        <v>27</v>
      </c>
      <c r="AD346">
        <v>1.17081999778748</v>
      </c>
      <c r="AE346">
        <v>1.17053127288818</v>
      </c>
      <c r="AF346">
        <v>2.887248993E-4</v>
      </c>
      <c r="AG346">
        <v>1.1690599918365501</v>
      </c>
      <c r="AH346">
        <v>1.1686720848083501</v>
      </c>
      <c r="AI346">
        <v>3.879070282E-4</v>
      </c>
      <c r="AJ346">
        <v>2</v>
      </c>
      <c r="AK346">
        <v>0</v>
      </c>
      <c r="AL346" t="s">
        <v>457</v>
      </c>
    </row>
    <row r="347" spans="1:38" x14ac:dyDescent="0.3">
      <c r="A347" s="1"/>
      <c r="Y347" s="1">
        <v>43811.953900462962</v>
      </c>
      <c r="Z347">
        <v>9422</v>
      </c>
      <c r="AA347">
        <v>7184</v>
      </c>
      <c r="AB347">
        <v>14</v>
      </c>
      <c r="AC347" t="s">
        <v>27</v>
      </c>
      <c r="AD347">
        <v>1.17081999778748</v>
      </c>
      <c r="AE347">
        <v>1.17053127288818</v>
      </c>
      <c r="AF347">
        <v>2.887248993E-4</v>
      </c>
      <c r="AG347">
        <v>1.1690599918365501</v>
      </c>
      <c r="AH347">
        <v>1.1686720848083501</v>
      </c>
      <c r="AI347">
        <v>3.879070282E-4</v>
      </c>
      <c r="AJ347">
        <v>2</v>
      </c>
      <c r="AK347">
        <v>0</v>
      </c>
      <c r="AL347" t="s">
        <v>457</v>
      </c>
    </row>
    <row r="348" spans="1:38" x14ac:dyDescent="0.3">
      <c r="A348" s="1"/>
      <c r="Y348" s="1">
        <v>43811.953969907408</v>
      </c>
      <c r="Z348">
        <v>9422</v>
      </c>
      <c r="AA348">
        <v>7184</v>
      </c>
      <c r="AB348">
        <v>14</v>
      </c>
      <c r="AC348" t="s">
        <v>27</v>
      </c>
      <c r="AD348">
        <v>1.17081999778748</v>
      </c>
      <c r="AE348">
        <v>1.17053127288818</v>
      </c>
      <c r="AF348">
        <v>2.887248993E-4</v>
      </c>
      <c r="AG348">
        <v>1.1690599918365501</v>
      </c>
      <c r="AH348">
        <v>1.1686720848083501</v>
      </c>
      <c r="AI348">
        <v>3.879070282E-4</v>
      </c>
      <c r="AJ348">
        <v>2</v>
      </c>
      <c r="AK348">
        <v>0</v>
      </c>
      <c r="AL348" t="s">
        <v>457</v>
      </c>
    </row>
    <row r="349" spans="1:38" x14ac:dyDescent="0.3">
      <c r="A349" s="1"/>
      <c r="Y349" s="1">
        <v>43811.954039351855</v>
      </c>
      <c r="Z349">
        <v>9422</v>
      </c>
      <c r="AA349">
        <v>7184</v>
      </c>
      <c r="AB349">
        <v>14</v>
      </c>
      <c r="AC349" t="s">
        <v>27</v>
      </c>
      <c r="AD349">
        <v>1.17081999778748</v>
      </c>
      <c r="AE349">
        <v>1.17053127288818</v>
      </c>
      <c r="AF349">
        <v>2.887248993E-4</v>
      </c>
      <c r="AG349">
        <v>1.1690599918365501</v>
      </c>
      <c r="AH349">
        <v>1.1686720848083501</v>
      </c>
      <c r="AI349">
        <v>3.879070282E-4</v>
      </c>
      <c r="AJ349">
        <v>2</v>
      </c>
      <c r="AK349">
        <v>0</v>
      </c>
      <c r="AL349" t="s">
        <v>457</v>
      </c>
    </row>
    <row r="350" spans="1:38" x14ac:dyDescent="0.3">
      <c r="A350" s="1"/>
      <c r="Y350" s="1">
        <v>43811.954097222224</v>
      </c>
      <c r="Z350">
        <v>9422</v>
      </c>
      <c r="AA350">
        <v>7184</v>
      </c>
      <c r="AB350">
        <v>14</v>
      </c>
      <c r="AC350" t="s">
        <v>27</v>
      </c>
      <c r="AD350">
        <v>1.17081999778748</v>
      </c>
      <c r="AE350">
        <v>1.17053127288818</v>
      </c>
      <c r="AF350">
        <v>2.887248993E-4</v>
      </c>
      <c r="AG350">
        <v>1.1690599918365501</v>
      </c>
      <c r="AH350">
        <v>1.1686720848083501</v>
      </c>
      <c r="AI350">
        <v>3.879070282E-4</v>
      </c>
      <c r="AJ350">
        <v>2</v>
      </c>
      <c r="AK350">
        <v>0</v>
      </c>
      <c r="AL350" t="s">
        <v>457</v>
      </c>
    </row>
    <row r="351" spans="1:38" x14ac:dyDescent="0.3">
      <c r="A351" s="1"/>
      <c r="Y351" s="1">
        <v>43811.95416666667</v>
      </c>
      <c r="Z351">
        <v>9422</v>
      </c>
      <c r="AA351">
        <v>7184</v>
      </c>
      <c r="AB351">
        <v>14</v>
      </c>
      <c r="AC351" t="s">
        <v>27</v>
      </c>
      <c r="AD351">
        <v>1.17081999778748</v>
      </c>
      <c r="AE351">
        <v>1.17053127288818</v>
      </c>
      <c r="AF351">
        <v>2.887248993E-4</v>
      </c>
      <c r="AG351">
        <v>1.1690599918365501</v>
      </c>
      <c r="AH351">
        <v>1.1686720848083501</v>
      </c>
      <c r="AI351">
        <v>3.879070282E-4</v>
      </c>
      <c r="AJ351">
        <v>2</v>
      </c>
      <c r="AK351">
        <v>0</v>
      </c>
      <c r="AL351" t="s">
        <v>457</v>
      </c>
    </row>
    <row r="352" spans="1:38" x14ac:dyDescent="0.3">
      <c r="A352" s="1"/>
      <c r="Y352" s="1">
        <v>43811.954236111109</v>
      </c>
      <c r="Z352">
        <v>9422</v>
      </c>
      <c r="AA352">
        <v>7184</v>
      </c>
      <c r="AB352">
        <v>14</v>
      </c>
      <c r="AC352" t="s">
        <v>27</v>
      </c>
      <c r="AD352">
        <v>1.17081999778748</v>
      </c>
      <c r="AE352">
        <v>1.17053127288818</v>
      </c>
      <c r="AF352">
        <v>2.887248993E-4</v>
      </c>
      <c r="AG352">
        <v>1.1690599918365501</v>
      </c>
      <c r="AH352">
        <v>1.1686720848083501</v>
      </c>
      <c r="AI352">
        <v>3.879070282E-4</v>
      </c>
      <c r="AJ352">
        <v>2</v>
      </c>
      <c r="AK352">
        <v>0</v>
      </c>
      <c r="AL352" t="s">
        <v>457</v>
      </c>
    </row>
    <row r="353" spans="1:38" x14ac:dyDescent="0.3">
      <c r="A353" s="1"/>
      <c r="Y353" s="1">
        <v>43811.954305555555</v>
      </c>
      <c r="Z353">
        <v>9422</v>
      </c>
      <c r="AA353">
        <v>7184</v>
      </c>
      <c r="AB353">
        <v>14</v>
      </c>
      <c r="AC353" t="s">
        <v>27</v>
      </c>
      <c r="AD353">
        <v>1.17081999778748</v>
      </c>
      <c r="AE353">
        <v>1.17053127288818</v>
      </c>
      <c r="AF353">
        <v>2.887248993E-4</v>
      </c>
      <c r="AG353">
        <v>1.1690599918365501</v>
      </c>
      <c r="AH353">
        <v>1.1686720848083501</v>
      </c>
      <c r="AI353">
        <v>3.879070282E-4</v>
      </c>
      <c r="AJ353">
        <v>2</v>
      </c>
      <c r="AK353">
        <v>0</v>
      </c>
      <c r="AL353" t="s">
        <v>457</v>
      </c>
    </row>
    <row r="354" spans="1:38" x14ac:dyDescent="0.3">
      <c r="A354" s="1"/>
      <c r="Y354" s="1">
        <v>43811.954375000001</v>
      </c>
      <c r="Z354">
        <v>9422</v>
      </c>
      <c r="AA354">
        <v>7184</v>
      </c>
      <c r="AB354">
        <v>14</v>
      </c>
      <c r="AC354" t="s">
        <v>27</v>
      </c>
      <c r="AD354">
        <v>1.17081999778748</v>
      </c>
      <c r="AE354">
        <v>1.17053127288818</v>
      </c>
      <c r="AF354">
        <v>2.887248993E-4</v>
      </c>
      <c r="AG354">
        <v>1.1690599918365501</v>
      </c>
      <c r="AH354">
        <v>1.1686720848083501</v>
      </c>
      <c r="AI354">
        <v>3.879070282E-4</v>
      </c>
      <c r="AJ354">
        <v>2</v>
      </c>
      <c r="AK354">
        <v>0</v>
      </c>
      <c r="AL354" t="s">
        <v>457</v>
      </c>
    </row>
    <row r="355" spans="1:38" x14ac:dyDescent="0.3">
      <c r="A355" s="1"/>
      <c r="Y355" s="1">
        <v>43811.954456018517</v>
      </c>
      <c r="Z355">
        <v>9422</v>
      </c>
      <c r="AA355">
        <v>7184</v>
      </c>
      <c r="AB355">
        <v>14</v>
      </c>
      <c r="AC355" t="s">
        <v>27</v>
      </c>
      <c r="AD355">
        <v>1.17081999778748</v>
      </c>
      <c r="AE355">
        <v>1.17053127288818</v>
      </c>
      <c r="AF355">
        <v>2.887248993E-4</v>
      </c>
      <c r="AG355">
        <v>1.1690599918365501</v>
      </c>
      <c r="AH355">
        <v>1.1686720848083501</v>
      </c>
      <c r="AI355">
        <v>3.879070282E-4</v>
      </c>
      <c r="AJ355">
        <v>2</v>
      </c>
      <c r="AK355">
        <v>0</v>
      </c>
      <c r="AL355" t="s">
        <v>457</v>
      </c>
    </row>
    <row r="356" spans="1:38" x14ac:dyDescent="0.3">
      <c r="A356" s="1"/>
      <c r="Y356" s="1">
        <v>43811.954525462963</v>
      </c>
      <c r="Z356">
        <v>9422</v>
      </c>
      <c r="AA356">
        <v>7184</v>
      </c>
      <c r="AB356">
        <v>14</v>
      </c>
      <c r="AC356" t="s">
        <v>27</v>
      </c>
      <c r="AD356">
        <v>1.17081999778748</v>
      </c>
      <c r="AE356">
        <v>1.17053127288818</v>
      </c>
      <c r="AF356">
        <v>2.887248993E-4</v>
      </c>
      <c r="AG356">
        <v>1.1690599918365501</v>
      </c>
      <c r="AH356">
        <v>1.1686720848083501</v>
      </c>
      <c r="AI356">
        <v>3.879070282E-4</v>
      </c>
      <c r="AJ356">
        <v>2</v>
      </c>
      <c r="AK356">
        <v>0</v>
      </c>
      <c r="AL356" t="s">
        <v>457</v>
      </c>
    </row>
    <row r="357" spans="1:38" x14ac:dyDescent="0.3">
      <c r="A357" s="1"/>
      <c r="Y357" s="1">
        <v>43811.954606481479</v>
      </c>
      <c r="Z357">
        <v>9422</v>
      </c>
      <c r="AA357">
        <v>7184</v>
      </c>
      <c r="AB357">
        <v>14</v>
      </c>
      <c r="AC357" t="s">
        <v>27</v>
      </c>
      <c r="AD357">
        <v>1.17081999778748</v>
      </c>
      <c r="AE357">
        <v>1.17053127288818</v>
      </c>
      <c r="AF357">
        <v>2.887248993E-4</v>
      </c>
      <c r="AG357">
        <v>1.1690599918365501</v>
      </c>
      <c r="AH357">
        <v>1.1686720848083501</v>
      </c>
      <c r="AI357">
        <v>3.879070282E-4</v>
      </c>
      <c r="AJ357">
        <v>2</v>
      </c>
      <c r="AK357">
        <v>0</v>
      </c>
      <c r="AL357" t="s">
        <v>457</v>
      </c>
    </row>
    <row r="358" spans="1:38" x14ac:dyDescent="0.3">
      <c r="A358" s="1"/>
      <c r="Y358" s="1">
        <v>43811.954687500001</v>
      </c>
      <c r="Z358">
        <v>9422</v>
      </c>
      <c r="AA358">
        <v>7184</v>
      </c>
      <c r="AB358">
        <v>14</v>
      </c>
      <c r="AC358" t="s">
        <v>27</v>
      </c>
      <c r="AD358">
        <v>1.17081999778748</v>
      </c>
      <c r="AE358">
        <v>1.17053127288818</v>
      </c>
      <c r="AF358">
        <v>2.887248993E-4</v>
      </c>
      <c r="AG358">
        <v>1.1690599918365501</v>
      </c>
      <c r="AH358">
        <v>1.1686720848083501</v>
      </c>
      <c r="AI358">
        <v>3.879070282E-4</v>
      </c>
      <c r="AJ358">
        <v>2</v>
      </c>
      <c r="AK358">
        <v>0</v>
      </c>
      <c r="AL358" t="s">
        <v>457</v>
      </c>
    </row>
    <row r="359" spans="1:38" x14ac:dyDescent="0.3">
      <c r="A359" s="1"/>
      <c r="Y359" s="1">
        <v>43811.954768518517</v>
      </c>
      <c r="Z359">
        <v>9422</v>
      </c>
      <c r="AA359">
        <v>7184</v>
      </c>
      <c r="AB359">
        <v>14</v>
      </c>
      <c r="AC359" t="s">
        <v>27</v>
      </c>
      <c r="AD359">
        <v>1.17081999778748</v>
      </c>
      <c r="AE359">
        <v>1.17053127288818</v>
      </c>
      <c r="AF359">
        <v>2.887248993E-4</v>
      </c>
      <c r="AG359">
        <v>1.1690599918365501</v>
      </c>
      <c r="AH359">
        <v>1.1686720848083501</v>
      </c>
      <c r="AI359">
        <v>3.879070282E-4</v>
      </c>
      <c r="AJ359">
        <v>2</v>
      </c>
      <c r="AK359">
        <v>0</v>
      </c>
      <c r="AL359" t="s">
        <v>457</v>
      </c>
    </row>
    <row r="360" spans="1:38" x14ac:dyDescent="0.3">
      <c r="A360" s="1"/>
      <c r="Y360" s="1">
        <v>43811.95484953704</v>
      </c>
      <c r="Z360">
        <v>9422</v>
      </c>
      <c r="AA360">
        <v>7184</v>
      </c>
      <c r="AB360">
        <v>14</v>
      </c>
      <c r="AC360" t="s">
        <v>27</v>
      </c>
      <c r="AD360">
        <v>1.17081999778748</v>
      </c>
      <c r="AE360">
        <v>1.17053127288818</v>
      </c>
      <c r="AF360">
        <v>2.887248993E-4</v>
      </c>
      <c r="AG360">
        <v>1.1690599918365501</v>
      </c>
      <c r="AH360">
        <v>1.1686720848083501</v>
      </c>
      <c r="AI360">
        <v>3.879070282E-4</v>
      </c>
      <c r="AJ360">
        <v>2</v>
      </c>
      <c r="AK360">
        <v>0</v>
      </c>
      <c r="AL360" t="s">
        <v>457</v>
      </c>
    </row>
    <row r="361" spans="1:38" x14ac:dyDescent="0.3">
      <c r="A361" s="1"/>
      <c r="Y361" s="1">
        <v>43811.954918981479</v>
      </c>
      <c r="Z361">
        <v>9422</v>
      </c>
      <c r="AA361">
        <v>7184</v>
      </c>
      <c r="AB361">
        <v>14</v>
      </c>
      <c r="AC361" t="s">
        <v>27</v>
      </c>
      <c r="AD361">
        <v>1.17081999778748</v>
      </c>
      <c r="AE361">
        <v>1.17053127288818</v>
      </c>
      <c r="AF361">
        <v>2.887248993E-4</v>
      </c>
      <c r="AG361">
        <v>1.1690599918365501</v>
      </c>
      <c r="AH361">
        <v>1.1686720848083501</v>
      </c>
      <c r="AI361">
        <v>3.879070282E-4</v>
      </c>
      <c r="AJ361">
        <v>2</v>
      </c>
      <c r="AK361">
        <v>0</v>
      </c>
      <c r="AL361" t="s">
        <v>457</v>
      </c>
    </row>
    <row r="362" spans="1:38" x14ac:dyDescent="0.3">
      <c r="A362" s="1"/>
      <c r="Y362" s="1">
        <v>43811.9533912037</v>
      </c>
      <c r="Z362">
        <v>9422</v>
      </c>
      <c r="AA362">
        <v>7184</v>
      </c>
      <c r="AB362">
        <v>15</v>
      </c>
      <c r="AC362" t="s">
        <v>28</v>
      </c>
      <c r="AD362">
        <v>1.1698299646377599</v>
      </c>
      <c r="AE362">
        <v>1.17062151432037</v>
      </c>
      <c r="AF362">
        <v>7.9154968261E-4</v>
      </c>
      <c r="AG362">
        <v>1.1681499481201201</v>
      </c>
      <c r="AH362">
        <v>1.16858351230621</v>
      </c>
      <c r="AI362">
        <v>4.3356418609000002E-4</v>
      </c>
      <c r="AJ362">
        <v>164</v>
      </c>
      <c r="AK362">
        <v>0</v>
      </c>
      <c r="AL362" t="s">
        <v>458</v>
      </c>
    </row>
    <row r="363" spans="1:38" x14ac:dyDescent="0.3">
      <c r="A363" s="1"/>
      <c r="Y363" s="1">
        <v>43811.9534375</v>
      </c>
      <c r="Z363">
        <v>9422</v>
      </c>
      <c r="AA363">
        <v>7184</v>
      </c>
      <c r="AB363">
        <v>15</v>
      </c>
      <c r="AC363" t="s">
        <v>28</v>
      </c>
      <c r="AD363">
        <v>1.1698299646377599</v>
      </c>
      <c r="AE363">
        <v>1.17062151432037</v>
      </c>
      <c r="AF363">
        <v>7.9154968261E-4</v>
      </c>
      <c r="AG363">
        <v>1.1681499481201201</v>
      </c>
      <c r="AH363">
        <v>1.16858351230621</v>
      </c>
      <c r="AI363">
        <v>4.3356418609000002E-4</v>
      </c>
      <c r="AJ363">
        <v>164</v>
      </c>
      <c r="AK363">
        <v>0</v>
      </c>
      <c r="AL363" t="s">
        <v>458</v>
      </c>
    </row>
    <row r="364" spans="1:38" x14ac:dyDescent="0.3">
      <c r="A364" s="1"/>
      <c r="Y364" s="1">
        <v>43811.95349537037</v>
      </c>
      <c r="Z364">
        <v>9422</v>
      </c>
      <c r="AA364">
        <v>7184</v>
      </c>
      <c r="AB364">
        <v>15</v>
      </c>
      <c r="AC364" t="s">
        <v>28</v>
      </c>
      <c r="AD364">
        <v>1.1698299646377599</v>
      </c>
      <c r="AE364">
        <v>1.17062151432037</v>
      </c>
      <c r="AF364">
        <v>7.9154968261E-4</v>
      </c>
      <c r="AG364">
        <v>1.1681499481201201</v>
      </c>
      <c r="AH364">
        <v>1.16858351230621</v>
      </c>
      <c r="AI364">
        <v>4.3356418609000002E-4</v>
      </c>
      <c r="AJ364">
        <v>164</v>
      </c>
      <c r="AK364">
        <v>0</v>
      </c>
      <c r="AL364" t="s">
        <v>458</v>
      </c>
    </row>
    <row r="365" spans="1:38" x14ac:dyDescent="0.3">
      <c r="A365" s="1"/>
      <c r="Y365" s="1">
        <v>43811.953541666669</v>
      </c>
      <c r="Z365">
        <v>9422</v>
      </c>
      <c r="AA365">
        <v>7184</v>
      </c>
      <c r="AB365">
        <v>15</v>
      </c>
      <c r="AC365" t="s">
        <v>28</v>
      </c>
      <c r="AD365">
        <v>1.1698299646377599</v>
      </c>
      <c r="AE365">
        <v>1.17062151432037</v>
      </c>
      <c r="AF365">
        <v>7.9154968261E-4</v>
      </c>
      <c r="AG365">
        <v>1.1681499481201201</v>
      </c>
      <c r="AH365">
        <v>1.16858351230621</v>
      </c>
      <c r="AI365">
        <v>4.3356418609000002E-4</v>
      </c>
      <c r="AJ365">
        <v>164</v>
      </c>
      <c r="AK365">
        <v>0</v>
      </c>
      <c r="AL365" t="s">
        <v>458</v>
      </c>
    </row>
    <row r="366" spans="1:38" x14ac:dyDescent="0.3">
      <c r="A366" s="1"/>
      <c r="Y366" s="1">
        <v>43811.953599537039</v>
      </c>
      <c r="Z366">
        <v>9422</v>
      </c>
      <c r="AA366">
        <v>7184</v>
      </c>
      <c r="AB366">
        <v>15</v>
      </c>
      <c r="AC366" t="s">
        <v>28</v>
      </c>
      <c r="AD366">
        <v>1.1698299646377599</v>
      </c>
      <c r="AE366">
        <v>1.17062151432037</v>
      </c>
      <c r="AF366">
        <v>7.9154968261E-4</v>
      </c>
      <c r="AG366">
        <v>1.1681499481201201</v>
      </c>
      <c r="AH366">
        <v>1.16858351230621</v>
      </c>
      <c r="AI366">
        <v>4.3356418609000002E-4</v>
      </c>
      <c r="AJ366">
        <v>164</v>
      </c>
      <c r="AK366">
        <v>0</v>
      </c>
      <c r="AL366" t="s">
        <v>458</v>
      </c>
    </row>
    <row r="367" spans="1:38" x14ac:dyDescent="0.3">
      <c r="A367" s="1"/>
      <c r="Y367" s="1">
        <v>43811.953657407408</v>
      </c>
      <c r="Z367">
        <v>9422</v>
      </c>
      <c r="AA367">
        <v>7184</v>
      </c>
      <c r="AB367">
        <v>15</v>
      </c>
      <c r="AC367" t="s">
        <v>28</v>
      </c>
      <c r="AD367">
        <v>1.1698299646377599</v>
      </c>
      <c r="AE367">
        <v>1.17062151432037</v>
      </c>
      <c r="AF367">
        <v>7.9154968261E-4</v>
      </c>
      <c r="AG367">
        <v>1.1681499481201201</v>
      </c>
      <c r="AH367">
        <v>1.16858351230621</v>
      </c>
      <c r="AI367">
        <v>4.3356418609000002E-4</v>
      </c>
      <c r="AJ367">
        <v>164</v>
      </c>
      <c r="AK367">
        <v>0</v>
      </c>
      <c r="AL367" t="s">
        <v>458</v>
      </c>
    </row>
    <row r="368" spans="1:38" x14ac:dyDescent="0.3">
      <c r="A368" s="1"/>
      <c r="Y368" s="1">
        <v>43811.953715277778</v>
      </c>
      <c r="Z368">
        <v>9422</v>
      </c>
      <c r="AA368">
        <v>7184</v>
      </c>
      <c r="AB368">
        <v>15</v>
      </c>
      <c r="AC368" t="s">
        <v>28</v>
      </c>
      <c r="AD368">
        <v>1.1698299646377599</v>
      </c>
      <c r="AE368">
        <v>1.17062151432037</v>
      </c>
      <c r="AF368">
        <v>7.9154968261E-4</v>
      </c>
      <c r="AG368">
        <v>1.1681499481201201</v>
      </c>
      <c r="AH368">
        <v>1.16858351230621</v>
      </c>
      <c r="AI368">
        <v>4.3356418609000002E-4</v>
      </c>
      <c r="AJ368">
        <v>164</v>
      </c>
      <c r="AK368">
        <v>0</v>
      </c>
      <c r="AL368" t="s">
        <v>458</v>
      </c>
    </row>
    <row r="369" spans="1:38" x14ac:dyDescent="0.3">
      <c r="A369" s="1"/>
      <c r="Y369" s="1">
        <v>43811.953773148147</v>
      </c>
      <c r="Z369">
        <v>9422</v>
      </c>
      <c r="AA369">
        <v>7184</v>
      </c>
      <c r="AB369">
        <v>15</v>
      </c>
      <c r="AC369" t="s">
        <v>28</v>
      </c>
      <c r="AD369">
        <v>1.1698299646377599</v>
      </c>
      <c r="AE369">
        <v>1.17062151432037</v>
      </c>
      <c r="AF369">
        <v>7.9154968261E-4</v>
      </c>
      <c r="AG369">
        <v>1.1681499481201201</v>
      </c>
      <c r="AH369">
        <v>1.16858351230621</v>
      </c>
      <c r="AI369">
        <v>4.3356418609000002E-4</v>
      </c>
      <c r="AJ369">
        <v>164</v>
      </c>
      <c r="AK369">
        <v>0</v>
      </c>
      <c r="AL369" t="s">
        <v>458</v>
      </c>
    </row>
    <row r="370" spans="1:38" x14ac:dyDescent="0.3">
      <c r="A370" s="1"/>
      <c r="Y370" s="1">
        <v>43811.953842592593</v>
      </c>
      <c r="Z370">
        <v>9422</v>
      </c>
      <c r="AA370">
        <v>7184</v>
      </c>
      <c r="AB370">
        <v>15</v>
      </c>
      <c r="AC370" t="s">
        <v>28</v>
      </c>
      <c r="AD370">
        <v>1.1698299646377599</v>
      </c>
      <c r="AE370">
        <v>1.17062151432037</v>
      </c>
      <c r="AF370">
        <v>7.9154968261E-4</v>
      </c>
      <c r="AG370">
        <v>1.1681499481201201</v>
      </c>
      <c r="AH370">
        <v>1.16858351230621</v>
      </c>
      <c r="AI370">
        <v>4.3356418609000002E-4</v>
      </c>
      <c r="AJ370">
        <v>164</v>
      </c>
      <c r="AK370">
        <v>0</v>
      </c>
      <c r="AL370" t="s">
        <v>458</v>
      </c>
    </row>
    <row r="371" spans="1:38" x14ac:dyDescent="0.3">
      <c r="A371" s="1"/>
      <c r="Y371" s="1">
        <v>43811.953900462962</v>
      </c>
      <c r="Z371">
        <v>9422</v>
      </c>
      <c r="AA371">
        <v>7184</v>
      </c>
      <c r="AB371">
        <v>15</v>
      </c>
      <c r="AC371" t="s">
        <v>28</v>
      </c>
      <c r="AD371">
        <v>1.1698299646377599</v>
      </c>
      <c r="AE371">
        <v>1.17062151432037</v>
      </c>
      <c r="AF371">
        <v>7.9154968261E-4</v>
      </c>
      <c r="AG371">
        <v>1.1681499481201201</v>
      </c>
      <c r="AH371">
        <v>1.16858351230621</v>
      </c>
      <c r="AI371">
        <v>4.3356418609000002E-4</v>
      </c>
      <c r="AJ371">
        <v>164</v>
      </c>
      <c r="AK371">
        <v>0</v>
      </c>
      <c r="AL371" t="s">
        <v>458</v>
      </c>
    </row>
    <row r="372" spans="1:38" x14ac:dyDescent="0.3">
      <c r="A372" s="1"/>
      <c r="Y372" s="1">
        <v>43811.953969907408</v>
      </c>
      <c r="Z372">
        <v>9422</v>
      </c>
      <c r="AA372">
        <v>7184</v>
      </c>
      <c r="AB372">
        <v>15</v>
      </c>
      <c r="AC372" t="s">
        <v>28</v>
      </c>
      <c r="AD372">
        <v>1.1698299646377599</v>
      </c>
      <c r="AE372">
        <v>1.17062151432037</v>
      </c>
      <c r="AF372">
        <v>7.9154968261E-4</v>
      </c>
      <c r="AG372">
        <v>1.1681499481201201</v>
      </c>
      <c r="AH372">
        <v>1.16858351230621</v>
      </c>
      <c r="AI372">
        <v>4.3356418609000002E-4</v>
      </c>
      <c r="AJ372">
        <v>164</v>
      </c>
      <c r="AK372">
        <v>0</v>
      </c>
      <c r="AL372" t="s">
        <v>458</v>
      </c>
    </row>
    <row r="373" spans="1:38" x14ac:dyDescent="0.3">
      <c r="A373" s="1"/>
      <c r="Y373" s="1">
        <v>43811.954039351855</v>
      </c>
      <c r="Z373">
        <v>9422</v>
      </c>
      <c r="AA373">
        <v>7184</v>
      </c>
      <c r="AB373">
        <v>15</v>
      </c>
      <c r="AC373" t="s">
        <v>28</v>
      </c>
      <c r="AD373">
        <v>1.1698299646377599</v>
      </c>
      <c r="AE373">
        <v>1.17062151432037</v>
      </c>
      <c r="AF373">
        <v>7.9154968261E-4</v>
      </c>
      <c r="AG373">
        <v>1.1681499481201201</v>
      </c>
      <c r="AH373">
        <v>1.16858351230621</v>
      </c>
      <c r="AI373">
        <v>4.3356418609000002E-4</v>
      </c>
      <c r="AJ373">
        <v>164</v>
      </c>
      <c r="AK373">
        <v>0</v>
      </c>
      <c r="AL373" t="s">
        <v>458</v>
      </c>
    </row>
    <row r="374" spans="1:38" x14ac:dyDescent="0.3">
      <c r="A374" s="1"/>
      <c r="Y374" s="1">
        <v>43811.954097222224</v>
      </c>
      <c r="Z374">
        <v>9422</v>
      </c>
      <c r="AA374">
        <v>7184</v>
      </c>
      <c r="AB374">
        <v>15</v>
      </c>
      <c r="AC374" t="s">
        <v>28</v>
      </c>
      <c r="AD374">
        <v>1.1698299646377599</v>
      </c>
      <c r="AE374">
        <v>1.17062151432037</v>
      </c>
      <c r="AF374">
        <v>7.9154968261E-4</v>
      </c>
      <c r="AG374">
        <v>1.1681499481201201</v>
      </c>
      <c r="AH374">
        <v>1.16858351230621</v>
      </c>
      <c r="AI374">
        <v>4.3356418609000002E-4</v>
      </c>
      <c r="AJ374">
        <v>164</v>
      </c>
      <c r="AK374">
        <v>0</v>
      </c>
      <c r="AL374" t="s">
        <v>458</v>
      </c>
    </row>
    <row r="375" spans="1:38" x14ac:dyDescent="0.3">
      <c r="A375" s="1"/>
      <c r="Y375" s="1">
        <v>43811.95416666667</v>
      </c>
      <c r="Z375">
        <v>9422</v>
      </c>
      <c r="AA375">
        <v>7184</v>
      </c>
      <c r="AB375">
        <v>15</v>
      </c>
      <c r="AC375" t="s">
        <v>28</v>
      </c>
      <c r="AD375">
        <v>1.1698299646377599</v>
      </c>
      <c r="AE375">
        <v>1.17062151432037</v>
      </c>
      <c r="AF375">
        <v>7.9154968261E-4</v>
      </c>
      <c r="AG375">
        <v>1.1681499481201201</v>
      </c>
      <c r="AH375">
        <v>1.16858351230621</v>
      </c>
      <c r="AI375">
        <v>4.3356418609000002E-4</v>
      </c>
      <c r="AJ375">
        <v>164</v>
      </c>
      <c r="AK375">
        <v>0</v>
      </c>
      <c r="AL375" t="s">
        <v>458</v>
      </c>
    </row>
    <row r="376" spans="1:38" x14ac:dyDescent="0.3">
      <c r="A376" s="1"/>
      <c r="Y376" s="1">
        <v>43811.954236111109</v>
      </c>
      <c r="Z376">
        <v>9422</v>
      </c>
      <c r="AA376">
        <v>7184</v>
      </c>
      <c r="AB376">
        <v>15</v>
      </c>
      <c r="AC376" t="s">
        <v>28</v>
      </c>
      <c r="AD376">
        <v>1.1698299646377599</v>
      </c>
      <c r="AE376">
        <v>1.17062151432037</v>
      </c>
      <c r="AF376">
        <v>7.9154968261E-4</v>
      </c>
      <c r="AG376">
        <v>1.1681499481201201</v>
      </c>
      <c r="AH376">
        <v>1.16858351230621</v>
      </c>
      <c r="AI376">
        <v>4.3356418609000002E-4</v>
      </c>
      <c r="AJ376">
        <v>164</v>
      </c>
      <c r="AK376">
        <v>0</v>
      </c>
      <c r="AL376" t="s">
        <v>458</v>
      </c>
    </row>
    <row r="377" spans="1:38" x14ac:dyDescent="0.3">
      <c r="A377" s="1"/>
      <c r="Y377" s="1">
        <v>43811.954305555555</v>
      </c>
      <c r="Z377">
        <v>9422</v>
      </c>
      <c r="AA377">
        <v>7184</v>
      </c>
      <c r="AB377">
        <v>15</v>
      </c>
      <c r="AC377" t="s">
        <v>28</v>
      </c>
      <c r="AD377">
        <v>1.1698299646377599</v>
      </c>
      <c r="AE377">
        <v>1.17062151432037</v>
      </c>
      <c r="AF377">
        <v>7.9154968261E-4</v>
      </c>
      <c r="AG377">
        <v>1.1681499481201201</v>
      </c>
      <c r="AH377">
        <v>1.16858351230621</v>
      </c>
      <c r="AI377">
        <v>4.3356418609000002E-4</v>
      </c>
      <c r="AJ377">
        <v>164</v>
      </c>
      <c r="AK377">
        <v>0</v>
      </c>
      <c r="AL377" t="s">
        <v>458</v>
      </c>
    </row>
    <row r="378" spans="1:38" x14ac:dyDescent="0.3">
      <c r="A378" s="1"/>
      <c r="Y378" s="1">
        <v>43811.954375000001</v>
      </c>
      <c r="Z378">
        <v>9422</v>
      </c>
      <c r="AA378">
        <v>7184</v>
      </c>
      <c r="AB378">
        <v>15</v>
      </c>
      <c r="AC378" t="s">
        <v>28</v>
      </c>
      <c r="AD378">
        <v>1.1698299646377599</v>
      </c>
      <c r="AE378">
        <v>1.17062151432037</v>
      </c>
      <c r="AF378">
        <v>7.9154968261E-4</v>
      </c>
      <c r="AG378">
        <v>1.1681499481201201</v>
      </c>
      <c r="AH378">
        <v>1.16858351230621</v>
      </c>
      <c r="AI378">
        <v>4.3356418609000002E-4</v>
      </c>
      <c r="AJ378">
        <v>164</v>
      </c>
      <c r="AK378">
        <v>0</v>
      </c>
      <c r="AL378" t="s">
        <v>458</v>
      </c>
    </row>
    <row r="379" spans="1:38" x14ac:dyDescent="0.3">
      <c r="A379" s="1"/>
      <c r="Y379" s="1">
        <v>43811.954456018517</v>
      </c>
      <c r="Z379">
        <v>9422</v>
      </c>
      <c r="AA379">
        <v>7184</v>
      </c>
      <c r="AB379">
        <v>15</v>
      </c>
      <c r="AC379" t="s">
        <v>28</v>
      </c>
      <c r="AD379">
        <v>1.1698299646377599</v>
      </c>
      <c r="AE379">
        <v>1.17062151432037</v>
      </c>
      <c r="AF379">
        <v>7.9154968261E-4</v>
      </c>
      <c r="AG379">
        <v>1.1681499481201201</v>
      </c>
      <c r="AH379">
        <v>1.16858351230621</v>
      </c>
      <c r="AI379">
        <v>4.3356418609000002E-4</v>
      </c>
      <c r="AJ379">
        <v>164</v>
      </c>
      <c r="AK379">
        <v>0</v>
      </c>
      <c r="AL379" t="s">
        <v>458</v>
      </c>
    </row>
    <row r="380" spans="1:38" x14ac:dyDescent="0.3">
      <c r="A380" s="1"/>
      <c r="Y380" s="1">
        <v>43811.954525462963</v>
      </c>
      <c r="Z380">
        <v>9422</v>
      </c>
      <c r="AA380">
        <v>7184</v>
      </c>
      <c r="AB380">
        <v>15</v>
      </c>
      <c r="AC380" t="s">
        <v>28</v>
      </c>
      <c r="AD380">
        <v>1.1698299646377599</v>
      </c>
      <c r="AE380">
        <v>1.17062151432037</v>
      </c>
      <c r="AF380">
        <v>7.9154968261E-4</v>
      </c>
      <c r="AG380">
        <v>1.1681499481201201</v>
      </c>
      <c r="AH380">
        <v>1.16858351230621</v>
      </c>
      <c r="AI380">
        <v>4.3356418609000002E-4</v>
      </c>
      <c r="AJ380">
        <v>164</v>
      </c>
      <c r="AK380">
        <v>0</v>
      </c>
      <c r="AL380" t="s">
        <v>458</v>
      </c>
    </row>
    <row r="381" spans="1:38" x14ac:dyDescent="0.3">
      <c r="A381" s="1"/>
      <c r="Y381" s="1">
        <v>43811.954606481479</v>
      </c>
      <c r="Z381">
        <v>9422</v>
      </c>
      <c r="AA381">
        <v>7184</v>
      </c>
      <c r="AB381">
        <v>15</v>
      </c>
      <c r="AC381" t="s">
        <v>28</v>
      </c>
      <c r="AD381">
        <v>1.1698299646377599</v>
      </c>
      <c r="AE381">
        <v>1.17062151432037</v>
      </c>
      <c r="AF381">
        <v>7.9154968261E-4</v>
      </c>
      <c r="AG381">
        <v>1.1681499481201201</v>
      </c>
      <c r="AH381">
        <v>1.16858351230621</v>
      </c>
      <c r="AI381">
        <v>4.3356418609000002E-4</v>
      </c>
      <c r="AJ381">
        <v>164</v>
      </c>
      <c r="AK381">
        <v>0</v>
      </c>
      <c r="AL381" t="s">
        <v>458</v>
      </c>
    </row>
    <row r="382" spans="1:38" x14ac:dyDescent="0.3">
      <c r="A382" s="1"/>
      <c r="Y382" s="1">
        <v>43811.954687500001</v>
      </c>
      <c r="Z382">
        <v>9422</v>
      </c>
      <c r="AA382">
        <v>7184</v>
      </c>
      <c r="AB382">
        <v>15</v>
      </c>
      <c r="AC382" t="s">
        <v>28</v>
      </c>
      <c r="AD382">
        <v>1.1698299646377599</v>
      </c>
      <c r="AE382">
        <v>1.17062151432037</v>
      </c>
      <c r="AF382">
        <v>7.9154968261E-4</v>
      </c>
      <c r="AG382">
        <v>1.1681499481201201</v>
      </c>
      <c r="AH382">
        <v>1.16858351230621</v>
      </c>
      <c r="AI382">
        <v>4.3356418609000002E-4</v>
      </c>
      <c r="AJ382">
        <v>164</v>
      </c>
      <c r="AK382">
        <v>0</v>
      </c>
      <c r="AL382" t="s">
        <v>458</v>
      </c>
    </row>
    <row r="383" spans="1:38" x14ac:dyDescent="0.3">
      <c r="A383" s="1"/>
      <c r="Y383" s="1">
        <v>43811.954768518517</v>
      </c>
      <c r="Z383">
        <v>9422</v>
      </c>
      <c r="AA383">
        <v>7184</v>
      </c>
      <c r="AB383">
        <v>15</v>
      </c>
      <c r="AC383" t="s">
        <v>28</v>
      </c>
      <c r="AD383">
        <v>1.1698299646377599</v>
      </c>
      <c r="AE383">
        <v>1.17062151432037</v>
      </c>
      <c r="AF383">
        <v>7.9154968261E-4</v>
      </c>
      <c r="AG383">
        <v>1.1681499481201201</v>
      </c>
      <c r="AH383">
        <v>1.16858351230621</v>
      </c>
      <c r="AI383">
        <v>4.3356418609000002E-4</v>
      </c>
      <c r="AJ383">
        <v>164</v>
      </c>
      <c r="AK383">
        <v>0</v>
      </c>
      <c r="AL383" t="s">
        <v>458</v>
      </c>
    </row>
    <row r="384" spans="1:38" x14ac:dyDescent="0.3">
      <c r="A384" s="1"/>
      <c r="Y384" s="1">
        <v>43811.95484953704</v>
      </c>
      <c r="Z384">
        <v>9422</v>
      </c>
      <c r="AA384">
        <v>7184</v>
      </c>
      <c r="AB384">
        <v>15</v>
      </c>
      <c r="AC384" t="s">
        <v>28</v>
      </c>
      <c r="AD384">
        <v>1.1698299646377599</v>
      </c>
      <c r="AE384">
        <v>1.17062151432037</v>
      </c>
      <c r="AF384">
        <v>7.9154968261E-4</v>
      </c>
      <c r="AG384">
        <v>1.1681499481201201</v>
      </c>
      <c r="AH384">
        <v>1.16858351230621</v>
      </c>
      <c r="AI384">
        <v>4.3356418609000002E-4</v>
      </c>
      <c r="AJ384">
        <v>164</v>
      </c>
      <c r="AK384">
        <v>0</v>
      </c>
      <c r="AL384" t="s">
        <v>458</v>
      </c>
    </row>
    <row r="385" spans="1:38" x14ac:dyDescent="0.3">
      <c r="A385" s="1"/>
      <c r="Y385" s="1">
        <v>43811.954918981479</v>
      </c>
      <c r="Z385">
        <v>9422</v>
      </c>
      <c r="AA385">
        <v>7184</v>
      </c>
      <c r="AB385">
        <v>15</v>
      </c>
      <c r="AC385" t="s">
        <v>28</v>
      </c>
      <c r="AD385">
        <v>1.1698299646377599</v>
      </c>
      <c r="AE385">
        <v>1.17062151432037</v>
      </c>
      <c r="AF385">
        <v>7.9154968261E-4</v>
      </c>
      <c r="AG385">
        <v>1.1681499481201201</v>
      </c>
      <c r="AH385">
        <v>1.16858351230621</v>
      </c>
      <c r="AI385">
        <v>4.3356418609000002E-4</v>
      </c>
      <c r="AJ385">
        <v>164</v>
      </c>
      <c r="AK385">
        <v>0</v>
      </c>
      <c r="AL385" t="s">
        <v>458</v>
      </c>
    </row>
    <row r="386" spans="1:38" x14ac:dyDescent="0.3">
      <c r="A386" s="1"/>
      <c r="Y386" s="1">
        <v>43811.9533912037</v>
      </c>
      <c r="Z386">
        <v>9422</v>
      </c>
      <c r="AA386">
        <v>7184</v>
      </c>
      <c r="AB386">
        <v>16</v>
      </c>
      <c r="AC386" t="s">
        <v>29</v>
      </c>
      <c r="AD386">
        <v>1.1695200204849201</v>
      </c>
      <c r="AE386">
        <v>1.1695910692214999</v>
      </c>
      <c r="AF386">
        <v>7.1048736579999998E-5</v>
      </c>
      <c r="AG386">
        <v>1.1676100492477399</v>
      </c>
      <c r="AH386">
        <v>1.16725838184357</v>
      </c>
      <c r="AI386">
        <v>3.5166740416999999E-4</v>
      </c>
      <c r="AJ386">
        <v>140</v>
      </c>
      <c r="AK386">
        <v>0</v>
      </c>
      <c r="AL386" t="s">
        <v>457</v>
      </c>
    </row>
    <row r="387" spans="1:38" x14ac:dyDescent="0.3">
      <c r="A387" s="1"/>
      <c r="Y387" s="1">
        <v>43811.9534375</v>
      </c>
      <c r="Z387">
        <v>9422</v>
      </c>
      <c r="AA387">
        <v>7184</v>
      </c>
      <c r="AB387">
        <v>16</v>
      </c>
      <c r="AC387" t="s">
        <v>29</v>
      </c>
      <c r="AD387">
        <v>1.1695200204849201</v>
      </c>
      <c r="AE387">
        <v>1.1695910692214999</v>
      </c>
      <c r="AF387">
        <v>7.1048736579999998E-5</v>
      </c>
      <c r="AG387">
        <v>1.1676100492477399</v>
      </c>
      <c r="AH387">
        <v>1.16725838184357</v>
      </c>
      <c r="AI387">
        <v>3.5166740416999999E-4</v>
      </c>
      <c r="AJ387">
        <v>140</v>
      </c>
      <c r="AK387">
        <v>0</v>
      </c>
      <c r="AL387" t="s">
        <v>457</v>
      </c>
    </row>
    <row r="388" spans="1:38" x14ac:dyDescent="0.3">
      <c r="A388" s="1"/>
      <c r="Y388" s="1">
        <v>43811.95349537037</v>
      </c>
      <c r="Z388">
        <v>9422</v>
      </c>
      <c r="AA388">
        <v>7184</v>
      </c>
      <c r="AB388">
        <v>16</v>
      </c>
      <c r="AC388" t="s">
        <v>29</v>
      </c>
      <c r="AD388">
        <v>1.1695200204849201</v>
      </c>
      <c r="AE388">
        <v>1.1695910692214999</v>
      </c>
      <c r="AF388">
        <v>7.1048736579999998E-5</v>
      </c>
      <c r="AG388">
        <v>1.1676100492477399</v>
      </c>
      <c r="AH388">
        <v>1.16725838184357</v>
      </c>
      <c r="AI388">
        <v>3.5166740416999999E-4</v>
      </c>
      <c r="AJ388">
        <v>140</v>
      </c>
      <c r="AK388">
        <v>0</v>
      </c>
      <c r="AL388" t="s">
        <v>457</v>
      </c>
    </row>
    <row r="389" spans="1:38" x14ac:dyDescent="0.3">
      <c r="A389" s="1"/>
      <c r="Y389" s="1">
        <v>43811.953541666669</v>
      </c>
      <c r="Z389">
        <v>9422</v>
      </c>
      <c r="AA389">
        <v>7184</v>
      </c>
      <c r="AB389">
        <v>16</v>
      </c>
      <c r="AC389" t="s">
        <v>29</v>
      </c>
      <c r="AD389">
        <v>1.1695200204849201</v>
      </c>
      <c r="AE389">
        <v>1.1695910692214999</v>
      </c>
      <c r="AF389">
        <v>7.1048736579999998E-5</v>
      </c>
      <c r="AG389">
        <v>1.1676100492477399</v>
      </c>
      <c r="AH389">
        <v>1.16725838184357</v>
      </c>
      <c r="AI389">
        <v>3.5166740416999999E-4</v>
      </c>
      <c r="AJ389">
        <v>140</v>
      </c>
      <c r="AK389">
        <v>0</v>
      </c>
      <c r="AL389" t="s">
        <v>457</v>
      </c>
    </row>
    <row r="390" spans="1:38" x14ac:dyDescent="0.3">
      <c r="A390" s="1"/>
      <c r="Y390" s="1">
        <v>43811.953599537039</v>
      </c>
      <c r="Z390">
        <v>9422</v>
      </c>
      <c r="AA390">
        <v>7184</v>
      </c>
      <c r="AB390">
        <v>16</v>
      </c>
      <c r="AC390" t="s">
        <v>29</v>
      </c>
      <c r="AD390">
        <v>1.1695200204849201</v>
      </c>
      <c r="AE390">
        <v>1.1695910692214999</v>
      </c>
      <c r="AF390">
        <v>7.1048736579999998E-5</v>
      </c>
      <c r="AG390">
        <v>1.1676100492477399</v>
      </c>
      <c r="AH390">
        <v>1.16725838184357</v>
      </c>
      <c r="AI390">
        <v>3.5166740416999999E-4</v>
      </c>
      <c r="AJ390">
        <v>140</v>
      </c>
      <c r="AK390">
        <v>0</v>
      </c>
      <c r="AL390" t="s">
        <v>457</v>
      </c>
    </row>
    <row r="391" spans="1:38" x14ac:dyDescent="0.3">
      <c r="A391" s="1"/>
      <c r="Y391" s="1">
        <v>43811.953657407408</v>
      </c>
      <c r="Z391">
        <v>9422</v>
      </c>
      <c r="AA391">
        <v>7184</v>
      </c>
      <c r="AB391">
        <v>16</v>
      </c>
      <c r="AC391" t="s">
        <v>29</v>
      </c>
      <c r="AD391">
        <v>1.1695200204849201</v>
      </c>
      <c r="AE391">
        <v>1.1695910692214999</v>
      </c>
      <c r="AF391">
        <v>7.1048736579999998E-5</v>
      </c>
      <c r="AG391">
        <v>1.1676100492477399</v>
      </c>
      <c r="AH391">
        <v>1.16725838184357</v>
      </c>
      <c r="AI391">
        <v>3.5166740416999999E-4</v>
      </c>
      <c r="AJ391">
        <v>140</v>
      </c>
      <c r="AK391">
        <v>0</v>
      </c>
      <c r="AL391" t="s">
        <v>457</v>
      </c>
    </row>
    <row r="392" spans="1:38" x14ac:dyDescent="0.3">
      <c r="A392" s="1"/>
      <c r="Y392" s="1">
        <v>43811.953715277778</v>
      </c>
      <c r="Z392">
        <v>9422</v>
      </c>
      <c r="AA392">
        <v>7184</v>
      </c>
      <c r="AB392">
        <v>16</v>
      </c>
      <c r="AC392" t="s">
        <v>29</v>
      </c>
      <c r="AD392">
        <v>1.1695200204849201</v>
      </c>
      <c r="AE392">
        <v>1.1695910692214999</v>
      </c>
      <c r="AF392">
        <v>7.1048736579999998E-5</v>
      </c>
      <c r="AG392">
        <v>1.1676100492477399</v>
      </c>
      <c r="AH392">
        <v>1.16725838184357</v>
      </c>
      <c r="AI392">
        <v>3.5166740416999999E-4</v>
      </c>
      <c r="AJ392">
        <v>140</v>
      </c>
      <c r="AK392">
        <v>0</v>
      </c>
      <c r="AL392" t="s">
        <v>457</v>
      </c>
    </row>
    <row r="393" spans="1:38" x14ac:dyDescent="0.3">
      <c r="A393" s="1"/>
      <c r="Y393" s="1">
        <v>43811.953773148147</v>
      </c>
      <c r="Z393">
        <v>9422</v>
      </c>
      <c r="AA393">
        <v>7184</v>
      </c>
      <c r="AB393">
        <v>16</v>
      </c>
      <c r="AC393" t="s">
        <v>29</v>
      </c>
      <c r="AD393">
        <v>1.1695200204849201</v>
      </c>
      <c r="AE393">
        <v>1.1695910692214999</v>
      </c>
      <c r="AF393">
        <v>7.1048736579999998E-5</v>
      </c>
      <c r="AG393">
        <v>1.1676100492477399</v>
      </c>
      <c r="AH393">
        <v>1.16725838184357</v>
      </c>
      <c r="AI393">
        <v>3.5166740416999999E-4</v>
      </c>
      <c r="AJ393">
        <v>140</v>
      </c>
      <c r="AK393">
        <v>0</v>
      </c>
      <c r="AL393" t="s">
        <v>457</v>
      </c>
    </row>
    <row r="394" spans="1:38" x14ac:dyDescent="0.3">
      <c r="A394" s="1"/>
      <c r="Y394" s="1">
        <v>43811.953842592593</v>
      </c>
      <c r="Z394">
        <v>9422</v>
      </c>
      <c r="AA394">
        <v>7184</v>
      </c>
      <c r="AB394">
        <v>16</v>
      </c>
      <c r="AC394" t="s">
        <v>29</v>
      </c>
      <c r="AD394">
        <v>1.1695200204849201</v>
      </c>
      <c r="AE394">
        <v>1.1695910692214999</v>
      </c>
      <c r="AF394">
        <v>7.1048736579999998E-5</v>
      </c>
      <c r="AG394">
        <v>1.1676100492477399</v>
      </c>
      <c r="AH394">
        <v>1.16725838184357</v>
      </c>
      <c r="AI394">
        <v>3.5166740416999999E-4</v>
      </c>
      <c r="AJ394">
        <v>140</v>
      </c>
      <c r="AK394">
        <v>0</v>
      </c>
      <c r="AL394" t="s">
        <v>457</v>
      </c>
    </row>
    <row r="395" spans="1:38" x14ac:dyDescent="0.3">
      <c r="A395" s="1"/>
      <c r="Y395" s="1">
        <v>43811.953900462962</v>
      </c>
      <c r="Z395">
        <v>9422</v>
      </c>
      <c r="AA395">
        <v>7184</v>
      </c>
      <c r="AB395">
        <v>16</v>
      </c>
      <c r="AC395" t="s">
        <v>29</v>
      </c>
      <c r="AD395">
        <v>1.1695200204849201</v>
      </c>
      <c r="AE395">
        <v>1.1695910692214999</v>
      </c>
      <c r="AF395">
        <v>7.1048736579999998E-5</v>
      </c>
      <c r="AG395">
        <v>1.1676100492477399</v>
      </c>
      <c r="AH395">
        <v>1.16725838184357</v>
      </c>
      <c r="AI395">
        <v>3.5166740416999999E-4</v>
      </c>
      <c r="AJ395">
        <v>140</v>
      </c>
      <c r="AK395">
        <v>0</v>
      </c>
      <c r="AL395" t="s">
        <v>457</v>
      </c>
    </row>
    <row r="396" spans="1:38" x14ac:dyDescent="0.3">
      <c r="A396" s="1"/>
      <c r="Y396" s="1">
        <v>43811.953969907408</v>
      </c>
      <c r="Z396">
        <v>9422</v>
      </c>
      <c r="AA396">
        <v>7184</v>
      </c>
      <c r="AB396">
        <v>16</v>
      </c>
      <c r="AC396" t="s">
        <v>29</v>
      </c>
      <c r="AD396">
        <v>1.1695200204849201</v>
      </c>
      <c r="AE396">
        <v>1.1695910692214999</v>
      </c>
      <c r="AF396">
        <v>7.1048736579999998E-5</v>
      </c>
      <c r="AG396">
        <v>1.1676100492477399</v>
      </c>
      <c r="AH396">
        <v>1.16725838184357</v>
      </c>
      <c r="AI396">
        <v>3.5166740416999999E-4</v>
      </c>
      <c r="AJ396">
        <v>140</v>
      </c>
      <c r="AK396">
        <v>0</v>
      </c>
      <c r="AL396" t="s">
        <v>457</v>
      </c>
    </row>
    <row r="397" spans="1:38" x14ac:dyDescent="0.3">
      <c r="A397" s="1"/>
      <c r="Y397" s="1">
        <v>43811.954039351855</v>
      </c>
      <c r="Z397">
        <v>9422</v>
      </c>
      <c r="AA397">
        <v>7184</v>
      </c>
      <c r="AB397">
        <v>16</v>
      </c>
      <c r="AC397" t="s">
        <v>29</v>
      </c>
      <c r="AD397">
        <v>1.1695200204849201</v>
      </c>
      <c r="AE397">
        <v>1.1695910692214999</v>
      </c>
      <c r="AF397">
        <v>7.1048736579999998E-5</v>
      </c>
      <c r="AG397">
        <v>1.1676100492477399</v>
      </c>
      <c r="AH397">
        <v>1.16725838184357</v>
      </c>
      <c r="AI397">
        <v>3.5166740416999999E-4</v>
      </c>
      <c r="AJ397">
        <v>140</v>
      </c>
      <c r="AK397">
        <v>0</v>
      </c>
      <c r="AL397" t="s">
        <v>457</v>
      </c>
    </row>
    <row r="398" spans="1:38" x14ac:dyDescent="0.3">
      <c r="A398" s="1"/>
      <c r="Y398" s="1">
        <v>43811.954097222224</v>
      </c>
      <c r="Z398">
        <v>9422</v>
      </c>
      <c r="AA398">
        <v>7184</v>
      </c>
      <c r="AB398">
        <v>16</v>
      </c>
      <c r="AC398" t="s">
        <v>29</v>
      </c>
      <c r="AD398">
        <v>1.1695200204849201</v>
      </c>
      <c r="AE398">
        <v>1.1695910692214999</v>
      </c>
      <c r="AF398">
        <v>7.1048736579999998E-5</v>
      </c>
      <c r="AG398">
        <v>1.1676100492477399</v>
      </c>
      <c r="AH398">
        <v>1.16725838184357</v>
      </c>
      <c r="AI398">
        <v>3.5166740416999999E-4</v>
      </c>
      <c r="AJ398">
        <v>140</v>
      </c>
      <c r="AK398">
        <v>0</v>
      </c>
      <c r="AL398" t="s">
        <v>457</v>
      </c>
    </row>
    <row r="399" spans="1:38" x14ac:dyDescent="0.3">
      <c r="A399" s="1"/>
      <c r="Y399" s="1">
        <v>43811.95416666667</v>
      </c>
      <c r="Z399">
        <v>9422</v>
      </c>
      <c r="AA399">
        <v>7184</v>
      </c>
      <c r="AB399">
        <v>16</v>
      </c>
      <c r="AC399" t="s">
        <v>29</v>
      </c>
      <c r="AD399">
        <v>1.1695200204849201</v>
      </c>
      <c r="AE399">
        <v>1.1695910692214999</v>
      </c>
      <c r="AF399">
        <v>7.1048736579999998E-5</v>
      </c>
      <c r="AG399">
        <v>1.1676100492477399</v>
      </c>
      <c r="AH399">
        <v>1.16725838184357</v>
      </c>
      <c r="AI399">
        <v>3.5166740416999999E-4</v>
      </c>
      <c r="AJ399">
        <v>140</v>
      </c>
      <c r="AK399">
        <v>0</v>
      </c>
      <c r="AL399" t="s">
        <v>457</v>
      </c>
    </row>
    <row r="400" spans="1:38" x14ac:dyDescent="0.3">
      <c r="A400" s="1"/>
      <c r="Y400" s="1">
        <v>43811.954236111109</v>
      </c>
      <c r="Z400">
        <v>9422</v>
      </c>
      <c r="AA400">
        <v>7184</v>
      </c>
      <c r="AB400">
        <v>16</v>
      </c>
      <c r="AC400" t="s">
        <v>29</v>
      </c>
      <c r="AD400">
        <v>1.1695200204849201</v>
      </c>
      <c r="AE400">
        <v>1.1695910692214999</v>
      </c>
      <c r="AF400">
        <v>7.1048736579999998E-5</v>
      </c>
      <c r="AG400">
        <v>1.1676100492477399</v>
      </c>
      <c r="AH400">
        <v>1.16725838184357</v>
      </c>
      <c r="AI400">
        <v>3.5166740416999999E-4</v>
      </c>
      <c r="AJ400">
        <v>140</v>
      </c>
      <c r="AK400">
        <v>0</v>
      </c>
      <c r="AL400" t="s">
        <v>457</v>
      </c>
    </row>
    <row r="401" spans="1:38" x14ac:dyDescent="0.3">
      <c r="A401" s="1"/>
      <c r="Y401" s="1">
        <v>43811.954305555555</v>
      </c>
      <c r="Z401">
        <v>9422</v>
      </c>
      <c r="AA401">
        <v>7184</v>
      </c>
      <c r="AB401">
        <v>16</v>
      </c>
      <c r="AC401" t="s">
        <v>29</v>
      </c>
      <c r="AD401">
        <v>1.1695200204849201</v>
      </c>
      <c r="AE401">
        <v>1.1695910692214999</v>
      </c>
      <c r="AF401">
        <v>7.1048736579999998E-5</v>
      </c>
      <c r="AG401">
        <v>1.1676100492477399</v>
      </c>
      <c r="AH401">
        <v>1.16725838184357</v>
      </c>
      <c r="AI401">
        <v>3.5166740416999999E-4</v>
      </c>
      <c r="AJ401">
        <v>140</v>
      </c>
      <c r="AK401">
        <v>0</v>
      </c>
      <c r="AL401" t="s">
        <v>457</v>
      </c>
    </row>
    <row r="402" spans="1:38" x14ac:dyDescent="0.3">
      <c r="A402" s="1"/>
      <c r="Y402" s="1">
        <v>43811.954375000001</v>
      </c>
      <c r="Z402">
        <v>9422</v>
      </c>
      <c r="AA402">
        <v>7184</v>
      </c>
      <c r="AB402">
        <v>16</v>
      </c>
      <c r="AC402" t="s">
        <v>29</v>
      </c>
      <c r="AD402">
        <v>1.1695200204849201</v>
      </c>
      <c r="AE402">
        <v>1.1695910692214999</v>
      </c>
      <c r="AF402">
        <v>7.1048736579999998E-5</v>
      </c>
      <c r="AG402">
        <v>1.1676100492477399</v>
      </c>
      <c r="AH402">
        <v>1.16725838184357</v>
      </c>
      <c r="AI402">
        <v>3.5166740416999999E-4</v>
      </c>
      <c r="AJ402">
        <v>140</v>
      </c>
      <c r="AK402">
        <v>0</v>
      </c>
      <c r="AL402" t="s">
        <v>457</v>
      </c>
    </row>
    <row r="403" spans="1:38" x14ac:dyDescent="0.3">
      <c r="A403" s="1"/>
      <c r="Y403" s="1">
        <v>43811.954456018517</v>
      </c>
      <c r="Z403">
        <v>9422</v>
      </c>
      <c r="AA403">
        <v>7184</v>
      </c>
      <c r="AB403">
        <v>16</v>
      </c>
      <c r="AC403" t="s">
        <v>29</v>
      </c>
      <c r="AD403">
        <v>1.1695200204849201</v>
      </c>
      <c r="AE403">
        <v>1.1695910692214999</v>
      </c>
      <c r="AF403">
        <v>7.1048736579999998E-5</v>
      </c>
      <c r="AG403">
        <v>1.1676100492477399</v>
      </c>
      <c r="AH403">
        <v>1.16725838184357</v>
      </c>
      <c r="AI403">
        <v>3.5166740416999999E-4</v>
      </c>
      <c r="AJ403">
        <v>140</v>
      </c>
      <c r="AK403">
        <v>0</v>
      </c>
      <c r="AL403" t="s">
        <v>457</v>
      </c>
    </row>
    <row r="404" spans="1:38" x14ac:dyDescent="0.3">
      <c r="A404" s="1"/>
      <c r="Y404" s="1">
        <v>43811.954525462963</v>
      </c>
      <c r="Z404">
        <v>9422</v>
      </c>
      <c r="AA404">
        <v>7184</v>
      </c>
      <c r="AB404">
        <v>16</v>
      </c>
      <c r="AC404" t="s">
        <v>29</v>
      </c>
      <c r="AD404">
        <v>1.1695200204849201</v>
      </c>
      <c r="AE404">
        <v>1.1695910692214999</v>
      </c>
      <c r="AF404">
        <v>7.1048736579999998E-5</v>
      </c>
      <c r="AG404">
        <v>1.1676100492477399</v>
      </c>
      <c r="AH404">
        <v>1.16725838184357</v>
      </c>
      <c r="AI404">
        <v>3.5166740416999999E-4</v>
      </c>
      <c r="AJ404">
        <v>140</v>
      </c>
      <c r="AK404">
        <v>0</v>
      </c>
      <c r="AL404" t="s">
        <v>457</v>
      </c>
    </row>
    <row r="405" spans="1:38" x14ac:dyDescent="0.3">
      <c r="A405" s="1"/>
      <c r="Y405" s="1">
        <v>43811.954606481479</v>
      </c>
      <c r="Z405">
        <v>9422</v>
      </c>
      <c r="AA405">
        <v>7184</v>
      </c>
      <c r="AB405">
        <v>16</v>
      </c>
      <c r="AC405" t="s">
        <v>29</v>
      </c>
      <c r="AD405">
        <v>1.1695200204849201</v>
      </c>
      <c r="AE405">
        <v>1.1695910692214999</v>
      </c>
      <c r="AF405">
        <v>7.1048736579999998E-5</v>
      </c>
      <c r="AG405">
        <v>1.1676100492477399</v>
      </c>
      <c r="AH405">
        <v>1.16725838184357</v>
      </c>
      <c r="AI405">
        <v>3.5166740416999999E-4</v>
      </c>
      <c r="AJ405">
        <v>140</v>
      </c>
      <c r="AK405">
        <v>0</v>
      </c>
      <c r="AL405" t="s">
        <v>457</v>
      </c>
    </row>
    <row r="406" spans="1:38" x14ac:dyDescent="0.3">
      <c r="A406" s="1"/>
      <c r="Y406" s="1">
        <v>43811.954687500001</v>
      </c>
      <c r="Z406">
        <v>9422</v>
      </c>
      <c r="AA406">
        <v>7184</v>
      </c>
      <c r="AB406">
        <v>16</v>
      </c>
      <c r="AC406" t="s">
        <v>29</v>
      </c>
      <c r="AD406">
        <v>1.1695200204849201</v>
      </c>
      <c r="AE406">
        <v>1.1695910692214999</v>
      </c>
      <c r="AF406">
        <v>7.1048736579999998E-5</v>
      </c>
      <c r="AG406">
        <v>1.1676100492477399</v>
      </c>
      <c r="AH406">
        <v>1.16725838184357</v>
      </c>
      <c r="AI406">
        <v>3.5166740416999999E-4</v>
      </c>
      <c r="AJ406">
        <v>140</v>
      </c>
      <c r="AK406">
        <v>0</v>
      </c>
      <c r="AL406" t="s">
        <v>457</v>
      </c>
    </row>
    <row r="407" spans="1:38" x14ac:dyDescent="0.3">
      <c r="A407" s="1"/>
      <c r="Y407" s="1">
        <v>43811.954768518517</v>
      </c>
      <c r="Z407">
        <v>9422</v>
      </c>
      <c r="AA407">
        <v>7184</v>
      </c>
      <c r="AB407">
        <v>16</v>
      </c>
      <c r="AC407" t="s">
        <v>29</v>
      </c>
      <c r="AD407">
        <v>1.1695200204849201</v>
      </c>
      <c r="AE407">
        <v>1.1695910692214999</v>
      </c>
      <c r="AF407">
        <v>7.1048736579999998E-5</v>
      </c>
      <c r="AG407">
        <v>1.1676100492477399</v>
      </c>
      <c r="AH407">
        <v>1.16725838184357</v>
      </c>
      <c r="AI407">
        <v>3.5166740416999999E-4</v>
      </c>
      <c r="AJ407">
        <v>140</v>
      </c>
      <c r="AK407">
        <v>0</v>
      </c>
      <c r="AL407" t="s">
        <v>457</v>
      </c>
    </row>
    <row r="408" spans="1:38" x14ac:dyDescent="0.3">
      <c r="A408" s="1"/>
      <c r="Y408" s="1">
        <v>43811.95484953704</v>
      </c>
      <c r="Z408">
        <v>9422</v>
      </c>
      <c r="AA408">
        <v>7184</v>
      </c>
      <c r="AB408">
        <v>16</v>
      </c>
      <c r="AC408" t="s">
        <v>29</v>
      </c>
      <c r="AD408">
        <v>1.1695200204849201</v>
      </c>
      <c r="AE408">
        <v>1.1695910692214999</v>
      </c>
      <c r="AF408">
        <v>7.1048736579999998E-5</v>
      </c>
      <c r="AG408">
        <v>1.1676100492477399</v>
      </c>
      <c r="AH408">
        <v>1.16725838184357</v>
      </c>
      <c r="AI408">
        <v>3.5166740416999999E-4</v>
      </c>
      <c r="AJ408">
        <v>140</v>
      </c>
      <c r="AK408">
        <v>0</v>
      </c>
      <c r="AL408" t="s">
        <v>457</v>
      </c>
    </row>
    <row r="409" spans="1:38" x14ac:dyDescent="0.3">
      <c r="A409" s="1"/>
      <c r="Y409" s="1">
        <v>43811.954918981479</v>
      </c>
      <c r="Z409">
        <v>9422</v>
      </c>
      <c r="AA409">
        <v>7184</v>
      </c>
      <c r="AB409">
        <v>16</v>
      </c>
      <c r="AC409" t="s">
        <v>29</v>
      </c>
      <c r="AD409">
        <v>1.1695200204849201</v>
      </c>
      <c r="AE409">
        <v>1.1695910692214999</v>
      </c>
      <c r="AF409">
        <v>7.1048736579999998E-5</v>
      </c>
      <c r="AG409">
        <v>1.1676100492477399</v>
      </c>
      <c r="AH409">
        <v>1.16725838184357</v>
      </c>
      <c r="AI409">
        <v>3.5166740416999999E-4</v>
      </c>
      <c r="AJ409">
        <v>140</v>
      </c>
      <c r="AK409">
        <v>0</v>
      </c>
      <c r="AL409" t="s">
        <v>457</v>
      </c>
    </row>
    <row r="410" spans="1:38" x14ac:dyDescent="0.3">
      <c r="A410" s="1"/>
      <c r="Y410" s="1">
        <v>43811.9533912037</v>
      </c>
      <c r="Z410">
        <v>9422</v>
      </c>
      <c r="AA410">
        <v>7184</v>
      </c>
      <c r="AB410">
        <v>17</v>
      </c>
      <c r="AC410" t="s">
        <v>30</v>
      </c>
      <c r="AD410">
        <v>1.16819000244141</v>
      </c>
      <c r="AE410">
        <v>1.1690984964370701</v>
      </c>
      <c r="AF410">
        <v>9.0849399565999999E-4</v>
      </c>
      <c r="AG410">
        <v>1.16434001922607</v>
      </c>
      <c r="AH410">
        <v>1.1666350364685101</v>
      </c>
      <c r="AI410">
        <v>2.2950172424399998E-3</v>
      </c>
      <c r="AJ410">
        <v>-324</v>
      </c>
      <c r="AK410">
        <v>0</v>
      </c>
      <c r="AL410" t="s">
        <v>459</v>
      </c>
    </row>
    <row r="411" spans="1:38" x14ac:dyDescent="0.3">
      <c r="A411" s="1"/>
      <c r="Y411" s="1">
        <v>43811.9534375</v>
      </c>
      <c r="Z411">
        <v>9422</v>
      </c>
      <c r="AA411">
        <v>7184</v>
      </c>
      <c r="AB411">
        <v>17</v>
      </c>
      <c r="AC411" t="s">
        <v>30</v>
      </c>
      <c r="AD411">
        <v>1.16819000244141</v>
      </c>
      <c r="AE411">
        <v>1.1690984964370701</v>
      </c>
      <c r="AF411">
        <v>9.0849399565999999E-4</v>
      </c>
      <c r="AG411">
        <v>1.16434001922607</v>
      </c>
      <c r="AH411">
        <v>1.1666350364685101</v>
      </c>
      <c r="AI411">
        <v>2.2950172424399998E-3</v>
      </c>
      <c r="AJ411">
        <v>-324</v>
      </c>
      <c r="AK411">
        <v>0</v>
      </c>
      <c r="AL411" t="s">
        <v>459</v>
      </c>
    </row>
    <row r="412" spans="1:38" x14ac:dyDescent="0.3">
      <c r="A412" s="1"/>
      <c r="Y412" s="1">
        <v>43811.95349537037</v>
      </c>
      <c r="Z412">
        <v>9422</v>
      </c>
      <c r="AA412">
        <v>7184</v>
      </c>
      <c r="AB412">
        <v>17</v>
      </c>
      <c r="AC412" t="s">
        <v>30</v>
      </c>
      <c r="AD412">
        <v>1.16819000244141</v>
      </c>
      <c r="AE412">
        <v>1.1690984964370701</v>
      </c>
      <c r="AF412">
        <v>9.0849399565999999E-4</v>
      </c>
      <c r="AG412">
        <v>1.16434001922607</v>
      </c>
      <c r="AH412">
        <v>1.1666350364685101</v>
      </c>
      <c r="AI412">
        <v>2.2950172424399998E-3</v>
      </c>
      <c r="AJ412">
        <v>-324</v>
      </c>
      <c r="AK412">
        <v>0</v>
      </c>
      <c r="AL412" t="s">
        <v>459</v>
      </c>
    </row>
    <row r="413" spans="1:38" x14ac:dyDescent="0.3">
      <c r="A413" s="1"/>
      <c r="Y413" s="1">
        <v>43811.953541666669</v>
      </c>
      <c r="Z413">
        <v>9422</v>
      </c>
      <c r="AA413">
        <v>7184</v>
      </c>
      <c r="AB413">
        <v>17</v>
      </c>
      <c r="AC413" t="s">
        <v>30</v>
      </c>
      <c r="AD413">
        <v>1.16819000244141</v>
      </c>
      <c r="AE413">
        <v>1.1690984964370701</v>
      </c>
      <c r="AF413">
        <v>9.0849399565999999E-4</v>
      </c>
      <c r="AG413">
        <v>1.16434001922607</v>
      </c>
      <c r="AH413">
        <v>1.1666350364685101</v>
      </c>
      <c r="AI413">
        <v>2.2950172424399998E-3</v>
      </c>
      <c r="AJ413">
        <v>-324</v>
      </c>
      <c r="AK413">
        <v>0</v>
      </c>
      <c r="AL413" t="s">
        <v>459</v>
      </c>
    </row>
    <row r="414" spans="1:38" x14ac:dyDescent="0.3">
      <c r="A414" s="1"/>
      <c r="Y414" s="1">
        <v>43811.953599537039</v>
      </c>
      <c r="Z414">
        <v>9422</v>
      </c>
      <c r="AA414">
        <v>7184</v>
      </c>
      <c r="AB414">
        <v>17</v>
      </c>
      <c r="AC414" t="s">
        <v>30</v>
      </c>
      <c r="AD414">
        <v>1.16819000244141</v>
      </c>
      <c r="AE414">
        <v>1.1690984964370701</v>
      </c>
      <c r="AF414">
        <v>9.0849399565999999E-4</v>
      </c>
      <c r="AG414">
        <v>1.16434001922607</v>
      </c>
      <c r="AH414">
        <v>1.1666350364685101</v>
      </c>
      <c r="AI414">
        <v>2.2950172424399998E-3</v>
      </c>
      <c r="AJ414">
        <v>-324</v>
      </c>
      <c r="AK414">
        <v>0</v>
      </c>
      <c r="AL414" t="s">
        <v>459</v>
      </c>
    </row>
    <row r="415" spans="1:38" x14ac:dyDescent="0.3">
      <c r="A415" s="1"/>
      <c r="Y415" s="1">
        <v>43811.953657407408</v>
      </c>
      <c r="Z415">
        <v>9422</v>
      </c>
      <c r="AA415">
        <v>7184</v>
      </c>
      <c r="AB415">
        <v>17</v>
      </c>
      <c r="AC415" t="s">
        <v>30</v>
      </c>
      <c r="AD415">
        <v>1.16819000244141</v>
      </c>
      <c r="AE415">
        <v>1.1690984964370701</v>
      </c>
      <c r="AF415">
        <v>9.0849399565999999E-4</v>
      </c>
      <c r="AG415">
        <v>1.16434001922607</v>
      </c>
      <c r="AH415">
        <v>1.1666350364685101</v>
      </c>
      <c r="AI415">
        <v>2.2950172424399998E-3</v>
      </c>
      <c r="AJ415">
        <v>-324</v>
      </c>
      <c r="AK415">
        <v>0</v>
      </c>
      <c r="AL415" t="s">
        <v>459</v>
      </c>
    </row>
    <row r="416" spans="1:38" x14ac:dyDescent="0.3">
      <c r="A416" s="1"/>
      <c r="Y416" s="1">
        <v>43811.953715277778</v>
      </c>
      <c r="Z416">
        <v>9422</v>
      </c>
      <c r="AA416">
        <v>7184</v>
      </c>
      <c r="AB416">
        <v>17</v>
      </c>
      <c r="AC416" t="s">
        <v>30</v>
      </c>
      <c r="AD416">
        <v>1.16819000244141</v>
      </c>
      <c r="AE416">
        <v>1.1690984964370701</v>
      </c>
      <c r="AF416">
        <v>9.0849399565999999E-4</v>
      </c>
      <c r="AG416">
        <v>1.16434001922607</v>
      </c>
      <c r="AH416">
        <v>1.1666350364685101</v>
      </c>
      <c r="AI416">
        <v>2.2950172424399998E-3</v>
      </c>
      <c r="AJ416">
        <v>-324</v>
      </c>
      <c r="AK416">
        <v>0</v>
      </c>
      <c r="AL416" t="s">
        <v>459</v>
      </c>
    </row>
    <row r="417" spans="1:38" x14ac:dyDescent="0.3">
      <c r="A417" s="1"/>
      <c r="Y417" s="1">
        <v>43811.953773148147</v>
      </c>
      <c r="Z417">
        <v>9422</v>
      </c>
      <c r="AA417">
        <v>7184</v>
      </c>
      <c r="AB417">
        <v>17</v>
      </c>
      <c r="AC417" t="s">
        <v>30</v>
      </c>
      <c r="AD417">
        <v>1.16819000244141</v>
      </c>
      <c r="AE417">
        <v>1.1690984964370701</v>
      </c>
      <c r="AF417">
        <v>9.0849399565999999E-4</v>
      </c>
      <c r="AG417">
        <v>1.16434001922607</v>
      </c>
      <c r="AH417">
        <v>1.1666350364685101</v>
      </c>
      <c r="AI417">
        <v>2.2950172424399998E-3</v>
      </c>
      <c r="AJ417">
        <v>-324</v>
      </c>
      <c r="AK417">
        <v>0</v>
      </c>
      <c r="AL417" t="s">
        <v>459</v>
      </c>
    </row>
    <row r="418" spans="1:38" x14ac:dyDescent="0.3">
      <c r="A418" s="1"/>
      <c r="Y418" s="1">
        <v>43811.953842592593</v>
      </c>
      <c r="Z418">
        <v>9422</v>
      </c>
      <c r="AA418">
        <v>7184</v>
      </c>
      <c r="AB418">
        <v>17</v>
      </c>
      <c r="AC418" t="s">
        <v>30</v>
      </c>
      <c r="AD418">
        <v>1.16819000244141</v>
      </c>
      <c r="AE418">
        <v>1.1690984964370701</v>
      </c>
      <c r="AF418">
        <v>9.0849399565999999E-4</v>
      </c>
      <c r="AG418">
        <v>1.16434001922607</v>
      </c>
      <c r="AH418">
        <v>1.1666350364685101</v>
      </c>
      <c r="AI418">
        <v>2.2950172424399998E-3</v>
      </c>
      <c r="AJ418">
        <v>-324</v>
      </c>
      <c r="AK418">
        <v>0</v>
      </c>
      <c r="AL418" t="s">
        <v>459</v>
      </c>
    </row>
    <row r="419" spans="1:38" x14ac:dyDescent="0.3">
      <c r="A419" s="1"/>
      <c r="Y419" s="1">
        <v>43811.953900462962</v>
      </c>
      <c r="Z419">
        <v>9422</v>
      </c>
      <c r="AA419">
        <v>7184</v>
      </c>
      <c r="AB419">
        <v>17</v>
      </c>
      <c r="AC419" t="s">
        <v>30</v>
      </c>
      <c r="AD419">
        <v>1.16819000244141</v>
      </c>
      <c r="AE419">
        <v>1.1690984964370701</v>
      </c>
      <c r="AF419">
        <v>9.0849399565999999E-4</v>
      </c>
      <c r="AG419">
        <v>1.16434001922607</v>
      </c>
      <c r="AH419">
        <v>1.1666350364685101</v>
      </c>
      <c r="AI419">
        <v>2.2950172424399998E-3</v>
      </c>
      <c r="AJ419">
        <v>-324</v>
      </c>
      <c r="AK419">
        <v>0</v>
      </c>
      <c r="AL419" t="s">
        <v>459</v>
      </c>
    </row>
    <row r="420" spans="1:38" x14ac:dyDescent="0.3">
      <c r="A420" s="1"/>
      <c r="Y420" s="1">
        <v>43811.953969907408</v>
      </c>
      <c r="Z420">
        <v>9422</v>
      </c>
      <c r="AA420">
        <v>7184</v>
      </c>
      <c r="AB420">
        <v>17</v>
      </c>
      <c r="AC420" t="s">
        <v>30</v>
      </c>
      <c r="AD420">
        <v>1.16819000244141</v>
      </c>
      <c r="AE420">
        <v>1.1690984964370701</v>
      </c>
      <c r="AF420">
        <v>9.0849399565999999E-4</v>
      </c>
      <c r="AG420">
        <v>1.16434001922607</v>
      </c>
      <c r="AH420">
        <v>1.1666350364685101</v>
      </c>
      <c r="AI420">
        <v>2.2950172424399998E-3</v>
      </c>
      <c r="AJ420">
        <v>-324</v>
      </c>
      <c r="AK420">
        <v>0</v>
      </c>
      <c r="AL420" t="s">
        <v>459</v>
      </c>
    </row>
    <row r="421" spans="1:38" x14ac:dyDescent="0.3">
      <c r="A421" s="1"/>
      <c r="Y421" s="1">
        <v>43811.954039351855</v>
      </c>
      <c r="Z421">
        <v>9422</v>
      </c>
      <c r="AA421">
        <v>7184</v>
      </c>
      <c r="AB421">
        <v>17</v>
      </c>
      <c r="AC421" t="s">
        <v>30</v>
      </c>
      <c r="AD421">
        <v>1.16819000244141</v>
      </c>
      <c r="AE421">
        <v>1.1690984964370701</v>
      </c>
      <c r="AF421">
        <v>9.0849399565999999E-4</v>
      </c>
      <c r="AG421">
        <v>1.16434001922607</v>
      </c>
      <c r="AH421">
        <v>1.1666350364685101</v>
      </c>
      <c r="AI421">
        <v>2.2950172424399998E-3</v>
      </c>
      <c r="AJ421">
        <v>-324</v>
      </c>
      <c r="AK421">
        <v>0</v>
      </c>
      <c r="AL421" t="s">
        <v>459</v>
      </c>
    </row>
    <row r="422" spans="1:38" x14ac:dyDescent="0.3">
      <c r="A422" s="1"/>
      <c r="Y422" s="1">
        <v>43811.954097222224</v>
      </c>
      <c r="Z422">
        <v>9422</v>
      </c>
      <c r="AA422">
        <v>7184</v>
      </c>
      <c r="AB422">
        <v>17</v>
      </c>
      <c r="AC422" t="s">
        <v>30</v>
      </c>
      <c r="AD422">
        <v>1.16819000244141</v>
      </c>
      <c r="AE422">
        <v>1.1690984964370701</v>
      </c>
      <c r="AF422">
        <v>9.0849399565999999E-4</v>
      </c>
      <c r="AG422">
        <v>1.16434001922607</v>
      </c>
      <c r="AH422">
        <v>1.1666350364685101</v>
      </c>
      <c r="AI422">
        <v>2.2950172424399998E-3</v>
      </c>
      <c r="AJ422">
        <v>-324</v>
      </c>
      <c r="AK422">
        <v>0</v>
      </c>
      <c r="AL422" t="s">
        <v>459</v>
      </c>
    </row>
    <row r="423" spans="1:38" x14ac:dyDescent="0.3">
      <c r="A423" s="1"/>
      <c r="Y423" s="1">
        <v>43811.95416666667</v>
      </c>
      <c r="Z423">
        <v>9422</v>
      </c>
      <c r="AA423">
        <v>7184</v>
      </c>
      <c r="AB423">
        <v>17</v>
      </c>
      <c r="AC423" t="s">
        <v>30</v>
      </c>
      <c r="AD423">
        <v>1.16819000244141</v>
      </c>
      <c r="AE423">
        <v>1.1690984964370701</v>
      </c>
      <c r="AF423">
        <v>9.0849399565999999E-4</v>
      </c>
      <c r="AG423">
        <v>1.16434001922607</v>
      </c>
      <c r="AH423">
        <v>1.1666350364685101</v>
      </c>
      <c r="AI423">
        <v>2.2950172424399998E-3</v>
      </c>
      <c r="AJ423">
        <v>-324</v>
      </c>
      <c r="AK423">
        <v>0</v>
      </c>
      <c r="AL423" t="s">
        <v>459</v>
      </c>
    </row>
    <row r="424" spans="1:38" x14ac:dyDescent="0.3">
      <c r="A424" s="1"/>
      <c r="Y424" s="1">
        <v>43811.954236111109</v>
      </c>
      <c r="Z424">
        <v>9422</v>
      </c>
      <c r="AA424">
        <v>7184</v>
      </c>
      <c r="AB424">
        <v>17</v>
      </c>
      <c r="AC424" t="s">
        <v>30</v>
      </c>
      <c r="AD424">
        <v>1.16819000244141</v>
      </c>
      <c r="AE424">
        <v>1.1690984964370701</v>
      </c>
      <c r="AF424">
        <v>9.0849399565999999E-4</v>
      </c>
      <c r="AG424">
        <v>1.16434001922607</v>
      </c>
      <c r="AH424">
        <v>1.1666350364685101</v>
      </c>
      <c r="AI424">
        <v>2.2950172424399998E-3</v>
      </c>
      <c r="AJ424">
        <v>-324</v>
      </c>
      <c r="AK424">
        <v>0</v>
      </c>
      <c r="AL424" t="s">
        <v>459</v>
      </c>
    </row>
    <row r="425" spans="1:38" x14ac:dyDescent="0.3">
      <c r="A425" s="1"/>
      <c r="Y425" s="1">
        <v>43811.954305555555</v>
      </c>
      <c r="Z425">
        <v>9422</v>
      </c>
      <c r="AA425">
        <v>7184</v>
      </c>
      <c r="AB425">
        <v>17</v>
      </c>
      <c r="AC425" t="s">
        <v>30</v>
      </c>
      <c r="AD425">
        <v>1.16819000244141</v>
      </c>
      <c r="AE425">
        <v>1.1690984964370701</v>
      </c>
      <c r="AF425">
        <v>9.0849399565999999E-4</v>
      </c>
      <c r="AG425">
        <v>1.16434001922607</v>
      </c>
      <c r="AH425">
        <v>1.1666350364685101</v>
      </c>
      <c r="AI425">
        <v>2.2950172424399998E-3</v>
      </c>
      <c r="AJ425">
        <v>-324</v>
      </c>
      <c r="AK425">
        <v>0</v>
      </c>
      <c r="AL425" t="s">
        <v>459</v>
      </c>
    </row>
    <row r="426" spans="1:38" x14ac:dyDescent="0.3">
      <c r="A426" s="1"/>
      <c r="Y426" s="1">
        <v>43811.954375000001</v>
      </c>
      <c r="Z426">
        <v>9422</v>
      </c>
      <c r="AA426">
        <v>7184</v>
      </c>
      <c r="AB426">
        <v>17</v>
      </c>
      <c r="AC426" t="s">
        <v>30</v>
      </c>
      <c r="AD426">
        <v>1.16819000244141</v>
      </c>
      <c r="AE426">
        <v>1.1690984964370701</v>
      </c>
      <c r="AF426">
        <v>9.0849399565999999E-4</v>
      </c>
      <c r="AG426">
        <v>1.16434001922607</v>
      </c>
      <c r="AH426">
        <v>1.1666350364685101</v>
      </c>
      <c r="AI426">
        <v>2.2950172424399998E-3</v>
      </c>
      <c r="AJ426">
        <v>-324</v>
      </c>
      <c r="AK426">
        <v>0</v>
      </c>
      <c r="AL426" t="s">
        <v>459</v>
      </c>
    </row>
    <row r="427" spans="1:38" x14ac:dyDescent="0.3">
      <c r="A427" s="1"/>
      <c r="Y427" s="1">
        <v>43811.954456018517</v>
      </c>
      <c r="Z427">
        <v>9422</v>
      </c>
      <c r="AA427">
        <v>7184</v>
      </c>
      <c r="AB427">
        <v>17</v>
      </c>
      <c r="AC427" t="s">
        <v>30</v>
      </c>
      <c r="AD427">
        <v>1.16819000244141</v>
      </c>
      <c r="AE427">
        <v>1.1690984964370701</v>
      </c>
      <c r="AF427">
        <v>9.0849399565999999E-4</v>
      </c>
      <c r="AG427">
        <v>1.16434001922607</v>
      </c>
      <c r="AH427">
        <v>1.1666350364685101</v>
      </c>
      <c r="AI427">
        <v>2.2950172424399998E-3</v>
      </c>
      <c r="AJ427">
        <v>-324</v>
      </c>
      <c r="AK427">
        <v>0</v>
      </c>
      <c r="AL427" t="s">
        <v>459</v>
      </c>
    </row>
    <row r="428" spans="1:38" x14ac:dyDescent="0.3">
      <c r="A428" s="1"/>
      <c r="Y428" s="1">
        <v>43811.954525462963</v>
      </c>
      <c r="Z428">
        <v>9422</v>
      </c>
      <c r="AA428">
        <v>7184</v>
      </c>
      <c r="AB428">
        <v>17</v>
      </c>
      <c r="AC428" t="s">
        <v>30</v>
      </c>
      <c r="AD428">
        <v>1.16819000244141</v>
      </c>
      <c r="AE428">
        <v>1.1690984964370701</v>
      </c>
      <c r="AF428">
        <v>9.0849399565999999E-4</v>
      </c>
      <c r="AG428">
        <v>1.16434001922607</v>
      </c>
      <c r="AH428">
        <v>1.1666350364685101</v>
      </c>
      <c r="AI428">
        <v>2.2950172424399998E-3</v>
      </c>
      <c r="AJ428">
        <v>-324</v>
      </c>
      <c r="AK428">
        <v>0</v>
      </c>
      <c r="AL428" t="s">
        <v>459</v>
      </c>
    </row>
    <row r="429" spans="1:38" x14ac:dyDescent="0.3">
      <c r="A429" s="1"/>
      <c r="Y429" s="1">
        <v>43811.954606481479</v>
      </c>
      <c r="Z429">
        <v>9422</v>
      </c>
      <c r="AA429">
        <v>7184</v>
      </c>
      <c r="AB429">
        <v>17</v>
      </c>
      <c r="AC429" t="s">
        <v>30</v>
      </c>
      <c r="AD429">
        <v>1.16819000244141</v>
      </c>
      <c r="AE429">
        <v>1.1690984964370701</v>
      </c>
      <c r="AF429">
        <v>9.0849399565999999E-4</v>
      </c>
      <c r="AG429">
        <v>1.16434001922607</v>
      </c>
      <c r="AH429">
        <v>1.1666350364685101</v>
      </c>
      <c r="AI429">
        <v>2.2950172424399998E-3</v>
      </c>
      <c r="AJ429">
        <v>-324</v>
      </c>
      <c r="AK429">
        <v>0</v>
      </c>
      <c r="AL429" t="s">
        <v>459</v>
      </c>
    </row>
    <row r="430" spans="1:38" x14ac:dyDescent="0.3">
      <c r="A430" s="1"/>
      <c r="Y430" s="1">
        <v>43811.954687500001</v>
      </c>
      <c r="Z430">
        <v>9422</v>
      </c>
      <c r="AA430">
        <v>7184</v>
      </c>
      <c r="AB430">
        <v>17</v>
      </c>
      <c r="AC430" t="s">
        <v>30</v>
      </c>
      <c r="AD430">
        <v>1.16819000244141</v>
      </c>
      <c r="AE430">
        <v>1.1690984964370701</v>
      </c>
      <c r="AF430">
        <v>9.0849399565999999E-4</v>
      </c>
      <c r="AG430">
        <v>1.16434001922607</v>
      </c>
      <c r="AH430">
        <v>1.1666350364685101</v>
      </c>
      <c r="AI430">
        <v>2.2950172424399998E-3</v>
      </c>
      <c r="AJ430">
        <v>-324</v>
      </c>
      <c r="AK430">
        <v>0</v>
      </c>
      <c r="AL430" t="s">
        <v>459</v>
      </c>
    </row>
    <row r="431" spans="1:38" x14ac:dyDescent="0.3">
      <c r="A431" s="1"/>
      <c r="Y431" s="1">
        <v>43811.954768518517</v>
      </c>
      <c r="Z431">
        <v>9422</v>
      </c>
      <c r="AA431">
        <v>7184</v>
      </c>
      <c r="AB431">
        <v>17</v>
      </c>
      <c r="AC431" t="s">
        <v>30</v>
      </c>
      <c r="AD431">
        <v>1.16819000244141</v>
      </c>
      <c r="AE431">
        <v>1.1690984964370701</v>
      </c>
      <c r="AF431">
        <v>9.0849399565999999E-4</v>
      </c>
      <c r="AG431">
        <v>1.16434001922607</v>
      </c>
      <c r="AH431">
        <v>1.1666350364685101</v>
      </c>
      <c r="AI431">
        <v>2.2950172424399998E-3</v>
      </c>
      <c r="AJ431">
        <v>-324</v>
      </c>
      <c r="AK431">
        <v>0</v>
      </c>
      <c r="AL431" t="s">
        <v>459</v>
      </c>
    </row>
    <row r="432" spans="1:38" x14ac:dyDescent="0.3">
      <c r="A432" s="1"/>
      <c r="Y432" s="1">
        <v>43811.95484953704</v>
      </c>
      <c r="Z432">
        <v>9422</v>
      </c>
      <c r="AA432">
        <v>7184</v>
      </c>
      <c r="AB432">
        <v>17</v>
      </c>
      <c r="AC432" t="s">
        <v>30</v>
      </c>
      <c r="AD432">
        <v>1.16819000244141</v>
      </c>
      <c r="AE432">
        <v>1.1690984964370701</v>
      </c>
      <c r="AF432">
        <v>9.0849399565999999E-4</v>
      </c>
      <c r="AG432">
        <v>1.16434001922607</v>
      </c>
      <c r="AH432">
        <v>1.1666350364685101</v>
      </c>
      <c r="AI432">
        <v>2.2950172424399998E-3</v>
      </c>
      <c r="AJ432">
        <v>-324</v>
      </c>
      <c r="AK432">
        <v>0</v>
      </c>
      <c r="AL432" t="s">
        <v>459</v>
      </c>
    </row>
    <row r="433" spans="1:38" x14ac:dyDescent="0.3">
      <c r="A433" s="1"/>
      <c r="Y433" s="1">
        <v>43811.954918981479</v>
      </c>
      <c r="Z433">
        <v>9422</v>
      </c>
      <c r="AA433">
        <v>7184</v>
      </c>
      <c r="AB433">
        <v>17</v>
      </c>
      <c r="AC433" t="s">
        <v>30</v>
      </c>
      <c r="AD433">
        <v>1.16819000244141</v>
      </c>
      <c r="AE433">
        <v>1.1690984964370701</v>
      </c>
      <c r="AF433">
        <v>9.0849399565999999E-4</v>
      </c>
      <c r="AG433">
        <v>1.16434001922607</v>
      </c>
      <c r="AH433">
        <v>1.1666350364685101</v>
      </c>
      <c r="AI433">
        <v>2.2950172424399998E-3</v>
      </c>
      <c r="AJ433">
        <v>-324</v>
      </c>
      <c r="AK433">
        <v>0</v>
      </c>
      <c r="AL433" t="s">
        <v>459</v>
      </c>
    </row>
    <row r="434" spans="1:38" x14ac:dyDescent="0.3">
      <c r="A434" s="1"/>
      <c r="Y434" s="1">
        <v>43811.9533912037</v>
      </c>
      <c r="Z434">
        <v>9422</v>
      </c>
      <c r="AA434">
        <v>7184</v>
      </c>
      <c r="AB434">
        <v>18</v>
      </c>
      <c r="AC434" t="s">
        <v>31</v>
      </c>
      <c r="AD434">
        <v>1.16676998138428</v>
      </c>
      <c r="AE434">
        <v>1.1673388481140099</v>
      </c>
      <c r="AF434">
        <v>5.6886672972999996E-4</v>
      </c>
      <c r="AG434">
        <v>1.1649700403213501</v>
      </c>
      <c r="AH434">
        <v>1.1645094156265301</v>
      </c>
      <c r="AI434">
        <v>4.6062469482000001E-4</v>
      </c>
      <c r="AJ434">
        <v>36</v>
      </c>
      <c r="AK434">
        <v>0</v>
      </c>
      <c r="AL434" t="s">
        <v>457</v>
      </c>
    </row>
    <row r="435" spans="1:38" x14ac:dyDescent="0.3">
      <c r="A435" s="1"/>
      <c r="Y435" s="1">
        <v>43811.9534375</v>
      </c>
      <c r="Z435">
        <v>9422</v>
      </c>
      <c r="AA435">
        <v>7184</v>
      </c>
      <c r="AB435">
        <v>18</v>
      </c>
      <c r="AC435" t="s">
        <v>31</v>
      </c>
      <c r="AD435">
        <v>1.16676998138428</v>
      </c>
      <c r="AE435">
        <v>1.1673388481140099</v>
      </c>
      <c r="AF435">
        <v>5.6886672972999996E-4</v>
      </c>
      <c r="AG435">
        <v>1.1649700403213501</v>
      </c>
      <c r="AH435">
        <v>1.1645094156265301</v>
      </c>
      <c r="AI435">
        <v>4.6062469482000001E-4</v>
      </c>
      <c r="AJ435">
        <v>36</v>
      </c>
      <c r="AK435">
        <v>0</v>
      </c>
      <c r="AL435" t="s">
        <v>457</v>
      </c>
    </row>
    <row r="436" spans="1:38" x14ac:dyDescent="0.3">
      <c r="A436" s="1"/>
      <c r="Y436" s="1">
        <v>43811.95349537037</v>
      </c>
      <c r="Z436">
        <v>9422</v>
      </c>
      <c r="AA436">
        <v>7184</v>
      </c>
      <c r="AB436">
        <v>18</v>
      </c>
      <c r="AC436" t="s">
        <v>31</v>
      </c>
      <c r="AD436">
        <v>1.16676998138428</v>
      </c>
      <c r="AE436">
        <v>1.1673388481140099</v>
      </c>
      <c r="AF436">
        <v>5.6886672972999996E-4</v>
      </c>
      <c r="AG436">
        <v>1.1649700403213501</v>
      </c>
      <c r="AH436">
        <v>1.1645094156265301</v>
      </c>
      <c r="AI436">
        <v>4.6062469482000001E-4</v>
      </c>
      <c r="AJ436">
        <v>36</v>
      </c>
      <c r="AK436">
        <v>0</v>
      </c>
      <c r="AL436" t="s">
        <v>457</v>
      </c>
    </row>
    <row r="437" spans="1:38" x14ac:dyDescent="0.3">
      <c r="A437" s="1"/>
      <c r="Y437" s="1">
        <v>43811.953541666669</v>
      </c>
      <c r="Z437">
        <v>9422</v>
      </c>
      <c r="AA437">
        <v>7184</v>
      </c>
      <c r="AB437">
        <v>18</v>
      </c>
      <c r="AC437" t="s">
        <v>31</v>
      </c>
      <c r="AD437">
        <v>1.16676998138428</v>
      </c>
      <c r="AE437">
        <v>1.1673388481140099</v>
      </c>
      <c r="AF437">
        <v>5.6886672972999996E-4</v>
      </c>
      <c r="AG437">
        <v>1.1649700403213501</v>
      </c>
      <c r="AH437">
        <v>1.1645094156265301</v>
      </c>
      <c r="AI437">
        <v>4.6062469482000001E-4</v>
      </c>
      <c r="AJ437">
        <v>36</v>
      </c>
      <c r="AK437">
        <v>0</v>
      </c>
      <c r="AL437" t="s">
        <v>457</v>
      </c>
    </row>
    <row r="438" spans="1:38" x14ac:dyDescent="0.3">
      <c r="A438" s="1"/>
      <c r="Y438" s="1">
        <v>43811.953599537039</v>
      </c>
      <c r="Z438">
        <v>9422</v>
      </c>
      <c r="AA438">
        <v>7184</v>
      </c>
      <c r="AB438">
        <v>18</v>
      </c>
      <c r="AC438" t="s">
        <v>31</v>
      </c>
      <c r="AD438">
        <v>1.16676998138428</v>
      </c>
      <c r="AE438">
        <v>1.1673388481140099</v>
      </c>
      <c r="AF438">
        <v>5.6886672972999996E-4</v>
      </c>
      <c r="AG438">
        <v>1.1649700403213501</v>
      </c>
      <c r="AH438">
        <v>1.1645094156265301</v>
      </c>
      <c r="AI438">
        <v>4.6062469482000001E-4</v>
      </c>
      <c r="AJ438">
        <v>36</v>
      </c>
      <c r="AK438">
        <v>0</v>
      </c>
      <c r="AL438" t="s">
        <v>457</v>
      </c>
    </row>
    <row r="439" spans="1:38" x14ac:dyDescent="0.3">
      <c r="A439" s="1"/>
      <c r="Y439" s="1">
        <v>43811.953657407408</v>
      </c>
      <c r="Z439">
        <v>9422</v>
      </c>
      <c r="AA439">
        <v>7184</v>
      </c>
      <c r="AB439">
        <v>18</v>
      </c>
      <c r="AC439" t="s">
        <v>31</v>
      </c>
      <c r="AD439">
        <v>1.16676998138428</v>
      </c>
      <c r="AE439">
        <v>1.1673388481140099</v>
      </c>
      <c r="AF439">
        <v>5.6886672972999996E-4</v>
      </c>
      <c r="AG439">
        <v>1.1649700403213501</v>
      </c>
      <c r="AH439">
        <v>1.1645094156265301</v>
      </c>
      <c r="AI439">
        <v>4.6062469482000001E-4</v>
      </c>
      <c r="AJ439">
        <v>36</v>
      </c>
      <c r="AK439">
        <v>0</v>
      </c>
      <c r="AL439" t="s">
        <v>457</v>
      </c>
    </row>
    <row r="440" spans="1:38" x14ac:dyDescent="0.3">
      <c r="A440" s="1"/>
      <c r="Y440" s="1">
        <v>43811.953715277778</v>
      </c>
      <c r="Z440">
        <v>9422</v>
      </c>
      <c r="AA440">
        <v>7184</v>
      </c>
      <c r="AB440">
        <v>18</v>
      </c>
      <c r="AC440" t="s">
        <v>31</v>
      </c>
      <c r="AD440">
        <v>1.16676998138428</v>
      </c>
      <c r="AE440">
        <v>1.1673388481140099</v>
      </c>
      <c r="AF440">
        <v>5.6886672972999996E-4</v>
      </c>
      <c r="AG440">
        <v>1.1649700403213501</v>
      </c>
      <c r="AH440">
        <v>1.1645094156265301</v>
      </c>
      <c r="AI440">
        <v>4.6062469482000001E-4</v>
      </c>
      <c r="AJ440">
        <v>36</v>
      </c>
      <c r="AK440">
        <v>0</v>
      </c>
      <c r="AL440" t="s">
        <v>457</v>
      </c>
    </row>
    <row r="441" spans="1:38" x14ac:dyDescent="0.3">
      <c r="A441" s="1"/>
      <c r="Y441" s="1">
        <v>43811.953773148147</v>
      </c>
      <c r="Z441">
        <v>9422</v>
      </c>
      <c r="AA441">
        <v>7184</v>
      </c>
      <c r="AB441">
        <v>18</v>
      </c>
      <c r="AC441" t="s">
        <v>31</v>
      </c>
      <c r="AD441">
        <v>1.16676998138428</v>
      </c>
      <c r="AE441">
        <v>1.1673388481140099</v>
      </c>
      <c r="AF441">
        <v>5.6886672972999996E-4</v>
      </c>
      <c r="AG441">
        <v>1.1649700403213501</v>
      </c>
      <c r="AH441">
        <v>1.1645094156265301</v>
      </c>
      <c r="AI441">
        <v>4.6062469482000001E-4</v>
      </c>
      <c r="AJ441">
        <v>36</v>
      </c>
      <c r="AK441">
        <v>0</v>
      </c>
      <c r="AL441" t="s">
        <v>457</v>
      </c>
    </row>
    <row r="442" spans="1:38" x14ac:dyDescent="0.3">
      <c r="A442" s="1"/>
      <c r="Y442" s="1">
        <v>43811.953842592593</v>
      </c>
      <c r="Z442">
        <v>9422</v>
      </c>
      <c r="AA442">
        <v>7184</v>
      </c>
      <c r="AB442">
        <v>18</v>
      </c>
      <c r="AC442" t="s">
        <v>31</v>
      </c>
      <c r="AD442">
        <v>1.16676998138428</v>
      </c>
      <c r="AE442">
        <v>1.1673388481140099</v>
      </c>
      <c r="AF442">
        <v>5.6886672972999996E-4</v>
      </c>
      <c r="AG442">
        <v>1.1649700403213501</v>
      </c>
      <c r="AH442">
        <v>1.1645094156265301</v>
      </c>
      <c r="AI442">
        <v>4.6062469482000001E-4</v>
      </c>
      <c r="AJ442">
        <v>36</v>
      </c>
      <c r="AK442">
        <v>0</v>
      </c>
      <c r="AL442" t="s">
        <v>457</v>
      </c>
    </row>
    <row r="443" spans="1:38" x14ac:dyDescent="0.3">
      <c r="A443" s="1"/>
      <c r="Y443" s="1">
        <v>43811.953900462962</v>
      </c>
      <c r="Z443">
        <v>9422</v>
      </c>
      <c r="AA443">
        <v>7184</v>
      </c>
      <c r="AB443">
        <v>18</v>
      </c>
      <c r="AC443" t="s">
        <v>31</v>
      </c>
      <c r="AD443">
        <v>1.16676998138428</v>
      </c>
      <c r="AE443">
        <v>1.1673388481140099</v>
      </c>
      <c r="AF443">
        <v>5.6886672972999996E-4</v>
      </c>
      <c r="AG443">
        <v>1.1649700403213501</v>
      </c>
      <c r="AH443">
        <v>1.1645094156265301</v>
      </c>
      <c r="AI443">
        <v>4.6062469482000001E-4</v>
      </c>
      <c r="AJ443">
        <v>36</v>
      </c>
      <c r="AK443">
        <v>0</v>
      </c>
      <c r="AL443" t="s">
        <v>457</v>
      </c>
    </row>
    <row r="444" spans="1:38" x14ac:dyDescent="0.3">
      <c r="A444" s="1"/>
      <c r="Y444" s="1">
        <v>43811.953969907408</v>
      </c>
      <c r="Z444">
        <v>9422</v>
      </c>
      <c r="AA444">
        <v>7184</v>
      </c>
      <c r="AB444">
        <v>18</v>
      </c>
      <c r="AC444" t="s">
        <v>31</v>
      </c>
      <c r="AD444">
        <v>1.16676998138428</v>
      </c>
      <c r="AE444">
        <v>1.1673388481140099</v>
      </c>
      <c r="AF444">
        <v>5.6886672972999996E-4</v>
      </c>
      <c r="AG444">
        <v>1.1649700403213501</v>
      </c>
      <c r="AH444">
        <v>1.1645094156265301</v>
      </c>
      <c r="AI444">
        <v>4.6062469482000001E-4</v>
      </c>
      <c r="AJ444">
        <v>36</v>
      </c>
      <c r="AK444">
        <v>0</v>
      </c>
      <c r="AL444" t="s">
        <v>457</v>
      </c>
    </row>
    <row r="445" spans="1:38" x14ac:dyDescent="0.3">
      <c r="A445" s="1"/>
      <c r="Y445" s="1">
        <v>43811.954039351855</v>
      </c>
      <c r="Z445">
        <v>9422</v>
      </c>
      <c r="AA445">
        <v>7184</v>
      </c>
      <c r="AB445">
        <v>18</v>
      </c>
      <c r="AC445" t="s">
        <v>31</v>
      </c>
      <c r="AD445">
        <v>1.16676998138428</v>
      </c>
      <c r="AE445">
        <v>1.1673388481140099</v>
      </c>
      <c r="AF445">
        <v>5.6886672972999996E-4</v>
      </c>
      <c r="AG445">
        <v>1.1649700403213501</v>
      </c>
      <c r="AH445">
        <v>1.1645094156265301</v>
      </c>
      <c r="AI445">
        <v>4.6062469482000001E-4</v>
      </c>
      <c r="AJ445">
        <v>36</v>
      </c>
      <c r="AK445">
        <v>0</v>
      </c>
      <c r="AL445" t="s">
        <v>457</v>
      </c>
    </row>
    <row r="446" spans="1:38" x14ac:dyDescent="0.3">
      <c r="A446" s="1"/>
      <c r="Y446" s="1">
        <v>43811.954097222224</v>
      </c>
      <c r="Z446">
        <v>9422</v>
      </c>
      <c r="AA446">
        <v>7184</v>
      </c>
      <c r="AB446">
        <v>18</v>
      </c>
      <c r="AC446" t="s">
        <v>31</v>
      </c>
      <c r="AD446">
        <v>1.16676998138428</v>
      </c>
      <c r="AE446">
        <v>1.1673388481140099</v>
      </c>
      <c r="AF446">
        <v>5.6886672972999996E-4</v>
      </c>
      <c r="AG446">
        <v>1.1649700403213501</v>
      </c>
      <c r="AH446">
        <v>1.1645094156265301</v>
      </c>
      <c r="AI446">
        <v>4.6062469482000001E-4</v>
      </c>
      <c r="AJ446">
        <v>36</v>
      </c>
      <c r="AK446">
        <v>0</v>
      </c>
      <c r="AL446" t="s">
        <v>457</v>
      </c>
    </row>
    <row r="447" spans="1:38" x14ac:dyDescent="0.3">
      <c r="A447" s="1"/>
      <c r="Y447" s="1">
        <v>43811.95416666667</v>
      </c>
      <c r="Z447">
        <v>9422</v>
      </c>
      <c r="AA447">
        <v>7184</v>
      </c>
      <c r="AB447">
        <v>18</v>
      </c>
      <c r="AC447" t="s">
        <v>31</v>
      </c>
      <c r="AD447">
        <v>1.16676998138428</v>
      </c>
      <c r="AE447">
        <v>1.1673388481140099</v>
      </c>
      <c r="AF447">
        <v>5.6886672972999996E-4</v>
      </c>
      <c r="AG447">
        <v>1.1649700403213501</v>
      </c>
      <c r="AH447">
        <v>1.1645094156265301</v>
      </c>
      <c r="AI447">
        <v>4.6062469482000001E-4</v>
      </c>
      <c r="AJ447">
        <v>36</v>
      </c>
      <c r="AK447">
        <v>0</v>
      </c>
      <c r="AL447" t="s">
        <v>457</v>
      </c>
    </row>
    <row r="448" spans="1:38" x14ac:dyDescent="0.3">
      <c r="A448" s="1"/>
      <c r="Y448" s="1">
        <v>43811.954236111109</v>
      </c>
      <c r="Z448">
        <v>9422</v>
      </c>
      <c r="AA448">
        <v>7184</v>
      </c>
      <c r="AB448">
        <v>18</v>
      </c>
      <c r="AC448" t="s">
        <v>31</v>
      </c>
      <c r="AD448">
        <v>1.16676998138428</v>
      </c>
      <c r="AE448">
        <v>1.1673388481140099</v>
      </c>
      <c r="AF448">
        <v>5.6886672972999996E-4</v>
      </c>
      <c r="AG448">
        <v>1.1649700403213501</v>
      </c>
      <c r="AH448">
        <v>1.1645094156265301</v>
      </c>
      <c r="AI448">
        <v>4.6062469482000001E-4</v>
      </c>
      <c r="AJ448">
        <v>36</v>
      </c>
      <c r="AK448">
        <v>0</v>
      </c>
      <c r="AL448" t="s">
        <v>457</v>
      </c>
    </row>
    <row r="449" spans="1:38" x14ac:dyDescent="0.3">
      <c r="A449" s="1"/>
      <c r="Y449" s="1">
        <v>43811.954305555555</v>
      </c>
      <c r="Z449">
        <v>9422</v>
      </c>
      <c r="AA449">
        <v>7184</v>
      </c>
      <c r="AB449">
        <v>18</v>
      </c>
      <c r="AC449" t="s">
        <v>31</v>
      </c>
      <c r="AD449">
        <v>1.16676998138428</v>
      </c>
      <c r="AE449">
        <v>1.1673388481140099</v>
      </c>
      <c r="AF449">
        <v>5.6886672972999996E-4</v>
      </c>
      <c r="AG449">
        <v>1.1649700403213501</v>
      </c>
      <c r="AH449">
        <v>1.1645094156265301</v>
      </c>
      <c r="AI449">
        <v>4.6062469482000001E-4</v>
      </c>
      <c r="AJ449">
        <v>36</v>
      </c>
      <c r="AK449">
        <v>0</v>
      </c>
      <c r="AL449" t="s">
        <v>457</v>
      </c>
    </row>
    <row r="450" spans="1:38" x14ac:dyDescent="0.3">
      <c r="A450" s="1"/>
      <c r="Y450" s="1">
        <v>43811.954375000001</v>
      </c>
      <c r="Z450">
        <v>9422</v>
      </c>
      <c r="AA450">
        <v>7184</v>
      </c>
      <c r="AB450">
        <v>18</v>
      </c>
      <c r="AC450" t="s">
        <v>31</v>
      </c>
      <c r="AD450">
        <v>1.16676998138428</v>
      </c>
      <c r="AE450">
        <v>1.1673388481140099</v>
      </c>
      <c r="AF450">
        <v>5.6886672972999996E-4</v>
      </c>
      <c r="AG450">
        <v>1.1649700403213501</v>
      </c>
      <c r="AH450">
        <v>1.1645094156265301</v>
      </c>
      <c r="AI450">
        <v>4.6062469482000001E-4</v>
      </c>
      <c r="AJ450">
        <v>36</v>
      </c>
      <c r="AK450">
        <v>0</v>
      </c>
      <c r="AL450" t="s">
        <v>457</v>
      </c>
    </row>
    <row r="451" spans="1:38" x14ac:dyDescent="0.3">
      <c r="A451" s="1"/>
      <c r="Y451" s="1">
        <v>43811.954456018517</v>
      </c>
      <c r="Z451">
        <v>9422</v>
      </c>
      <c r="AA451">
        <v>7184</v>
      </c>
      <c r="AB451">
        <v>18</v>
      </c>
      <c r="AC451" t="s">
        <v>31</v>
      </c>
      <c r="AD451">
        <v>1.16676998138428</v>
      </c>
      <c r="AE451">
        <v>1.1673388481140099</v>
      </c>
      <c r="AF451">
        <v>5.6886672972999996E-4</v>
      </c>
      <c r="AG451">
        <v>1.1649700403213501</v>
      </c>
      <c r="AH451">
        <v>1.1645094156265301</v>
      </c>
      <c r="AI451">
        <v>4.6062469482000001E-4</v>
      </c>
      <c r="AJ451">
        <v>36</v>
      </c>
      <c r="AK451">
        <v>0</v>
      </c>
      <c r="AL451" t="s">
        <v>457</v>
      </c>
    </row>
    <row r="452" spans="1:38" x14ac:dyDescent="0.3">
      <c r="A452" s="1"/>
      <c r="Y452" s="1">
        <v>43811.954525462963</v>
      </c>
      <c r="Z452">
        <v>9422</v>
      </c>
      <c r="AA452">
        <v>7184</v>
      </c>
      <c r="AB452">
        <v>18</v>
      </c>
      <c r="AC452" t="s">
        <v>31</v>
      </c>
      <c r="AD452">
        <v>1.16676998138428</v>
      </c>
      <c r="AE452">
        <v>1.1673388481140099</v>
      </c>
      <c r="AF452">
        <v>5.6886672972999996E-4</v>
      </c>
      <c r="AG452">
        <v>1.1649700403213501</v>
      </c>
      <c r="AH452">
        <v>1.1645094156265301</v>
      </c>
      <c r="AI452">
        <v>4.6062469482000001E-4</v>
      </c>
      <c r="AJ452">
        <v>36</v>
      </c>
      <c r="AK452">
        <v>0</v>
      </c>
      <c r="AL452" t="s">
        <v>457</v>
      </c>
    </row>
    <row r="453" spans="1:38" x14ac:dyDescent="0.3">
      <c r="A453" s="1"/>
      <c r="Y453" s="1">
        <v>43811.954606481479</v>
      </c>
      <c r="Z453">
        <v>9422</v>
      </c>
      <c r="AA453">
        <v>7184</v>
      </c>
      <c r="AB453">
        <v>18</v>
      </c>
      <c r="AC453" t="s">
        <v>31</v>
      </c>
      <c r="AD453">
        <v>1.16676998138428</v>
      </c>
      <c r="AE453">
        <v>1.1673388481140099</v>
      </c>
      <c r="AF453">
        <v>5.6886672972999996E-4</v>
      </c>
      <c r="AG453">
        <v>1.1649700403213501</v>
      </c>
      <c r="AH453">
        <v>1.1645094156265301</v>
      </c>
      <c r="AI453">
        <v>4.6062469482000001E-4</v>
      </c>
      <c r="AJ453">
        <v>36</v>
      </c>
      <c r="AK453">
        <v>0</v>
      </c>
      <c r="AL453" t="s">
        <v>457</v>
      </c>
    </row>
    <row r="454" spans="1:38" x14ac:dyDescent="0.3">
      <c r="A454" s="1"/>
      <c r="Y454" s="1">
        <v>43811.954687500001</v>
      </c>
      <c r="Z454">
        <v>9422</v>
      </c>
      <c r="AA454">
        <v>7184</v>
      </c>
      <c r="AB454">
        <v>18</v>
      </c>
      <c r="AC454" t="s">
        <v>31</v>
      </c>
      <c r="AD454">
        <v>1.16676998138428</v>
      </c>
      <c r="AE454">
        <v>1.1673388481140099</v>
      </c>
      <c r="AF454">
        <v>5.6886672972999996E-4</v>
      </c>
      <c r="AG454">
        <v>1.1649700403213501</v>
      </c>
      <c r="AH454">
        <v>1.1645094156265301</v>
      </c>
      <c r="AI454">
        <v>4.6062469482000001E-4</v>
      </c>
      <c r="AJ454">
        <v>36</v>
      </c>
      <c r="AK454">
        <v>0</v>
      </c>
      <c r="AL454" t="s">
        <v>457</v>
      </c>
    </row>
    <row r="455" spans="1:38" x14ac:dyDescent="0.3">
      <c r="A455" s="1"/>
      <c r="Y455" s="1">
        <v>43811.954768518517</v>
      </c>
      <c r="Z455">
        <v>9422</v>
      </c>
      <c r="AA455">
        <v>7184</v>
      </c>
      <c r="AB455">
        <v>18</v>
      </c>
      <c r="AC455" t="s">
        <v>31</v>
      </c>
      <c r="AD455">
        <v>1.16676998138428</v>
      </c>
      <c r="AE455">
        <v>1.1673388481140099</v>
      </c>
      <c r="AF455">
        <v>5.6886672972999996E-4</v>
      </c>
      <c r="AG455">
        <v>1.1649700403213501</v>
      </c>
      <c r="AH455">
        <v>1.1645094156265301</v>
      </c>
      <c r="AI455">
        <v>4.6062469482000001E-4</v>
      </c>
      <c r="AJ455">
        <v>36</v>
      </c>
      <c r="AK455">
        <v>0</v>
      </c>
      <c r="AL455" t="s">
        <v>457</v>
      </c>
    </row>
    <row r="456" spans="1:38" x14ac:dyDescent="0.3">
      <c r="A456" s="1"/>
      <c r="Y456" s="1">
        <v>43811.95484953704</v>
      </c>
      <c r="Z456">
        <v>9422</v>
      </c>
      <c r="AA456">
        <v>7184</v>
      </c>
      <c r="AB456">
        <v>18</v>
      </c>
      <c r="AC456" t="s">
        <v>31</v>
      </c>
      <c r="AD456">
        <v>1.16676998138428</v>
      </c>
      <c r="AE456">
        <v>1.1673388481140099</v>
      </c>
      <c r="AF456">
        <v>5.6886672972999996E-4</v>
      </c>
      <c r="AG456">
        <v>1.1649700403213501</v>
      </c>
      <c r="AH456">
        <v>1.1645094156265301</v>
      </c>
      <c r="AI456">
        <v>4.6062469482000001E-4</v>
      </c>
      <c r="AJ456">
        <v>36</v>
      </c>
      <c r="AK456">
        <v>0</v>
      </c>
      <c r="AL456" t="s">
        <v>457</v>
      </c>
    </row>
    <row r="457" spans="1:38" x14ac:dyDescent="0.3">
      <c r="A457" s="1"/>
      <c r="Y457" s="1">
        <v>43811.954918981479</v>
      </c>
      <c r="Z457">
        <v>9422</v>
      </c>
      <c r="AA457">
        <v>7184</v>
      </c>
      <c r="AB457">
        <v>18</v>
      </c>
      <c r="AC457" t="s">
        <v>31</v>
      </c>
      <c r="AD457">
        <v>1.16676998138428</v>
      </c>
      <c r="AE457">
        <v>1.1673388481140099</v>
      </c>
      <c r="AF457">
        <v>5.6886672972999996E-4</v>
      </c>
      <c r="AG457">
        <v>1.1649700403213501</v>
      </c>
      <c r="AH457">
        <v>1.1645094156265301</v>
      </c>
      <c r="AI457">
        <v>4.6062469482000001E-4</v>
      </c>
      <c r="AJ457">
        <v>36</v>
      </c>
      <c r="AK457">
        <v>0</v>
      </c>
      <c r="AL457" t="s">
        <v>457</v>
      </c>
    </row>
    <row r="458" spans="1:38" x14ac:dyDescent="0.3">
      <c r="A458" s="1"/>
      <c r="Y458" s="1">
        <v>43811.9533912037</v>
      </c>
      <c r="Z458">
        <v>9422</v>
      </c>
      <c r="AA458">
        <v>7184</v>
      </c>
      <c r="AB458">
        <v>19</v>
      </c>
      <c r="AC458" t="s">
        <v>32</v>
      </c>
      <c r="AD458">
        <v>1.16612005233765</v>
      </c>
      <c r="AE458">
        <v>1.16654825210571</v>
      </c>
      <c r="AF458">
        <v>4.2819976806000002E-4</v>
      </c>
      <c r="AG458">
        <v>1.16412997245789</v>
      </c>
      <c r="AH458">
        <v>1.1645594835281401</v>
      </c>
      <c r="AI458">
        <v>4.2951107024999998E-4</v>
      </c>
      <c r="AJ458">
        <v>158</v>
      </c>
      <c r="AK458">
        <v>0</v>
      </c>
      <c r="AL458" t="s">
        <v>458</v>
      </c>
    </row>
    <row r="459" spans="1:38" x14ac:dyDescent="0.3">
      <c r="A459" s="1"/>
      <c r="Y459" s="1">
        <v>43811.9534375</v>
      </c>
      <c r="Z459">
        <v>9422</v>
      </c>
      <c r="AA459">
        <v>7184</v>
      </c>
      <c r="AB459">
        <v>19</v>
      </c>
      <c r="AC459" t="s">
        <v>32</v>
      </c>
      <c r="AD459">
        <v>1.16612005233765</v>
      </c>
      <c r="AE459">
        <v>1.16654825210571</v>
      </c>
      <c r="AF459">
        <v>4.2819976806000002E-4</v>
      </c>
      <c r="AG459">
        <v>1.16412997245789</v>
      </c>
      <c r="AH459">
        <v>1.1645594835281401</v>
      </c>
      <c r="AI459">
        <v>4.2951107024999998E-4</v>
      </c>
      <c r="AJ459">
        <v>158</v>
      </c>
      <c r="AK459">
        <v>0</v>
      </c>
      <c r="AL459" t="s">
        <v>458</v>
      </c>
    </row>
    <row r="460" spans="1:38" x14ac:dyDescent="0.3">
      <c r="A460" s="1"/>
      <c r="Y460" s="1">
        <v>43811.95349537037</v>
      </c>
      <c r="Z460">
        <v>9422</v>
      </c>
      <c r="AA460">
        <v>7184</v>
      </c>
      <c r="AB460">
        <v>19</v>
      </c>
      <c r="AC460" t="s">
        <v>32</v>
      </c>
      <c r="AD460">
        <v>1.16612005233765</v>
      </c>
      <c r="AE460">
        <v>1.16654825210571</v>
      </c>
      <c r="AF460">
        <v>4.2819976806000002E-4</v>
      </c>
      <c r="AG460">
        <v>1.16412997245789</v>
      </c>
      <c r="AH460">
        <v>1.1645594835281401</v>
      </c>
      <c r="AI460">
        <v>4.2951107024999998E-4</v>
      </c>
      <c r="AJ460">
        <v>158</v>
      </c>
      <c r="AK460">
        <v>0</v>
      </c>
      <c r="AL460" t="s">
        <v>458</v>
      </c>
    </row>
    <row r="461" spans="1:38" x14ac:dyDescent="0.3">
      <c r="A461" s="1"/>
      <c r="Y461" s="1">
        <v>43811.953541666669</v>
      </c>
      <c r="Z461">
        <v>9422</v>
      </c>
      <c r="AA461">
        <v>7184</v>
      </c>
      <c r="AB461">
        <v>19</v>
      </c>
      <c r="AC461" t="s">
        <v>32</v>
      </c>
      <c r="AD461">
        <v>1.16612005233765</v>
      </c>
      <c r="AE461">
        <v>1.16654825210571</v>
      </c>
      <c r="AF461">
        <v>4.2819976806000002E-4</v>
      </c>
      <c r="AG461">
        <v>1.16412997245789</v>
      </c>
      <c r="AH461">
        <v>1.1645594835281401</v>
      </c>
      <c r="AI461">
        <v>4.2951107024999998E-4</v>
      </c>
      <c r="AJ461">
        <v>158</v>
      </c>
      <c r="AK461">
        <v>0</v>
      </c>
      <c r="AL461" t="s">
        <v>458</v>
      </c>
    </row>
    <row r="462" spans="1:38" x14ac:dyDescent="0.3">
      <c r="A462" s="1"/>
      <c r="Y462" s="1">
        <v>43811.953599537039</v>
      </c>
      <c r="Z462">
        <v>9422</v>
      </c>
      <c r="AA462">
        <v>7184</v>
      </c>
      <c r="AB462">
        <v>19</v>
      </c>
      <c r="AC462" t="s">
        <v>32</v>
      </c>
      <c r="AD462">
        <v>1.16612005233765</v>
      </c>
      <c r="AE462">
        <v>1.16654825210571</v>
      </c>
      <c r="AF462">
        <v>4.2819976806000002E-4</v>
      </c>
      <c r="AG462">
        <v>1.16412997245789</v>
      </c>
      <c r="AH462">
        <v>1.1645594835281401</v>
      </c>
      <c r="AI462">
        <v>4.2951107024999998E-4</v>
      </c>
      <c r="AJ462">
        <v>158</v>
      </c>
      <c r="AK462">
        <v>0</v>
      </c>
      <c r="AL462" t="s">
        <v>458</v>
      </c>
    </row>
    <row r="463" spans="1:38" x14ac:dyDescent="0.3">
      <c r="A463" s="1"/>
      <c r="Y463" s="1">
        <v>43811.953657407408</v>
      </c>
      <c r="Z463">
        <v>9422</v>
      </c>
      <c r="AA463">
        <v>7184</v>
      </c>
      <c r="AB463">
        <v>19</v>
      </c>
      <c r="AC463" t="s">
        <v>32</v>
      </c>
      <c r="AD463">
        <v>1.16612005233765</v>
      </c>
      <c r="AE463">
        <v>1.16654825210571</v>
      </c>
      <c r="AF463">
        <v>4.2819976806000002E-4</v>
      </c>
      <c r="AG463">
        <v>1.16412997245789</v>
      </c>
      <c r="AH463">
        <v>1.1645594835281401</v>
      </c>
      <c r="AI463">
        <v>4.2951107024999998E-4</v>
      </c>
      <c r="AJ463">
        <v>158</v>
      </c>
      <c r="AK463">
        <v>0</v>
      </c>
      <c r="AL463" t="s">
        <v>458</v>
      </c>
    </row>
    <row r="464" spans="1:38" x14ac:dyDescent="0.3">
      <c r="A464" s="1"/>
      <c r="Y464" s="1">
        <v>43811.953715277778</v>
      </c>
      <c r="Z464">
        <v>9422</v>
      </c>
      <c r="AA464">
        <v>7184</v>
      </c>
      <c r="AB464">
        <v>19</v>
      </c>
      <c r="AC464" t="s">
        <v>32</v>
      </c>
      <c r="AD464">
        <v>1.16612005233765</v>
      </c>
      <c r="AE464">
        <v>1.16654825210571</v>
      </c>
      <c r="AF464">
        <v>4.2819976806000002E-4</v>
      </c>
      <c r="AG464">
        <v>1.16412997245789</v>
      </c>
      <c r="AH464">
        <v>1.1645594835281401</v>
      </c>
      <c r="AI464">
        <v>4.2951107024999998E-4</v>
      </c>
      <c r="AJ464">
        <v>158</v>
      </c>
      <c r="AK464">
        <v>0</v>
      </c>
      <c r="AL464" t="s">
        <v>458</v>
      </c>
    </row>
    <row r="465" spans="1:38" x14ac:dyDescent="0.3">
      <c r="A465" s="1"/>
      <c r="Y465" s="1">
        <v>43811.953773148147</v>
      </c>
      <c r="Z465">
        <v>9422</v>
      </c>
      <c r="AA465">
        <v>7184</v>
      </c>
      <c r="AB465">
        <v>19</v>
      </c>
      <c r="AC465" t="s">
        <v>32</v>
      </c>
      <c r="AD465">
        <v>1.16612005233765</v>
      </c>
      <c r="AE465">
        <v>1.16654825210571</v>
      </c>
      <c r="AF465">
        <v>4.2819976806000002E-4</v>
      </c>
      <c r="AG465">
        <v>1.16412997245789</v>
      </c>
      <c r="AH465">
        <v>1.1645594835281401</v>
      </c>
      <c r="AI465">
        <v>4.2951107024999998E-4</v>
      </c>
      <c r="AJ465">
        <v>158</v>
      </c>
      <c r="AK465">
        <v>0</v>
      </c>
      <c r="AL465" t="s">
        <v>458</v>
      </c>
    </row>
    <row r="466" spans="1:38" x14ac:dyDescent="0.3">
      <c r="A466" s="1"/>
      <c r="Y466" s="1">
        <v>43811.953842592593</v>
      </c>
      <c r="Z466">
        <v>9422</v>
      </c>
      <c r="AA466">
        <v>7184</v>
      </c>
      <c r="AB466">
        <v>19</v>
      </c>
      <c r="AC466" t="s">
        <v>32</v>
      </c>
      <c r="AD466">
        <v>1.16612005233765</v>
      </c>
      <c r="AE466">
        <v>1.16654825210571</v>
      </c>
      <c r="AF466">
        <v>4.2819976806000002E-4</v>
      </c>
      <c r="AG466">
        <v>1.16412997245789</v>
      </c>
      <c r="AH466">
        <v>1.1645594835281401</v>
      </c>
      <c r="AI466">
        <v>4.2951107024999998E-4</v>
      </c>
      <c r="AJ466">
        <v>158</v>
      </c>
      <c r="AK466">
        <v>0</v>
      </c>
      <c r="AL466" t="s">
        <v>458</v>
      </c>
    </row>
    <row r="467" spans="1:38" x14ac:dyDescent="0.3">
      <c r="A467" s="1"/>
      <c r="Y467" s="1">
        <v>43811.953900462962</v>
      </c>
      <c r="Z467">
        <v>9422</v>
      </c>
      <c r="AA467">
        <v>7184</v>
      </c>
      <c r="AB467">
        <v>19</v>
      </c>
      <c r="AC467" t="s">
        <v>32</v>
      </c>
      <c r="AD467">
        <v>1.16612005233765</v>
      </c>
      <c r="AE467">
        <v>1.16654825210571</v>
      </c>
      <c r="AF467">
        <v>4.2819976806000002E-4</v>
      </c>
      <c r="AG467">
        <v>1.16412997245789</v>
      </c>
      <c r="AH467">
        <v>1.1645594835281401</v>
      </c>
      <c r="AI467">
        <v>4.2951107024999998E-4</v>
      </c>
      <c r="AJ467">
        <v>158</v>
      </c>
      <c r="AK467">
        <v>0</v>
      </c>
      <c r="AL467" t="s">
        <v>458</v>
      </c>
    </row>
    <row r="468" spans="1:38" x14ac:dyDescent="0.3">
      <c r="A468" s="1"/>
      <c r="Y468" s="1">
        <v>43811.953969907408</v>
      </c>
      <c r="Z468">
        <v>9422</v>
      </c>
      <c r="AA468">
        <v>7184</v>
      </c>
      <c r="AB468">
        <v>19</v>
      </c>
      <c r="AC468" t="s">
        <v>32</v>
      </c>
      <c r="AD468">
        <v>1.16612005233765</v>
      </c>
      <c r="AE468">
        <v>1.16654825210571</v>
      </c>
      <c r="AF468">
        <v>4.2819976806000002E-4</v>
      </c>
      <c r="AG468">
        <v>1.16412997245789</v>
      </c>
      <c r="AH468">
        <v>1.1645594835281401</v>
      </c>
      <c r="AI468">
        <v>4.2951107024999998E-4</v>
      </c>
      <c r="AJ468">
        <v>158</v>
      </c>
      <c r="AK468">
        <v>0</v>
      </c>
      <c r="AL468" t="s">
        <v>458</v>
      </c>
    </row>
    <row r="469" spans="1:38" x14ac:dyDescent="0.3">
      <c r="A469" s="1"/>
      <c r="Y469" s="1">
        <v>43811.954039351855</v>
      </c>
      <c r="Z469">
        <v>9422</v>
      </c>
      <c r="AA469">
        <v>7184</v>
      </c>
      <c r="AB469">
        <v>19</v>
      </c>
      <c r="AC469" t="s">
        <v>32</v>
      </c>
      <c r="AD469">
        <v>1.16612005233765</v>
      </c>
      <c r="AE469">
        <v>1.16654825210571</v>
      </c>
      <c r="AF469">
        <v>4.2819976806000002E-4</v>
      </c>
      <c r="AG469">
        <v>1.16412997245789</v>
      </c>
      <c r="AH469">
        <v>1.1645594835281401</v>
      </c>
      <c r="AI469">
        <v>4.2951107024999998E-4</v>
      </c>
      <c r="AJ469">
        <v>158</v>
      </c>
      <c r="AK469">
        <v>0</v>
      </c>
      <c r="AL469" t="s">
        <v>458</v>
      </c>
    </row>
    <row r="470" spans="1:38" x14ac:dyDescent="0.3">
      <c r="A470" s="1"/>
      <c r="Y470" s="1">
        <v>43811.954097222224</v>
      </c>
      <c r="Z470">
        <v>9422</v>
      </c>
      <c r="AA470">
        <v>7184</v>
      </c>
      <c r="AB470">
        <v>19</v>
      </c>
      <c r="AC470" t="s">
        <v>32</v>
      </c>
      <c r="AD470">
        <v>1.16612005233765</v>
      </c>
      <c r="AE470">
        <v>1.16654825210571</v>
      </c>
      <c r="AF470">
        <v>4.2819976806000002E-4</v>
      </c>
      <c r="AG470">
        <v>1.16412997245789</v>
      </c>
      <c r="AH470">
        <v>1.1645594835281401</v>
      </c>
      <c r="AI470">
        <v>4.2951107024999998E-4</v>
      </c>
      <c r="AJ470">
        <v>158</v>
      </c>
      <c r="AK470">
        <v>0</v>
      </c>
      <c r="AL470" t="s">
        <v>458</v>
      </c>
    </row>
    <row r="471" spans="1:38" x14ac:dyDescent="0.3">
      <c r="A471" s="1"/>
      <c r="Y471" s="1">
        <v>43811.95416666667</v>
      </c>
      <c r="Z471">
        <v>9422</v>
      </c>
      <c r="AA471">
        <v>7184</v>
      </c>
      <c r="AB471">
        <v>19</v>
      </c>
      <c r="AC471" t="s">
        <v>32</v>
      </c>
      <c r="AD471">
        <v>1.16612005233765</v>
      </c>
      <c r="AE471">
        <v>1.16654825210571</v>
      </c>
      <c r="AF471">
        <v>4.2819976806000002E-4</v>
      </c>
      <c r="AG471">
        <v>1.16412997245789</v>
      </c>
      <c r="AH471">
        <v>1.1645594835281401</v>
      </c>
      <c r="AI471">
        <v>4.2951107024999998E-4</v>
      </c>
      <c r="AJ471">
        <v>158</v>
      </c>
      <c r="AK471">
        <v>0</v>
      </c>
      <c r="AL471" t="s">
        <v>458</v>
      </c>
    </row>
    <row r="472" spans="1:38" x14ac:dyDescent="0.3">
      <c r="A472" s="1"/>
      <c r="Y472" s="1">
        <v>43811.954236111109</v>
      </c>
      <c r="Z472">
        <v>9422</v>
      </c>
      <c r="AA472">
        <v>7184</v>
      </c>
      <c r="AB472">
        <v>19</v>
      </c>
      <c r="AC472" t="s">
        <v>32</v>
      </c>
      <c r="AD472">
        <v>1.16612005233765</v>
      </c>
      <c r="AE472">
        <v>1.16654825210571</v>
      </c>
      <c r="AF472">
        <v>4.2819976806000002E-4</v>
      </c>
      <c r="AG472">
        <v>1.16412997245789</v>
      </c>
      <c r="AH472">
        <v>1.1645594835281401</v>
      </c>
      <c r="AI472">
        <v>4.2951107024999998E-4</v>
      </c>
      <c r="AJ472">
        <v>158</v>
      </c>
      <c r="AK472">
        <v>0</v>
      </c>
      <c r="AL472" t="s">
        <v>458</v>
      </c>
    </row>
    <row r="473" spans="1:38" x14ac:dyDescent="0.3">
      <c r="A473" s="1"/>
      <c r="Y473" s="1">
        <v>43811.954305555555</v>
      </c>
      <c r="Z473">
        <v>9422</v>
      </c>
      <c r="AA473">
        <v>7184</v>
      </c>
      <c r="AB473">
        <v>19</v>
      </c>
      <c r="AC473" t="s">
        <v>32</v>
      </c>
      <c r="AD473">
        <v>1.16612005233765</v>
      </c>
      <c r="AE473">
        <v>1.16654825210571</v>
      </c>
      <c r="AF473">
        <v>4.2819976806000002E-4</v>
      </c>
      <c r="AG473">
        <v>1.16412997245789</v>
      </c>
      <c r="AH473">
        <v>1.1645594835281401</v>
      </c>
      <c r="AI473">
        <v>4.2951107024999998E-4</v>
      </c>
      <c r="AJ473">
        <v>158</v>
      </c>
      <c r="AK473">
        <v>0</v>
      </c>
      <c r="AL473" t="s">
        <v>458</v>
      </c>
    </row>
    <row r="474" spans="1:38" x14ac:dyDescent="0.3">
      <c r="A474" s="1"/>
      <c r="Y474" s="1">
        <v>43811.954375000001</v>
      </c>
      <c r="Z474">
        <v>9422</v>
      </c>
      <c r="AA474">
        <v>7184</v>
      </c>
      <c r="AB474">
        <v>19</v>
      </c>
      <c r="AC474" t="s">
        <v>32</v>
      </c>
      <c r="AD474">
        <v>1.16612005233765</v>
      </c>
      <c r="AE474">
        <v>1.16654825210571</v>
      </c>
      <c r="AF474">
        <v>4.2819976806000002E-4</v>
      </c>
      <c r="AG474">
        <v>1.16412997245789</v>
      </c>
      <c r="AH474">
        <v>1.1645594835281401</v>
      </c>
      <c r="AI474">
        <v>4.2951107024999998E-4</v>
      </c>
      <c r="AJ474">
        <v>158</v>
      </c>
      <c r="AK474">
        <v>0</v>
      </c>
      <c r="AL474" t="s">
        <v>458</v>
      </c>
    </row>
    <row r="475" spans="1:38" x14ac:dyDescent="0.3">
      <c r="A475" s="1"/>
      <c r="Y475" s="1">
        <v>43811.954456018517</v>
      </c>
      <c r="Z475">
        <v>9422</v>
      </c>
      <c r="AA475">
        <v>7184</v>
      </c>
      <c r="AB475">
        <v>19</v>
      </c>
      <c r="AC475" t="s">
        <v>32</v>
      </c>
      <c r="AD475">
        <v>1.16612005233765</v>
      </c>
      <c r="AE475">
        <v>1.16654825210571</v>
      </c>
      <c r="AF475">
        <v>4.2819976806000002E-4</v>
      </c>
      <c r="AG475">
        <v>1.16412997245789</v>
      </c>
      <c r="AH475">
        <v>1.1645594835281401</v>
      </c>
      <c r="AI475">
        <v>4.2951107024999998E-4</v>
      </c>
      <c r="AJ475">
        <v>158</v>
      </c>
      <c r="AK475">
        <v>0</v>
      </c>
      <c r="AL475" t="s">
        <v>458</v>
      </c>
    </row>
    <row r="476" spans="1:38" x14ac:dyDescent="0.3">
      <c r="A476" s="1"/>
      <c r="Y476" s="1">
        <v>43811.954525462963</v>
      </c>
      <c r="Z476">
        <v>9422</v>
      </c>
      <c r="AA476">
        <v>7184</v>
      </c>
      <c r="AB476">
        <v>19</v>
      </c>
      <c r="AC476" t="s">
        <v>32</v>
      </c>
      <c r="AD476">
        <v>1.16612005233765</v>
      </c>
      <c r="AE476">
        <v>1.16654825210571</v>
      </c>
      <c r="AF476">
        <v>4.2819976806000002E-4</v>
      </c>
      <c r="AG476">
        <v>1.16412997245789</v>
      </c>
      <c r="AH476">
        <v>1.1645594835281401</v>
      </c>
      <c r="AI476">
        <v>4.2951107024999998E-4</v>
      </c>
      <c r="AJ476">
        <v>158</v>
      </c>
      <c r="AK476">
        <v>0</v>
      </c>
      <c r="AL476" t="s">
        <v>458</v>
      </c>
    </row>
    <row r="477" spans="1:38" x14ac:dyDescent="0.3">
      <c r="A477" s="1"/>
      <c r="Y477" s="1">
        <v>43811.954606481479</v>
      </c>
      <c r="Z477">
        <v>9422</v>
      </c>
      <c r="AA477">
        <v>7184</v>
      </c>
      <c r="AB477">
        <v>19</v>
      </c>
      <c r="AC477" t="s">
        <v>32</v>
      </c>
      <c r="AD477">
        <v>1.16612005233765</v>
      </c>
      <c r="AE477">
        <v>1.16654825210571</v>
      </c>
      <c r="AF477">
        <v>4.2819976806000002E-4</v>
      </c>
      <c r="AG477">
        <v>1.16412997245789</v>
      </c>
      <c r="AH477">
        <v>1.1645594835281401</v>
      </c>
      <c r="AI477">
        <v>4.2951107024999998E-4</v>
      </c>
      <c r="AJ477">
        <v>158</v>
      </c>
      <c r="AK477">
        <v>0</v>
      </c>
      <c r="AL477" t="s">
        <v>458</v>
      </c>
    </row>
    <row r="478" spans="1:38" x14ac:dyDescent="0.3">
      <c r="A478" s="1"/>
      <c r="Y478" s="1">
        <v>43811.954687500001</v>
      </c>
      <c r="Z478">
        <v>9422</v>
      </c>
      <c r="AA478">
        <v>7184</v>
      </c>
      <c r="AB478">
        <v>19</v>
      </c>
      <c r="AC478" t="s">
        <v>32</v>
      </c>
      <c r="AD478">
        <v>1.16612005233765</v>
      </c>
      <c r="AE478">
        <v>1.16654825210571</v>
      </c>
      <c r="AF478">
        <v>4.2819976806000002E-4</v>
      </c>
      <c r="AG478">
        <v>1.16412997245789</v>
      </c>
      <c r="AH478">
        <v>1.1645594835281401</v>
      </c>
      <c r="AI478">
        <v>4.2951107024999998E-4</v>
      </c>
      <c r="AJ478">
        <v>158</v>
      </c>
      <c r="AK478">
        <v>0</v>
      </c>
      <c r="AL478" t="s">
        <v>458</v>
      </c>
    </row>
    <row r="479" spans="1:38" x14ac:dyDescent="0.3">
      <c r="A479" s="1"/>
      <c r="Y479" s="1">
        <v>43811.954768518517</v>
      </c>
      <c r="Z479">
        <v>9422</v>
      </c>
      <c r="AA479">
        <v>7184</v>
      </c>
      <c r="AB479">
        <v>19</v>
      </c>
      <c r="AC479" t="s">
        <v>32</v>
      </c>
      <c r="AD479">
        <v>1.16612005233765</v>
      </c>
      <c r="AE479">
        <v>1.16654825210571</v>
      </c>
      <c r="AF479">
        <v>4.2819976806000002E-4</v>
      </c>
      <c r="AG479">
        <v>1.16412997245789</v>
      </c>
      <c r="AH479">
        <v>1.1645594835281401</v>
      </c>
      <c r="AI479">
        <v>4.2951107024999998E-4</v>
      </c>
      <c r="AJ479">
        <v>158</v>
      </c>
      <c r="AK479">
        <v>0</v>
      </c>
      <c r="AL479" t="s">
        <v>458</v>
      </c>
    </row>
    <row r="480" spans="1:38" x14ac:dyDescent="0.3">
      <c r="A480" s="1"/>
      <c r="Y480" s="1">
        <v>43811.95484953704</v>
      </c>
      <c r="Z480">
        <v>9422</v>
      </c>
      <c r="AA480">
        <v>7184</v>
      </c>
      <c r="AB480">
        <v>19</v>
      </c>
      <c r="AC480" t="s">
        <v>32</v>
      </c>
      <c r="AD480">
        <v>1.16612005233765</v>
      </c>
      <c r="AE480">
        <v>1.16654825210571</v>
      </c>
      <c r="AF480">
        <v>4.2819976806000002E-4</v>
      </c>
      <c r="AG480">
        <v>1.16412997245789</v>
      </c>
      <c r="AH480">
        <v>1.1645594835281401</v>
      </c>
      <c r="AI480">
        <v>4.2951107024999998E-4</v>
      </c>
      <c r="AJ480">
        <v>158</v>
      </c>
      <c r="AK480">
        <v>0</v>
      </c>
      <c r="AL480" t="s">
        <v>458</v>
      </c>
    </row>
    <row r="481" spans="1:38" x14ac:dyDescent="0.3">
      <c r="A481" s="1"/>
      <c r="Y481" s="1">
        <v>43811.954918981479</v>
      </c>
      <c r="Z481">
        <v>9422</v>
      </c>
      <c r="AA481">
        <v>7184</v>
      </c>
      <c r="AB481">
        <v>19</v>
      </c>
      <c r="AC481" t="s">
        <v>32</v>
      </c>
      <c r="AD481">
        <v>1.16612005233765</v>
      </c>
      <c r="AE481">
        <v>1.16654825210571</v>
      </c>
      <c r="AF481">
        <v>4.2819976806000002E-4</v>
      </c>
      <c r="AG481">
        <v>1.16412997245789</v>
      </c>
      <c r="AH481">
        <v>1.1645594835281401</v>
      </c>
      <c r="AI481">
        <v>4.2951107024999998E-4</v>
      </c>
      <c r="AJ481">
        <v>158</v>
      </c>
      <c r="AK481">
        <v>0</v>
      </c>
      <c r="AL481" t="s">
        <v>458</v>
      </c>
    </row>
    <row r="482" spans="1:38" x14ac:dyDescent="0.3">
      <c r="A482" s="1"/>
      <c r="Y482" s="1">
        <v>43811.9533912037</v>
      </c>
      <c r="Z482">
        <v>9422</v>
      </c>
      <c r="AA482">
        <v>7184</v>
      </c>
      <c r="AB482">
        <v>20</v>
      </c>
      <c r="AC482" t="s">
        <v>33</v>
      </c>
      <c r="AD482">
        <v>1.1659799814224201</v>
      </c>
      <c r="AE482">
        <v>1.1656250953674301</v>
      </c>
      <c r="AF482">
        <v>3.5488605499000002E-4</v>
      </c>
      <c r="AG482">
        <v>1.1641000509262101</v>
      </c>
      <c r="AH482">
        <v>1.1635240316391</v>
      </c>
      <c r="AI482">
        <v>5.7601928711000004E-4</v>
      </c>
      <c r="AJ482">
        <v>-306</v>
      </c>
      <c r="AK482">
        <v>0</v>
      </c>
      <c r="AL482" t="s">
        <v>459</v>
      </c>
    </row>
    <row r="483" spans="1:38" x14ac:dyDescent="0.3">
      <c r="A483" s="1"/>
      <c r="Y483" s="1">
        <v>43811.9534375</v>
      </c>
      <c r="Z483">
        <v>9422</v>
      </c>
      <c r="AA483">
        <v>7184</v>
      </c>
      <c r="AB483">
        <v>20</v>
      </c>
      <c r="AC483" t="s">
        <v>33</v>
      </c>
      <c r="AD483">
        <v>1.1659799814224201</v>
      </c>
      <c r="AE483">
        <v>1.1656250953674301</v>
      </c>
      <c r="AF483">
        <v>3.5488605499000002E-4</v>
      </c>
      <c r="AG483">
        <v>1.1641000509262101</v>
      </c>
      <c r="AH483">
        <v>1.1635240316391</v>
      </c>
      <c r="AI483">
        <v>5.7601928711000004E-4</v>
      </c>
      <c r="AJ483">
        <v>-306</v>
      </c>
      <c r="AK483">
        <v>0</v>
      </c>
      <c r="AL483" t="s">
        <v>459</v>
      </c>
    </row>
    <row r="484" spans="1:38" x14ac:dyDescent="0.3">
      <c r="A484" s="1"/>
      <c r="Y484" s="1">
        <v>43811.95349537037</v>
      </c>
      <c r="Z484">
        <v>9422</v>
      </c>
      <c r="AA484">
        <v>7184</v>
      </c>
      <c r="AB484">
        <v>20</v>
      </c>
      <c r="AC484" t="s">
        <v>33</v>
      </c>
      <c r="AD484">
        <v>1.1659799814224201</v>
      </c>
      <c r="AE484">
        <v>1.1656250953674301</v>
      </c>
      <c r="AF484">
        <v>3.5488605499000002E-4</v>
      </c>
      <c r="AG484">
        <v>1.1641000509262101</v>
      </c>
      <c r="AH484">
        <v>1.1635240316391</v>
      </c>
      <c r="AI484">
        <v>5.7601928711000004E-4</v>
      </c>
      <c r="AJ484">
        <v>-306</v>
      </c>
      <c r="AK484">
        <v>0</v>
      </c>
      <c r="AL484" t="s">
        <v>459</v>
      </c>
    </row>
    <row r="485" spans="1:38" x14ac:dyDescent="0.3">
      <c r="A485" s="1"/>
      <c r="Y485" s="1">
        <v>43811.953541666669</v>
      </c>
      <c r="Z485">
        <v>9422</v>
      </c>
      <c r="AA485">
        <v>7184</v>
      </c>
      <c r="AB485">
        <v>20</v>
      </c>
      <c r="AC485" t="s">
        <v>33</v>
      </c>
      <c r="AD485">
        <v>1.1659799814224201</v>
      </c>
      <c r="AE485">
        <v>1.1656250953674301</v>
      </c>
      <c r="AF485">
        <v>3.5488605499000002E-4</v>
      </c>
      <c r="AG485">
        <v>1.1641000509262101</v>
      </c>
      <c r="AH485">
        <v>1.1635240316391</v>
      </c>
      <c r="AI485">
        <v>5.7601928711000004E-4</v>
      </c>
      <c r="AJ485">
        <v>-306</v>
      </c>
      <c r="AK485">
        <v>0</v>
      </c>
      <c r="AL485" t="s">
        <v>459</v>
      </c>
    </row>
    <row r="486" spans="1:38" x14ac:dyDescent="0.3">
      <c r="A486" s="1"/>
      <c r="Y486" s="1">
        <v>43811.953599537039</v>
      </c>
      <c r="Z486">
        <v>9422</v>
      </c>
      <c r="AA486">
        <v>7184</v>
      </c>
      <c r="AB486">
        <v>20</v>
      </c>
      <c r="AC486" t="s">
        <v>33</v>
      </c>
      <c r="AD486">
        <v>1.1659799814224201</v>
      </c>
      <c r="AE486">
        <v>1.1656250953674301</v>
      </c>
      <c r="AF486">
        <v>3.5488605499000002E-4</v>
      </c>
      <c r="AG486">
        <v>1.1641000509262101</v>
      </c>
      <c r="AH486">
        <v>1.1635240316391</v>
      </c>
      <c r="AI486">
        <v>5.7601928711000004E-4</v>
      </c>
      <c r="AJ486">
        <v>-306</v>
      </c>
      <c r="AK486">
        <v>0</v>
      </c>
      <c r="AL486" t="s">
        <v>459</v>
      </c>
    </row>
    <row r="487" spans="1:38" x14ac:dyDescent="0.3">
      <c r="A487" s="1"/>
      <c r="Y487" s="1">
        <v>43811.953657407408</v>
      </c>
      <c r="Z487">
        <v>9422</v>
      </c>
      <c r="AA487">
        <v>7184</v>
      </c>
      <c r="AB487">
        <v>20</v>
      </c>
      <c r="AC487" t="s">
        <v>33</v>
      </c>
      <c r="AD487">
        <v>1.1659799814224201</v>
      </c>
      <c r="AE487">
        <v>1.1656250953674301</v>
      </c>
      <c r="AF487">
        <v>3.5488605499000002E-4</v>
      </c>
      <c r="AG487">
        <v>1.1641000509262101</v>
      </c>
      <c r="AH487">
        <v>1.1635240316391</v>
      </c>
      <c r="AI487">
        <v>5.7601928711000004E-4</v>
      </c>
      <c r="AJ487">
        <v>-306</v>
      </c>
      <c r="AK487">
        <v>0</v>
      </c>
      <c r="AL487" t="s">
        <v>459</v>
      </c>
    </row>
    <row r="488" spans="1:38" x14ac:dyDescent="0.3">
      <c r="A488" s="1"/>
      <c r="Y488" s="1">
        <v>43811.953715277778</v>
      </c>
      <c r="Z488">
        <v>9422</v>
      </c>
      <c r="AA488">
        <v>7184</v>
      </c>
      <c r="AB488">
        <v>20</v>
      </c>
      <c r="AC488" t="s">
        <v>33</v>
      </c>
      <c r="AD488">
        <v>1.1659799814224201</v>
      </c>
      <c r="AE488">
        <v>1.1656250953674301</v>
      </c>
      <c r="AF488">
        <v>3.5488605499000002E-4</v>
      </c>
      <c r="AG488">
        <v>1.1641000509262101</v>
      </c>
      <c r="AH488">
        <v>1.1635240316391</v>
      </c>
      <c r="AI488">
        <v>5.7601928711000004E-4</v>
      </c>
      <c r="AJ488">
        <v>-306</v>
      </c>
      <c r="AK488">
        <v>0</v>
      </c>
      <c r="AL488" t="s">
        <v>459</v>
      </c>
    </row>
    <row r="489" spans="1:38" x14ac:dyDescent="0.3">
      <c r="A489" s="1"/>
      <c r="Y489" s="1">
        <v>43811.953773148147</v>
      </c>
      <c r="Z489">
        <v>9422</v>
      </c>
      <c r="AA489">
        <v>7184</v>
      </c>
      <c r="AB489">
        <v>20</v>
      </c>
      <c r="AC489" t="s">
        <v>33</v>
      </c>
      <c r="AD489">
        <v>1.1659799814224201</v>
      </c>
      <c r="AE489">
        <v>1.1656250953674301</v>
      </c>
      <c r="AF489">
        <v>3.5488605499000002E-4</v>
      </c>
      <c r="AG489">
        <v>1.1641000509262101</v>
      </c>
      <c r="AH489">
        <v>1.1635240316391</v>
      </c>
      <c r="AI489">
        <v>5.7601928711000004E-4</v>
      </c>
      <c r="AJ489">
        <v>-306</v>
      </c>
      <c r="AK489">
        <v>0</v>
      </c>
      <c r="AL489" t="s">
        <v>459</v>
      </c>
    </row>
    <row r="490" spans="1:38" x14ac:dyDescent="0.3">
      <c r="A490" s="1"/>
      <c r="Y490" s="1">
        <v>43811.953842592593</v>
      </c>
      <c r="Z490">
        <v>9422</v>
      </c>
      <c r="AA490">
        <v>7184</v>
      </c>
      <c r="AB490">
        <v>20</v>
      </c>
      <c r="AC490" t="s">
        <v>33</v>
      </c>
      <c r="AD490">
        <v>1.1659799814224201</v>
      </c>
      <c r="AE490">
        <v>1.1656250953674301</v>
      </c>
      <c r="AF490">
        <v>3.5488605499000002E-4</v>
      </c>
      <c r="AG490">
        <v>1.1641000509262101</v>
      </c>
      <c r="AH490">
        <v>1.1635240316391</v>
      </c>
      <c r="AI490">
        <v>5.7601928711000004E-4</v>
      </c>
      <c r="AJ490">
        <v>-306</v>
      </c>
      <c r="AK490">
        <v>0</v>
      </c>
      <c r="AL490" t="s">
        <v>459</v>
      </c>
    </row>
    <row r="491" spans="1:38" x14ac:dyDescent="0.3">
      <c r="A491" s="1"/>
      <c r="Y491" s="1">
        <v>43811.953900462962</v>
      </c>
      <c r="Z491">
        <v>9422</v>
      </c>
      <c r="AA491">
        <v>7184</v>
      </c>
      <c r="AB491">
        <v>20</v>
      </c>
      <c r="AC491" t="s">
        <v>33</v>
      </c>
      <c r="AD491">
        <v>1.1659799814224201</v>
      </c>
      <c r="AE491">
        <v>1.1656250953674301</v>
      </c>
      <c r="AF491">
        <v>3.5488605499000002E-4</v>
      </c>
      <c r="AG491">
        <v>1.1641000509262101</v>
      </c>
      <c r="AH491">
        <v>1.1635240316391</v>
      </c>
      <c r="AI491">
        <v>5.7601928711000004E-4</v>
      </c>
      <c r="AJ491">
        <v>-306</v>
      </c>
      <c r="AK491">
        <v>0</v>
      </c>
      <c r="AL491" t="s">
        <v>459</v>
      </c>
    </row>
    <row r="492" spans="1:38" x14ac:dyDescent="0.3">
      <c r="A492" s="1"/>
      <c r="Y492" s="1">
        <v>43811.953969907408</v>
      </c>
      <c r="Z492">
        <v>9422</v>
      </c>
      <c r="AA492">
        <v>7184</v>
      </c>
      <c r="AB492">
        <v>20</v>
      </c>
      <c r="AC492" t="s">
        <v>33</v>
      </c>
      <c r="AD492">
        <v>1.1659799814224201</v>
      </c>
      <c r="AE492">
        <v>1.1656250953674301</v>
      </c>
      <c r="AF492">
        <v>3.5488605499000002E-4</v>
      </c>
      <c r="AG492">
        <v>1.1641000509262101</v>
      </c>
      <c r="AH492">
        <v>1.1635240316391</v>
      </c>
      <c r="AI492">
        <v>5.7601928711000004E-4</v>
      </c>
      <c r="AJ492">
        <v>-306</v>
      </c>
      <c r="AK492">
        <v>0</v>
      </c>
      <c r="AL492" t="s">
        <v>459</v>
      </c>
    </row>
    <row r="493" spans="1:38" x14ac:dyDescent="0.3">
      <c r="A493" s="1"/>
      <c r="Y493" s="1">
        <v>43811.954039351855</v>
      </c>
      <c r="Z493">
        <v>9422</v>
      </c>
      <c r="AA493">
        <v>7184</v>
      </c>
      <c r="AB493">
        <v>20</v>
      </c>
      <c r="AC493" t="s">
        <v>33</v>
      </c>
      <c r="AD493">
        <v>1.1659799814224201</v>
      </c>
      <c r="AE493">
        <v>1.1656250953674301</v>
      </c>
      <c r="AF493">
        <v>3.5488605499000002E-4</v>
      </c>
      <c r="AG493">
        <v>1.1641000509262101</v>
      </c>
      <c r="AH493">
        <v>1.1635240316391</v>
      </c>
      <c r="AI493">
        <v>5.7601928711000004E-4</v>
      </c>
      <c r="AJ493">
        <v>-306</v>
      </c>
      <c r="AK493">
        <v>0</v>
      </c>
      <c r="AL493" t="s">
        <v>459</v>
      </c>
    </row>
    <row r="494" spans="1:38" x14ac:dyDescent="0.3">
      <c r="A494" s="1"/>
      <c r="Y494" s="1">
        <v>43811.954097222224</v>
      </c>
      <c r="Z494">
        <v>9422</v>
      </c>
      <c r="AA494">
        <v>7184</v>
      </c>
      <c r="AB494">
        <v>20</v>
      </c>
      <c r="AC494" t="s">
        <v>33</v>
      </c>
      <c r="AD494">
        <v>1.1659799814224201</v>
      </c>
      <c r="AE494">
        <v>1.1656250953674301</v>
      </c>
      <c r="AF494">
        <v>3.5488605499000002E-4</v>
      </c>
      <c r="AG494">
        <v>1.1641000509262101</v>
      </c>
      <c r="AH494">
        <v>1.1635240316391</v>
      </c>
      <c r="AI494">
        <v>5.7601928711000004E-4</v>
      </c>
      <c r="AJ494">
        <v>-306</v>
      </c>
      <c r="AK494">
        <v>0</v>
      </c>
      <c r="AL494" t="s">
        <v>459</v>
      </c>
    </row>
    <row r="495" spans="1:38" x14ac:dyDescent="0.3">
      <c r="A495" s="1"/>
      <c r="Y495" s="1">
        <v>43811.95416666667</v>
      </c>
      <c r="Z495">
        <v>9422</v>
      </c>
      <c r="AA495">
        <v>7184</v>
      </c>
      <c r="AB495">
        <v>20</v>
      </c>
      <c r="AC495" t="s">
        <v>33</v>
      </c>
      <c r="AD495">
        <v>1.1659799814224201</v>
      </c>
      <c r="AE495">
        <v>1.1656250953674301</v>
      </c>
      <c r="AF495">
        <v>3.5488605499000002E-4</v>
      </c>
      <c r="AG495">
        <v>1.1641000509262101</v>
      </c>
      <c r="AH495">
        <v>1.1635240316391</v>
      </c>
      <c r="AI495">
        <v>5.7601928711000004E-4</v>
      </c>
      <c r="AJ495">
        <v>-306</v>
      </c>
      <c r="AK495">
        <v>0</v>
      </c>
      <c r="AL495" t="s">
        <v>459</v>
      </c>
    </row>
    <row r="496" spans="1:38" x14ac:dyDescent="0.3">
      <c r="A496" s="1"/>
      <c r="Y496" s="1">
        <v>43811.954236111109</v>
      </c>
      <c r="Z496">
        <v>9422</v>
      </c>
      <c r="AA496">
        <v>7184</v>
      </c>
      <c r="AB496">
        <v>20</v>
      </c>
      <c r="AC496" t="s">
        <v>33</v>
      </c>
      <c r="AD496">
        <v>1.1659799814224201</v>
      </c>
      <c r="AE496">
        <v>1.1656250953674301</v>
      </c>
      <c r="AF496">
        <v>3.5488605499000002E-4</v>
      </c>
      <c r="AG496">
        <v>1.1641000509262101</v>
      </c>
      <c r="AH496">
        <v>1.1635240316391</v>
      </c>
      <c r="AI496">
        <v>5.7601928711000004E-4</v>
      </c>
      <c r="AJ496">
        <v>-306</v>
      </c>
      <c r="AK496">
        <v>0</v>
      </c>
      <c r="AL496" t="s">
        <v>459</v>
      </c>
    </row>
    <row r="497" spans="1:38" x14ac:dyDescent="0.3">
      <c r="A497" s="1"/>
      <c r="Y497" s="1">
        <v>43811.954305555555</v>
      </c>
      <c r="Z497">
        <v>9422</v>
      </c>
      <c r="AA497">
        <v>7184</v>
      </c>
      <c r="AB497">
        <v>20</v>
      </c>
      <c r="AC497" t="s">
        <v>33</v>
      </c>
      <c r="AD497">
        <v>1.1659799814224201</v>
      </c>
      <c r="AE497">
        <v>1.1656250953674301</v>
      </c>
      <c r="AF497">
        <v>3.5488605499000002E-4</v>
      </c>
      <c r="AG497">
        <v>1.1641000509262101</v>
      </c>
      <c r="AH497">
        <v>1.1635240316391</v>
      </c>
      <c r="AI497">
        <v>5.7601928711000004E-4</v>
      </c>
      <c r="AJ497">
        <v>-306</v>
      </c>
      <c r="AK497">
        <v>0</v>
      </c>
      <c r="AL497" t="s">
        <v>459</v>
      </c>
    </row>
    <row r="498" spans="1:38" x14ac:dyDescent="0.3">
      <c r="A498" s="1"/>
      <c r="Y498" s="1">
        <v>43811.954375000001</v>
      </c>
      <c r="Z498">
        <v>9422</v>
      </c>
      <c r="AA498">
        <v>7184</v>
      </c>
      <c r="AB498">
        <v>20</v>
      </c>
      <c r="AC498" t="s">
        <v>33</v>
      </c>
      <c r="AD498">
        <v>1.1659799814224201</v>
      </c>
      <c r="AE498">
        <v>1.1656250953674301</v>
      </c>
      <c r="AF498">
        <v>3.5488605499000002E-4</v>
      </c>
      <c r="AG498">
        <v>1.1641000509262101</v>
      </c>
      <c r="AH498">
        <v>1.1635240316391</v>
      </c>
      <c r="AI498">
        <v>5.7601928711000004E-4</v>
      </c>
      <c r="AJ498">
        <v>-306</v>
      </c>
      <c r="AK498">
        <v>0</v>
      </c>
      <c r="AL498" t="s">
        <v>459</v>
      </c>
    </row>
    <row r="499" spans="1:38" x14ac:dyDescent="0.3">
      <c r="A499" s="1"/>
      <c r="Y499" s="1">
        <v>43811.954456018517</v>
      </c>
      <c r="Z499">
        <v>9422</v>
      </c>
      <c r="AA499">
        <v>7184</v>
      </c>
      <c r="AB499">
        <v>20</v>
      </c>
      <c r="AC499" t="s">
        <v>33</v>
      </c>
      <c r="AD499">
        <v>1.1659799814224201</v>
      </c>
      <c r="AE499">
        <v>1.1656250953674301</v>
      </c>
      <c r="AF499">
        <v>3.5488605499000002E-4</v>
      </c>
      <c r="AG499">
        <v>1.1641000509262101</v>
      </c>
      <c r="AH499">
        <v>1.1635240316391</v>
      </c>
      <c r="AI499">
        <v>5.7601928711000004E-4</v>
      </c>
      <c r="AJ499">
        <v>-306</v>
      </c>
      <c r="AK499">
        <v>0</v>
      </c>
      <c r="AL499" t="s">
        <v>459</v>
      </c>
    </row>
    <row r="500" spans="1:38" x14ac:dyDescent="0.3">
      <c r="A500" s="1"/>
      <c r="Y500" s="1">
        <v>43811.954525462963</v>
      </c>
      <c r="Z500">
        <v>9422</v>
      </c>
      <c r="AA500">
        <v>7184</v>
      </c>
      <c r="AB500">
        <v>20</v>
      </c>
      <c r="AC500" t="s">
        <v>33</v>
      </c>
      <c r="AD500">
        <v>1.1659799814224201</v>
      </c>
      <c r="AE500">
        <v>1.1656250953674301</v>
      </c>
      <c r="AF500">
        <v>3.5488605499000002E-4</v>
      </c>
      <c r="AG500">
        <v>1.1641000509262101</v>
      </c>
      <c r="AH500">
        <v>1.1635240316391</v>
      </c>
      <c r="AI500">
        <v>5.7601928711000004E-4</v>
      </c>
      <c r="AJ500">
        <v>-306</v>
      </c>
      <c r="AK500">
        <v>0</v>
      </c>
      <c r="AL500" t="s">
        <v>459</v>
      </c>
    </row>
    <row r="501" spans="1:38" x14ac:dyDescent="0.3">
      <c r="A501" s="1"/>
      <c r="Y501" s="1">
        <v>43811.954606481479</v>
      </c>
      <c r="Z501">
        <v>9422</v>
      </c>
      <c r="AA501">
        <v>7184</v>
      </c>
      <c r="AB501">
        <v>20</v>
      </c>
      <c r="AC501" t="s">
        <v>33</v>
      </c>
      <c r="AD501">
        <v>1.1659799814224201</v>
      </c>
      <c r="AE501">
        <v>1.1656250953674301</v>
      </c>
      <c r="AF501">
        <v>3.5488605499000002E-4</v>
      </c>
      <c r="AG501">
        <v>1.1641000509262101</v>
      </c>
      <c r="AH501">
        <v>1.1635240316391</v>
      </c>
      <c r="AI501">
        <v>5.7601928711000004E-4</v>
      </c>
      <c r="AJ501">
        <v>-306</v>
      </c>
      <c r="AK501">
        <v>0</v>
      </c>
      <c r="AL501" t="s">
        <v>459</v>
      </c>
    </row>
    <row r="502" spans="1:38" x14ac:dyDescent="0.3">
      <c r="A502" s="1"/>
      <c r="Y502" s="1">
        <v>43811.954687500001</v>
      </c>
      <c r="Z502">
        <v>9422</v>
      </c>
      <c r="AA502">
        <v>7184</v>
      </c>
      <c r="AB502">
        <v>20</v>
      </c>
      <c r="AC502" t="s">
        <v>33</v>
      </c>
      <c r="AD502">
        <v>1.1659799814224201</v>
      </c>
      <c r="AE502">
        <v>1.1656250953674301</v>
      </c>
      <c r="AF502">
        <v>3.5488605499000002E-4</v>
      </c>
      <c r="AG502">
        <v>1.1641000509262101</v>
      </c>
      <c r="AH502">
        <v>1.1635240316391</v>
      </c>
      <c r="AI502">
        <v>5.7601928711000004E-4</v>
      </c>
      <c r="AJ502">
        <v>-306</v>
      </c>
      <c r="AK502">
        <v>0</v>
      </c>
      <c r="AL502" t="s">
        <v>459</v>
      </c>
    </row>
    <row r="503" spans="1:38" x14ac:dyDescent="0.3">
      <c r="A503" s="1"/>
      <c r="Y503" s="1">
        <v>43811.954768518517</v>
      </c>
      <c r="Z503">
        <v>9422</v>
      </c>
      <c r="AA503">
        <v>7184</v>
      </c>
      <c r="AB503">
        <v>20</v>
      </c>
      <c r="AC503" t="s">
        <v>33</v>
      </c>
      <c r="AD503">
        <v>1.1659799814224201</v>
      </c>
      <c r="AE503">
        <v>1.1656250953674301</v>
      </c>
      <c r="AF503">
        <v>3.5488605499000002E-4</v>
      </c>
      <c r="AG503">
        <v>1.1641000509262101</v>
      </c>
      <c r="AH503">
        <v>1.1635240316391</v>
      </c>
      <c r="AI503">
        <v>5.7601928711000004E-4</v>
      </c>
      <c r="AJ503">
        <v>-306</v>
      </c>
      <c r="AK503">
        <v>0</v>
      </c>
      <c r="AL503" t="s">
        <v>459</v>
      </c>
    </row>
    <row r="504" spans="1:38" x14ac:dyDescent="0.3">
      <c r="A504" s="1"/>
      <c r="Y504" s="1">
        <v>43811.95484953704</v>
      </c>
      <c r="Z504">
        <v>9422</v>
      </c>
      <c r="AA504">
        <v>7184</v>
      </c>
      <c r="AB504">
        <v>20</v>
      </c>
      <c r="AC504" t="s">
        <v>33</v>
      </c>
      <c r="AD504">
        <v>1.1659799814224201</v>
      </c>
      <c r="AE504">
        <v>1.1656250953674301</v>
      </c>
      <c r="AF504">
        <v>3.5488605499000002E-4</v>
      </c>
      <c r="AG504">
        <v>1.1641000509262101</v>
      </c>
      <c r="AH504">
        <v>1.1635240316391</v>
      </c>
      <c r="AI504">
        <v>5.7601928711000004E-4</v>
      </c>
      <c r="AJ504">
        <v>-306</v>
      </c>
      <c r="AK504">
        <v>0</v>
      </c>
      <c r="AL504" t="s">
        <v>459</v>
      </c>
    </row>
    <row r="505" spans="1:38" x14ac:dyDescent="0.3">
      <c r="A505" s="1"/>
      <c r="Y505" s="1">
        <v>43811.954918981479</v>
      </c>
      <c r="Z505">
        <v>9422</v>
      </c>
      <c r="AA505">
        <v>7184</v>
      </c>
      <c r="AB505">
        <v>20</v>
      </c>
      <c r="AC505" t="s">
        <v>33</v>
      </c>
      <c r="AD505">
        <v>1.1659799814224201</v>
      </c>
      <c r="AE505">
        <v>1.1656250953674301</v>
      </c>
      <c r="AF505">
        <v>3.5488605499000002E-4</v>
      </c>
      <c r="AG505">
        <v>1.1641000509262101</v>
      </c>
      <c r="AH505">
        <v>1.1635240316391</v>
      </c>
      <c r="AI505">
        <v>5.7601928711000004E-4</v>
      </c>
      <c r="AJ505">
        <v>-306</v>
      </c>
      <c r="AK505">
        <v>0</v>
      </c>
      <c r="AL505" t="s">
        <v>459</v>
      </c>
    </row>
    <row r="506" spans="1:38" x14ac:dyDescent="0.3">
      <c r="A506" s="1"/>
      <c r="Y506" s="1">
        <v>43811.9533912037</v>
      </c>
      <c r="Z506">
        <v>9422</v>
      </c>
      <c r="AA506">
        <v>7184</v>
      </c>
      <c r="AB506">
        <v>21</v>
      </c>
      <c r="AC506" t="s">
        <v>34</v>
      </c>
      <c r="AD506">
        <v>1.16691994667053</v>
      </c>
      <c r="AE506">
        <v>1.16661489009857</v>
      </c>
      <c r="AF506">
        <v>3.0505657195999998E-4</v>
      </c>
      <c r="AG506">
        <v>1.1649099588394201</v>
      </c>
      <c r="AH506">
        <v>1.16498255729675</v>
      </c>
      <c r="AI506">
        <v>7.259845733E-5</v>
      </c>
      <c r="AJ506">
        <v>108</v>
      </c>
      <c r="AK506">
        <v>0</v>
      </c>
      <c r="AL506" t="s">
        <v>458</v>
      </c>
    </row>
    <row r="507" spans="1:38" x14ac:dyDescent="0.3">
      <c r="A507" s="1"/>
      <c r="Y507" s="1">
        <v>43811.9534375</v>
      </c>
      <c r="Z507">
        <v>9422</v>
      </c>
      <c r="AA507">
        <v>7184</v>
      </c>
      <c r="AB507">
        <v>21</v>
      </c>
      <c r="AC507" t="s">
        <v>34</v>
      </c>
      <c r="AD507">
        <v>1.16691994667053</v>
      </c>
      <c r="AE507">
        <v>1.16661489009857</v>
      </c>
      <c r="AF507">
        <v>3.0505657195999998E-4</v>
      </c>
      <c r="AG507">
        <v>1.1649099588394201</v>
      </c>
      <c r="AH507">
        <v>1.16498255729675</v>
      </c>
      <c r="AI507">
        <v>7.259845733E-5</v>
      </c>
      <c r="AJ507">
        <v>108</v>
      </c>
      <c r="AK507">
        <v>0</v>
      </c>
      <c r="AL507" t="s">
        <v>458</v>
      </c>
    </row>
    <row r="508" spans="1:38" x14ac:dyDescent="0.3">
      <c r="A508" s="1"/>
      <c r="Y508" s="1">
        <v>43811.95349537037</v>
      </c>
      <c r="Z508">
        <v>9422</v>
      </c>
      <c r="AA508">
        <v>7184</v>
      </c>
      <c r="AB508">
        <v>21</v>
      </c>
      <c r="AC508" t="s">
        <v>34</v>
      </c>
      <c r="AD508">
        <v>1.16691994667053</v>
      </c>
      <c r="AE508">
        <v>1.16661489009857</v>
      </c>
      <c r="AF508">
        <v>3.0505657195999998E-4</v>
      </c>
      <c r="AG508">
        <v>1.1649099588394201</v>
      </c>
      <c r="AH508">
        <v>1.16498255729675</v>
      </c>
      <c r="AI508">
        <v>7.259845733E-5</v>
      </c>
      <c r="AJ508">
        <v>108</v>
      </c>
      <c r="AK508">
        <v>0</v>
      </c>
      <c r="AL508" t="s">
        <v>458</v>
      </c>
    </row>
    <row r="509" spans="1:38" x14ac:dyDescent="0.3">
      <c r="A509" s="1"/>
      <c r="Y509" s="1">
        <v>43811.953541666669</v>
      </c>
      <c r="Z509">
        <v>9422</v>
      </c>
      <c r="AA509">
        <v>7184</v>
      </c>
      <c r="AB509">
        <v>21</v>
      </c>
      <c r="AC509" t="s">
        <v>34</v>
      </c>
      <c r="AD509">
        <v>1.16691994667053</v>
      </c>
      <c r="AE509">
        <v>1.16661489009857</v>
      </c>
      <c r="AF509">
        <v>3.0505657195999998E-4</v>
      </c>
      <c r="AG509">
        <v>1.1649099588394201</v>
      </c>
      <c r="AH509">
        <v>1.16498255729675</v>
      </c>
      <c r="AI509">
        <v>7.259845733E-5</v>
      </c>
      <c r="AJ509">
        <v>108</v>
      </c>
      <c r="AK509">
        <v>0</v>
      </c>
      <c r="AL509" t="s">
        <v>458</v>
      </c>
    </row>
    <row r="510" spans="1:38" x14ac:dyDescent="0.3">
      <c r="A510" s="1"/>
      <c r="Y510" s="1">
        <v>43811.953599537039</v>
      </c>
      <c r="Z510">
        <v>9422</v>
      </c>
      <c r="AA510">
        <v>7184</v>
      </c>
      <c r="AB510">
        <v>21</v>
      </c>
      <c r="AC510" t="s">
        <v>34</v>
      </c>
      <c r="AD510">
        <v>1.16691994667053</v>
      </c>
      <c r="AE510">
        <v>1.16661489009857</v>
      </c>
      <c r="AF510">
        <v>3.0505657195999998E-4</v>
      </c>
      <c r="AG510">
        <v>1.1649099588394201</v>
      </c>
      <c r="AH510">
        <v>1.16498255729675</v>
      </c>
      <c r="AI510">
        <v>7.259845733E-5</v>
      </c>
      <c r="AJ510">
        <v>108</v>
      </c>
      <c r="AK510">
        <v>0</v>
      </c>
      <c r="AL510" t="s">
        <v>458</v>
      </c>
    </row>
    <row r="511" spans="1:38" x14ac:dyDescent="0.3">
      <c r="A511" s="1"/>
      <c r="Y511" s="1">
        <v>43811.953657407408</v>
      </c>
      <c r="Z511">
        <v>9422</v>
      </c>
      <c r="AA511">
        <v>7184</v>
      </c>
      <c r="AB511">
        <v>21</v>
      </c>
      <c r="AC511" t="s">
        <v>34</v>
      </c>
      <c r="AD511">
        <v>1.16691994667053</v>
      </c>
      <c r="AE511">
        <v>1.16661489009857</v>
      </c>
      <c r="AF511">
        <v>3.0505657195999998E-4</v>
      </c>
      <c r="AG511">
        <v>1.1649099588394201</v>
      </c>
      <c r="AH511">
        <v>1.16498255729675</v>
      </c>
      <c r="AI511">
        <v>7.259845733E-5</v>
      </c>
      <c r="AJ511">
        <v>108</v>
      </c>
      <c r="AK511">
        <v>0</v>
      </c>
      <c r="AL511" t="s">
        <v>458</v>
      </c>
    </row>
    <row r="512" spans="1:38" x14ac:dyDescent="0.3">
      <c r="A512" s="1"/>
      <c r="Y512" s="1">
        <v>43811.953715277778</v>
      </c>
      <c r="Z512">
        <v>9422</v>
      </c>
      <c r="AA512">
        <v>7184</v>
      </c>
      <c r="AB512">
        <v>21</v>
      </c>
      <c r="AC512" t="s">
        <v>34</v>
      </c>
      <c r="AD512">
        <v>1.16691994667053</v>
      </c>
      <c r="AE512">
        <v>1.16661489009857</v>
      </c>
      <c r="AF512">
        <v>3.0505657195999998E-4</v>
      </c>
      <c r="AG512">
        <v>1.1649099588394201</v>
      </c>
      <c r="AH512">
        <v>1.16498255729675</v>
      </c>
      <c r="AI512">
        <v>7.259845733E-5</v>
      </c>
      <c r="AJ512">
        <v>108</v>
      </c>
      <c r="AK512">
        <v>0</v>
      </c>
      <c r="AL512" t="s">
        <v>458</v>
      </c>
    </row>
    <row r="513" spans="1:38" x14ac:dyDescent="0.3">
      <c r="A513" s="1"/>
      <c r="Y513" s="1">
        <v>43811.953773148147</v>
      </c>
      <c r="Z513">
        <v>9422</v>
      </c>
      <c r="AA513">
        <v>7184</v>
      </c>
      <c r="AB513">
        <v>21</v>
      </c>
      <c r="AC513" t="s">
        <v>34</v>
      </c>
      <c r="AD513">
        <v>1.16691994667053</v>
      </c>
      <c r="AE513">
        <v>1.16661489009857</v>
      </c>
      <c r="AF513">
        <v>3.0505657195999998E-4</v>
      </c>
      <c r="AG513">
        <v>1.1649099588394201</v>
      </c>
      <c r="AH513">
        <v>1.16498255729675</v>
      </c>
      <c r="AI513">
        <v>7.259845733E-5</v>
      </c>
      <c r="AJ513">
        <v>108</v>
      </c>
      <c r="AK513">
        <v>0</v>
      </c>
      <c r="AL513" t="s">
        <v>458</v>
      </c>
    </row>
    <row r="514" spans="1:38" x14ac:dyDescent="0.3">
      <c r="A514" s="1"/>
      <c r="Y514" s="1">
        <v>43811.953842592593</v>
      </c>
      <c r="Z514">
        <v>9422</v>
      </c>
      <c r="AA514">
        <v>7184</v>
      </c>
      <c r="AB514">
        <v>21</v>
      </c>
      <c r="AC514" t="s">
        <v>34</v>
      </c>
      <c r="AD514">
        <v>1.16691994667053</v>
      </c>
      <c r="AE514">
        <v>1.16661489009857</v>
      </c>
      <c r="AF514">
        <v>3.0505657195999998E-4</v>
      </c>
      <c r="AG514">
        <v>1.1649099588394201</v>
      </c>
      <c r="AH514">
        <v>1.16498255729675</v>
      </c>
      <c r="AI514">
        <v>7.259845733E-5</v>
      </c>
      <c r="AJ514">
        <v>108</v>
      </c>
      <c r="AK514">
        <v>0</v>
      </c>
      <c r="AL514" t="s">
        <v>458</v>
      </c>
    </row>
    <row r="515" spans="1:38" x14ac:dyDescent="0.3">
      <c r="A515" s="1"/>
      <c r="Y515" s="1">
        <v>43811.953900462962</v>
      </c>
      <c r="Z515">
        <v>9422</v>
      </c>
      <c r="AA515">
        <v>7184</v>
      </c>
      <c r="AB515">
        <v>21</v>
      </c>
      <c r="AC515" t="s">
        <v>34</v>
      </c>
      <c r="AD515">
        <v>1.16691994667053</v>
      </c>
      <c r="AE515">
        <v>1.16661489009857</v>
      </c>
      <c r="AF515">
        <v>3.0505657195999998E-4</v>
      </c>
      <c r="AG515">
        <v>1.1649099588394201</v>
      </c>
      <c r="AH515">
        <v>1.16498255729675</v>
      </c>
      <c r="AI515">
        <v>7.259845733E-5</v>
      </c>
      <c r="AJ515">
        <v>108</v>
      </c>
      <c r="AK515">
        <v>0</v>
      </c>
      <c r="AL515" t="s">
        <v>458</v>
      </c>
    </row>
    <row r="516" spans="1:38" x14ac:dyDescent="0.3">
      <c r="A516" s="1"/>
      <c r="Y516" s="1">
        <v>43811.953969907408</v>
      </c>
      <c r="Z516">
        <v>9422</v>
      </c>
      <c r="AA516">
        <v>7184</v>
      </c>
      <c r="AB516">
        <v>21</v>
      </c>
      <c r="AC516" t="s">
        <v>34</v>
      </c>
      <c r="AD516">
        <v>1.16691994667053</v>
      </c>
      <c r="AE516">
        <v>1.16661489009857</v>
      </c>
      <c r="AF516">
        <v>3.0505657195999998E-4</v>
      </c>
      <c r="AG516">
        <v>1.1649099588394201</v>
      </c>
      <c r="AH516">
        <v>1.16498255729675</v>
      </c>
      <c r="AI516">
        <v>7.259845733E-5</v>
      </c>
      <c r="AJ516">
        <v>108</v>
      </c>
      <c r="AK516">
        <v>0</v>
      </c>
      <c r="AL516" t="s">
        <v>458</v>
      </c>
    </row>
    <row r="517" spans="1:38" x14ac:dyDescent="0.3">
      <c r="A517" s="1"/>
      <c r="Y517" s="1">
        <v>43811.954039351855</v>
      </c>
      <c r="Z517">
        <v>9422</v>
      </c>
      <c r="AA517">
        <v>7184</v>
      </c>
      <c r="AB517">
        <v>21</v>
      </c>
      <c r="AC517" t="s">
        <v>34</v>
      </c>
      <c r="AD517">
        <v>1.16691994667053</v>
      </c>
      <c r="AE517">
        <v>1.16661489009857</v>
      </c>
      <c r="AF517">
        <v>3.0505657195999998E-4</v>
      </c>
      <c r="AG517">
        <v>1.1649099588394201</v>
      </c>
      <c r="AH517">
        <v>1.16498255729675</v>
      </c>
      <c r="AI517">
        <v>7.259845733E-5</v>
      </c>
      <c r="AJ517">
        <v>108</v>
      </c>
      <c r="AK517">
        <v>0</v>
      </c>
      <c r="AL517" t="s">
        <v>458</v>
      </c>
    </row>
    <row r="518" spans="1:38" x14ac:dyDescent="0.3">
      <c r="A518" s="1"/>
      <c r="Y518" s="1">
        <v>43811.954097222224</v>
      </c>
      <c r="Z518">
        <v>9422</v>
      </c>
      <c r="AA518">
        <v>7184</v>
      </c>
      <c r="AB518">
        <v>21</v>
      </c>
      <c r="AC518" t="s">
        <v>34</v>
      </c>
      <c r="AD518">
        <v>1.16691994667053</v>
      </c>
      <c r="AE518">
        <v>1.16661489009857</v>
      </c>
      <c r="AF518">
        <v>3.0505657195999998E-4</v>
      </c>
      <c r="AG518">
        <v>1.1649099588394201</v>
      </c>
      <c r="AH518">
        <v>1.16498255729675</v>
      </c>
      <c r="AI518">
        <v>7.259845733E-5</v>
      </c>
      <c r="AJ518">
        <v>108</v>
      </c>
      <c r="AK518">
        <v>0</v>
      </c>
      <c r="AL518" t="s">
        <v>458</v>
      </c>
    </row>
    <row r="519" spans="1:38" x14ac:dyDescent="0.3">
      <c r="A519" s="1"/>
      <c r="Y519" s="1">
        <v>43811.95416666667</v>
      </c>
      <c r="Z519">
        <v>9422</v>
      </c>
      <c r="AA519">
        <v>7184</v>
      </c>
      <c r="AB519">
        <v>21</v>
      </c>
      <c r="AC519" t="s">
        <v>34</v>
      </c>
      <c r="AD519">
        <v>1.16691994667053</v>
      </c>
      <c r="AE519">
        <v>1.16661489009857</v>
      </c>
      <c r="AF519">
        <v>3.0505657195999998E-4</v>
      </c>
      <c r="AG519">
        <v>1.1649099588394201</v>
      </c>
      <c r="AH519">
        <v>1.16498255729675</v>
      </c>
      <c r="AI519">
        <v>7.259845733E-5</v>
      </c>
      <c r="AJ519">
        <v>108</v>
      </c>
      <c r="AK519">
        <v>0</v>
      </c>
      <c r="AL519" t="s">
        <v>458</v>
      </c>
    </row>
    <row r="520" spans="1:38" x14ac:dyDescent="0.3">
      <c r="A520" s="1"/>
      <c r="Y520" s="1">
        <v>43811.954236111109</v>
      </c>
      <c r="Z520">
        <v>9422</v>
      </c>
      <c r="AA520">
        <v>7184</v>
      </c>
      <c r="AB520">
        <v>21</v>
      </c>
      <c r="AC520" t="s">
        <v>34</v>
      </c>
      <c r="AD520">
        <v>1.16691994667053</v>
      </c>
      <c r="AE520">
        <v>1.16661489009857</v>
      </c>
      <c r="AF520">
        <v>3.0505657195999998E-4</v>
      </c>
      <c r="AG520">
        <v>1.1649099588394201</v>
      </c>
      <c r="AH520">
        <v>1.16498255729675</v>
      </c>
      <c r="AI520">
        <v>7.259845733E-5</v>
      </c>
      <c r="AJ520">
        <v>108</v>
      </c>
      <c r="AK520">
        <v>0</v>
      </c>
      <c r="AL520" t="s">
        <v>458</v>
      </c>
    </row>
    <row r="521" spans="1:38" x14ac:dyDescent="0.3">
      <c r="A521" s="1"/>
      <c r="Y521" s="1">
        <v>43811.954305555555</v>
      </c>
      <c r="Z521">
        <v>9422</v>
      </c>
      <c r="AA521">
        <v>7184</v>
      </c>
      <c r="AB521">
        <v>21</v>
      </c>
      <c r="AC521" t="s">
        <v>34</v>
      </c>
      <c r="AD521">
        <v>1.16691994667053</v>
      </c>
      <c r="AE521">
        <v>1.16661489009857</v>
      </c>
      <c r="AF521">
        <v>3.0505657195999998E-4</v>
      </c>
      <c r="AG521">
        <v>1.1649099588394201</v>
      </c>
      <c r="AH521">
        <v>1.16498255729675</v>
      </c>
      <c r="AI521">
        <v>7.259845733E-5</v>
      </c>
      <c r="AJ521">
        <v>108</v>
      </c>
      <c r="AK521">
        <v>0</v>
      </c>
      <c r="AL521" t="s">
        <v>458</v>
      </c>
    </row>
    <row r="522" spans="1:38" x14ac:dyDescent="0.3">
      <c r="A522" s="1"/>
      <c r="Y522" s="1">
        <v>43811.954375000001</v>
      </c>
      <c r="Z522">
        <v>9422</v>
      </c>
      <c r="AA522">
        <v>7184</v>
      </c>
      <c r="AB522">
        <v>21</v>
      </c>
      <c r="AC522" t="s">
        <v>34</v>
      </c>
      <c r="AD522">
        <v>1.16691994667053</v>
      </c>
      <c r="AE522">
        <v>1.16661489009857</v>
      </c>
      <c r="AF522">
        <v>3.0505657195999998E-4</v>
      </c>
      <c r="AG522">
        <v>1.1649099588394201</v>
      </c>
      <c r="AH522">
        <v>1.16498255729675</v>
      </c>
      <c r="AI522">
        <v>7.259845733E-5</v>
      </c>
      <c r="AJ522">
        <v>108</v>
      </c>
      <c r="AK522">
        <v>0</v>
      </c>
      <c r="AL522" t="s">
        <v>458</v>
      </c>
    </row>
    <row r="523" spans="1:38" x14ac:dyDescent="0.3">
      <c r="A523" s="1"/>
      <c r="Y523" s="1">
        <v>43811.954456018517</v>
      </c>
      <c r="Z523">
        <v>9422</v>
      </c>
      <c r="AA523">
        <v>7184</v>
      </c>
      <c r="AB523">
        <v>21</v>
      </c>
      <c r="AC523" t="s">
        <v>34</v>
      </c>
      <c r="AD523">
        <v>1.16691994667053</v>
      </c>
      <c r="AE523">
        <v>1.16661489009857</v>
      </c>
      <c r="AF523">
        <v>3.0505657195999998E-4</v>
      </c>
      <c r="AG523">
        <v>1.1649099588394201</v>
      </c>
      <c r="AH523">
        <v>1.16498255729675</v>
      </c>
      <c r="AI523">
        <v>7.259845733E-5</v>
      </c>
      <c r="AJ523">
        <v>108</v>
      </c>
      <c r="AK523">
        <v>0</v>
      </c>
      <c r="AL523" t="s">
        <v>458</v>
      </c>
    </row>
    <row r="524" spans="1:38" x14ac:dyDescent="0.3">
      <c r="A524" s="1"/>
      <c r="Y524" s="1">
        <v>43811.954525462963</v>
      </c>
      <c r="Z524">
        <v>9422</v>
      </c>
      <c r="AA524">
        <v>7184</v>
      </c>
      <c r="AB524">
        <v>21</v>
      </c>
      <c r="AC524" t="s">
        <v>34</v>
      </c>
      <c r="AD524">
        <v>1.16691994667053</v>
      </c>
      <c r="AE524">
        <v>1.16661489009857</v>
      </c>
      <c r="AF524">
        <v>3.0505657195999998E-4</v>
      </c>
      <c r="AG524">
        <v>1.1649099588394201</v>
      </c>
      <c r="AH524">
        <v>1.16498255729675</v>
      </c>
      <c r="AI524">
        <v>7.259845733E-5</v>
      </c>
      <c r="AJ524">
        <v>108</v>
      </c>
      <c r="AK524">
        <v>0</v>
      </c>
      <c r="AL524" t="s">
        <v>458</v>
      </c>
    </row>
    <row r="525" spans="1:38" x14ac:dyDescent="0.3">
      <c r="A525" s="1"/>
      <c r="Y525" s="1">
        <v>43811.954606481479</v>
      </c>
      <c r="Z525">
        <v>9422</v>
      </c>
      <c r="AA525">
        <v>7184</v>
      </c>
      <c r="AB525">
        <v>21</v>
      </c>
      <c r="AC525" t="s">
        <v>34</v>
      </c>
      <c r="AD525">
        <v>1.16691994667053</v>
      </c>
      <c r="AE525">
        <v>1.16661489009857</v>
      </c>
      <c r="AF525">
        <v>3.0505657195999998E-4</v>
      </c>
      <c r="AG525">
        <v>1.1649099588394201</v>
      </c>
      <c r="AH525">
        <v>1.16498255729675</v>
      </c>
      <c r="AI525">
        <v>7.259845733E-5</v>
      </c>
      <c r="AJ525">
        <v>108</v>
      </c>
      <c r="AK525">
        <v>0</v>
      </c>
      <c r="AL525" t="s">
        <v>458</v>
      </c>
    </row>
    <row r="526" spans="1:38" x14ac:dyDescent="0.3">
      <c r="A526" s="1"/>
      <c r="Y526" s="1">
        <v>43811.954687500001</v>
      </c>
      <c r="Z526">
        <v>9422</v>
      </c>
      <c r="AA526">
        <v>7184</v>
      </c>
      <c r="AB526">
        <v>21</v>
      </c>
      <c r="AC526" t="s">
        <v>34</v>
      </c>
      <c r="AD526">
        <v>1.16691994667053</v>
      </c>
      <c r="AE526">
        <v>1.16661489009857</v>
      </c>
      <c r="AF526">
        <v>3.0505657195999998E-4</v>
      </c>
      <c r="AG526">
        <v>1.1649099588394201</v>
      </c>
      <c r="AH526">
        <v>1.16498255729675</v>
      </c>
      <c r="AI526">
        <v>7.259845733E-5</v>
      </c>
      <c r="AJ526">
        <v>108</v>
      </c>
      <c r="AK526">
        <v>0</v>
      </c>
      <c r="AL526" t="s">
        <v>458</v>
      </c>
    </row>
    <row r="527" spans="1:38" x14ac:dyDescent="0.3">
      <c r="A527" s="1"/>
      <c r="Y527" s="1">
        <v>43811.954768518517</v>
      </c>
      <c r="Z527">
        <v>9422</v>
      </c>
      <c r="AA527">
        <v>7184</v>
      </c>
      <c r="AB527">
        <v>21</v>
      </c>
      <c r="AC527" t="s">
        <v>34</v>
      </c>
      <c r="AD527">
        <v>1.16691994667053</v>
      </c>
      <c r="AE527">
        <v>1.16661489009857</v>
      </c>
      <c r="AF527">
        <v>3.0505657195999998E-4</v>
      </c>
      <c r="AG527">
        <v>1.1649099588394201</v>
      </c>
      <c r="AH527">
        <v>1.16498255729675</v>
      </c>
      <c r="AI527">
        <v>7.259845733E-5</v>
      </c>
      <c r="AJ527">
        <v>108</v>
      </c>
      <c r="AK527">
        <v>0</v>
      </c>
      <c r="AL527" t="s">
        <v>458</v>
      </c>
    </row>
    <row r="528" spans="1:38" x14ac:dyDescent="0.3">
      <c r="A528" s="1"/>
      <c r="Y528" s="1">
        <v>43811.95484953704</v>
      </c>
      <c r="Z528">
        <v>9422</v>
      </c>
      <c r="AA528">
        <v>7184</v>
      </c>
      <c r="AB528">
        <v>21</v>
      </c>
      <c r="AC528" t="s">
        <v>34</v>
      </c>
      <c r="AD528">
        <v>1.16691994667053</v>
      </c>
      <c r="AE528">
        <v>1.16661489009857</v>
      </c>
      <c r="AF528">
        <v>3.0505657195999998E-4</v>
      </c>
      <c r="AG528">
        <v>1.1649099588394201</v>
      </c>
      <c r="AH528">
        <v>1.16498255729675</v>
      </c>
      <c r="AI528">
        <v>7.259845733E-5</v>
      </c>
      <c r="AJ528">
        <v>108</v>
      </c>
      <c r="AK528">
        <v>0</v>
      </c>
      <c r="AL528" t="s">
        <v>458</v>
      </c>
    </row>
    <row r="529" spans="1:38" x14ac:dyDescent="0.3">
      <c r="A529" s="1"/>
      <c r="Y529" s="1">
        <v>43811.954918981479</v>
      </c>
      <c r="Z529">
        <v>9422</v>
      </c>
      <c r="AA529">
        <v>7184</v>
      </c>
      <c r="AB529">
        <v>21</v>
      </c>
      <c r="AC529" t="s">
        <v>34</v>
      </c>
      <c r="AD529">
        <v>1.16691994667053</v>
      </c>
      <c r="AE529">
        <v>1.16661489009857</v>
      </c>
      <c r="AF529">
        <v>3.0505657195999998E-4</v>
      </c>
      <c r="AG529">
        <v>1.1649099588394201</v>
      </c>
      <c r="AH529">
        <v>1.16498255729675</v>
      </c>
      <c r="AI529">
        <v>7.259845733E-5</v>
      </c>
      <c r="AJ529">
        <v>108</v>
      </c>
      <c r="AK529">
        <v>0</v>
      </c>
      <c r="AL529" t="s">
        <v>458</v>
      </c>
    </row>
    <row r="530" spans="1:38" x14ac:dyDescent="0.3">
      <c r="A530" s="1"/>
      <c r="Y530" s="1">
        <v>43811.9533912037</v>
      </c>
      <c r="Z530">
        <v>9422</v>
      </c>
      <c r="AA530">
        <v>7184</v>
      </c>
      <c r="AB530">
        <v>22</v>
      </c>
      <c r="AC530" t="s">
        <v>35</v>
      </c>
      <c r="AD530">
        <v>1.1671400070190401</v>
      </c>
      <c r="AE530">
        <v>1.1674290895462001</v>
      </c>
      <c r="AF530">
        <v>2.8908252715999997E-4</v>
      </c>
      <c r="AG530">
        <v>1.1655199527740501</v>
      </c>
      <c r="AH530">
        <v>1.1654248237609901</v>
      </c>
      <c r="AI530">
        <v>9.5129013059999998E-5</v>
      </c>
      <c r="AJ530">
        <v>206</v>
      </c>
      <c r="AK530">
        <v>0</v>
      </c>
      <c r="AL530" t="s">
        <v>458</v>
      </c>
    </row>
    <row r="531" spans="1:38" x14ac:dyDescent="0.3">
      <c r="A531" s="1"/>
      <c r="Y531" s="1">
        <v>43811.9534375</v>
      </c>
      <c r="Z531">
        <v>9422</v>
      </c>
      <c r="AA531">
        <v>7184</v>
      </c>
      <c r="AB531">
        <v>22</v>
      </c>
      <c r="AC531" t="s">
        <v>35</v>
      </c>
      <c r="AD531">
        <v>1.1671400070190401</v>
      </c>
      <c r="AE531">
        <v>1.1674290895462001</v>
      </c>
      <c r="AF531">
        <v>2.8908252715999997E-4</v>
      </c>
      <c r="AG531">
        <v>1.1655199527740501</v>
      </c>
      <c r="AH531">
        <v>1.1654248237609901</v>
      </c>
      <c r="AI531">
        <v>9.5129013059999998E-5</v>
      </c>
      <c r="AJ531">
        <v>206</v>
      </c>
      <c r="AK531">
        <v>0</v>
      </c>
      <c r="AL531" t="s">
        <v>458</v>
      </c>
    </row>
    <row r="532" spans="1:38" x14ac:dyDescent="0.3">
      <c r="A532" s="1"/>
      <c r="Y532" s="1">
        <v>43811.95349537037</v>
      </c>
      <c r="Z532">
        <v>9422</v>
      </c>
      <c r="AA532">
        <v>7184</v>
      </c>
      <c r="AB532">
        <v>22</v>
      </c>
      <c r="AC532" t="s">
        <v>35</v>
      </c>
      <c r="AD532">
        <v>1.1671400070190401</v>
      </c>
      <c r="AE532">
        <v>1.1674290895462001</v>
      </c>
      <c r="AF532">
        <v>2.8908252715999997E-4</v>
      </c>
      <c r="AG532">
        <v>1.1655199527740501</v>
      </c>
      <c r="AH532">
        <v>1.1654248237609901</v>
      </c>
      <c r="AI532">
        <v>9.5129013059999998E-5</v>
      </c>
      <c r="AJ532">
        <v>206</v>
      </c>
      <c r="AK532">
        <v>0</v>
      </c>
      <c r="AL532" t="s">
        <v>458</v>
      </c>
    </row>
    <row r="533" spans="1:38" x14ac:dyDescent="0.3">
      <c r="A533" s="1"/>
      <c r="Y533" s="1">
        <v>43811.953541666669</v>
      </c>
      <c r="Z533">
        <v>9422</v>
      </c>
      <c r="AA533">
        <v>7184</v>
      </c>
      <c r="AB533">
        <v>22</v>
      </c>
      <c r="AC533" t="s">
        <v>35</v>
      </c>
      <c r="AD533">
        <v>1.1671400070190401</v>
      </c>
      <c r="AE533">
        <v>1.1674290895462001</v>
      </c>
      <c r="AF533">
        <v>2.8908252715999997E-4</v>
      </c>
      <c r="AG533">
        <v>1.1655199527740501</v>
      </c>
      <c r="AH533">
        <v>1.1654248237609901</v>
      </c>
      <c r="AI533">
        <v>9.5129013059999998E-5</v>
      </c>
      <c r="AJ533">
        <v>206</v>
      </c>
      <c r="AK533">
        <v>0</v>
      </c>
      <c r="AL533" t="s">
        <v>458</v>
      </c>
    </row>
    <row r="534" spans="1:38" x14ac:dyDescent="0.3">
      <c r="A534" s="1"/>
      <c r="Y534" s="1">
        <v>43811.953599537039</v>
      </c>
      <c r="Z534">
        <v>9422</v>
      </c>
      <c r="AA534">
        <v>7184</v>
      </c>
      <c r="AB534">
        <v>22</v>
      </c>
      <c r="AC534" t="s">
        <v>35</v>
      </c>
      <c r="AD534">
        <v>1.1671400070190401</v>
      </c>
      <c r="AE534">
        <v>1.1674290895462001</v>
      </c>
      <c r="AF534">
        <v>2.8908252715999997E-4</v>
      </c>
      <c r="AG534">
        <v>1.1655199527740501</v>
      </c>
      <c r="AH534">
        <v>1.1654248237609901</v>
      </c>
      <c r="AI534">
        <v>9.5129013059999998E-5</v>
      </c>
      <c r="AJ534">
        <v>206</v>
      </c>
      <c r="AK534">
        <v>0</v>
      </c>
      <c r="AL534" t="s">
        <v>458</v>
      </c>
    </row>
    <row r="535" spans="1:38" x14ac:dyDescent="0.3">
      <c r="A535" s="1"/>
      <c r="Y535" s="1">
        <v>43811.953657407408</v>
      </c>
      <c r="Z535">
        <v>9422</v>
      </c>
      <c r="AA535">
        <v>7184</v>
      </c>
      <c r="AB535">
        <v>22</v>
      </c>
      <c r="AC535" t="s">
        <v>35</v>
      </c>
      <c r="AD535">
        <v>1.1671400070190401</v>
      </c>
      <c r="AE535">
        <v>1.1674290895462001</v>
      </c>
      <c r="AF535">
        <v>2.8908252715999997E-4</v>
      </c>
      <c r="AG535">
        <v>1.1655199527740501</v>
      </c>
      <c r="AH535">
        <v>1.1654248237609901</v>
      </c>
      <c r="AI535">
        <v>9.5129013059999998E-5</v>
      </c>
      <c r="AJ535">
        <v>206</v>
      </c>
      <c r="AK535">
        <v>0</v>
      </c>
      <c r="AL535" t="s">
        <v>458</v>
      </c>
    </row>
    <row r="536" spans="1:38" x14ac:dyDescent="0.3">
      <c r="A536" s="1"/>
      <c r="Y536" s="1">
        <v>43811.953715277778</v>
      </c>
      <c r="Z536">
        <v>9422</v>
      </c>
      <c r="AA536">
        <v>7184</v>
      </c>
      <c r="AB536">
        <v>22</v>
      </c>
      <c r="AC536" t="s">
        <v>35</v>
      </c>
      <c r="AD536">
        <v>1.1671400070190401</v>
      </c>
      <c r="AE536">
        <v>1.1674290895462001</v>
      </c>
      <c r="AF536">
        <v>2.8908252715999997E-4</v>
      </c>
      <c r="AG536">
        <v>1.1655199527740501</v>
      </c>
      <c r="AH536">
        <v>1.1654248237609901</v>
      </c>
      <c r="AI536">
        <v>9.5129013059999998E-5</v>
      </c>
      <c r="AJ536">
        <v>206</v>
      </c>
      <c r="AK536">
        <v>0</v>
      </c>
      <c r="AL536" t="s">
        <v>458</v>
      </c>
    </row>
    <row r="537" spans="1:38" x14ac:dyDescent="0.3">
      <c r="A537" s="1"/>
      <c r="Y537" s="1">
        <v>43811.953773148147</v>
      </c>
      <c r="Z537">
        <v>9422</v>
      </c>
      <c r="AA537">
        <v>7184</v>
      </c>
      <c r="AB537">
        <v>22</v>
      </c>
      <c r="AC537" t="s">
        <v>35</v>
      </c>
      <c r="AD537">
        <v>1.1671400070190401</v>
      </c>
      <c r="AE537">
        <v>1.1674290895462001</v>
      </c>
      <c r="AF537">
        <v>2.8908252715999997E-4</v>
      </c>
      <c r="AG537">
        <v>1.1655199527740501</v>
      </c>
      <c r="AH537">
        <v>1.1654248237609901</v>
      </c>
      <c r="AI537">
        <v>9.5129013059999998E-5</v>
      </c>
      <c r="AJ537">
        <v>206</v>
      </c>
      <c r="AK537">
        <v>0</v>
      </c>
      <c r="AL537" t="s">
        <v>458</v>
      </c>
    </row>
    <row r="538" spans="1:38" x14ac:dyDescent="0.3">
      <c r="A538" s="1"/>
      <c r="Y538" s="1">
        <v>43811.953842592593</v>
      </c>
      <c r="Z538">
        <v>9422</v>
      </c>
      <c r="AA538">
        <v>7184</v>
      </c>
      <c r="AB538">
        <v>22</v>
      </c>
      <c r="AC538" t="s">
        <v>35</v>
      </c>
      <c r="AD538">
        <v>1.1671400070190401</v>
      </c>
      <c r="AE538">
        <v>1.1674290895462001</v>
      </c>
      <c r="AF538">
        <v>2.8908252715999997E-4</v>
      </c>
      <c r="AG538">
        <v>1.1655199527740501</v>
      </c>
      <c r="AH538">
        <v>1.1654248237609901</v>
      </c>
      <c r="AI538">
        <v>9.5129013059999998E-5</v>
      </c>
      <c r="AJ538">
        <v>206</v>
      </c>
      <c r="AK538">
        <v>0</v>
      </c>
      <c r="AL538" t="s">
        <v>458</v>
      </c>
    </row>
    <row r="539" spans="1:38" x14ac:dyDescent="0.3">
      <c r="A539" s="1"/>
      <c r="Y539" s="1">
        <v>43811.953900462962</v>
      </c>
      <c r="Z539">
        <v>9422</v>
      </c>
      <c r="AA539">
        <v>7184</v>
      </c>
      <c r="AB539">
        <v>22</v>
      </c>
      <c r="AC539" t="s">
        <v>35</v>
      </c>
      <c r="AD539">
        <v>1.1671400070190401</v>
      </c>
      <c r="AE539">
        <v>1.1674290895462001</v>
      </c>
      <c r="AF539">
        <v>2.8908252715999997E-4</v>
      </c>
      <c r="AG539">
        <v>1.1655199527740501</v>
      </c>
      <c r="AH539">
        <v>1.1654248237609901</v>
      </c>
      <c r="AI539">
        <v>9.5129013059999998E-5</v>
      </c>
      <c r="AJ539">
        <v>206</v>
      </c>
      <c r="AK539">
        <v>0</v>
      </c>
      <c r="AL539" t="s">
        <v>458</v>
      </c>
    </row>
    <row r="540" spans="1:38" x14ac:dyDescent="0.3">
      <c r="A540" s="1"/>
      <c r="Y540" s="1">
        <v>43811.953969907408</v>
      </c>
      <c r="Z540">
        <v>9422</v>
      </c>
      <c r="AA540">
        <v>7184</v>
      </c>
      <c r="AB540">
        <v>22</v>
      </c>
      <c r="AC540" t="s">
        <v>35</v>
      </c>
      <c r="AD540">
        <v>1.1671400070190401</v>
      </c>
      <c r="AE540">
        <v>1.1674290895462001</v>
      </c>
      <c r="AF540">
        <v>2.8908252715999997E-4</v>
      </c>
      <c r="AG540">
        <v>1.1655199527740501</v>
      </c>
      <c r="AH540">
        <v>1.1654248237609901</v>
      </c>
      <c r="AI540">
        <v>9.5129013059999998E-5</v>
      </c>
      <c r="AJ540">
        <v>206</v>
      </c>
      <c r="AK540">
        <v>0</v>
      </c>
      <c r="AL540" t="s">
        <v>458</v>
      </c>
    </row>
    <row r="541" spans="1:38" x14ac:dyDescent="0.3">
      <c r="A541" s="1"/>
      <c r="Y541" s="1">
        <v>43811.954039351855</v>
      </c>
      <c r="Z541">
        <v>9422</v>
      </c>
      <c r="AA541">
        <v>7184</v>
      </c>
      <c r="AB541">
        <v>22</v>
      </c>
      <c r="AC541" t="s">
        <v>35</v>
      </c>
      <c r="AD541">
        <v>1.1671400070190401</v>
      </c>
      <c r="AE541">
        <v>1.1674290895462001</v>
      </c>
      <c r="AF541">
        <v>2.8908252715999997E-4</v>
      </c>
      <c r="AG541">
        <v>1.1655199527740501</v>
      </c>
      <c r="AH541">
        <v>1.1654248237609901</v>
      </c>
      <c r="AI541">
        <v>9.5129013059999998E-5</v>
      </c>
      <c r="AJ541">
        <v>206</v>
      </c>
      <c r="AK541">
        <v>0</v>
      </c>
      <c r="AL541" t="s">
        <v>458</v>
      </c>
    </row>
    <row r="542" spans="1:38" x14ac:dyDescent="0.3">
      <c r="A542" s="1"/>
      <c r="Y542" s="1">
        <v>43811.954097222224</v>
      </c>
      <c r="Z542">
        <v>9422</v>
      </c>
      <c r="AA542">
        <v>7184</v>
      </c>
      <c r="AB542">
        <v>22</v>
      </c>
      <c r="AC542" t="s">
        <v>35</v>
      </c>
      <c r="AD542">
        <v>1.1671400070190401</v>
      </c>
      <c r="AE542">
        <v>1.1674290895462001</v>
      </c>
      <c r="AF542">
        <v>2.8908252715999997E-4</v>
      </c>
      <c r="AG542">
        <v>1.1655199527740501</v>
      </c>
      <c r="AH542">
        <v>1.1654248237609901</v>
      </c>
      <c r="AI542">
        <v>9.5129013059999998E-5</v>
      </c>
      <c r="AJ542">
        <v>206</v>
      </c>
      <c r="AK542">
        <v>0</v>
      </c>
      <c r="AL542" t="s">
        <v>458</v>
      </c>
    </row>
    <row r="543" spans="1:38" x14ac:dyDescent="0.3">
      <c r="A543" s="1"/>
      <c r="Y543" s="1">
        <v>43811.95416666667</v>
      </c>
      <c r="Z543">
        <v>9422</v>
      </c>
      <c r="AA543">
        <v>7184</v>
      </c>
      <c r="AB543">
        <v>22</v>
      </c>
      <c r="AC543" t="s">
        <v>35</v>
      </c>
      <c r="AD543">
        <v>1.1671400070190401</v>
      </c>
      <c r="AE543">
        <v>1.1674290895462001</v>
      </c>
      <c r="AF543">
        <v>2.8908252715999997E-4</v>
      </c>
      <c r="AG543">
        <v>1.1655199527740501</v>
      </c>
      <c r="AH543">
        <v>1.1654248237609901</v>
      </c>
      <c r="AI543">
        <v>9.5129013059999998E-5</v>
      </c>
      <c r="AJ543">
        <v>206</v>
      </c>
      <c r="AK543">
        <v>0</v>
      </c>
      <c r="AL543" t="s">
        <v>458</v>
      </c>
    </row>
    <row r="544" spans="1:38" x14ac:dyDescent="0.3">
      <c r="A544" s="1"/>
      <c r="Y544" s="1">
        <v>43811.954236111109</v>
      </c>
      <c r="Z544">
        <v>9422</v>
      </c>
      <c r="AA544">
        <v>7184</v>
      </c>
      <c r="AB544">
        <v>22</v>
      </c>
      <c r="AC544" t="s">
        <v>35</v>
      </c>
      <c r="AD544">
        <v>1.1671400070190401</v>
      </c>
      <c r="AE544">
        <v>1.1674290895462001</v>
      </c>
      <c r="AF544">
        <v>2.8908252715999997E-4</v>
      </c>
      <c r="AG544">
        <v>1.1655199527740501</v>
      </c>
      <c r="AH544">
        <v>1.1654248237609901</v>
      </c>
      <c r="AI544">
        <v>9.5129013059999998E-5</v>
      </c>
      <c r="AJ544">
        <v>206</v>
      </c>
      <c r="AK544">
        <v>0</v>
      </c>
      <c r="AL544" t="s">
        <v>458</v>
      </c>
    </row>
    <row r="545" spans="1:38" x14ac:dyDescent="0.3">
      <c r="A545" s="1"/>
      <c r="Y545" s="1">
        <v>43811.954305555555</v>
      </c>
      <c r="Z545">
        <v>9422</v>
      </c>
      <c r="AA545">
        <v>7184</v>
      </c>
      <c r="AB545">
        <v>22</v>
      </c>
      <c r="AC545" t="s">
        <v>35</v>
      </c>
      <c r="AD545">
        <v>1.1671400070190401</v>
      </c>
      <c r="AE545">
        <v>1.1674290895462001</v>
      </c>
      <c r="AF545">
        <v>2.8908252715999997E-4</v>
      </c>
      <c r="AG545">
        <v>1.1655199527740501</v>
      </c>
      <c r="AH545">
        <v>1.1654248237609901</v>
      </c>
      <c r="AI545">
        <v>9.5129013059999998E-5</v>
      </c>
      <c r="AJ545">
        <v>206</v>
      </c>
      <c r="AK545">
        <v>0</v>
      </c>
      <c r="AL545" t="s">
        <v>458</v>
      </c>
    </row>
    <row r="546" spans="1:38" x14ac:dyDescent="0.3">
      <c r="A546" s="1"/>
      <c r="Y546" s="1">
        <v>43811.954375000001</v>
      </c>
      <c r="Z546">
        <v>9422</v>
      </c>
      <c r="AA546">
        <v>7184</v>
      </c>
      <c r="AB546">
        <v>22</v>
      </c>
      <c r="AC546" t="s">
        <v>35</v>
      </c>
      <c r="AD546">
        <v>1.1671400070190401</v>
      </c>
      <c r="AE546">
        <v>1.1674290895462001</v>
      </c>
      <c r="AF546">
        <v>2.8908252715999997E-4</v>
      </c>
      <c r="AG546">
        <v>1.1655199527740501</v>
      </c>
      <c r="AH546">
        <v>1.1654248237609901</v>
      </c>
      <c r="AI546">
        <v>9.5129013059999998E-5</v>
      </c>
      <c r="AJ546">
        <v>206</v>
      </c>
      <c r="AK546">
        <v>0</v>
      </c>
      <c r="AL546" t="s">
        <v>458</v>
      </c>
    </row>
    <row r="547" spans="1:38" x14ac:dyDescent="0.3">
      <c r="A547" s="1"/>
      <c r="Y547" s="1">
        <v>43811.954456018517</v>
      </c>
      <c r="Z547">
        <v>9422</v>
      </c>
      <c r="AA547">
        <v>7184</v>
      </c>
      <c r="AB547">
        <v>22</v>
      </c>
      <c r="AC547" t="s">
        <v>35</v>
      </c>
      <c r="AD547">
        <v>1.1671400070190401</v>
      </c>
      <c r="AE547">
        <v>1.1674290895462001</v>
      </c>
      <c r="AF547">
        <v>2.8908252715999997E-4</v>
      </c>
      <c r="AG547">
        <v>1.1655199527740501</v>
      </c>
      <c r="AH547">
        <v>1.1654248237609901</v>
      </c>
      <c r="AI547">
        <v>9.5129013059999998E-5</v>
      </c>
      <c r="AJ547">
        <v>206</v>
      </c>
      <c r="AK547">
        <v>0</v>
      </c>
      <c r="AL547" t="s">
        <v>458</v>
      </c>
    </row>
    <row r="548" spans="1:38" x14ac:dyDescent="0.3">
      <c r="A548" s="1"/>
      <c r="Y548" s="1">
        <v>43811.954525462963</v>
      </c>
      <c r="Z548">
        <v>9422</v>
      </c>
      <c r="AA548">
        <v>7184</v>
      </c>
      <c r="AB548">
        <v>22</v>
      </c>
      <c r="AC548" t="s">
        <v>35</v>
      </c>
      <c r="AD548">
        <v>1.1671400070190401</v>
      </c>
      <c r="AE548">
        <v>1.1674290895462001</v>
      </c>
      <c r="AF548">
        <v>2.8908252715999997E-4</v>
      </c>
      <c r="AG548">
        <v>1.1655199527740501</v>
      </c>
      <c r="AH548">
        <v>1.1654248237609901</v>
      </c>
      <c r="AI548">
        <v>9.5129013059999998E-5</v>
      </c>
      <c r="AJ548">
        <v>206</v>
      </c>
      <c r="AK548">
        <v>0</v>
      </c>
      <c r="AL548" t="s">
        <v>458</v>
      </c>
    </row>
    <row r="549" spans="1:38" x14ac:dyDescent="0.3">
      <c r="A549" s="1"/>
      <c r="Y549" s="1">
        <v>43811.954606481479</v>
      </c>
      <c r="Z549">
        <v>9422</v>
      </c>
      <c r="AA549">
        <v>7184</v>
      </c>
      <c r="AB549">
        <v>22</v>
      </c>
      <c r="AC549" t="s">
        <v>35</v>
      </c>
      <c r="AD549">
        <v>1.1671400070190401</v>
      </c>
      <c r="AE549">
        <v>1.1674290895462001</v>
      </c>
      <c r="AF549">
        <v>2.8908252715999997E-4</v>
      </c>
      <c r="AG549">
        <v>1.1655199527740501</v>
      </c>
      <c r="AH549">
        <v>1.1654248237609901</v>
      </c>
      <c r="AI549">
        <v>9.5129013059999998E-5</v>
      </c>
      <c r="AJ549">
        <v>206</v>
      </c>
      <c r="AK549">
        <v>0</v>
      </c>
      <c r="AL549" t="s">
        <v>458</v>
      </c>
    </row>
    <row r="550" spans="1:38" x14ac:dyDescent="0.3">
      <c r="A550" s="1"/>
      <c r="Y550" s="1">
        <v>43811.954687500001</v>
      </c>
      <c r="Z550">
        <v>9422</v>
      </c>
      <c r="AA550">
        <v>7184</v>
      </c>
      <c r="AB550">
        <v>22</v>
      </c>
      <c r="AC550" t="s">
        <v>35</v>
      </c>
      <c r="AD550">
        <v>1.1671400070190401</v>
      </c>
      <c r="AE550">
        <v>1.1674290895462001</v>
      </c>
      <c r="AF550">
        <v>2.8908252715999997E-4</v>
      </c>
      <c r="AG550">
        <v>1.1655199527740501</v>
      </c>
      <c r="AH550">
        <v>1.1654248237609901</v>
      </c>
      <c r="AI550">
        <v>9.5129013059999998E-5</v>
      </c>
      <c r="AJ550">
        <v>206</v>
      </c>
      <c r="AK550">
        <v>0</v>
      </c>
      <c r="AL550" t="s">
        <v>458</v>
      </c>
    </row>
    <row r="551" spans="1:38" x14ac:dyDescent="0.3">
      <c r="A551" s="1"/>
      <c r="Y551" s="1">
        <v>43811.954768518517</v>
      </c>
      <c r="Z551">
        <v>9422</v>
      </c>
      <c r="AA551">
        <v>7184</v>
      </c>
      <c r="AB551">
        <v>22</v>
      </c>
      <c r="AC551" t="s">
        <v>35</v>
      </c>
      <c r="AD551">
        <v>1.1671400070190401</v>
      </c>
      <c r="AE551">
        <v>1.1674290895462001</v>
      </c>
      <c r="AF551">
        <v>2.8908252715999997E-4</v>
      </c>
      <c r="AG551">
        <v>1.1655199527740501</v>
      </c>
      <c r="AH551">
        <v>1.1654248237609901</v>
      </c>
      <c r="AI551">
        <v>9.5129013059999998E-5</v>
      </c>
      <c r="AJ551">
        <v>206</v>
      </c>
      <c r="AK551">
        <v>0</v>
      </c>
      <c r="AL551" t="s">
        <v>458</v>
      </c>
    </row>
    <row r="552" spans="1:38" x14ac:dyDescent="0.3">
      <c r="A552" s="1"/>
      <c r="Y552" s="1">
        <v>43811.95484953704</v>
      </c>
      <c r="Z552">
        <v>9422</v>
      </c>
      <c r="AA552">
        <v>7184</v>
      </c>
      <c r="AB552">
        <v>22</v>
      </c>
      <c r="AC552" t="s">
        <v>35</v>
      </c>
      <c r="AD552">
        <v>1.1671400070190401</v>
      </c>
      <c r="AE552">
        <v>1.1674290895462001</v>
      </c>
      <c r="AF552">
        <v>2.8908252715999997E-4</v>
      </c>
      <c r="AG552">
        <v>1.1655199527740501</v>
      </c>
      <c r="AH552">
        <v>1.1654248237609901</v>
      </c>
      <c r="AI552">
        <v>9.5129013059999998E-5</v>
      </c>
      <c r="AJ552">
        <v>206</v>
      </c>
      <c r="AK552">
        <v>0</v>
      </c>
      <c r="AL552" t="s">
        <v>458</v>
      </c>
    </row>
    <row r="553" spans="1:38" x14ac:dyDescent="0.3">
      <c r="A553" s="1"/>
      <c r="Y553" s="1">
        <v>43811.954918981479</v>
      </c>
      <c r="Z553">
        <v>9422</v>
      </c>
      <c r="AA553">
        <v>7184</v>
      </c>
      <c r="AB553">
        <v>22</v>
      </c>
      <c r="AC553" t="s">
        <v>35</v>
      </c>
      <c r="AD553">
        <v>1.1671400070190401</v>
      </c>
      <c r="AE553">
        <v>1.1674290895462001</v>
      </c>
      <c r="AF553">
        <v>2.8908252715999997E-4</v>
      </c>
      <c r="AG553">
        <v>1.1655199527740501</v>
      </c>
      <c r="AH553">
        <v>1.1654248237609901</v>
      </c>
      <c r="AI553">
        <v>9.5129013059999998E-5</v>
      </c>
      <c r="AJ553">
        <v>206</v>
      </c>
      <c r="AK553">
        <v>0</v>
      </c>
      <c r="AL553" t="s">
        <v>458</v>
      </c>
    </row>
    <row r="554" spans="1:38" x14ac:dyDescent="0.3">
      <c r="A554" s="1"/>
      <c r="Y554" s="1">
        <v>43811.9533912037</v>
      </c>
      <c r="Z554">
        <v>9422</v>
      </c>
      <c r="AA554">
        <v>7184</v>
      </c>
      <c r="AB554">
        <v>23</v>
      </c>
      <c r="AC554" t="s">
        <v>36</v>
      </c>
      <c r="AD554">
        <v>1.16782999038696</v>
      </c>
      <c r="AE554">
        <v>1.1671434640884399</v>
      </c>
      <c r="AF554">
        <v>6.8652629851999997E-4</v>
      </c>
      <c r="AG554">
        <v>1.16589999198914</v>
      </c>
      <c r="AH554">
        <v>1.1651803255081199</v>
      </c>
      <c r="AI554">
        <v>7.1966648101999997E-4</v>
      </c>
      <c r="AJ554">
        <v>-236</v>
      </c>
      <c r="AK554">
        <v>0</v>
      </c>
      <c r="AL554" t="s">
        <v>459</v>
      </c>
    </row>
    <row r="555" spans="1:38" x14ac:dyDescent="0.3">
      <c r="A555" s="1"/>
      <c r="Y555" s="1">
        <v>43811.9534375</v>
      </c>
      <c r="Z555">
        <v>9422</v>
      </c>
      <c r="AA555">
        <v>7184</v>
      </c>
      <c r="AB555">
        <v>23</v>
      </c>
      <c r="AC555" t="s">
        <v>36</v>
      </c>
      <c r="AD555">
        <v>1.16782999038696</v>
      </c>
      <c r="AE555">
        <v>1.1671434640884399</v>
      </c>
      <c r="AF555">
        <v>6.8652629851999997E-4</v>
      </c>
      <c r="AG555">
        <v>1.16589999198914</v>
      </c>
      <c r="AH555">
        <v>1.1651803255081199</v>
      </c>
      <c r="AI555">
        <v>7.1966648101999997E-4</v>
      </c>
      <c r="AJ555">
        <v>-236</v>
      </c>
      <c r="AK555">
        <v>0</v>
      </c>
      <c r="AL555" t="s">
        <v>459</v>
      </c>
    </row>
    <row r="556" spans="1:38" x14ac:dyDescent="0.3">
      <c r="A556" s="1"/>
      <c r="Y556" s="1">
        <v>43811.95349537037</v>
      </c>
      <c r="Z556">
        <v>9422</v>
      </c>
      <c r="AA556">
        <v>7184</v>
      </c>
      <c r="AB556">
        <v>23</v>
      </c>
      <c r="AC556" t="s">
        <v>36</v>
      </c>
      <c r="AD556">
        <v>1.16782999038696</v>
      </c>
      <c r="AE556">
        <v>1.1671434640884399</v>
      </c>
      <c r="AF556">
        <v>6.8652629851999997E-4</v>
      </c>
      <c r="AG556">
        <v>1.16589999198914</v>
      </c>
      <c r="AH556">
        <v>1.1651803255081199</v>
      </c>
      <c r="AI556">
        <v>7.1966648101999997E-4</v>
      </c>
      <c r="AJ556">
        <v>-236</v>
      </c>
      <c r="AK556">
        <v>0</v>
      </c>
      <c r="AL556" t="s">
        <v>459</v>
      </c>
    </row>
    <row r="557" spans="1:38" x14ac:dyDescent="0.3">
      <c r="A557" s="1"/>
      <c r="Y557" s="1">
        <v>43811.953541666669</v>
      </c>
      <c r="Z557">
        <v>9422</v>
      </c>
      <c r="AA557">
        <v>7184</v>
      </c>
      <c r="AB557">
        <v>23</v>
      </c>
      <c r="AC557" t="s">
        <v>36</v>
      </c>
      <c r="AD557">
        <v>1.16782999038696</v>
      </c>
      <c r="AE557">
        <v>1.1671434640884399</v>
      </c>
      <c r="AF557">
        <v>6.8652629851999997E-4</v>
      </c>
      <c r="AG557">
        <v>1.16589999198914</v>
      </c>
      <c r="AH557">
        <v>1.1651803255081199</v>
      </c>
      <c r="AI557">
        <v>7.1966648101999997E-4</v>
      </c>
      <c r="AJ557">
        <v>-236</v>
      </c>
      <c r="AK557">
        <v>0</v>
      </c>
      <c r="AL557" t="s">
        <v>459</v>
      </c>
    </row>
    <row r="558" spans="1:38" x14ac:dyDescent="0.3">
      <c r="A558" s="1"/>
      <c r="Y558" s="1">
        <v>43811.953599537039</v>
      </c>
      <c r="Z558">
        <v>9422</v>
      </c>
      <c r="AA558">
        <v>7184</v>
      </c>
      <c r="AB558">
        <v>23</v>
      </c>
      <c r="AC558" t="s">
        <v>36</v>
      </c>
      <c r="AD558">
        <v>1.16782999038696</v>
      </c>
      <c r="AE558">
        <v>1.1671434640884399</v>
      </c>
      <c r="AF558">
        <v>6.8652629851999997E-4</v>
      </c>
      <c r="AG558">
        <v>1.16589999198914</v>
      </c>
      <c r="AH558">
        <v>1.1651803255081199</v>
      </c>
      <c r="AI558">
        <v>7.1966648101999997E-4</v>
      </c>
      <c r="AJ558">
        <v>-236</v>
      </c>
      <c r="AK558">
        <v>0</v>
      </c>
      <c r="AL558" t="s">
        <v>459</v>
      </c>
    </row>
    <row r="559" spans="1:38" x14ac:dyDescent="0.3">
      <c r="A559" s="1"/>
      <c r="Y559" s="1">
        <v>43811.953657407408</v>
      </c>
      <c r="Z559">
        <v>9422</v>
      </c>
      <c r="AA559">
        <v>7184</v>
      </c>
      <c r="AB559">
        <v>23</v>
      </c>
      <c r="AC559" t="s">
        <v>36</v>
      </c>
      <c r="AD559">
        <v>1.16782999038696</v>
      </c>
      <c r="AE559">
        <v>1.1671434640884399</v>
      </c>
      <c r="AF559">
        <v>6.8652629851999997E-4</v>
      </c>
      <c r="AG559">
        <v>1.16589999198914</v>
      </c>
      <c r="AH559">
        <v>1.1651803255081199</v>
      </c>
      <c r="AI559">
        <v>7.1966648101999997E-4</v>
      </c>
      <c r="AJ559">
        <v>-236</v>
      </c>
      <c r="AK559">
        <v>0</v>
      </c>
      <c r="AL559" t="s">
        <v>459</v>
      </c>
    </row>
    <row r="560" spans="1:38" x14ac:dyDescent="0.3">
      <c r="A560" s="1"/>
      <c r="Y560" s="1">
        <v>43811.953715277778</v>
      </c>
      <c r="Z560">
        <v>9422</v>
      </c>
      <c r="AA560">
        <v>7184</v>
      </c>
      <c r="AB560">
        <v>23</v>
      </c>
      <c r="AC560" t="s">
        <v>36</v>
      </c>
      <c r="AD560">
        <v>1.16782999038696</v>
      </c>
      <c r="AE560">
        <v>1.1671434640884399</v>
      </c>
      <c r="AF560">
        <v>6.8652629851999997E-4</v>
      </c>
      <c r="AG560">
        <v>1.16589999198914</v>
      </c>
      <c r="AH560">
        <v>1.1651803255081199</v>
      </c>
      <c r="AI560">
        <v>7.1966648101999997E-4</v>
      </c>
      <c r="AJ560">
        <v>-236</v>
      </c>
      <c r="AK560">
        <v>0</v>
      </c>
      <c r="AL560" t="s">
        <v>459</v>
      </c>
    </row>
    <row r="561" spans="1:38" x14ac:dyDescent="0.3">
      <c r="A561" s="1"/>
      <c r="Y561" s="1">
        <v>43811.953773148147</v>
      </c>
      <c r="Z561">
        <v>9422</v>
      </c>
      <c r="AA561">
        <v>7184</v>
      </c>
      <c r="AB561">
        <v>23</v>
      </c>
      <c r="AC561" t="s">
        <v>36</v>
      </c>
      <c r="AD561">
        <v>1.16782999038696</v>
      </c>
      <c r="AE561">
        <v>1.1671434640884399</v>
      </c>
      <c r="AF561">
        <v>6.8652629851999997E-4</v>
      </c>
      <c r="AG561">
        <v>1.16589999198914</v>
      </c>
      <c r="AH561">
        <v>1.1651803255081199</v>
      </c>
      <c r="AI561">
        <v>7.1966648101999997E-4</v>
      </c>
      <c r="AJ561">
        <v>-236</v>
      </c>
      <c r="AK561">
        <v>0</v>
      </c>
      <c r="AL561" t="s">
        <v>459</v>
      </c>
    </row>
    <row r="562" spans="1:38" x14ac:dyDescent="0.3">
      <c r="A562" s="1"/>
      <c r="Y562" s="1">
        <v>43811.953842592593</v>
      </c>
      <c r="Z562">
        <v>9422</v>
      </c>
      <c r="AA562">
        <v>7184</v>
      </c>
      <c r="AB562">
        <v>23</v>
      </c>
      <c r="AC562" t="s">
        <v>36</v>
      </c>
      <c r="AD562">
        <v>1.16782999038696</v>
      </c>
      <c r="AE562">
        <v>1.1671434640884399</v>
      </c>
      <c r="AF562">
        <v>6.8652629851999997E-4</v>
      </c>
      <c r="AG562">
        <v>1.16589999198914</v>
      </c>
      <c r="AH562">
        <v>1.1651803255081199</v>
      </c>
      <c r="AI562">
        <v>7.1966648101999997E-4</v>
      </c>
      <c r="AJ562">
        <v>-236</v>
      </c>
      <c r="AK562">
        <v>0</v>
      </c>
      <c r="AL562" t="s">
        <v>459</v>
      </c>
    </row>
    <row r="563" spans="1:38" x14ac:dyDescent="0.3">
      <c r="A563" s="1"/>
      <c r="Y563" s="1">
        <v>43811.953900462962</v>
      </c>
      <c r="Z563">
        <v>9422</v>
      </c>
      <c r="AA563">
        <v>7184</v>
      </c>
      <c r="AB563">
        <v>23</v>
      </c>
      <c r="AC563" t="s">
        <v>36</v>
      </c>
      <c r="AD563">
        <v>1.16782999038696</v>
      </c>
      <c r="AE563">
        <v>1.1671434640884399</v>
      </c>
      <c r="AF563">
        <v>6.8652629851999997E-4</v>
      </c>
      <c r="AG563">
        <v>1.16589999198914</v>
      </c>
      <c r="AH563">
        <v>1.1651803255081199</v>
      </c>
      <c r="AI563">
        <v>7.1966648101999997E-4</v>
      </c>
      <c r="AJ563">
        <v>-236</v>
      </c>
      <c r="AK563">
        <v>0</v>
      </c>
      <c r="AL563" t="s">
        <v>459</v>
      </c>
    </row>
    <row r="564" spans="1:38" x14ac:dyDescent="0.3">
      <c r="A564" s="1"/>
      <c r="Y564" s="1">
        <v>43811.953969907408</v>
      </c>
      <c r="Z564">
        <v>9422</v>
      </c>
      <c r="AA564">
        <v>7184</v>
      </c>
      <c r="AB564">
        <v>23</v>
      </c>
      <c r="AC564" t="s">
        <v>36</v>
      </c>
      <c r="AD564">
        <v>1.16782999038696</v>
      </c>
      <c r="AE564">
        <v>1.1671434640884399</v>
      </c>
      <c r="AF564">
        <v>6.8652629851999997E-4</v>
      </c>
      <c r="AG564">
        <v>1.16589999198914</v>
      </c>
      <c r="AH564">
        <v>1.1651803255081199</v>
      </c>
      <c r="AI564">
        <v>7.1966648101999997E-4</v>
      </c>
      <c r="AJ564">
        <v>-236</v>
      </c>
      <c r="AK564">
        <v>0</v>
      </c>
      <c r="AL564" t="s">
        <v>459</v>
      </c>
    </row>
    <row r="565" spans="1:38" x14ac:dyDescent="0.3">
      <c r="A565" s="1"/>
      <c r="Y565" s="1">
        <v>43811.954039351855</v>
      </c>
      <c r="Z565">
        <v>9422</v>
      </c>
      <c r="AA565">
        <v>7184</v>
      </c>
      <c r="AB565">
        <v>23</v>
      </c>
      <c r="AC565" t="s">
        <v>36</v>
      </c>
      <c r="AD565">
        <v>1.16782999038696</v>
      </c>
      <c r="AE565">
        <v>1.1671434640884399</v>
      </c>
      <c r="AF565">
        <v>6.8652629851999997E-4</v>
      </c>
      <c r="AG565">
        <v>1.16589999198914</v>
      </c>
      <c r="AH565">
        <v>1.1651803255081199</v>
      </c>
      <c r="AI565">
        <v>7.1966648101999997E-4</v>
      </c>
      <c r="AJ565">
        <v>-236</v>
      </c>
      <c r="AK565">
        <v>0</v>
      </c>
      <c r="AL565" t="s">
        <v>459</v>
      </c>
    </row>
    <row r="566" spans="1:38" x14ac:dyDescent="0.3">
      <c r="A566" s="1"/>
      <c r="Y566" s="1">
        <v>43811.954097222224</v>
      </c>
      <c r="Z566">
        <v>9422</v>
      </c>
      <c r="AA566">
        <v>7184</v>
      </c>
      <c r="AB566">
        <v>23</v>
      </c>
      <c r="AC566" t="s">
        <v>36</v>
      </c>
      <c r="AD566">
        <v>1.16782999038696</v>
      </c>
      <c r="AE566">
        <v>1.1671434640884399</v>
      </c>
      <c r="AF566">
        <v>6.8652629851999997E-4</v>
      </c>
      <c r="AG566">
        <v>1.16589999198914</v>
      </c>
      <c r="AH566">
        <v>1.1651803255081199</v>
      </c>
      <c r="AI566">
        <v>7.1966648101999997E-4</v>
      </c>
      <c r="AJ566">
        <v>-236</v>
      </c>
      <c r="AK566">
        <v>0</v>
      </c>
      <c r="AL566" t="s">
        <v>459</v>
      </c>
    </row>
    <row r="567" spans="1:38" x14ac:dyDescent="0.3">
      <c r="A567" s="1"/>
      <c r="Y567" s="1">
        <v>43811.95416666667</v>
      </c>
      <c r="Z567">
        <v>9422</v>
      </c>
      <c r="AA567">
        <v>7184</v>
      </c>
      <c r="AB567">
        <v>23</v>
      </c>
      <c r="AC567" t="s">
        <v>36</v>
      </c>
      <c r="AD567">
        <v>1.16782999038696</v>
      </c>
      <c r="AE567">
        <v>1.1671434640884399</v>
      </c>
      <c r="AF567">
        <v>6.8652629851999997E-4</v>
      </c>
      <c r="AG567">
        <v>1.16589999198914</v>
      </c>
      <c r="AH567">
        <v>1.1651803255081199</v>
      </c>
      <c r="AI567">
        <v>7.1966648101999997E-4</v>
      </c>
      <c r="AJ567">
        <v>-236</v>
      </c>
      <c r="AK567">
        <v>0</v>
      </c>
      <c r="AL567" t="s">
        <v>459</v>
      </c>
    </row>
    <row r="568" spans="1:38" x14ac:dyDescent="0.3">
      <c r="A568" s="1"/>
      <c r="Y568" s="1">
        <v>43811.954236111109</v>
      </c>
      <c r="Z568">
        <v>9422</v>
      </c>
      <c r="AA568">
        <v>7184</v>
      </c>
      <c r="AB568">
        <v>23</v>
      </c>
      <c r="AC568" t="s">
        <v>36</v>
      </c>
      <c r="AD568">
        <v>1.16782999038696</v>
      </c>
      <c r="AE568">
        <v>1.1671434640884399</v>
      </c>
      <c r="AF568">
        <v>6.8652629851999997E-4</v>
      </c>
      <c r="AG568">
        <v>1.16589999198914</v>
      </c>
      <c r="AH568">
        <v>1.1651803255081199</v>
      </c>
      <c r="AI568">
        <v>7.1966648101999997E-4</v>
      </c>
      <c r="AJ568">
        <v>-236</v>
      </c>
      <c r="AK568">
        <v>0</v>
      </c>
      <c r="AL568" t="s">
        <v>459</v>
      </c>
    </row>
    <row r="569" spans="1:38" x14ac:dyDescent="0.3">
      <c r="A569" s="1"/>
      <c r="Y569" s="1">
        <v>43811.954305555555</v>
      </c>
      <c r="Z569">
        <v>9422</v>
      </c>
      <c r="AA569">
        <v>7184</v>
      </c>
      <c r="AB569">
        <v>23</v>
      </c>
      <c r="AC569" t="s">
        <v>36</v>
      </c>
      <c r="AD569">
        <v>1.16782999038696</v>
      </c>
      <c r="AE569">
        <v>1.1671434640884399</v>
      </c>
      <c r="AF569">
        <v>6.8652629851999997E-4</v>
      </c>
      <c r="AG569">
        <v>1.16589999198914</v>
      </c>
      <c r="AH569">
        <v>1.1651803255081199</v>
      </c>
      <c r="AI569">
        <v>7.1966648101999997E-4</v>
      </c>
      <c r="AJ569">
        <v>-236</v>
      </c>
      <c r="AK569">
        <v>0</v>
      </c>
      <c r="AL569" t="s">
        <v>459</v>
      </c>
    </row>
    <row r="570" spans="1:38" x14ac:dyDescent="0.3">
      <c r="A570" s="1"/>
      <c r="Y570" s="1">
        <v>43811.954375000001</v>
      </c>
      <c r="Z570">
        <v>9422</v>
      </c>
      <c r="AA570">
        <v>7184</v>
      </c>
      <c r="AB570">
        <v>23</v>
      </c>
      <c r="AC570" t="s">
        <v>36</v>
      </c>
      <c r="AD570">
        <v>1.16782999038696</v>
      </c>
      <c r="AE570">
        <v>1.1671434640884399</v>
      </c>
      <c r="AF570">
        <v>6.8652629851999997E-4</v>
      </c>
      <c r="AG570">
        <v>1.16589999198914</v>
      </c>
      <c r="AH570">
        <v>1.1651803255081199</v>
      </c>
      <c r="AI570">
        <v>7.1966648101999997E-4</v>
      </c>
      <c r="AJ570">
        <v>-236</v>
      </c>
      <c r="AK570">
        <v>0</v>
      </c>
      <c r="AL570" t="s">
        <v>459</v>
      </c>
    </row>
    <row r="571" spans="1:38" x14ac:dyDescent="0.3">
      <c r="A571" s="1"/>
      <c r="Y571" s="1">
        <v>43811.954456018517</v>
      </c>
      <c r="Z571">
        <v>9422</v>
      </c>
      <c r="AA571">
        <v>7184</v>
      </c>
      <c r="AB571">
        <v>23</v>
      </c>
      <c r="AC571" t="s">
        <v>36</v>
      </c>
      <c r="AD571">
        <v>1.16782999038696</v>
      </c>
      <c r="AE571">
        <v>1.1671434640884399</v>
      </c>
      <c r="AF571">
        <v>6.8652629851999997E-4</v>
      </c>
      <c r="AG571">
        <v>1.16589999198914</v>
      </c>
      <c r="AH571">
        <v>1.1651803255081199</v>
      </c>
      <c r="AI571">
        <v>7.1966648101999997E-4</v>
      </c>
      <c r="AJ571">
        <v>-236</v>
      </c>
      <c r="AK571">
        <v>0</v>
      </c>
      <c r="AL571" t="s">
        <v>459</v>
      </c>
    </row>
    <row r="572" spans="1:38" x14ac:dyDescent="0.3">
      <c r="A572" s="1"/>
      <c r="Y572" s="1">
        <v>43811.954525462963</v>
      </c>
      <c r="Z572">
        <v>9422</v>
      </c>
      <c r="AA572">
        <v>7184</v>
      </c>
      <c r="AB572">
        <v>23</v>
      </c>
      <c r="AC572" t="s">
        <v>36</v>
      </c>
      <c r="AD572">
        <v>1.16782999038696</v>
      </c>
      <c r="AE572">
        <v>1.1671434640884399</v>
      </c>
      <c r="AF572">
        <v>6.8652629851999997E-4</v>
      </c>
      <c r="AG572">
        <v>1.16589999198914</v>
      </c>
      <c r="AH572">
        <v>1.1651803255081199</v>
      </c>
      <c r="AI572">
        <v>7.1966648101999997E-4</v>
      </c>
      <c r="AJ572">
        <v>-236</v>
      </c>
      <c r="AK572">
        <v>0</v>
      </c>
      <c r="AL572" t="s">
        <v>459</v>
      </c>
    </row>
    <row r="573" spans="1:38" x14ac:dyDescent="0.3">
      <c r="A573" s="1"/>
      <c r="Y573" s="1">
        <v>43811.954606481479</v>
      </c>
      <c r="Z573">
        <v>9422</v>
      </c>
      <c r="AA573">
        <v>7184</v>
      </c>
      <c r="AB573">
        <v>23</v>
      </c>
      <c r="AC573" t="s">
        <v>36</v>
      </c>
      <c r="AD573">
        <v>1.16782999038696</v>
      </c>
      <c r="AE573">
        <v>1.1671434640884399</v>
      </c>
      <c r="AF573">
        <v>6.8652629851999997E-4</v>
      </c>
      <c r="AG573">
        <v>1.16589999198914</v>
      </c>
      <c r="AH573">
        <v>1.1651803255081199</v>
      </c>
      <c r="AI573">
        <v>7.1966648101999997E-4</v>
      </c>
      <c r="AJ573">
        <v>-236</v>
      </c>
      <c r="AK573">
        <v>0</v>
      </c>
      <c r="AL573" t="s">
        <v>459</v>
      </c>
    </row>
    <row r="574" spans="1:38" x14ac:dyDescent="0.3">
      <c r="A574" s="1"/>
      <c r="Y574" s="1">
        <v>43811.954687500001</v>
      </c>
      <c r="Z574">
        <v>9422</v>
      </c>
      <c r="AA574">
        <v>7184</v>
      </c>
      <c r="AB574">
        <v>23</v>
      </c>
      <c r="AC574" t="s">
        <v>36</v>
      </c>
      <c r="AD574">
        <v>1.16782999038696</v>
      </c>
      <c r="AE574">
        <v>1.1671434640884399</v>
      </c>
      <c r="AF574">
        <v>6.8652629851999997E-4</v>
      </c>
      <c r="AG574">
        <v>1.16589999198914</v>
      </c>
      <c r="AH574">
        <v>1.1651803255081199</v>
      </c>
      <c r="AI574">
        <v>7.1966648101999997E-4</v>
      </c>
      <c r="AJ574">
        <v>-236</v>
      </c>
      <c r="AK574">
        <v>0</v>
      </c>
      <c r="AL574" t="s">
        <v>459</v>
      </c>
    </row>
    <row r="575" spans="1:38" x14ac:dyDescent="0.3">
      <c r="A575" s="1"/>
      <c r="Y575" s="1">
        <v>43811.954768518517</v>
      </c>
      <c r="Z575">
        <v>9422</v>
      </c>
      <c r="AA575">
        <v>7184</v>
      </c>
      <c r="AB575">
        <v>23</v>
      </c>
      <c r="AC575" t="s">
        <v>36</v>
      </c>
      <c r="AD575">
        <v>1.16782999038696</v>
      </c>
      <c r="AE575">
        <v>1.1671434640884399</v>
      </c>
      <c r="AF575">
        <v>6.8652629851999997E-4</v>
      </c>
      <c r="AG575">
        <v>1.16589999198914</v>
      </c>
      <c r="AH575">
        <v>1.1651803255081199</v>
      </c>
      <c r="AI575">
        <v>7.1966648101999997E-4</v>
      </c>
      <c r="AJ575">
        <v>-236</v>
      </c>
      <c r="AK575">
        <v>0</v>
      </c>
      <c r="AL575" t="s">
        <v>459</v>
      </c>
    </row>
    <row r="576" spans="1:38" x14ac:dyDescent="0.3">
      <c r="A576" s="1"/>
      <c r="Y576" s="1">
        <v>43811.95484953704</v>
      </c>
      <c r="Z576">
        <v>9422</v>
      </c>
      <c r="AA576">
        <v>7184</v>
      </c>
      <c r="AB576">
        <v>23</v>
      </c>
      <c r="AC576" t="s">
        <v>36</v>
      </c>
      <c r="AD576">
        <v>1.16782999038696</v>
      </c>
      <c r="AE576">
        <v>1.1671434640884399</v>
      </c>
      <c r="AF576">
        <v>6.8652629851999997E-4</v>
      </c>
      <c r="AG576">
        <v>1.16589999198914</v>
      </c>
      <c r="AH576">
        <v>1.1651803255081199</v>
      </c>
      <c r="AI576">
        <v>7.1966648101999997E-4</v>
      </c>
      <c r="AJ576">
        <v>-236</v>
      </c>
      <c r="AK576">
        <v>0</v>
      </c>
      <c r="AL576" t="s">
        <v>459</v>
      </c>
    </row>
    <row r="577" spans="1:38" x14ac:dyDescent="0.3">
      <c r="A577" s="1"/>
      <c r="Y577" s="1">
        <v>43811.954918981479</v>
      </c>
      <c r="Z577">
        <v>9422</v>
      </c>
      <c r="AA577">
        <v>7184</v>
      </c>
      <c r="AB577">
        <v>23</v>
      </c>
      <c r="AC577" t="s">
        <v>36</v>
      </c>
      <c r="AD577">
        <v>1.16782999038696</v>
      </c>
      <c r="AE577">
        <v>1.1671434640884399</v>
      </c>
      <c r="AF577">
        <v>6.8652629851999997E-4</v>
      </c>
      <c r="AG577">
        <v>1.16589999198914</v>
      </c>
      <c r="AH577">
        <v>1.1651803255081199</v>
      </c>
      <c r="AI577">
        <v>7.1966648101999997E-4</v>
      </c>
      <c r="AJ577">
        <v>-236</v>
      </c>
      <c r="AK577">
        <v>0</v>
      </c>
      <c r="AL577" t="s">
        <v>459</v>
      </c>
    </row>
    <row r="578" spans="1:38" x14ac:dyDescent="0.3">
      <c r="A578" s="1"/>
    </row>
    <row r="579" spans="1:38" x14ac:dyDescent="0.3">
      <c r="A579" s="1"/>
    </row>
    <row r="580" spans="1:38" x14ac:dyDescent="0.3">
      <c r="A580" s="1"/>
    </row>
    <row r="581" spans="1:38" x14ac:dyDescent="0.3">
      <c r="A581" s="1"/>
    </row>
    <row r="582" spans="1:38" x14ac:dyDescent="0.3">
      <c r="A582" s="1"/>
    </row>
    <row r="583" spans="1:38" x14ac:dyDescent="0.3">
      <c r="A583" s="1"/>
    </row>
    <row r="584" spans="1:38" x14ac:dyDescent="0.3">
      <c r="A584" s="1"/>
    </row>
    <row r="585" spans="1:38" x14ac:dyDescent="0.3">
      <c r="A585" s="1"/>
    </row>
    <row r="586" spans="1:38" x14ac:dyDescent="0.3">
      <c r="A586" s="1"/>
    </row>
    <row r="587" spans="1:38" x14ac:dyDescent="0.3">
      <c r="A587" s="1"/>
    </row>
    <row r="588" spans="1:38" x14ac:dyDescent="0.3">
      <c r="A588" s="1"/>
    </row>
    <row r="589" spans="1:38" x14ac:dyDescent="0.3">
      <c r="A589" s="1"/>
    </row>
    <row r="590" spans="1:38" x14ac:dyDescent="0.3">
      <c r="A590" s="1"/>
    </row>
    <row r="591" spans="1:38" x14ac:dyDescent="0.3">
      <c r="A591" s="1"/>
    </row>
    <row r="592" spans="1:38" x14ac:dyDescent="0.3">
      <c r="A592" s="1"/>
    </row>
    <row r="593" spans="1:1" x14ac:dyDescent="0.3">
      <c r="A593" s="1"/>
    </row>
    <row r="594" spans="1:1" x14ac:dyDescent="0.3">
      <c r="A594" s="1"/>
    </row>
    <row r="595" spans="1:1" x14ac:dyDescent="0.3">
      <c r="A595" s="1"/>
    </row>
    <row r="596" spans="1:1" x14ac:dyDescent="0.3">
      <c r="A596" s="1"/>
    </row>
    <row r="597" spans="1:1" x14ac:dyDescent="0.3">
      <c r="A597" s="1"/>
    </row>
    <row r="598" spans="1:1" x14ac:dyDescent="0.3">
      <c r="A598" s="1"/>
    </row>
    <row r="599" spans="1:1" x14ac:dyDescent="0.3">
      <c r="A599" s="1"/>
    </row>
    <row r="600" spans="1:1" x14ac:dyDescent="0.3">
      <c r="A600" s="1"/>
    </row>
    <row r="601" spans="1:1" x14ac:dyDescent="0.3">
      <c r="A601" s="1"/>
    </row>
    <row r="602" spans="1:1" x14ac:dyDescent="0.3">
      <c r="A602" s="1"/>
    </row>
    <row r="603" spans="1:1" x14ac:dyDescent="0.3">
      <c r="A603" s="1"/>
    </row>
    <row r="604" spans="1:1" x14ac:dyDescent="0.3">
      <c r="A604" s="1"/>
    </row>
    <row r="605" spans="1:1" x14ac:dyDescent="0.3">
      <c r="A605" s="1"/>
    </row>
    <row r="606" spans="1:1" x14ac:dyDescent="0.3">
      <c r="A606" s="1"/>
    </row>
    <row r="607" spans="1:1" x14ac:dyDescent="0.3">
      <c r="A607" s="1"/>
    </row>
    <row r="608" spans="1:1" x14ac:dyDescent="0.3">
      <c r="A608" s="1"/>
    </row>
    <row r="609" spans="1:1" x14ac:dyDescent="0.3">
      <c r="A609" s="1"/>
    </row>
    <row r="610" spans="1:1" x14ac:dyDescent="0.3">
      <c r="A610" s="1"/>
    </row>
    <row r="611" spans="1:1" x14ac:dyDescent="0.3">
      <c r="A611" s="1"/>
    </row>
    <row r="612" spans="1:1" x14ac:dyDescent="0.3">
      <c r="A612" s="1"/>
    </row>
    <row r="613" spans="1:1" x14ac:dyDescent="0.3">
      <c r="A613" s="1"/>
    </row>
    <row r="614" spans="1:1" x14ac:dyDescent="0.3">
      <c r="A614" s="1"/>
    </row>
    <row r="615" spans="1:1" x14ac:dyDescent="0.3">
      <c r="A615" s="1"/>
    </row>
    <row r="616" spans="1:1" x14ac:dyDescent="0.3">
      <c r="A616" s="1"/>
    </row>
    <row r="617" spans="1:1" x14ac:dyDescent="0.3">
      <c r="A617" s="1"/>
    </row>
    <row r="618" spans="1:1" x14ac:dyDescent="0.3">
      <c r="A618" s="1"/>
    </row>
    <row r="619" spans="1:1" x14ac:dyDescent="0.3">
      <c r="A619" s="1"/>
    </row>
    <row r="620" spans="1:1" x14ac:dyDescent="0.3">
      <c r="A620" s="1"/>
    </row>
    <row r="621" spans="1:1" x14ac:dyDescent="0.3">
      <c r="A621" s="1"/>
    </row>
    <row r="622" spans="1:1" x14ac:dyDescent="0.3">
      <c r="A622" s="1"/>
    </row>
    <row r="623" spans="1:1" x14ac:dyDescent="0.3">
      <c r="A623" s="1"/>
    </row>
    <row r="624" spans="1:1" x14ac:dyDescent="0.3">
      <c r="A624" s="1"/>
    </row>
    <row r="625" spans="1:1" x14ac:dyDescent="0.3">
      <c r="A625" s="1"/>
    </row>
    <row r="626" spans="1:1" x14ac:dyDescent="0.3">
      <c r="A626" s="1"/>
    </row>
    <row r="627" spans="1:1" x14ac:dyDescent="0.3">
      <c r="A627" s="1"/>
    </row>
    <row r="628" spans="1:1" x14ac:dyDescent="0.3">
      <c r="A628" s="1"/>
    </row>
    <row r="629" spans="1:1" x14ac:dyDescent="0.3">
      <c r="A629" s="1"/>
    </row>
    <row r="630" spans="1:1" x14ac:dyDescent="0.3">
      <c r="A630" s="1"/>
    </row>
    <row r="631" spans="1:1" x14ac:dyDescent="0.3">
      <c r="A631" s="1"/>
    </row>
    <row r="632" spans="1:1" x14ac:dyDescent="0.3">
      <c r="A632" s="1"/>
    </row>
    <row r="633" spans="1:1" x14ac:dyDescent="0.3">
      <c r="A633" s="1"/>
    </row>
    <row r="634" spans="1:1" x14ac:dyDescent="0.3">
      <c r="A634" s="1"/>
    </row>
    <row r="635" spans="1:1" x14ac:dyDescent="0.3">
      <c r="A635" s="1"/>
    </row>
    <row r="636" spans="1:1" x14ac:dyDescent="0.3">
      <c r="A636" s="1"/>
    </row>
    <row r="637" spans="1:1" x14ac:dyDescent="0.3">
      <c r="A637" s="1"/>
    </row>
    <row r="638" spans="1:1" x14ac:dyDescent="0.3">
      <c r="A638" s="1"/>
    </row>
    <row r="639" spans="1:1" x14ac:dyDescent="0.3">
      <c r="A639" s="1"/>
    </row>
    <row r="640" spans="1:1" x14ac:dyDescent="0.3">
      <c r="A640" s="1"/>
    </row>
    <row r="641" spans="1:1" x14ac:dyDescent="0.3">
      <c r="A641" s="1"/>
    </row>
    <row r="642" spans="1:1" x14ac:dyDescent="0.3">
      <c r="A642" s="1"/>
    </row>
    <row r="643" spans="1:1" x14ac:dyDescent="0.3">
      <c r="A643" s="1"/>
    </row>
    <row r="644" spans="1:1" x14ac:dyDescent="0.3">
      <c r="A644" s="1"/>
    </row>
    <row r="645" spans="1:1" x14ac:dyDescent="0.3">
      <c r="A645" s="1"/>
    </row>
    <row r="646" spans="1:1" x14ac:dyDescent="0.3">
      <c r="A646" s="1"/>
    </row>
    <row r="647" spans="1:1" x14ac:dyDescent="0.3">
      <c r="A647" s="1"/>
    </row>
    <row r="648" spans="1:1" x14ac:dyDescent="0.3">
      <c r="A648" s="1"/>
    </row>
    <row r="649" spans="1:1" x14ac:dyDescent="0.3">
      <c r="A649" s="1"/>
    </row>
    <row r="650" spans="1:1" x14ac:dyDescent="0.3">
      <c r="A650" s="1"/>
    </row>
    <row r="651" spans="1:1" x14ac:dyDescent="0.3">
      <c r="A651" s="1"/>
    </row>
    <row r="652" spans="1:1" x14ac:dyDescent="0.3">
      <c r="A652" s="1"/>
    </row>
    <row r="653" spans="1:1" x14ac:dyDescent="0.3">
      <c r="A653" s="1"/>
    </row>
    <row r="654" spans="1:1" x14ac:dyDescent="0.3">
      <c r="A654" s="1"/>
    </row>
    <row r="655" spans="1:1" x14ac:dyDescent="0.3">
      <c r="A655" s="1"/>
    </row>
    <row r="656" spans="1:1" x14ac:dyDescent="0.3">
      <c r="A656" s="1"/>
    </row>
    <row r="657" spans="1:1" x14ac:dyDescent="0.3">
      <c r="A657" s="1"/>
    </row>
    <row r="658" spans="1:1" x14ac:dyDescent="0.3">
      <c r="A658" s="1"/>
    </row>
    <row r="659" spans="1:1" x14ac:dyDescent="0.3">
      <c r="A659" s="1"/>
    </row>
    <row r="660" spans="1:1" x14ac:dyDescent="0.3">
      <c r="A660" s="1"/>
    </row>
    <row r="661" spans="1:1" x14ac:dyDescent="0.3">
      <c r="A661" s="1"/>
    </row>
    <row r="662" spans="1:1" x14ac:dyDescent="0.3">
      <c r="A662" s="1"/>
    </row>
    <row r="663" spans="1:1" x14ac:dyDescent="0.3">
      <c r="A663" s="1"/>
    </row>
    <row r="664" spans="1:1" x14ac:dyDescent="0.3">
      <c r="A664" s="1"/>
    </row>
    <row r="665" spans="1:1" x14ac:dyDescent="0.3">
      <c r="A665" s="1"/>
    </row>
    <row r="666" spans="1:1" x14ac:dyDescent="0.3">
      <c r="A666" s="1"/>
    </row>
    <row r="667" spans="1:1" x14ac:dyDescent="0.3">
      <c r="A667" s="1"/>
    </row>
    <row r="668" spans="1:1" x14ac:dyDescent="0.3">
      <c r="A668" s="1"/>
    </row>
    <row r="669" spans="1:1" x14ac:dyDescent="0.3">
      <c r="A669" s="1"/>
    </row>
    <row r="670" spans="1:1" x14ac:dyDescent="0.3">
      <c r="A670" s="1"/>
    </row>
    <row r="671" spans="1:1" x14ac:dyDescent="0.3">
      <c r="A671" s="1"/>
    </row>
    <row r="672" spans="1:1" x14ac:dyDescent="0.3">
      <c r="A672" s="1"/>
    </row>
    <row r="673" spans="1:1" x14ac:dyDescent="0.3">
      <c r="A673" s="1"/>
    </row>
    <row r="674" spans="1:1" x14ac:dyDescent="0.3">
      <c r="A674" s="1"/>
    </row>
    <row r="675" spans="1:1" x14ac:dyDescent="0.3">
      <c r="A675" s="1"/>
    </row>
    <row r="676" spans="1:1" x14ac:dyDescent="0.3">
      <c r="A676" s="1"/>
    </row>
    <row r="677" spans="1:1" x14ac:dyDescent="0.3">
      <c r="A677" s="1"/>
    </row>
    <row r="678" spans="1:1" x14ac:dyDescent="0.3">
      <c r="A678" s="1"/>
    </row>
    <row r="679" spans="1:1" x14ac:dyDescent="0.3">
      <c r="A679" s="1"/>
    </row>
    <row r="680" spans="1:1" x14ac:dyDescent="0.3">
      <c r="A680" s="1"/>
    </row>
    <row r="681" spans="1:1" x14ac:dyDescent="0.3">
      <c r="A681" s="1"/>
    </row>
    <row r="682" spans="1:1" x14ac:dyDescent="0.3">
      <c r="A682" s="1"/>
    </row>
    <row r="683" spans="1:1" x14ac:dyDescent="0.3">
      <c r="A683" s="1"/>
    </row>
    <row r="684" spans="1:1" x14ac:dyDescent="0.3">
      <c r="A684" s="1"/>
    </row>
    <row r="685" spans="1:1" x14ac:dyDescent="0.3">
      <c r="A685" s="1"/>
    </row>
    <row r="686" spans="1:1" x14ac:dyDescent="0.3">
      <c r="A686" s="1"/>
    </row>
    <row r="687" spans="1:1" x14ac:dyDescent="0.3">
      <c r="A687" s="1"/>
    </row>
    <row r="688" spans="1:1" x14ac:dyDescent="0.3">
      <c r="A688" s="1"/>
    </row>
    <row r="689" spans="1:1" x14ac:dyDescent="0.3">
      <c r="A689" s="1"/>
    </row>
    <row r="690" spans="1:1" x14ac:dyDescent="0.3">
      <c r="A690" s="1"/>
    </row>
    <row r="691" spans="1:1" x14ac:dyDescent="0.3">
      <c r="A691" s="1"/>
    </row>
    <row r="692" spans="1:1" x14ac:dyDescent="0.3">
      <c r="A692" s="1"/>
    </row>
    <row r="693" spans="1:1" x14ac:dyDescent="0.3">
      <c r="A693" s="1"/>
    </row>
    <row r="694" spans="1:1" x14ac:dyDescent="0.3">
      <c r="A694" s="1"/>
    </row>
    <row r="695" spans="1:1" x14ac:dyDescent="0.3">
      <c r="A695" s="1"/>
    </row>
    <row r="696" spans="1:1" x14ac:dyDescent="0.3">
      <c r="A696" s="1"/>
    </row>
    <row r="697" spans="1:1" x14ac:dyDescent="0.3">
      <c r="A697" s="1"/>
    </row>
    <row r="698" spans="1:1" x14ac:dyDescent="0.3">
      <c r="A698" s="1"/>
    </row>
    <row r="699" spans="1:1" x14ac:dyDescent="0.3">
      <c r="A699" s="1"/>
    </row>
    <row r="700" spans="1:1" x14ac:dyDescent="0.3">
      <c r="A700" s="1"/>
    </row>
    <row r="701" spans="1:1" x14ac:dyDescent="0.3">
      <c r="A701" s="1"/>
    </row>
    <row r="702" spans="1:1" x14ac:dyDescent="0.3">
      <c r="A702" s="1"/>
    </row>
    <row r="703" spans="1:1" x14ac:dyDescent="0.3">
      <c r="A703" s="1"/>
    </row>
    <row r="704" spans="1:1" x14ac:dyDescent="0.3">
      <c r="A704" s="1"/>
    </row>
    <row r="705" spans="1:1" x14ac:dyDescent="0.3">
      <c r="A705" s="1"/>
    </row>
    <row r="706" spans="1:1" x14ac:dyDescent="0.3">
      <c r="A706" s="1"/>
    </row>
    <row r="707" spans="1:1" x14ac:dyDescent="0.3">
      <c r="A707" s="1"/>
    </row>
    <row r="708" spans="1:1" x14ac:dyDescent="0.3">
      <c r="A708" s="1"/>
    </row>
    <row r="709" spans="1:1" x14ac:dyDescent="0.3">
      <c r="A709" s="1"/>
    </row>
    <row r="710" spans="1:1" x14ac:dyDescent="0.3">
      <c r="A710" s="1"/>
    </row>
    <row r="711" spans="1:1" x14ac:dyDescent="0.3">
      <c r="A711" s="1"/>
    </row>
    <row r="712" spans="1:1" x14ac:dyDescent="0.3">
      <c r="A712" s="1"/>
    </row>
    <row r="713" spans="1:1" x14ac:dyDescent="0.3">
      <c r="A713" s="1"/>
    </row>
    <row r="714" spans="1:1" x14ac:dyDescent="0.3">
      <c r="A714" s="1"/>
    </row>
    <row r="715" spans="1:1" x14ac:dyDescent="0.3">
      <c r="A715" s="1"/>
    </row>
    <row r="716" spans="1:1" x14ac:dyDescent="0.3">
      <c r="A716" s="1"/>
    </row>
    <row r="717" spans="1:1" x14ac:dyDescent="0.3">
      <c r="A717" s="1"/>
    </row>
    <row r="718" spans="1:1" x14ac:dyDescent="0.3">
      <c r="A718" s="1"/>
    </row>
    <row r="719" spans="1:1" x14ac:dyDescent="0.3">
      <c r="A719" s="1"/>
    </row>
    <row r="720" spans="1:1" x14ac:dyDescent="0.3">
      <c r="A720" s="1"/>
    </row>
    <row r="721" spans="1:1" x14ac:dyDescent="0.3">
      <c r="A721" s="1"/>
    </row>
    <row r="722" spans="1:1" x14ac:dyDescent="0.3">
      <c r="A722" s="1"/>
    </row>
    <row r="723" spans="1:1" x14ac:dyDescent="0.3">
      <c r="A723" s="1"/>
    </row>
    <row r="724" spans="1:1" x14ac:dyDescent="0.3">
      <c r="A724" s="1"/>
    </row>
    <row r="725" spans="1:1" x14ac:dyDescent="0.3">
      <c r="A725" s="1"/>
    </row>
    <row r="726" spans="1:1" x14ac:dyDescent="0.3">
      <c r="A726" s="1"/>
    </row>
    <row r="727" spans="1:1" x14ac:dyDescent="0.3">
      <c r="A727" s="1"/>
    </row>
    <row r="728" spans="1:1" x14ac:dyDescent="0.3">
      <c r="A728" s="1"/>
    </row>
    <row r="729" spans="1:1" x14ac:dyDescent="0.3">
      <c r="A729" s="1"/>
    </row>
    <row r="730" spans="1:1" x14ac:dyDescent="0.3">
      <c r="A730" s="1"/>
    </row>
    <row r="731" spans="1:1" x14ac:dyDescent="0.3">
      <c r="A731" s="1"/>
    </row>
    <row r="732" spans="1:1" x14ac:dyDescent="0.3">
      <c r="A732" s="1"/>
    </row>
    <row r="733" spans="1:1" x14ac:dyDescent="0.3">
      <c r="A733" s="1"/>
    </row>
    <row r="734" spans="1:1" x14ac:dyDescent="0.3">
      <c r="A734" s="1"/>
    </row>
    <row r="735" spans="1:1" x14ac:dyDescent="0.3">
      <c r="A735" s="1"/>
    </row>
    <row r="736" spans="1:1" x14ac:dyDescent="0.3">
      <c r="A736" s="1"/>
    </row>
    <row r="737" spans="1:1" x14ac:dyDescent="0.3">
      <c r="A737" s="1"/>
    </row>
    <row r="738" spans="1:1" x14ac:dyDescent="0.3">
      <c r="A738" s="1"/>
    </row>
    <row r="739" spans="1:1" x14ac:dyDescent="0.3">
      <c r="A739" s="1"/>
    </row>
    <row r="740" spans="1:1" x14ac:dyDescent="0.3">
      <c r="A740" s="1"/>
    </row>
    <row r="741" spans="1:1" x14ac:dyDescent="0.3">
      <c r="A741" s="1"/>
    </row>
    <row r="742" spans="1:1" x14ac:dyDescent="0.3">
      <c r="A742" s="1"/>
    </row>
    <row r="743" spans="1:1" x14ac:dyDescent="0.3">
      <c r="A743" s="1"/>
    </row>
    <row r="744" spans="1:1" x14ac:dyDescent="0.3">
      <c r="A744" s="1"/>
    </row>
    <row r="745" spans="1:1" x14ac:dyDescent="0.3">
      <c r="A745" s="1"/>
    </row>
    <row r="746" spans="1:1" x14ac:dyDescent="0.3">
      <c r="A746" s="1"/>
    </row>
    <row r="747" spans="1:1" x14ac:dyDescent="0.3">
      <c r="A747" s="1"/>
    </row>
    <row r="748" spans="1:1" x14ac:dyDescent="0.3">
      <c r="A748" s="1"/>
    </row>
    <row r="749" spans="1:1" x14ac:dyDescent="0.3">
      <c r="A749" s="1"/>
    </row>
    <row r="750" spans="1:1" x14ac:dyDescent="0.3">
      <c r="A750" s="1"/>
    </row>
    <row r="751" spans="1:1" x14ac:dyDescent="0.3">
      <c r="A751" s="1"/>
    </row>
    <row r="752" spans="1:1" x14ac:dyDescent="0.3">
      <c r="A752" s="1"/>
    </row>
    <row r="753" spans="1:1" x14ac:dyDescent="0.3">
      <c r="A753" s="1"/>
    </row>
    <row r="754" spans="1:1" x14ac:dyDescent="0.3">
      <c r="A754" s="1"/>
    </row>
    <row r="755" spans="1:1" x14ac:dyDescent="0.3">
      <c r="A755" s="1"/>
    </row>
    <row r="756" spans="1:1" x14ac:dyDescent="0.3">
      <c r="A756" s="1"/>
    </row>
    <row r="757" spans="1:1" x14ac:dyDescent="0.3">
      <c r="A757" s="1"/>
    </row>
    <row r="758" spans="1:1" x14ac:dyDescent="0.3">
      <c r="A758" s="1"/>
    </row>
    <row r="759" spans="1:1" x14ac:dyDescent="0.3">
      <c r="A759" s="1"/>
    </row>
    <row r="760" spans="1:1" x14ac:dyDescent="0.3">
      <c r="A760" s="1"/>
    </row>
    <row r="761" spans="1:1" x14ac:dyDescent="0.3">
      <c r="A761" s="1"/>
    </row>
    <row r="762" spans="1:1" x14ac:dyDescent="0.3">
      <c r="A762" s="1"/>
    </row>
    <row r="763" spans="1:1" x14ac:dyDescent="0.3">
      <c r="A763" s="1"/>
    </row>
    <row r="764" spans="1:1" x14ac:dyDescent="0.3">
      <c r="A764" s="1"/>
    </row>
    <row r="765" spans="1:1" x14ac:dyDescent="0.3">
      <c r="A765" s="1"/>
    </row>
    <row r="766" spans="1:1" x14ac:dyDescent="0.3">
      <c r="A766" s="1"/>
    </row>
    <row r="767" spans="1:1" x14ac:dyDescent="0.3">
      <c r="A767" s="1"/>
    </row>
    <row r="768" spans="1:1" x14ac:dyDescent="0.3">
      <c r="A768" s="1"/>
    </row>
    <row r="769" spans="1:1" x14ac:dyDescent="0.3">
      <c r="A769" s="1"/>
    </row>
    <row r="770" spans="1:1" x14ac:dyDescent="0.3">
      <c r="A770" s="1"/>
    </row>
    <row r="771" spans="1:1" x14ac:dyDescent="0.3">
      <c r="A771" s="1"/>
    </row>
    <row r="772" spans="1:1" x14ac:dyDescent="0.3">
      <c r="A772" s="1"/>
    </row>
    <row r="773" spans="1:1" x14ac:dyDescent="0.3">
      <c r="A773" s="1"/>
    </row>
    <row r="774" spans="1:1" x14ac:dyDescent="0.3">
      <c r="A774" s="1"/>
    </row>
    <row r="775" spans="1:1" x14ac:dyDescent="0.3">
      <c r="A775" s="1"/>
    </row>
    <row r="776" spans="1:1" x14ac:dyDescent="0.3">
      <c r="A776" s="1"/>
    </row>
    <row r="777" spans="1:1" x14ac:dyDescent="0.3">
      <c r="A777" s="1"/>
    </row>
    <row r="778" spans="1:1" x14ac:dyDescent="0.3">
      <c r="A778" s="1"/>
    </row>
    <row r="779" spans="1:1" x14ac:dyDescent="0.3">
      <c r="A779" s="1"/>
    </row>
    <row r="780" spans="1:1" x14ac:dyDescent="0.3">
      <c r="A780" s="1"/>
    </row>
    <row r="781" spans="1:1" x14ac:dyDescent="0.3">
      <c r="A781" s="1"/>
    </row>
    <row r="782" spans="1:1" x14ac:dyDescent="0.3">
      <c r="A782" s="1"/>
    </row>
    <row r="783" spans="1:1" x14ac:dyDescent="0.3">
      <c r="A783" s="1"/>
    </row>
    <row r="784" spans="1:1" x14ac:dyDescent="0.3">
      <c r="A784" s="1"/>
    </row>
    <row r="785" spans="1:1" x14ac:dyDescent="0.3">
      <c r="A785" s="1"/>
    </row>
    <row r="786" spans="1:1" x14ac:dyDescent="0.3">
      <c r="A786" s="1"/>
    </row>
    <row r="787" spans="1:1" x14ac:dyDescent="0.3">
      <c r="A787" s="1"/>
    </row>
    <row r="788" spans="1:1" x14ac:dyDescent="0.3">
      <c r="A788" s="1"/>
    </row>
    <row r="789" spans="1:1" x14ac:dyDescent="0.3">
      <c r="A789" s="1"/>
    </row>
    <row r="790" spans="1:1" x14ac:dyDescent="0.3">
      <c r="A790" s="1"/>
    </row>
    <row r="791" spans="1:1" x14ac:dyDescent="0.3">
      <c r="A791" s="1"/>
    </row>
    <row r="792" spans="1:1" x14ac:dyDescent="0.3">
      <c r="A792" s="1"/>
    </row>
    <row r="793" spans="1:1" x14ac:dyDescent="0.3">
      <c r="A793" s="1"/>
    </row>
    <row r="794" spans="1:1" x14ac:dyDescent="0.3">
      <c r="A794" s="1"/>
    </row>
    <row r="795" spans="1:1" x14ac:dyDescent="0.3">
      <c r="A795" s="1"/>
    </row>
    <row r="796" spans="1:1" x14ac:dyDescent="0.3">
      <c r="A796" s="1"/>
    </row>
    <row r="797" spans="1:1" x14ac:dyDescent="0.3">
      <c r="A797" s="1"/>
    </row>
    <row r="798" spans="1:1" x14ac:dyDescent="0.3">
      <c r="A798" s="1"/>
    </row>
    <row r="799" spans="1:1" x14ac:dyDescent="0.3">
      <c r="A799" s="1"/>
    </row>
    <row r="800" spans="1:1" x14ac:dyDescent="0.3">
      <c r="A800" s="1"/>
    </row>
    <row r="801" spans="1:1" x14ac:dyDescent="0.3">
      <c r="A801" s="1"/>
    </row>
    <row r="802" spans="1:1" x14ac:dyDescent="0.3">
      <c r="A802" s="1"/>
    </row>
    <row r="803" spans="1:1" x14ac:dyDescent="0.3">
      <c r="A803" s="1"/>
    </row>
    <row r="804" spans="1:1" x14ac:dyDescent="0.3">
      <c r="A804" s="1"/>
    </row>
    <row r="805" spans="1:1" x14ac:dyDescent="0.3">
      <c r="A805" s="1"/>
    </row>
    <row r="806" spans="1:1" x14ac:dyDescent="0.3">
      <c r="A806" s="1"/>
    </row>
    <row r="807" spans="1:1" x14ac:dyDescent="0.3">
      <c r="A807" s="1"/>
    </row>
    <row r="808" spans="1:1" x14ac:dyDescent="0.3">
      <c r="A808" s="1"/>
    </row>
    <row r="809" spans="1:1" x14ac:dyDescent="0.3">
      <c r="A809" s="1"/>
    </row>
    <row r="810" spans="1:1" x14ac:dyDescent="0.3">
      <c r="A810" s="1"/>
    </row>
    <row r="811" spans="1:1" x14ac:dyDescent="0.3">
      <c r="A811" s="1"/>
    </row>
    <row r="812" spans="1:1" x14ac:dyDescent="0.3">
      <c r="A812" s="1"/>
    </row>
    <row r="813" spans="1:1" x14ac:dyDescent="0.3">
      <c r="A813" s="1"/>
    </row>
    <row r="814" spans="1:1" x14ac:dyDescent="0.3">
      <c r="A814" s="1"/>
    </row>
    <row r="815" spans="1:1" x14ac:dyDescent="0.3">
      <c r="A815" s="1"/>
    </row>
    <row r="816" spans="1:1" x14ac:dyDescent="0.3">
      <c r="A816" s="1"/>
    </row>
    <row r="817" spans="1:1" x14ac:dyDescent="0.3">
      <c r="A817" s="1"/>
    </row>
    <row r="818" spans="1:1" x14ac:dyDescent="0.3">
      <c r="A818" s="1"/>
    </row>
    <row r="819" spans="1:1" x14ac:dyDescent="0.3">
      <c r="A819" s="1"/>
    </row>
    <row r="820" spans="1:1" x14ac:dyDescent="0.3">
      <c r="A820" s="1"/>
    </row>
    <row r="821" spans="1:1" x14ac:dyDescent="0.3">
      <c r="A821" s="1"/>
    </row>
    <row r="822" spans="1:1" x14ac:dyDescent="0.3">
      <c r="A822" s="1"/>
    </row>
    <row r="823" spans="1:1" x14ac:dyDescent="0.3">
      <c r="A823" s="1"/>
    </row>
    <row r="824" spans="1:1" x14ac:dyDescent="0.3">
      <c r="A824" s="1"/>
    </row>
    <row r="825" spans="1:1" x14ac:dyDescent="0.3">
      <c r="A825" s="1"/>
    </row>
    <row r="826" spans="1:1" x14ac:dyDescent="0.3">
      <c r="A826" s="1"/>
    </row>
    <row r="827" spans="1:1" x14ac:dyDescent="0.3">
      <c r="A827" s="1"/>
    </row>
    <row r="828" spans="1:1" x14ac:dyDescent="0.3">
      <c r="A828" s="1"/>
    </row>
    <row r="829" spans="1:1" x14ac:dyDescent="0.3">
      <c r="A829" s="1"/>
    </row>
    <row r="830" spans="1:1" x14ac:dyDescent="0.3">
      <c r="A830" s="1"/>
    </row>
    <row r="831" spans="1:1" x14ac:dyDescent="0.3">
      <c r="A831" s="1"/>
    </row>
    <row r="832" spans="1:1" x14ac:dyDescent="0.3">
      <c r="A832" s="1"/>
    </row>
    <row r="833" spans="1:1" x14ac:dyDescent="0.3">
      <c r="A833" s="1"/>
    </row>
    <row r="834" spans="1:1" x14ac:dyDescent="0.3">
      <c r="A834" s="1"/>
    </row>
    <row r="835" spans="1:1" x14ac:dyDescent="0.3">
      <c r="A835" s="1"/>
    </row>
    <row r="836" spans="1:1" x14ac:dyDescent="0.3">
      <c r="A836" s="1"/>
    </row>
    <row r="837" spans="1:1" x14ac:dyDescent="0.3">
      <c r="A837" s="1"/>
    </row>
    <row r="838" spans="1:1" x14ac:dyDescent="0.3">
      <c r="A838" s="1"/>
    </row>
    <row r="839" spans="1:1" x14ac:dyDescent="0.3">
      <c r="A839" s="1"/>
    </row>
    <row r="840" spans="1:1" x14ac:dyDescent="0.3">
      <c r="A840" s="1"/>
    </row>
    <row r="841" spans="1:1" x14ac:dyDescent="0.3">
      <c r="A841" s="1"/>
    </row>
    <row r="842" spans="1:1" x14ac:dyDescent="0.3">
      <c r="A842" s="1"/>
    </row>
    <row r="843" spans="1:1" x14ac:dyDescent="0.3">
      <c r="A843" s="1"/>
    </row>
    <row r="844" spans="1:1" x14ac:dyDescent="0.3">
      <c r="A844" s="1"/>
    </row>
    <row r="845" spans="1:1" x14ac:dyDescent="0.3">
      <c r="A845" s="1"/>
    </row>
    <row r="846" spans="1:1" x14ac:dyDescent="0.3">
      <c r="A846" s="1"/>
    </row>
    <row r="847" spans="1:1" x14ac:dyDescent="0.3">
      <c r="A847" s="1"/>
    </row>
    <row r="848" spans="1:1" x14ac:dyDescent="0.3">
      <c r="A848" s="1"/>
    </row>
    <row r="849" spans="1:1" x14ac:dyDescent="0.3">
      <c r="A849" s="1"/>
    </row>
    <row r="850" spans="1:1" x14ac:dyDescent="0.3">
      <c r="A850" s="1"/>
    </row>
    <row r="851" spans="1:1" x14ac:dyDescent="0.3">
      <c r="A851" s="1"/>
    </row>
    <row r="852" spans="1:1" x14ac:dyDescent="0.3">
      <c r="A852" s="1"/>
    </row>
    <row r="853" spans="1:1" x14ac:dyDescent="0.3">
      <c r="A853" s="1"/>
    </row>
    <row r="854" spans="1:1" x14ac:dyDescent="0.3">
      <c r="A854" s="1"/>
    </row>
    <row r="855" spans="1:1" x14ac:dyDescent="0.3">
      <c r="A855" s="1"/>
    </row>
    <row r="856" spans="1:1" x14ac:dyDescent="0.3">
      <c r="A856" s="1"/>
    </row>
    <row r="857" spans="1:1" x14ac:dyDescent="0.3">
      <c r="A857" s="1"/>
    </row>
    <row r="858" spans="1:1" x14ac:dyDescent="0.3">
      <c r="A858" s="1"/>
    </row>
    <row r="859" spans="1:1" x14ac:dyDescent="0.3">
      <c r="A859" s="1"/>
    </row>
    <row r="860" spans="1:1" x14ac:dyDescent="0.3">
      <c r="A860" s="1"/>
    </row>
    <row r="861" spans="1:1" x14ac:dyDescent="0.3">
      <c r="A861" s="1"/>
    </row>
    <row r="862" spans="1:1" x14ac:dyDescent="0.3">
      <c r="A862" s="1"/>
    </row>
    <row r="863" spans="1:1" x14ac:dyDescent="0.3">
      <c r="A863" s="1"/>
    </row>
    <row r="864" spans="1:1" x14ac:dyDescent="0.3">
      <c r="A864" s="1"/>
    </row>
    <row r="865" spans="1:1" x14ac:dyDescent="0.3">
      <c r="A865" s="1"/>
    </row>
    <row r="866" spans="1:1" x14ac:dyDescent="0.3">
      <c r="A866" s="1"/>
    </row>
    <row r="867" spans="1:1" x14ac:dyDescent="0.3">
      <c r="A867" s="1"/>
    </row>
    <row r="868" spans="1:1" x14ac:dyDescent="0.3">
      <c r="A868" s="1"/>
    </row>
    <row r="869" spans="1:1" x14ac:dyDescent="0.3">
      <c r="A869" s="1"/>
    </row>
    <row r="870" spans="1:1" x14ac:dyDescent="0.3">
      <c r="A870" s="1"/>
    </row>
    <row r="871" spans="1:1" x14ac:dyDescent="0.3">
      <c r="A871" s="1"/>
    </row>
    <row r="872" spans="1:1" x14ac:dyDescent="0.3">
      <c r="A872" s="1"/>
    </row>
    <row r="873" spans="1:1" x14ac:dyDescent="0.3">
      <c r="A873" s="1"/>
    </row>
    <row r="874" spans="1:1" x14ac:dyDescent="0.3">
      <c r="A874" s="1"/>
    </row>
    <row r="875" spans="1:1" x14ac:dyDescent="0.3">
      <c r="A875" s="1"/>
    </row>
    <row r="876" spans="1:1" x14ac:dyDescent="0.3">
      <c r="A876" s="1"/>
    </row>
    <row r="877" spans="1:1" x14ac:dyDescent="0.3">
      <c r="A877" s="1"/>
    </row>
    <row r="878" spans="1:1" x14ac:dyDescent="0.3">
      <c r="A878" s="1"/>
    </row>
    <row r="879" spans="1:1" x14ac:dyDescent="0.3">
      <c r="A879" s="1"/>
    </row>
    <row r="880" spans="1:1" x14ac:dyDescent="0.3">
      <c r="A880" s="1"/>
    </row>
    <row r="881" spans="1:1" x14ac:dyDescent="0.3">
      <c r="A881" s="1"/>
    </row>
    <row r="882" spans="1:1" x14ac:dyDescent="0.3">
      <c r="A882" s="1"/>
    </row>
    <row r="883" spans="1:1" x14ac:dyDescent="0.3">
      <c r="A883" s="1"/>
    </row>
    <row r="884" spans="1:1" x14ac:dyDescent="0.3">
      <c r="A884" s="1"/>
    </row>
    <row r="885" spans="1:1" x14ac:dyDescent="0.3">
      <c r="A885" s="1"/>
    </row>
    <row r="886" spans="1:1" x14ac:dyDescent="0.3">
      <c r="A886" s="1"/>
    </row>
    <row r="887" spans="1:1" x14ac:dyDescent="0.3">
      <c r="A887" s="1"/>
    </row>
    <row r="888" spans="1:1" x14ac:dyDescent="0.3">
      <c r="A888" s="1"/>
    </row>
    <row r="889" spans="1:1" x14ac:dyDescent="0.3">
      <c r="A889" s="1"/>
    </row>
    <row r="890" spans="1:1" x14ac:dyDescent="0.3">
      <c r="A890" s="1"/>
    </row>
    <row r="891" spans="1:1" x14ac:dyDescent="0.3">
      <c r="A891" s="1"/>
    </row>
    <row r="892" spans="1:1" x14ac:dyDescent="0.3">
      <c r="A892" s="1"/>
    </row>
    <row r="893" spans="1:1" x14ac:dyDescent="0.3">
      <c r="A893" s="1"/>
    </row>
    <row r="894" spans="1:1" x14ac:dyDescent="0.3">
      <c r="A894" s="1"/>
    </row>
    <row r="895" spans="1:1" x14ac:dyDescent="0.3">
      <c r="A895" s="1"/>
    </row>
    <row r="896" spans="1:1" x14ac:dyDescent="0.3">
      <c r="A896" s="1"/>
    </row>
    <row r="897" spans="1:1" x14ac:dyDescent="0.3">
      <c r="A897" s="1"/>
    </row>
    <row r="898" spans="1:1" x14ac:dyDescent="0.3">
      <c r="A898" s="1"/>
    </row>
    <row r="899" spans="1:1" x14ac:dyDescent="0.3">
      <c r="A899" s="1"/>
    </row>
    <row r="900" spans="1:1" x14ac:dyDescent="0.3">
      <c r="A900" s="1"/>
    </row>
    <row r="901" spans="1:1" x14ac:dyDescent="0.3">
      <c r="A901" s="1"/>
    </row>
    <row r="902" spans="1:1" x14ac:dyDescent="0.3">
      <c r="A902" s="1"/>
    </row>
    <row r="903" spans="1:1" x14ac:dyDescent="0.3">
      <c r="A903" s="1"/>
    </row>
    <row r="904" spans="1:1" x14ac:dyDescent="0.3">
      <c r="A904" s="1"/>
    </row>
    <row r="905" spans="1:1" x14ac:dyDescent="0.3">
      <c r="A905" s="1"/>
    </row>
    <row r="906" spans="1:1" x14ac:dyDescent="0.3">
      <c r="A906" s="1"/>
    </row>
    <row r="907" spans="1:1" x14ac:dyDescent="0.3">
      <c r="A907" s="1"/>
    </row>
    <row r="908" spans="1:1" x14ac:dyDescent="0.3">
      <c r="A908" s="1"/>
    </row>
    <row r="909" spans="1:1" x14ac:dyDescent="0.3">
      <c r="A909" s="1"/>
    </row>
    <row r="910" spans="1:1" x14ac:dyDescent="0.3">
      <c r="A910" s="1"/>
    </row>
    <row r="911" spans="1:1" x14ac:dyDescent="0.3">
      <c r="A911" s="1"/>
    </row>
    <row r="912" spans="1:1" x14ac:dyDescent="0.3">
      <c r="A912" s="1"/>
    </row>
    <row r="913" spans="1:1" x14ac:dyDescent="0.3">
      <c r="A913" s="1"/>
    </row>
    <row r="914" spans="1:1" x14ac:dyDescent="0.3">
      <c r="A914" s="1"/>
    </row>
    <row r="915" spans="1:1" x14ac:dyDescent="0.3">
      <c r="A915" s="1"/>
    </row>
    <row r="916" spans="1:1" x14ac:dyDescent="0.3">
      <c r="A916" s="1"/>
    </row>
    <row r="917" spans="1:1" x14ac:dyDescent="0.3">
      <c r="A917" s="1"/>
    </row>
    <row r="918" spans="1:1" x14ac:dyDescent="0.3">
      <c r="A918" s="1"/>
    </row>
    <row r="919" spans="1:1" x14ac:dyDescent="0.3">
      <c r="A919" s="1"/>
    </row>
    <row r="920" spans="1:1" x14ac:dyDescent="0.3">
      <c r="A920" s="1"/>
    </row>
    <row r="921" spans="1:1" x14ac:dyDescent="0.3">
      <c r="A921" s="1"/>
    </row>
    <row r="922" spans="1:1" x14ac:dyDescent="0.3">
      <c r="A922" s="1"/>
    </row>
    <row r="923" spans="1:1" x14ac:dyDescent="0.3">
      <c r="A923" s="1"/>
    </row>
    <row r="924" spans="1:1" x14ac:dyDescent="0.3">
      <c r="A924" s="1"/>
    </row>
    <row r="925" spans="1:1" x14ac:dyDescent="0.3">
      <c r="A925" s="1"/>
    </row>
    <row r="926" spans="1:1" x14ac:dyDescent="0.3">
      <c r="A926" s="1"/>
    </row>
    <row r="927" spans="1:1" x14ac:dyDescent="0.3">
      <c r="A927" s="1"/>
    </row>
    <row r="928" spans="1:1" x14ac:dyDescent="0.3">
      <c r="A928" s="1"/>
    </row>
    <row r="929" spans="1:1" x14ac:dyDescent="0.3">
      <c r="A929" s="1"/>
    </row>
    <row r="930" spans="1:1" x14ac:dyDescent="0.3">
      <c r="A930" s="1"/>
    </row>
    <row r="931" spans="1:1" x14ac:dyDescent="0.3">
      <c r="A931" s="1"/>
    </row>
    <row r="932" spans="1:1" x14ac:dyDescent="0.3">
      <c r="A932" s="1"/>
    </row>
    <row r="933" spans="1:1" x14ac:dyDescent="0.3">
      <c r="A933" s="1"/>
    </row>
    <row r="934" spans="1:1" x14ac:dyDescent="0.3">
      <c r="A934" s="1"/>
    </row>
    <row r="935" spans="1:1" x14ac:dyDescent="0.3">
      <c r="A935" s="1"/>
    </row>
    <row r="936" spans="1:1" x14ac:dyDescent="0.3">
      <c r="A936" s="1"/>
    </row>
    <row r="937" spans="1:1" x14ac:dyDescent="0.3">
      <c r="A937" s="1"/>
    </row>
    <row r="938" spans="1:1" x14ac:dyDescent="0.3">
      <c r="A938" s="1"/>
    </row>
    <row r="939" spans="1:1" x14ac:dyDescent="0.3">
      <c r="A939" s="1"/>
    </row>
    <row r="940" spans="1:1" x14ac:dyDescent="0.3">
      <c r="A940" s="1"/>
    </row>
    <row r="941" spans="1:1" x14ac:dyDescent="0.3">
      <c r="A941" s="1"/>
    </row>
    <row r="942" spans="1:1" x14ac:dyDescent="0.3">
      <c r="A942" s="1"/>
    </row>
    <row r="943" spans="1:1" x14ac:dyDescent="0.3">
      <c r="A943" s="1"/>
    </row>
    <row r="944" spans="1:1" x14ac:dyDescent="0.3">
      <c r="A944" s="1"/>
    </row>
    <row r="945" spans="1:1" x14ac:dyDescent="0.3">
      <c r="A945" s="1"/>
    </row>
    <row r="946" spans="1:1" x14ac:dyDescent="0.3">
      <c r="A946" s="1"/>
    </row>
    <row r="947" spans="1:1" x14ac:dyDescent="0.3">
      <c r="A947" s="1"/>
    </row>
    <row r="948" spans="1:1" x14ac:dyDescent="0.3">
      <c r="A948" s="1"/>
    </row>
    <row r="949" spans="1:1" x14ac:dyDescent="0.3">
      <c r="A949" s="1"/>
    </row>
    <row r="950" spans="1:1" x14ac:dyDescent="0.3">
      <c r="A950" s="1"/>
    </row>
    <row r="951" spans="1:1" x14ac:dyDescent="0.3">
      <c r="A951" s="1"/>
    </row>
    <row r="952" spans="1:1" x14ac:dyDescent="0.3">
      <c r="A952" s="1"/>
    </row>
    <row r="953" spans="1:1" x14ac:dyDescent="0.3">
      <c r="A953" s="1"/>
    </row>
    <row r="954" spans="1:1" x14ac:dyDescent="0.3">
      <c r="A954" s="1"/>
    </row>
    <row r="955" spans="1:1" x14ac:dyDescent="0.3">
      <c r="A955" s="1"/>
    </row>
    <row r="956" spans="1:1" x14ac:dyDescent="0.3">
      <c r="A956" s="1"/>
    </row>
    <row r="957" spans="1:1" x14ac:dyDescent="0.3">
      <c r="A957" s="1"/>
    </row>
    <row r="958" spans="1:1" x14ac:dyDescent="0.3">
      <c r="A958" s="1"/>
    </row>
    <row r="959" spans="1:1" x14ac:dyDescent="0.3">
      <c r="A959" s="1"/>
    </row>
    <row r="960" spans="1:1" x14ac:dyDescent="0.3">
      <c r="A960" s="1"/>
    </row>
    <row r="961" spans="1:1" x14ac:dyDescent="0.3">
      <c r="A961" s="1"/>
    </row>
    <row r="962" spans="1:1" x14ac:dyDescent="0.3">
      <c r="A962" s="1"/>
    </row>
    <row r="963" spans="1:1" x14ac:dyDescent="0.3">
      <c r="A963" s="1"/>
    </row>
    <row r="964" spans="1:1" x14ac:dyDescent="0.3">
      <c r="A964" s="1"/>
    </row>
    <row r="965" spans="1:1" x14ac:dyDescent="0.3">
      <c r="A965" s="1"/>
    </row>
    <row r="966" spans="1:1" x14ac:dyDescent="0.3">
      <c r="A966" s="1"/>
    </row>
    <row r="967" spans="1:1" x14ac:dyDescent="0.3">
      <c r="A967" s="1"/>
    </row>
    <row r="968" spans="1:1" x14ac:dyDescent="0.3">
      <c r="A968" s="1"/>
    </row>
    <row r="969" spans="1:1" x14ac:dyDescent="0.3">
      <c r="A969" s="1"/>
    </row>
    <row r="970" spans="1:1" x14ac:dyDescent="0.3">
      <c r="A970" s="1"/>
    </row>
    <row r="971" spans="1:1" x14ac:dyDescent="0.3">
      <c r="A971" s="1"/>
    </row>
    <row r="972" spans="1:1" x14ac:dyDescent="0.3">
      <c r="A972" s="1"/>
    </row>
    <row r="973" spans="1:1" x14ac:dyDescent="0.3">
      <c r="A973" s="1"/>
    </row>
    <row r="974" spans="1:1" x14ac:dyDescent="0.3">
      <c r="A974" s="1"/>
    </row>
    <row r="975" spans="1:1" x14ac:dyDescent="0.3">
      <c r="A975" s="1"/>
    </row>
    <row r="976" spans="1:1" x14ac:dyDescent="0.3">
      <c r="A976" s="1"/>
    </row>
    <row r="977" spans="1:1" x14ac:dyDescent="0.3">
      <c r="A977" s="1"/>
    </row>
    <row r="978" spans="1:1" x14ac:dyDescent="0.3">
      <c r="A978" s="1"/>
    </row>
    <row r="979" spans="1:1" x14ac:dyDescent="0.3">
      <c r="A979" s="1"/>
    </row>
    <row r="980" spans="1:1" x14ac:dyDescent="0.3">
      <c r="A980" s="1"/>
    </row>
    <row r="981" spans="1:1" x14ac:dyDescent="0.3">
      <c r="A981" s="1"/>
    </row>
    <row r="982" spans="1:1" x14ac:dyDescent="0.3">
      <c r="A982" s="1"/>
    </row>
    <row r="983" spans="1:1" x14ac:dyDescent="0.3">
      <c r="A983" s="1"/>
    </row>
    <row r="984" spans="1:1" x14ac:dyDescent="0.3">
      <c r="A984" s="1"/>
    </row>
    <row r="985" spans="1:1" x14ac:dyDescent="0.3">
      <c r="A985" s="1"/>
    </row>
    <row r="986" spans="1:1" x14ac:dyDescent="0.3">
      <c r="A986" s="1"/>
    </row>
    <row r="987" spans="1:1" x14ac:dyDescent="0.3">
      <c r="A987" s="1"/>
    </row>
    <row r="988" spans="1:1" x14ac:dyDescent="0.3">
      <c r="A988" s="1"/>
    </row>
    <row r="989" spans="1:1" x14ac:dyDescent="0.3">
      <c r="A989" s="1"/>
    </row>
    <row r="990" spans="1:1" x14ac:dyDescent="0.3">
      <c r="A990" s="1"/>
    </row>
    <row r="991" spans="1:1" x14ac:dyDescent="0.3">
      <c r="A991" s="1"/>
    </row>
    <row r="992" spans="1:1" x14ac:dyDescent="0.3">
      <c r="A992" s="1"/>
    </row>
    <row r="993" spans="1:1" x14ac:dyDescent="0.3">
      <c r="A993" s="1"/>
    </row>
    <row r="994" spans="1:1" x14ac:dyDescent="0.3">
      <c r="A994" s="1"/>
    </row>
    <row r="995" spans="1:1" x14ac:dyDescent="0.3">
      <c r="A995" s="1"/>
    </row>
    <row r="996" spans="1:1" x14ac:dyDescent="0.3">
      <c r="A996" s="1"/>
    </row>
    <row r="997" spans="1:1" x14ac:dyDescent="0.3">
      <c r="A997" s="1"/>
    </row>
    <row r="998" spans="1:1" x14ac:dyDescent="0.3">
      <c r="A998" s="1"/>
    </row>
    <row r="999" spans="1:1" x14ac:dyDescent="0.3">
      <c r="A999" s="1"/>
    </row>
    <row r="1000" spans="1:1" x14ac:dyDescent="0.3">
      <c r="A1000" s="1"/>
    </row>
    <row r="1001" spans="1:1" x14ac:dyDescent="0.3">
      <c r="A1001" s="1"/>
    </row>
    <row r="1002" spans="1:1" x14ac:dyDescent="0.3">
      <c r="A1002" s="1"/>
    </row>
    <row r="1003" spans="1:1" x14ac:dyDescent="0.3">
      <c r="A1003" s="1"/>
    </row>
    <row r="1004" spans="1:1" x14ac:dyDescent="0.3">
      <c r="A1004" s="1"/>
    </row>
    <row r="1005" spans="1:1" x14ac:dyDescent="0.3">
      <c r="A1005" s="1"/>
    </row>
    <row r="1006" spans="1:1" x14ac:dyDescent="0.3">
      <c r="A1006" s="1"/>
    </row>
    <row r="1007" spans="1:1" x14ac:dyDescent="0.3">
      <c r="A1007" s="1"/>
    </row>
    <row r="1008" spans="1:1" x14ac:dyDescent="0.3">
      <c r="A1008" s="1"/>
    </row>
    <row r="1009" spans="1:1" x14ac:dyDescent="0.3">
      <c r="A1009" s="1"/>
    </row>
    <row r="1010" spans="1:1" x14ac:dyDescent="0.3">
      <c r="A1010" s="1"/>
    </row>
    <row r="1011" spans="1:1" x14ac:dyDescent="0.3">
      <c r="A1011" s="1"/>
    </row>
    <row r="1012" spans="1:1" x14ac:dyDescent="0.3">
      <c r="A1012" s="1"/>
    </row>
    <row r="1013" spans="1:1" x14ac:dyDescent="0.3">
      <c r="A1013" s="1"/>
    </row>
    <row r="1014" spans="1:1" x14ac:dyDescent="0.3">
      <c r="A1014" s="1"/>
    </row>
    <row r="1015" spans="1:1" x14ac:dyDescent="0.3">
      <c r="A1015" s="1"/>
    </row>
    <row r="1016" spans="1:1" x14ac:dyDescent="0.3">
      <c r="A1016" s="1"/>
    </row>
    <row r="1017" spans="1:1" x14ac:dyDescent="0.3">
      <c r="A1017" s="1"/>
    </row>
    <row r="1018" spans="1:1" x14ac:dyDescent="0.3">
      <c r="A1018" s="1"/>
    </row>
    <row r="1019" spans="1:1" x14ac:dyDescent="0.3">
      <c r="A1019" s="1"/>
    </row>
    <row r="1020" spans="1:1" x14ac:dyDescent="0.3">
      <c r="A1020" s="1"/>
    </row>
    <row r="1021" spans="1:1" x14ac:dyDescent="0.3">
      <c r="A1021" s="1"/>
    </row>
    <row r="1022" spans="1:1" x14ac:dyDescent="0.3">
      <c r="A1022" s="1"/>
    </row>
    <row r="1023" spans="1:1" x14ac:dyDescent="0.3">
      <c r="A1023" s="1"/>
    </row>
    <row r="1024" spans="1:1" x14ac:dyDescent="0.3">
      <c r="A1024" s="1"/>
    </row>
    <row r="1025" spans="1:1" x14ac:dyDescent="0.3">
      <c r="A1025" s="1"/>
    </row>
    <row r="1026" spans="1:1" x14ac:dyDescent="0.3">
      <c r="A1026" s="1"/>
    </row>
    <row r="1027" spans="1:1" x14ac:dyDescent="0.3">
      <c r="A1027" s="1"/>
    </row>
    <row r="1028" spans="1:1" x14ac:dyDescent="0.3">
      <c r="A1028" s="1"/>
    </row>
    <row r="1029" spans="1:1" x14ac:dyDescent="0.3">
      <c r="A1029" s="1"/>
    </row>
    <row r="1030" spans="1:1" x14ac:dyDescent="0.3">
      <c r="A1030" s="1"/>
    </row>
    <row r="1031" spans="1:1" x14ac:dyDescent="0.3">
      <c r="A1031" s="1"/>
    </row>
    <row r="1032" spans="1:1" x14ac:dyDescent="0.3">
      <c r="A1032" s="1"/>
    </row>
    <row r="1033" spans="1:1" x14ac:dyDescent="0.3">
      <c r="A1033" s="1"/>
    </row>
    <row r="1034" spans="1:1" x14ac:dyDescent="0.3">
      <c r="A1034" s="1"/>
    </row>
    <row r="1035" spans="1:1" x14ac:dyDescent="0.3">
      <c r="A1035" s="1"/>
    </row>
    <row r="1036" spans="1:1" x14ac:dyDescent="0.3">
      <c r="A1036" s="1"/>
    </row>
    <row r="1037" spans="1:1" x14ac:dyDescent="0.3">
      <c r="A1037" s="1"/>
    </row>
    <row r="1038" spans="1:1" x14ac:dyDescent="0.3">
      <c r="A1038" s="1"/>
    </row>
    <row r="1039" spans="1:1" x14ac:dyDescent="0.3">
      <c r="A1039" s="1"/>
    </row>
    <row r="1040" spans="1:1" x14ac:dyDescent="0.3">
      <c r="A1040" s="1"/>
    </row>
    <row r="1041" spans="1:1" x14ac:dyDescent="0.3">
      <c r="A1041" s="1"/>
    </row>
    <row r="1042" spans="1:1" x14ac:dyDescent="0.3">
      <c r="A1042" s="1"/>
    </row>
    <row r="1043" spans="1:1" x14ac:dyDescent="0.3">
      <c r="A1043" s="1"/>
    </row>
    <row r="1044" spans="1:1" x14ac:dyDescent="0.3">
      <c r="A1044" s="1"/>
    </row>
    <row r="1045" spans="1:1" x14ac:dyDescent="0.3">
      <c r="A1045" s="1"/>
    </row>
    <row r="1046" spans="1:1" x14ac:dyDescent="0.3">
      <c r="A1046" s="1"/>
    </row>
    <row r="1047" spans="1:1" x14ac:dyDescent="0.3">
      <c r="A1047" s="1"/>
    </row>
    <row r="1048" spans="1:1" x14ac:dyDescent="0.3">
      <c r="A1048" s="1"/>
    </row>
    <row r="1049" spans="1:1" x14ac:dyDescent="0.3">
      <c r="A1049" s="1"/>
    </row>
    <row r="1050" spans="1:1" x14ac:dyDescent="0.3">
      <c r="A1050" s="1"/>
    </row>
    <row r="1051" spans="1:1" x14ac:dyDescent="0.3">
      <c r="A1051" s="1"/>
    </row>
    <row r="1052" spans="1:1" x14ac:dyDescent="0.3">
      <c r="A1052" s="1"/>
    </row>
    <row r="1053" spans="1:1" x14ac:dyDescent="0.3">
      <c r="A1053" s="1"/>
    </row>
    <row r="1054" spans="1:1" x14ac:dyDescent="0.3">
      <c r="A1054" s="1"/>
    </row>
    <row r="1055" spans="1:1" x14ac:dyDescent="0.3">
      <c r="A1055" s="1"/>
    </row>
    <row r="1056" spans="1:1" x14ac:dyDescent="0.3">
      <c r="A1056" s="1"/>
    </row>
    <row r="1057" spans="1:1" x14ac:dyDescent="0.3">
      <c r="A1057" s="1"/>
    </row>
    <row r="1058" spans="1:1" x14ac:dyDescent="0.3">
      <c r="A1058" s="1"/>
    </row>
    <row r="1059" spans="1:1" x14ac:dyDescent="0.3">
      <c r="A1059" s="1"/>
    </row>
    <row r="1060" spans="1:1" x14ac:dyDescent="0.3">
      <c r="A1060" s="1"/>
    </row>
    <row r="1061" spans="1:1" x14ac:dyDescent="0.3">
      <c r="A1061" s="1"/>
    </row>
    <row r="1062" spans="1:1" x14ac:dyDescent="0.3">
      <c r="A1062" s="1"/>
    </row>
    <row r="1063" spans="1:1" x14ac:dyDescent="0.3">
      <c r="A1063" s="1"/>
    </row>
    <row r="1064" spans="1:1" x14ac:dyDescent="0.3">
      <c r="A1064" s="1"/>
    </row>
    <row r="1065" spans="1:1" x14ac:dyDescent="0.3">
      <c r="A1065" s="1"/>
    </row>
    <row r="1066" spans="1:1" x14ac:dyDescent="0.3">
      <c r="A1066" s="1"/>
    </row>
    <row r="1067" spans="1:1" x14ac:dyDescent="0.3">
      <c r="A1067" s="1"/>
    </row>
    <row r="1068" spans="1:1" x14ac:dyDescent="0.3">
      <c r="A1068" s="1"/>
    </row>
    <row r="1069" spans="1:1" x14ac:dyDescent="0.3">
      <c r="A1069" s="1"/>
    </row>
    <row r="1070" spans="1:1" x14ac:dyDescent="0.3">
      <c r="A1070" s="1"/>
    </row>
    <row r="1071" spans="1:1" x14ac:dyDescent="0.3">
      <c r="A1071" s="1"/>
    </row>
    <row r="1072" spans="1:1" x14ac:dyDescent="0.3">
      <c r="A1072" s="1"/>
    </row>
    <row r="1073" spans="1:1" x14ac:dyDescent="0.3">
      <c r="A1073" s="1"/>
    </row>
    <row r="1074" spans="1:1" x14ac:dyDescent="0.3">
      <c r="A1074" s="1"/>
    </row>
    <row r="1075" spans="1:1" x14ac:dyDescent="0.3">
      <c r="A1075" s="1"/>
    </row>
    <row r="1076" spans="1:1" x14ac:dyDescent="0.3">
      <c r="A1076" s="1"/>
    </row>
    <row r="1077" spans="1:1" x14ac:dyDescent="0.3">
      <c r="A1077" s="1"/>
    </row>
    <row r="1078" spans="1:1" x14ac:dyDescent="0.3">
      <c r="A1078" s="1"/>
    </row>
    <row r="1079" spans="1:1" x14ac:dyDescent="0.3">
      <c r="A1079" s="1"/>
    </row>
    <row r="1080" spans="1:1" x14ac:dyDescent="0.3">
      <c r="A1080" s="1"/>
    </row>
    <row r="1081" spans="1:1" x14ac:dyDescent="0.3">
      <c r="A1081" s="1"/>
    </row>
    <row r="1082" spans="1:1" x14ac:dyDescent="0.3">
      <c r="A1082" s="1"/>
    </row>
    <row r="1083" spans="1:1" x14ac:dyDescent="0.3">
      <c r="A1083" s="1"/>
    </row>
    <row r="1084" spans="1:1" x14ac:dyDescent="0.3">
      <c r="A1084" s="1"/>
    </row>
    <row r="1085" spans="1:1" x14ac:dyDescent="0.3">
      <c r="A1085" s="1"/>
    </row>
    <row r="1086" spans="1:1" x14ac:dyDescent="0.3">
      <c r="A1086" s="1"/>
    </row>
    <row r="1087" spans="1:1" x14ac:dyDescent="0.3">
      <c r="A1087" s="1"/>
    </row>
    <row r="1088" spans="1:1" x14ac:dyDescent="0.3">
      <c r="A1088" s="1"/>
    </row>
    <row r="1089" spans="1:1" x14ac:dyDescent="0.3">
      <c r="A1089" s="1"/>
    </row>
    <row r="1090" spans="1:1" x14ac:dyDescent="0.3">
      <c r="A1090" s="1"/>
    </row>
    <row r="1091" spans="1:1" x14ac:dyDescent="0.3">
      <c r="A1091" s="1"/>
    </row>
    <row r="1092" spans="1:1" x14ac:dyDescent="0.3">
      <c r="A1092" s="1"/>
    </row>
    <row r="1093" spans="1:1" x14ac:dyDescent="0.3">
      <c r="A1093" s="1"/>
    </row>
    <row r="1094" spans="1:1" x14ac:dyDescent="0.3">
      <c r="A1094" s="1"/>
    </row>
    <row r="1095" spans="1:1" x14ac:dyDescent="0.3">
      <c r="A1095" s="1"/>
    </row>
    <row r="1096" spans="1:1" x14ac:dyDescent="0.3">
      <c r="A1096" s="1"/>
    </row>
    <row r="1097" spans="1:1" x14ac:dyDescent="0.3">
      <c r="A1097" s="1"/>
    </row>
    <row r="1098" spans="1:1" x14ac:dyDescent="0.3">
      <c r="A1098" s="1"/>
    </row>
    <row r="1099" spans="1:1" x14ac:dyDescent="0.3">
      <c r="A1099" s="1"/>
    </row>
    <row r="1100" spans="1:1" x14ac:dyDescent="0.3">
      <c r="A1100" s="1"/>
    </row>
    <row r="1101" spans="1:1" x14ac:dyDescent="0.3">
      <c r="A1101" s="1"/>
    </row>
    <row r="1102" spans="1:1" x14ac:dyDescent="0.3">
      <c r="A1102" s="1"/>
    </row>
    <row r="1103" spans="1:1" x14ac:dyDescent="0.3">
      <c r="A1103" s="1"/>
    </row>
    <row r="1104" spans="1:1" x14ac:dyDescent="0.3">
      <c r="A1104" s="1"/>
    </row>
    <row r="1105" spans="1:1" x14ac:dyDescent="0.3">
      <c r="A1105" s="1"/>
    </row>
    <row r="1106" spans="1:1" x14ac:dyDescent="0.3">
      <c r="A1106" s="1"/>
    </row>
    <row r="1107" spans="1:1" x14ac:dyDescent="0.3">
      <c r="A1107" s="1"/>
    </row>
    <row r="1108" spans="1:1" x14ac:dyDescent="0.3">
      <c r="A1108" s="1"/>
    </row>
    <row r="1109" spans="1:1" x14ac:dyDescent="0.3">
      <c r="A1109" s="1"/>
    </row>
    <row r="1110" spans="1:1" x14ac:dyDescent="0.3">
      <c r="A1110" s="1"/>
    </row>
    <row r="1111" spans="1:1" x14ac:dyDescent="0.3">
      <c r="A1111" s="1"/>
    </row>
    <row r="1112" spans="1:1" x14ac:dyDescent="0.3">
      <c r="A1112" s="1"/>
    </row>
    <row r="1113" spans="1:1" x14ac:dyDescent="0.3">
      <c r="A1113" s="1"/>
    </row>
    <row r="1114" spans="1:1" x14ac:dyDescent="0.3">
      <c r="A1114" s="1"/>
    </row>
    <row r="1115" spans="1:1" x14ac:dyDescent="0.3">
      <c r="A1115" s="1"/>
    </row>
    <row r="1116" spans="1:1" x14ac:dyDescent="0.3">
      <c r="A1116" s="1"/>
    </row>
    <row r="1117" spans="1:1" x14ac:dyDescent="0.3">
      <c r="A1117" s="1"/>
    </row>
    <row r="1118" spans="1:1" x14ac:dyDescent="0.3">
      <c r="A1118" s="1"/>
    </row>
    <row r="1119" spans="1:1" x14ac:dyDescent="0.3">
      <c r="A1119" s="1"/>
    </row>
    <row r="1120" spans="1:1" x14ac:dyDescent="0.3">
      <c r="A1120" s="1"/>
    </row>
    <row r="1121" spans="1:1" x14ac:dyDescent="0.3">
      <c r="A1121" s="1"/>
    </row>
    <row r="1122" spans="1:1" x14ac:dyDescent="0.3">
      <c r="A1122" s="1"/>
    </row>
    <row r="1123" spans="1:1" x14ac:dyDescent="0.3">
      <c r="A1123" s="1"/>
    </row>
    <row r="1124" spans="1:1" x14ac:dyDescent="0.3">
      <c r="A1124" s="1"/>
    </row>
    <row r="1125" spans="1:1" x14ac:dyDescent="0.3">
      <c r="A1125" s="1"/>
    </row>
    <row r="1126" spans="1:1" x14ac:dyDescent="0.3">
      <c r="A1126" s="1"/>
    </row>
    <row r="1127" spans="1:1" x14ac:dyDescent="0.3">
      <c r="A1127" s="1"/>
    </row>
    <row r="1128" spans="1:1" x14ac:dyDescent="0.3">
      <c r="A1128" s="1"/>
    </row>
    <row r="1129" spans="1:1" x14ac:dyDescent="0.3">
      <c r="A1129" s="1"/>
    </row>
    <row r="1130" spans="1:1" x14ac:dyDescent="0.3">
      <c r="A1130" s="1"/>
    </row>
    <row r="1131" spans="1:1" x14ac:dyDescent="0.3">
      <c r="A1131" s="1"/>
    </row>
    <row r="1132" spans="1:1" x14ac:dyDescent="0.3">
      <c r="A1132" s="1"/>
    </row>
    <row r="1133" spans="1:1" x14ac:dyDescent="0.3">
      <c r="A1133" s="1"/>
    </row>
    <row r="1134" spans="1:1" x14ac:dyDescent="0.3">
      <c r="A1134" s="1"/>
    </row>
    <row r="1135" spans="1:1" x14ac:dyDescent="0.3">
      <c r="A1135" s="1"/>
    </row>
    <row r="1136" spans="1:1" x14ac:dyDescent="0.3">
      <c r="A1136" s="1"/>
    </row>
    <row r="1137" spans="1:1" x14ac:dyDescent="0.3">
      <c r="A1137" s="1"/>
    </row>
    <row r="1138" spans="1:1" x14ac:dyDescent="0.3">
      <c r="A1138" s="1"/>
    </row>
    <row r="1139" spans="1:1" x14ac:dyDescent="0.3">
      <c r="A1139" s="1"/>
    </row>
    <row r="1140" spans="1:1" x14ac:dyDescent="0.3">
      <c r="A1140" s="1"/>
    </row>
    <row r="1141" spans="1:1" x14ac:dyDescent="0.3">
      <c r="A1141" s="1"/>
    </row>
    <row r="1142" spans="1:1" x14ac:dyDescent="0.3">
      <c r="A1142" s="1"/>
    </row>
    <row r="1143" spans="1:1" x14ac:dyDescent="0.3">
      <c r="A1143" s="1"/>
    </row>
    <row r="1144" spans="1:1" x14ac:dyDescent="0.3">
      <c r="A1144" s="1"/>
    </row>
    <row r="1145" spans="1:1" x14ac:dyDescent="0.3">
      <c r="A1145" s="1"/>
    </row>
    <row r="1146" spans="1:1" x14ac:dyDescent="0.3">
      <c r="A1146" s="1"/>
    </row>
    <row r="1147" spans="1:1" x14ac:dyDescent="0.3">
      <c r="A1147" s="1"/>
    </row>
    <row r="1148" spans="1:1" x14ac:dyDescent="0.3">
      <c r="A1148" s="1"/>
    </row>
    <row r="1149" spans="1:1" x14ac:dyDescent="0.3">
      <c r="A1149" s="1"/>
    </row>
    <row r="1150" spans="1:1" x14ac:dyDescent="0.3">
      <c r="A1150" s="1"/>
    </row>
    <row r="1151" spans="1:1" x14ac:dyDescent="0.3">
      <c r="A1151" s="1"/>
    </row>
    <row r="1152" spans="1:1" x14ac:dyDescent="0.3">
      <c r="A1152" s="1"/>
    </row>
    <row r="1153" spans="1:1" x14ac:dyDescent="0.3">
      <c r="A1153" s="1"/>
    </row>
    <row r="1154" spans="1:1" x14ac:dyDescent="0.3">
      <c r="A1154" s="1"/>
    </row>
    <row r="1155" spans="1:1" x14ac:dyDescent="0.3">
      <c r="A1155" s="1"/>
    </row>
    <row r="1156" spans="1:1" x14ac:dyDescent="0.3">
      <c r="A1156" s="1"/>
    </row>
    <row r="1157" spans="1:1" x14ac:dyDescent="0.3">
      <c r="A1157" s="1"/>
    </row>
    <row r="1158" spans="1:1" x14ac:dyDescent="0.3">
      <c r="A1158" s="1"/>
    </row>
    <row r="1159" spans="1:1" x14ac:dyDescent="0.3">
      <c r="A1159" s="1"/>
    </row>
    <row r="1160" spans="1:1" x14ac:dyDescent="0.3">
      <c r="A1160" s="1"/>
    </row>
    <row r="1161" spans="1:1" x14ac:dyDescent="0.3">
      <c r="A1161" s="1"/>
    </row>
    <row r="1162" spans="1:1" x14ac:dyDescent="0.3">
      <c r="A1162" s="1"/>
    </row>
    <row r="1163" spans="1:1" x14ac:dyDescent="0.3">
      <c r="A1163" s="1"/>
    </row>
    <row r="1164" spans="1:1" x14ac:dyDescent="0.3">
      <c r="A1164" s="1"/>
    </row>
    <row r="1165" spans="1:1" x14ac:dyDescent="0.3">
      <c r="A1165" s="1"/>
    </row>
    <row r="1166" spans="1:1" x14ac:dyDescent="0.3">
      <c r="A1166" s="1"/>
    </row>
    <row r="1167" spans="1:1" x14ac:dyDescent="0.3">
      <c r="A1167" s="1"/>
    </row>
    <row r="1168" spans="1:1" x14ac:dyDescent="0.3">
      <c r="A1168" s="1"/>
    </row>
    <row r="1169" spans="1:1" x14ac:dyDescent="0.3">
      <c r="A1169" s="1"/>
    </row>
    <row r="1170" spans="1:1" x14ac:dyDescent="0.3">
      <c r="A1170" s="1"/>
    </row>
    <row r="1171" spans="1:1" x14ac:dyDescent="0.3">
      <c r="A1171" s="1"/>
    </row>
    <row r="1172" spans="1:1" x14ac:dyDescent="0.3">
      <c r="A1172" s="1"/>
    </row>
    <row r="1173" spans="1:1" x14ac:dyDescent="0.3">
      <c r="A1173" s="1"/>
    </row>
    <row r="1174" spans="1:1" x14ac:dyDescent="0.3">
      <c r="A1174" s="1"/>
    </row>
    <row r="1175" spans="1:1" x14ac:dyDescent="0.3">
      <c r="A1175" s="1"/>
    </row>
    <row r="1176" spans="1:1" x14ac:dyDescent="0.3">
      <c r="A1176" s="1"/>
    </row>
    <row r="1177" spans="1:1" x14ac:dyDescent="0.3">
      <c r="A1177" s="1"/>
    </row>
    <row r="1178" spans="1:1" x14ac:dyDescent="0.3">
      <c r="A1178" s="1"/>
    </row>
    <row r="1179" spans="1:1" x14ac:dyDescent="0.3">
      <c r="A1179" s="1"/>
    </row>
    <row r="1180" spans="1:1" x14ac:dyDescent="0.3">
      <c r="A1180" s="1"/>
    </row>
    <row r="1181" spans="1:1" x14ac:dyDescent="0.3">
      <c r="A1181" s="1"/>
    </row>
    <row r="1182" spans="1:1" x14ac:dyDescent="0.3">
      <c r="A1182" s="1"/>
    </row>
    <row r="1183" spans="1:1" x14ac:dyDescent="0.3">
      <c r="A1183" s="1"/>
    </row>
    <row r="1184" spans="1:1" x14ac:dyDescent="0.3">
      <c r="A1184" s="1"/>
    </row>
    <row r="1185" spans="1:1" x14ac:dyDescent="0.3">
      <c r="A1185" s="1"/>
    </row>
    <row r="1186" spans="1:1" x14ac:dyDescent="0.3">
      <c r="A1186" s="1"/>
    </row>
    <row r="1187" spans="1:1" x14ac:dyDescent="0.3">
      <c r="A1187" s="1"/>
    </row>
    <row r="1188" spans="1:1" x14ac:dyDescent="0.3">
      <c r="A1188" s="1"/>
    </row>
    <row r="1189" spans="1:1" x14ac:dyDescent="0.3">
      <c r="A1189" s="1"/>
    </row>
    <row r="1190" spans="1:1" x14ac:dyDescent="0.3">
      <c r="A1190" s="1"/>
    </row>
    <row r="1191" spans="1:1" x14ac:dyDescent="0.3">
      <c r="A1191" s="1"/>
    </row>
    <row r="1192" spans="1:1" x14ac:dyDescent="0.3">
      <c r="A1192" s="1"/>
    </row>
    <row r="1193" spans="1:1" x14ac:dyDescent="0.3">
      <c r="A1193" s="1"/>
    </row>
    <row r="1194" spans="1:1" x14ac:dyDescent="0.3">
      <c r="A1194" s="1"/>
    </row>
    <row r="1195" spans="1:1" x14ac:dyDescent="0.3">
      <c r="A1195" s="1"/>
    </row>
    <row r="1196" spans="1:1" x14ac:dyDescent="0.3">
      <c r="A1196" s="1"/>
    </row>
    <row r="1197" spans="1:1" x14ac:dyDescent="0.3">
      <c r="A1197" s="1"/>
    </row>
    <row r="1198" spans="1:1" x14ac:dyDescent="0.3">
      <c r="A1198" s="1"/>
    </row>
    <row r="1199" spans="1:1" x14ac:dyDescent="0.3">
      <c r="A1199" s="1"/>
    </row>
    <row r="1200" spans="1:1" x14ac:dyDescent="0.3">
      <c r="A1200" s="1"/>
    </row>
    <row r="1201" spans="1:1" x14ac:dyDescent="0.3">
      <c r="A1201" s="1"/>
    </row>
    <row r="1202" spans="1:1" x14ac:dyDescent="0.3">
      <c r="A1202" s="1"/>
    </row>
    <row r="1203" spans="1:1" x14ac:dyDescent="0.3">
      <c r="A1203" s="1"/>
    </row>
    <row r="1204" spans="1:1" x14ac:dyDescent="0.3">
      <c r="A1204" s="1"/>
    </row>
    <row r="1205" spans="1:1" x14ac:dyDescent="0.3">
      <c r="A1205" s="1"/>
    </row>
    <row r="1206" spans="1:1" x14ac:dyDescent="0.3">
      <c r="A1206" s="1"/>
    </row>
    <row r="1207" spans="1:1" x14ac:dyDescent="0.3">
      <c r="A1207" s="1"/>
    </row>
    <row r="1208" spans="1:1" x14ac:dyDescent="0.3">
      <c r="A1208" s="1"/>
    </row>
    <row r="1209" spans="1:1" x14ac:dyDescent="0.3">
      <c r="A1209" s="1"/>
    </row>
    <row r="1210" spans="1:1" x14ac:dyDescent="0.3">
      <c r="A1210" s="1"/>
    </row>
    <row r="1211" spans="1:1" x14ac:dyDescent="0.3">
      <c r="A1211" s="1"/>
    </row>
    <row r="1212" spans="1:1" x14ac:dyDescent="0.3">
      <c r="A1212" s="1"/>
    </row>
    <row r="1213" spans="1:1" x14ac:dyDescent="0.3">
      <c r="A1213" s="1"/>
    </row>
    <row r="1214" spans="1:1" x14ac:dyDescent="0.3">
      <c r="A1214" s="1"/>
    </row>
    <row r="1215" spans="1:1" x14ac:dyDescent="0.3">
      <c r="A1215" s="1"/>
    </row>
    <row r="1216" spans="1:1" x14ac:dyDescent="0.3">
      <c r="A1216" s="1"/>
    </row>
    <row r="1217" spans="1:1" x14ac:dyDescent="0.3">
      <c r="A1217" s="1"/>
    </row>
    <row r="1218" spans="1:1" x14ac:dyDescent="0.3">
      <c r="A1218" s="1"/>
    </row>
    <row r="1219" spans="1:1" x14ac:dyDescent="0.3">
      <c r="A1219" s="1"/>
    </row>
    <row r="1220" spans="1:1" x14ac:dyDescent="0.3">
      <c r="A1220" s="1"/>
    </row>
    <row r="1221" spans="1:1" x14ac:dyDescent="0.3">
      <c r="A1221" s="1"/>
    </row>
    <row r="1222" spans="1:1" x14ac:dyDescent="0.3">
      <c r="A1222" s="1"/>
    </row>
    <row r="1223" spans="1:1" x14ac:dyDescent="0.3">
      <c r="A1223" s="1"/>
    </row>
    <row r="1224" spans="1:1" x14ac:dyDescent="0.3">
      <c r="A1224" s="1"/>
    </row>
    <row r="1225" spans="1:1" x14ac:dyDescent="0.3">
      <c r="A1225" s="1"/>
    </row>
    <row r="1226" spans="1:1" x14ac:dyDescent="0.3">
      <c r="A1226" s="1"/>
    </row>
    <row r="1227" spans="1:1" x14ac:dyDescent="0.3">
      <c r="A1227" s="1"/>
    </row>
    <row r="1228" spans="1:1" x14ac:dyDescent="0.3">
      <c r="A1228" s="1"/>
    </row>
    <row r="1229" spans="1:1" x14ac:dyDescent="0.3">
      <c r="A1229" s="1"/>
    </row>
    <row r="1230" spans="1:1" x14ac:dyDescent="0.3">
      <c r="A1230" s="1"/>
    </row>
    <row r="1231" spans="1:1" x14ac:dyDescent="0.3">
      <c r="A1231" s="1"/>
    </row>
    <row r="1232" spans="1:1" x14ac:dyDescent="0.3">
      <c r="A1232" s="1"/>
    </row>
    <row r="1233" spans="1:1" x14ac:dyDescent="0.3">
      <c r="A1233" s="1"/>
    </row>
    <row r="1234" spans="1:1" x14ac:dyDescent="0.3">
      <c r="A1234" s="1"/>
    </row>
    <row r="1235" spans="1:1" x14ac:dyDescent="0.3">
      <c r="A1235" s="1"/>
    </row>
    <row r="1236" spans="1:1" x14ac:dyDescent="0.3">
      <c r="A1236" s="1"/>
    </row>
    <row r="1237" spans="1:1" x14ac:dyDescent="0.3">
      <c r="A1237" s="1"/>
    </row>
    <row r="1238" spans="1:1" x14ac:dyDescent="0.3">
      <c r="A1238" s="1"/>
    </row>
    <row r="1239" spans="1:1" x14ac:dyDescent="0.3">
      <c r="A1239" s="1"/>
    </row>
    <row r="1240" spans="1:1" x14ac:dyDescent="0.3">
      <c r="A1240" s="1"/>
    </row>
    <row r="1241" spans="1:1" x14ac:dyDescent="0.3">
      <c r="A1241" s="1"/>
    </row>
    <row r="1242" spans="1:1" x14ac:dyDescent="0.3">
      <c r="A1242" s="1"/>
    </row>
    <row r="1243" spans="1:1" x14ac:dyDescent="0.3">
      <c r="A1243" s="1"/>
    </row>
    <row r="1244" spans="1:1" x14ac:dyDescent="0.3">
      <c r="A1244" s="1"/>
    </row>
    <row r="1245" spans="1:1" x14ac:dyDescent="0.3">
      <c r="A1245" s="1"/>
    </row>
    <row r="1246" spans="1:1" x14ac:dyDescent="0.3">
      <c r="A1246" s="1"/>
    </row>
    <row r="1247" spans="1:1" x14ac:dyDescent="0.3">
      <c r="A1247" s="1"/>
    </row>
    <row r="1248" spans="1:1"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row r="2270" spans="1:1" x14ac:dyDescent="0.3">
      <c r="A2270" s="1"/>
    </row>
    <row r="2271" spans="1:1" x14ac:dyDescent="0.3">
      <c r="A2271" s="1"/>
    </row>
    <row r="2272" spans="1:1" x14ac:dyDescent="0.3">
      <c r="A2272" s="1"/>
    </row>
    <row r="2273" spans="1:1" x14ac:dyDescent="0.3">
      <c r="A2273" s="1"/>
    </row>
    <row r="2274" spans="1:1" x14ac:dyDescent="0.3">
      <c r="A2274" s="1"/>
    </row>
    <row r="2275" spans="1:1" x14ac:dyDescent="0.3">
      <c r="A2275" s="1"/>
    </row>
    <row r="2276" spans="1:1" x14ac:dyDescent="0.3">
      <c r="A2276" s="1"/>
    </row>
    <row r="2277" spans="1:1" x14ac:dyDescent="0.3">
      <c r="A2277" s="1"/>
    </row>
    <row r="2278" spans="1:1" x14ac:dyDescent="0.3">
      <c r="A2278" s="1"/>
    </row>
    <row r="2279" spans="1:1" x14ac:dyDescent="0.3">
      <c r="A2279" s="1"/>
    </row>
    <row r="2280" spans="1:1" x14ac:dyDescent="0.3">
      <c r="A2280" s="1"/>
    </row>
    <row r="2281" spans="1:1" x14ac:dyDescent="0.3">
      <c r="A2281" s="1"/>
    </row>
    <row r="2282" spans="1:1" x14ac:dyDescent="0.3">
      <c r="A2282" s="1"/>
    </row>
    <row r="2283" spans="1:1" x14ac:dyDescent="0.3">
      <c r="A2283" s="1"/>
    </row>
    <row r="2284" spans="1:1" x14ac:dyDescent="0.3">
      <c r="A2284" s="1"/>
    </row>
    <row r="2285" spans="1:1" x14ac:dyDescent="0.3">
      <c r="A2285" s="1"/>
    </row>
    <row r="2286" spans="1:1" x14ac:dyDescent="0.3">
      <c r="A2286" s="1"/>
    </row>
    <row r="2287" spans="1:1" x14ac:dyDescent="0.3">
      <c r="A2287" s="1"/>
    </row>
    <row r="2288" spans="1:1" x14ac:dyDescent="0.3">
      <c r="A2288" s="1"/>
    </row>
    <row r="2289" spans="1:1" x14ac:dyDescent="0.3">
      <c r="A2289" s="1"/>
    </row>
    <row r="2290" spans="1:1" x14ac:dyDescent="0.3">
      <c r="A2290" s="1"/>
    </row>
    <row r="2291" spans="1:1" x14ac:dyDescent="0.3">
      <c r="A2291" s="1"/>
    </row>
    <row r="2292" spans="1:1" x14ac:dyDescent="0.3">
      <c r="A2292" s="1"/>
    </row>
    <row r="2293" spans="1:1" x14ac:dyDescent="0.3">
      <c r="A2293" s="1"/>
    </row>
    <row r="2294" spans="1:1" x14ac:dyDescent="0.3">
      <c r="A2294" s="1"/>
    </row>
    <row r="2295" spans="1:1" x14ac:dyDescent="0.3">
      <c r="A2295" s="1"/>
    </row>
    <row r="2296" spans="1:1" x14ac:dyDescent="0.3">
      <c r="A2296" s="1"/>
    </row>
    <row r="2297" spans="1:1" x14ac:dyDescent="0.3">
      <c r="A2297" s="1"/>
    </row>
    <row r="2298" spans="1:1" x14ac:dyDescent="0.3">
      <c r="A2298" s="1"/>
    </row>
    <row r="2299" spans="1:1" x14ac:dyDescent="0.3">
      <c r="A2299" s="1"/>
    </row>
    <row r="2300" spans="1:1" x14ac:dyDescent="0.3">
      <c r="A2300" s="1"/>
    </row>
    <row r="2301" spans="1:1" x14ac:dyDescent="0.3">
      <c r="A2301" s="1"/>
    </row>
    <row r="2302" spans="1:1" x14ac:dyDescent="0.3">
      <c r="A2302" s="1"/>
    </row>
    <row r="2303" spans="1:1" x14ac:dyDescent="0.3">
      <c r="A2303" s="1"/>
    </row>
    <row r="2304" spans="1:1" x14ac:dyDescent="0.3">
      <c r="A2304" s="1"/>
    </row>
    <row r="2305" spans="1:1" x14ac:dyDescent="0.3">
      <c r="A2305" s="1"/>
    </row>
    <row r="2306" spans="1:1" x14ac:dyDescent="0.3">
      <c r="A2306" s="1"/>
    </row>
    <row r="2307" spans="1:1" x14ac:dyDescent="0.3">
      <c r="A2307" s="1"/>
    </row>
    <row r="2308" spans="1:1" x14ac:dyDescent="0.3">
      <c r="A2308" s="1"/>
    </row>
    <row r="2309" spans="1:1" x14ac:dyDescent="0.3">
      <c r="A2309" s="1"/>
    </row>
    <row r="2310" spans="1:1" x14ac:dyDescent="0.3">
      <c r="A2310" s="1"/>
    </row>
    <row r="2311" spans="1:1" x14ac:dyDescent="0.3">
      <c r="A2311" s="1"/>
    </row>
    <row r="2312" spans="1:1" x14ac:dyDescent="0.3">
      <c r="A2312" s="1"/>
    </row>
    <row r="2313" spans="1:1" x14ac:dyDescent="0.3">
      <c r="A2313" s="1"/>
    </row>
    <row r="2314" spans="1:1" x14ac:dyDescent="0.3">
      <c r="A2314" s="1"/>
    </row>
    <row r="2315" spans="1:1" x14ac:dyDescent="0.3">
      <c r="A2315" s="1"/>
    </row>
    <row r="2316" spans="1:1" x14ac:dyDescent="0.3">
      <c r="A2316" s="1"/>
    </row>
    <row r="2317" spans="1:1" x14ac:dyDescent="0.3">
      <c r="A2317" s="1"/>
    </row>
    <row r="2318" spans="1:1" x14ac:dyDescent="0.3">
      <c r="A2318" s="1"/>
    </row>
    <row r="2319" spans="1:1" x14ac:dyDescent="0.3">
      <c r="A2319" s="1"/>
    </row>
    <row r="2320" spans="1:1" x14ac:dyDescent="0.3">
      <c r="A2320" s="1"/>
    </row>
    <row r="2321" spans="1:1" x14ac:dyDescent="0.3">
      <c r="A2321" s="1"/>
    </row>
    <row r="2322" spans="1:1" x14ac:dyDescent="0.3">
      <c r="A2322" s="1"/>
    </row>
    <row r="2323" spans="1:1" x14ac:dyDescent="0.3">
      <c r="A2323" s="1"/>
    </row>
    <row r="2324" spans="1:1" x14ac:dyDescent="0.3">
      <c r="A2324" s="1"/>
    </row>
    <row r="2325" spans="1:1" x14ac:dyDescent="0.3">
      <c r="A2325" s="1"/>
    </row>
    <row r="2326" spans="1:1" x14ac:dyDescent="0.3">
      <c r="A2326" s="1"/>
    </row>
    <row r="2327" spans="1:1" x14ac:dyDescent="0.3">
      <c r="A2327" s="1"/>
    </row>
    <row r="2328" spans="1:1" x14ac:dyDescent="0.3">
      <c r="A2328" s="1"/>
    </row>
    <row r="2329" spans="1:1" x14ac:dyDescent="0.3">
      <c r="A2329" s="1"/>
    </row>
    <row r="2330" spans="1:1" x14ac:dyDescent="0.3">
      <c r="A2330" s="1"/>
    </row>
    <row r="2331" spans="1:1" x14ac:dyDescent="0.3">
      <c r="A2331" s="1"/>
    </row>
    <row r="2332" spans="1:1" x14ac:dyDescent="0.3">
      <c r="A2332" s="1"/>
    </row>
    <row r="2333" spans="1:1" x14ac:dyDescent="0.3">
      <c r="A2333" s="1"/>
    </row>
    <row r="2334" spans="1:1" x14ac:dyDescent="0.3">
      <c r="A2334" s="1"/>
    </row>
    <row r="2335" spans="1:1" x14ac:dyDescent="0.3">
      <c r="A2335" s="1"/>
    </row>
    <row r="2336" spans="1:1" x14ac:dyDescent="0.3">
      <c r="A2336" s="1"/>
    </row>
    <row r="2337" spans="1:1" x14ac:dyDescent="0.3">
      <c r="A2337" s="1"/>
    </row>
    <row r="2338" spans="1:1" x14ac:dyDescent="0.3">
      <c r="A2338" s="1"/>
    </row>
    <row r="2339" spans="1:1" x14ac:dyDescent="0.3">
      <c r="A2339" s="1"/>
    </row>
    <row r="2340" spans="1:1" x14ac:dyDescent="0.3">
      <c r="A2340" s="1"/>
    </row>
    <row r="2341" spans="1:1" x14ac:dyDescent="0.3">
      <c r="A2341" s="1"/>
    </row>
    <row r="2342" spans="1:1" x14ac:dyDescent="0.3">
      <c r="A2342" s="1"/>
    </row>
    <row r="2343" spans="1:1" x14ac:dyDescent="0.3">
      <c r="A2343" s="1"/>
    </row>
    <row r="2344" spans="1:1" x14ac:dyDescent="0.3">
      <c r="A2344" s="1"/>
    </row>
    <row r="2345" spans="1:1" x14ac:dyDescent="0.3">
      <c r="A2345" s="1"/>
    </row>
    <row r="2346" spans="1:1" x14ac:dyDescent="0.3">
      <c r="A2346" s="1"/>
    </row>
    <row r="2347" spans="1:1" x14ac:dyDescent="0.3">
      <c r="A2347" s="1"/>
    </row>
    <row r="2348" spans="1:1" x14ac:dyDescent="0.3">
      <c r="A2348" s="1"/>
    </row>
    <row r="2349" spans="1:1" x14ac:dyDescent="0.3">
      <c r="A2349" s="1"/>
    </row>
    <row r="2350" spans="1:1" x14ac:dyDescent="0.3">
      <c r="A2350" s="1"/>
    </row>
    <row r="2351" spans="1:1" x14ac:dyDescent="0.3">
      <c r="A2351" s="1"/>
    </row>
    <row r="2352" spans="1:1" x14ac:dyDescent="0.3">
      <c r="A2352" s="1"/>
    </row>
    <row r="2353" spans="1:1" x14ac:dyDescent="0.3">
      <c r="A2353" s="1"/>
    </row>
    <row r="2354" spans="1:1" x14ac:dyDescent="0.3">
      <c r="A2354" s="1"/>
    </row>
    <row r="2355" spans="1:1" x14ac:dyDescent="0.3">
      <c r="A2355" s="1"/>
    </row>
    <row r="2356" spans="1:1" x14ac:dyDescent="0.3">
      <c r="A2356" s="1"/>
    </row>
    <row r="2357" spans="1:1" x14ac:dyDescent="0.3">
      <c r="A2357" s="1"/>
    </row>
    <row r="2358" spans="1:1" x14ac:dyDescent="0.3">
      <c r="A2358" s="1"/>
    </row>
    <row r="2359" spans="1:1" x14ac:dyDescent="0.3">
      <c r="A2359" s="1"/>
    </row>
    <row r="2360" spans="1:1" x14ac:dyDescent="0.3">
      <c r="A2360" s="1"/>
    </row>
    <row r="2361" spans="1:1" x14ac:dyDescent="0.3">
      <c r="A2361" s="1"/>
    </row>
    <row r="2362" spans="1:1" x14ac:dyDescent="0.3">
      <c r="A2362" s="1"/>
    </row>
    <row r="2363" spans="1:1" x14ac:dyDescent="0.3">
      <c r="A2363" s="1"/>
    </row>
    <row r="2364" spans="1:1" x14ac:dyDescent="0.3">
      <c r="A2364" s="1"/>
    </row>
    <row r="2365" spans="1:1" x14ac:dyDescent="0.3">
      <c r="A2365" s="1"/>
    </row>
    <row r="2366" spans="1:1" x14ac:dyDescent="0.3">
      <c r="A2366" s="1"/>
    </row>
    <row r="2367" spans="1:1" x14ac:dyDescent="0.3">
      <c r="A2367" s="1"/>
    </row>
    <row r="2368" spans="1:1" x14ac:dyDescent="0.3">
      <c r="A2368" s="1"/>
    </row>
    <row r="2369" spans="1:1" x14ac:dyDescent="0.3">
      <c r="A2369" s="1"/>
    </row>
    <row r="2370" spans="1:1" x14ac:dyDescent="0.3">
      <c r="A2370" s="1"/>
    </row>
    <row r="2371" spans="1:1" x14ac:dyDescent="0.3">
      <c r="A2371" s="1"/>
    </row>
    <row r="2372" spans="1:1" x14ac:dyDescent="0.3">
      <c r="A2372" s="1"/>
    </row>
    <row r="2373" spans="1:1" x14ac:dyDescent="0.3">
      <c r="A2373" s="1"/>
    </row>
    <row r="2374" spans="1:1" x14ac:dyDescent="0.3">
      <c r="A2374" s="1"/>
    </row>
    <row r="2375" spans="1:1" x14ac:dyDescent="0.3">
      <c r="A2375" s="1"/>
    </row>
    <row r="2376" spans="1:1" x14ac:dyDescent="0.3">
      <c r="A2376" s="1"/>
    </row>
    <row r="2377" spans="1:1" x14ac:dyDescent="0.3">
      <c r="A2377" s="1"/>
    </row>
    <row r="2378" spans="1:1" x14ac:dyDescent="0.3">
      <c r="A2378" s="1"/>
    </row>
    <row r="2379" spans="1:1" x14ac:dyDescent="0.3">
      <c r="A2379" s="1"/>
    </row>
    <row r="2380" spans="1:1" x14ac:dyDescent="0.3">
      <c r="A2380" s="1"/>
    </row>
    <row r="2381" spans="1:1" x14ac:dyDescent="0.3">
      <c r="A2381" s="1"/>
    </row>
    <row r="2382" spans="1:1" x14ac:dyDescent="0.3">
      <c r="A2382" s="1"/>
    </row>
    <row r="2383" spans="1:1" x14ac:dyDescent="0.3">
      <c r="A2383" s="1"/>
    </row>
    <row r="2384" spans="1:1" x14ac:dyDescent="0.3">
      <c r="A2384" s="1"/>
    </row>
    <row r="2385" spans="1:1" x14ac:dyDescent="0.3">
      <c r="A2385" s="1"/>
    </row>
    <row r="2386" spans="1:1" x14ac:dyDescent="0.3">
      <c r="A2386" s="1"/>
    </row>
    <row r="2387" spans="1:1" x14ac:dyDescent="0.3">
      <c r="A2387" s="1"/>
    </row>
    <row r="2388" spans="1:1" x14ac:dyDescent="0.3">
      <c r="A2388" s="1"/>
    </row>
    <row r="2389" spans="1:1" x14ac:dyDescent="0.3">
      <c r="A2389" s="1"/>
    </row>
    <row r="2390" spans="1:1" x14ac:dyDescent="0.3">
      <c r="A2390" s="1"/>
    </row>
    <row r="2391" spans="1:1" x14ac:dyDescent="0.3">
      <c r="A2391" s="1"/>
    </row>
    <row r="2392" spans="1:1" x14ac:dyDescent="0.3">
      <c r="A2392" s="1"/>
    </row>
    <row r="2393" spans="1:1" x14ac:dyDescent="0.3">
      <c r="A2393" s="1"/>
    </row>
    <row r="2394" spans="1:1" x14ac:dyDescent="0.3">
      <c r="A2394" s="1"/>
    </row>
    <row r="2395" spans="1:1" x14ac:dyDescent="0.3">
      <c r="A2395" s="1"/>
    </row>
    <row r="2396" spans="1:1" x14ac:dyDescent="0.3">
      <c r="A2396" s="1"/>
    </row>
    <row r="2397" spans="1:1" x14ac:dyDescent="0.3">
      <c r="A2397" s="1"/>
    </row>
    <row r="2398" spans="1:1" x14ac:dyDescent="0.3">
      <c r="A2398" s="1"/>
    </row>
    <row r="2399" spans="1:1" x14ac:dyDescent="0.3">
      <c r="A2399" s="1"/>
    </row>
    <row r="2400" spans="1:1" x14ac:dyDescent="0.3">
      <c r="A2400" s="1"/>
    </row>
    <row r="2401" spans="1:1" x14ac:dyDescent="0.3">
      <c r="A2401" s="1"/>
    </row>
    <row r="2402" spans="1:1" x14ac:dyDescent="0.3">
      <c r="A2402" s="1"/>
    </row>
    <row r="2403" spans="1:1" x14ac:dyDescent="0.3">
      <c r="A2403" s="1"/>
    </row>
    <row r="2404" spans="1:1" x14ac:dyDescent="0.3">
      <c r="A2404" s="1"/>
    </row>
    <row r="2405" spans="1:1" x14ac:dyDescent="0.3">
      <c r="A2405" s="1"/>
    </row>
    <row r="2406" spans="1:1" x14ac:dyDescent="0.3">
      <c r="A2406" s="1"/>
    </row>
    <row r="2407" spans="1:1" x14ac:dyDescent="0.3">
      <c r="A2407" s="1"/>
    </row>
    <row r="2408" spans="1:1" x14ac:dyDescent="0.3">
      <c r="A2408" s="1"/>
    </row>
    <row r="2409" spans="1:1" x14ac:dyDescent="0.3">
      <c r="A2409" s="1"/>
    </row>
    <row r="2410" spans="1:1" x14ac:dyDescent="0.3">
      <c r="A2410" s="1"/>
    </row>
    <row r="2411" spans="1:1" x14ac:dyDescent="0.3">
      <c r="A2411" s="1"/>
    </row>
    <row r="2412" spans="1:1" x14ac:dyDescent="0.3">
      <c r="A2412" s="1"/>
    </row>
    <row r="2413" spans="1:1" x14ac:dyDescent="0.3">
      <c r="A2413" s="1"/>
    </row>
    <row r="2414" spans="1:1" x14ac:dyDescent="0.3">
      <c r="A2414" s="1"/>
    </row>
    <row r="2415" spans="1:1" x14ac:dyDescent="0.3">
      <c r="A2415" s="1"/>
    </row>
    <row r="2416" spans="1:1" x14ac:dyDescent="0.3">
      <c r="A2416" s="1"/>
    </row>
    <row r="2417" spans="1:1" x14ac:dyDescent="0.3">
      <c r="A2417" s="1"/>
    </row>
    <row r="2418" spans="1:1" x14ac:dyDescent="0.3">
      <c r="A2418" s="1"/>
    </row>
    <row r="2419" spans="1:1" x14ac:dyDescent="0.3">
      <c r="A2419" s="1"/>
    </row>
    <row r="2420" spans="1:1" x14ac:dyDescent="0.3">
      <c r="A2420" s="1"/>
    </row>
    <row r="2421" spans="1:1" x14ac:dyDescent="0.3">
      <c r="A2421" s="1"/>
    </row>
    <row r="2422" spans="1:1" x14ac:dyDescent="0.3">
      <c r="A2422" s="1"/>
    </row>
    <row r="2423" spans="1:1" x14ac:dyDescent="0.3">
      <c r="A2423" s="1"/>
    </row>
    <row r="2424" spans="1:1" x14ac:dyDescent="0.3">
      <c r="A2424" s="1"/>
    </row>
    <row r="2425" spans="1:1" x14ac:dyDescent="0.3">
      <c r="A2425" s="1"/>
    </row>
    <row r="2426" spans="1:1" x14ac:dyDescent="0.3">
      <c r="A2426" s="1"/>
    </row>
    <row r="2427" spans="1:1" x14ac:dyDescent="0.3">
      <c r="A2427" s="1"/>
    </row>
    <row r="2428" spans="1:1" x14ac:dyDescent="0.3">
      <c r="A2428" s="1"/>
    </row>
    <row r="2429" spans="1:1" x14ac:dyDescent="0.3">
      <c r="A2429" s="1"/>
    </row>
    <row r="2430" spans="1:1" x14ac:dyDescent="0.3">
      <c r="A2430" s="1"/>
    </row>
    <row r="2431" spans="1:1" x14ac:dyDescent="0.3">
      <c r="A2431" s="1"/>
    </row>
    <row r="2432" spans="1:1" x14ac:dyDescent="0.3">
      <c r="A2432" s="1"/>
    </row>
    <row r="2433" spans="1:1" x14ac:dyDescent="0.3">
      <c r="A2433" s="1"/>
    </row>
    <row r="2434" spans="1:1" x14ac:dyDescent="0.3">
      <c r="A2434" s="1"/>
    </row>
    <row r="2435" spans="1:1" x14ac:dyDescent="0.3">
      <c r="A2435" s="1"/>
    </row>
    <row r="2436" spans="1:1" x14ac:dyDescent="0.3">
      <c r="A2436" s="1"/>
    </row>
    <row r="2437" spans="1:1" x14ac:dyDescent="0.3">
      <c r="A2437" s="1"/>
    </row>
    <row r="2438" spans="1:1" x14ac:dyDescent="0.3">
      <c r="A2438" s="1"/>
    </row>
    <row r="2439" spans="1:1" x14ac:dyDescent="0.3">
      <c r="A2439" s="1"/>
    </row>
    <row r="2440" spans="1:1" x14ac:dyDescent="0.3">
      <c r="A2440" s="1"/>
    </row>
    <row r="2441" spans="1:1" x14ac:dyDescent="0.3">
      <c r="A2441" s="1"/>
    </row>
    <row r="2442" spans="1:1" x14ac:dyDescent="0.3">
      <c r="A2442" s="1"/>
    </row>
    <row r="2443" spans="1:1" x14ac:dyDescent="0.3">
      <c r="A2443" s="1"/>
    </row>
    <row r="2444" spans="1:1" x14ac:dyDescent="0.3">
      <c r="A2444" s="1"/>
    </row>
    <row r="2445" spans="1:1" x14ac:dyDescent="0.3">
      <c r="A2445" s="1"/>
    </row>
    <row r="2446" spans="1:1" x14ac:dyDescent="0.3">
      <c r="A2446" s="1"/>
    </row>
    <row r="2447" spans="1:1" x14ac:dyDescent="0.3">
      <c r="A2447" s="1"/>
    </row>
    <row r="2448" spans="1:1" x14ac:dyDescent="0.3">
      <c r="A2448" s="1"/>
    </row>
    <row r="2449" spans="1:1" x14ac:dyDescent="0.3">
      <c r="A2449" s="1"/>
    </row>
    <row r="2450" spans="1:1" x14ac:dyDescent="0.3">
      <c r="A2450" s="1"/>
    </row>
    <row r="2451" spans="1:1" x14ac:dyDescent="0.3">
      <c r="A2451" s="1"/>
    </row>
    <row r="2452" spans="1:1" x14ac:dyDescent="0.3">
      <c r="A2452" s="1"/>
    </row>
    <row r="2453" spans="1:1" x14ac:dyDescent="0.3">
      <c r="A2453" s="1"/>
    </row>
    <row r="2454" spans="1:1" x14ac:dyDescent="0.3">
      <c r="A2454" s="1"/>
    </row>
    <row r="2455" spans="1:1" x14ac:dyDescent="0.3">
      <c r="A2455" s="1"/>
    </row>
    <row r="2456" spans="1:1" x14ac:dyDescent="0.3">
      <c r="A2456" s="1"/>
    </row>
    <row r="2457" spans="1:1" x14ac:dyDescent="0.3">
      <c r="A2457" s="1"/>
    </row>
    <row r="2458" spans="1:1" x14ac:dyDescent="0.3">
      <c r="A2458" s="1"/>
    </row>
    <row r="2459" spans="1:1" x14ac:dyDescent="0.3">
      <c r="A2459" s="1"/>
    </row>
    <row r="2460" spans="1:1" x14ac:dyDescent="0.3">
      <c r="A2460" s="1"/>
    </row>
    <row r="2461" spans="1:1" x14ac:dyDescent="0.3">
      <c r="A2461" s="1"/>
    </row>
    <row r="2462" spans="1:1" x14ac:dyDescent="0.3">
      <c r="A2462" s="1"/>
    </row>
    <row r="2463" spans="1:1" x14ac:dyDescent="0.3">
      <c r="A2463" s="1"/>
    </row>
    <row r="2464" spans="1:1" x14ac:dyDescent="0.3">
      <c r="A2464" s="1"/>
    </row>
    <row r="2465" spans="1:1" x14ac:dyDescent="0.3">
      <c r="A2465" s="1"/>
    </row>
    <row r="2466" spans="1:1" x14ac:dyDescent="0.3">
      <c r="A2466" s="1"/>
    </row>
    <row r="2467" spans="1:1" x14ac:dyDescent="0.3">
      <c r="A2467" s="1"/>
    </row>
    <row r="2468" spans="1:1" x14ac:dyDescent="0.3">
      <c r="A2468" s="1"/>
    </row>
    <row r="2469" spans="1:1" x14ac:dyDescent="0.3">
      <c r="A2469" s="1"/>
    </row>
    <row r="2470" spans="1:1" x14ac:dyDescent="0.3">
      <c r="A2470" s="1"/>
    </row>
    <row r="2471" spans="1:1" x14ac:dyDescent="0.3">
      <c r="A2471" s="1"/>
    </row>
    <row r="2472" spans="1:1" x14ac:dyDescent="0.3">
      <c r="A2472" s="1"/>
    </row>
    <row r="2473" spans="1:1" x14ac:dyDescent="0.3">
      <c r="A2473" s="1"/>
    </row>
    <row r="2474" spans="1:1" x14ac:dyDescent="0.3">
      <c r="A2474" s="1"/>
    </row>
    <row r="2475" spans="1:1" x14ac:dyDescent="0.3">
      <c r="A2475" s="1"/>
    </row>
    <row r="2476" spans="1:1" x14ac:dyDescent="0.3">
      <c r="A2476" s="1"/>
    </row>
    <row r="2477" spans="1:1" x14ac:dyDescent="0.3">
      <c r="A2477" s="1"/>
    </row>
    <row r="2478" spans="1:1" x14ac:dyDescent="0.3">
      <c r="A2478" s="1"/>
    </row>
    <row r="2479" spans="1:1" x14ac:dyDescent="0.3">
      <c r="A2479" s="1"/>
    </row>
    <row r="2480" spans="1:1" x14ac:dyDescent="0.3">
      <c r="A2480" s="1"/>
    </row>
    <row r="2481" spans="1:1" x14ac:dyDescent="0.3">
      <c r="A2481" s="1"/>
    </row>
    <row r="2482" spans="1:1" x14ac:dyDescent="0.3">
      <c r="A2482" s="1"/>
    </row>
    <row r="2483" spans="1:1" x14ac:dyDescent="0.3">
      <c r="A2483" s="1"/>
    </row>
    <row r="2484" spans="1:1" x14ac:dyDescent="0.3">
      <c r="A2484" s="1"/>
    </row>
    <row r="2485" spans="1:1" x14ac:dyDescent="0.3">
      <c r="A2485" s="1"/>
    </row>
    <row r="2486" spans="1:1" x14ac:dyDescent="0.3">
      <c r="A2486" s="1"/>
    </row>
    <row r="2487" spans="1:1" x14ac:dyDescent="0.3">
      <c r="A2487" s="1"/>
    </row>
    <row r="2488" spans="1:1" x14ac:dyDescent="0.3">
      <c r="A2488" s="1"/>
    </row>
    <row r="2489" spans="1:1" x14ac:dyDescent="0.3">
      <c r="A2489" s="1"/>
    </row>
    <row r="2490" spans="1:1" x14ac:dyDescent="0.3">
      <c r="A2490" s="1"/>
    </row>
    <row r="2491" spans="1:1" x14ac:dyDescent="0.3">
      <c r="A2491" s="1"/>
    </row>
    <row r="2492" spans="1:1" x14ac:dyDescent="0.3">
      <c r="A2492" s="1"/>
    </row>
    <row r="2493" spans="1:1" x14ac:dyDescent="0.3">
      <c r="A2493" s="1"/>
    </row>
    <row r="2494" spans="1:1" x14ac:dyDescent="0.3">
      <c r="A2494" s="1"/>
    </row>
    <row r="2495" spans="1:1" x14ac:dyDescent="0.3">
      <c r="A2495" s="1"/>
    </row>
    <row r="2496" spans="1:1" x14ac:dyDescent="0.3">
      <c r="A2496" s="1"/>
    </row>
    <row r="2497" spans="1:1" x14ac:dyDescent="0.3">
      <c r="A2497" s="1"/>
    </row>
    <row r="2498" spans="1:1" x14ac:dyDescent="0.3">
      <c r="A2498" s="1"/>
    </row>
    <row r="2499" spans="1:1" x14ac:dyDescent="0.3">
      <c r="A2499" s="1"/>
    </row>
    <row r="2500" spans="1:1" x14ac:dyDescent="0.3">
      <c r="A2500" s="1"/>
    </row>
    <row r="2501" spans="1:1" x14ac:dyDescent="0.3">
      <c r="A2501" s="1"/>
    </row>
    <row r="2502" spans="1:1" x14ac:dyDescent="0.3">
      <c r="A2502" s="1"/>
    </row>
    <row r="2503" spans="1:1" x14ac:dyDescent="0.3">
      <c r="A2503" s="1"/>
    </row>
    <row r="2504" spans="1:1" x14ac:dyDescent="0.3">
      <c r="A2504" s="1"/>
    </row>
    <row r="2505" spans="1:1" x14ac:dyDescent="0.3">
      <c r="A2505" s="1"/>
    </row>
    <row r="2506" spans="1:1" x14ac:dyDescent="0.3">
      <c r="A2506" s="1"/>
    </row>
    <row r="2507" spans="1:1" x14ac:dyDescent="0.3">
      <c r="A2507" s="1"/>
    </row>
    <row r="2508" spans="1:1" x14ac:dyDescent="0.3">
      <c r="A2508" s="1"/>
    </row>
    <row r="2509" spans="1:1" x14ac:dyDescent="0.3">
      <c r="A2509" s="1"/>
    </row>
    <row r="2510" spans="1:1" x14ac:dyDescent="0.3">
      <c r="A2510" s="1"/>
    </row>
    <row r="2511" spans="1:1" x14ac:dyDescent="0.3">
      <c r="A2511" s="1"/>
    </row>
    <row r="2512" spans="1:1" x14ac:dyDescent="0.3">
      <c r="A2512" s="1"/>
    </row>
    <row r="2513" spans="1:1" x14ac:dyDescent="0.3">
      <c r="A2513" s="1"/>
    </row>
    <row r="2514" spans="1:1" x14ac:dyDescent="0.3">
      <c r="A2514" s="1"/>
    </row>
    <row r="2515" spans="1:1" x14ac:dyDescent="0.3">
      <c r="A2515" s="1"/>
    </row>
    <row r="2516" spans="1:1" x14ac:dyDescent="0.3">
      <c r="A2516" s="1"/>
    </row>
    <row r="2517" spans="1:1" x14ac:dyDescent="0.3">
      <c r="A2517" s="1"/>
    </row>
    <row r="2518" spans="1:1" x14ac:dyDescent="0.3">
      <c r="A2518" s="1"/>
    </row>
    <row r="2519" spans="1:1" x14ac:dyDescent="0.3">
      <c r="A2519" s="1"/>
    </row>
    <row r="2520" spans="1:1" x14ac:dyDescent="0.3">
      <c r="A2520" s="1"/>
    </row>
    <row r="2521" spans="1:1" x14ac:dyDescent="0.3">
      <c r="A2521" s="1"/>
    </row>
    <row r="2522" spans="1:1" x14ac:dyDescent="0.3">
      <c r="A2522" s="1"/>
    </row>
    <row r="2523" spans="1:1" x14ac:dyDescent="0.3">
      <c r="A2523" s="1"/>
    </row>
    <row r="2524" spans="1:1" x14ac:dyDescent="0.3">
      <c r="A2524" s="1"/>
    </row>
    <row r="2525" spans="1:1" x14ac:dyDescent="0.3">
      <c r="A2525" s="1"/>
    </row>
    <row r="2526" spans="1:1" x14ac:dyDescent="0.3">
      <c r="A2526" s="1"/>
    </row>
    <row r="2527" spans="1:1" x14ac:dyDescent="0.3">
      <c r="A2527" s="1"/>
    </row>
    <row r="2528" spans="1:1" x14ac:dyDescent="0.3">
      <c r="A2528" s="1"/>
    </row>
    <row r="2529" spans="1:1" x14ac:dyDescent="0.3">
      <c r="A2529" s="1"/>
    </row>
    <row r="2530" spans="1:1" x14ac:dyDescent="0.3">
      <c r="A2530" s="1"/>
    </row>
    <row r="2531" spans="1:1" x14ac:dyDescent="0.3">
      <c r="A2531" s="1"/>
    </row>
    <row r="2532" spans="1:1" x14ac:dyDescent="0.3">
      <c r="A2532" s="1"/>
    </row>
    <row r="2533" spans="1:1" x14ac:dyDescent="0.3">
      <c r="A2533" s="1"/>
    </row>
    <row r="2534" spans="1:1" x14ac:dyDescent="0.3">
      <c r="A2534" s="1"/>
    </row>
    <row r="2535" spans="1:1" x14ac:dyDescent="0.3">
      <c r="A2535" s="1"/>
    </row>
    <row r="2536" spans="1:1" x14ac:dyDescent="0.3">
      <c r="A2536" s="1"/>
    </row>
    <row r="2537" spans="1:1" x14ac:dyDescent="0.3">
      <c r="A2537" s="1"/>
    </row>
    <row r="2538" spans="1:1" x14ac:dyDescent="0.3">
      <c r="A2538" s="1"/>
    </row>
    <row r="2539" spans="1:1" x14ac:dyDescent="0.3">
      <c r="A2539" s="1"/>
    </row>
    <row r="2540" spans="1:1" x14ac:dyDescent="0.3">
      <c r="A2540" s="1"/>
    </row>
    <row r="2541" spans="1:1" x14ac:dyDescent="0.3">
      <c r="A2541" s="1"/>
    </row>
    <row r="2542" spans="1:1" x14ac:dyDescent="0.3">
      <c r="A2542" s="1"/>
    </row>
    <row r="2543" spans="1:1" x14ac:dyDescent="0.3">
      <c r="A2543" s="1"/>
    </row>
    <row r="2544" spans="1:1" x14ac:dyDescent="0.3">
      <c r="A2544" s="1"/>
    </row>
    <row r="2545" spans="1:1" x14ac:dyDescent="0.3">
      <c r="A2545" s="1"/>
    </row>
    <row r="2546" spans="1:1" x14ac:dyDescent="0.3">
      <c r="A2546" s="1"/>
    </row>
    <row r="2547" spans="1:1" x14ac:dyDescent="0.3">
      <c r="A2547" s="1"/>
    </row>
    <row r="2548" spans="1:1" x14ac:dyDescent="0.3">
      <c r="A2548" s="1"/>
    </row>
    <row r="2549" spans="1:1" x14ac:dyDescent="0.3">
      <c r="A2549" s="1"/>
    </row>
    <row r="2550" spans="1:1" x14ac:dyDescent="0.3">
      <c r="A2550" s="1"/>
    </row>
    <row r="2551" spans="1:1" x14ac:dyDescent="0.3">
      <c r="A2551" s="1"/>
    </row>
    <row r="2552" spans="1:1" x14ac:dyDescent="0.3">
      <c r="A2552" s="1"/>
    </row>
    <row r="2553" spans="1:1" x14ac:dyDescent="0.3">
      <c r="A2553" s="1"/>
    </row>
    <row r="2554" spans="1:1" x14ac:dyDescent="0.3">
      <c r="A2554" s="1"/>
    </row>
    <row r="2555" spans="1:1" x14ac:dyDescent="0.3">
      <c r="A2555" s="1"/>
    </row>
    <row r="2556" spans="1:1" x14ac:dyDescent="0.3">
      <c r="A2556" s="1"/>
    </row>
    <row r="2557" spans="1:1" x14ac:dyDescent="0.3">
      <c r="A2557" s="1"/>
    </row>
    <row r="2558" spans="1:1" x14ac:dyDescent="0.3">
      <c r="A2558" s="1"/>
    </row>
    <row r="2559" spans="1:1" x14ac:dyDescent="0.3">
      <c r="A2559" s="1"/>
    </row>
    <row r="2560" spans="1:1" x14ac:dyDescent="0.3">
      <c r="A2560" s="1"/>
    </row>
    <row r="2561" spans="1:1" x14ac:dyDescent="0.3">
      <c r="A2561" s="1"/>
    </row>
    <row r="2562" spans="1:1" x14ac:dyDescent="0.3">
      <c r="A2562" s="1"/>
    </row>
    <row r="2563" spans="1:1" x14ac:dyDescent="0.3">
      <c r="A2563" s="1"/>
    </row>
    <row r="2564" spans="1:1" x14ac:dyDescent="0.3">
      <c r="A2564" s="1"/>
    </row>
    <row r="2565" spans="1:1" x14ac:dyDescent="0.3">
      <c r="A2565" s="1"/>
    </row>
    <row r="2566" spans="1:1" x14ac:dyDescent="0.3">
      <c r="A2566" s="1"/>
    </row>
    <row r="2567" spans="1:1" x14ac:dyDescent="0.3">
      <c r="A2567" s="1"/>
    </row>
    <row r="2568" spans="1:1" x14ac:dyDescent="0.3">
      <c r="A2568" s="1"/>
    </row>
    <row r="2569" spans="1:1" x14ac:dyDescent="0.3">
      <c r="A2569" s="1"/>
    </row>
    <row r="2570" spans="1:1" x14ac:dyDescent="0.3">
      <c r="A2570" s="1"/>
    </row>
    <row r="2571" spans="1:1" x14ac:dyDescent="0.3">
      <c r="A2571" s="1"/>
    </row>
    <row r="2572" spans="1:1" x14ac:dyDescent="0.3">
      <c r="A2572" s="1"/>
    </row>
    <row r="2573" spans="1:1" x14ac:dyDescent="0.3">
      <c r="A2573" s="1"/>
    </row>
    <row r="2574" spans="1:1" x14ac:dyDescent="0.3">
      <c r="A2574" s="1"/>
    </row>
    <row r="2575" spans="1:1" x14ac:dyDescent="0.3">
      <c r="A2575" s="1"/>
    </row>
    <row r="2576" spans="1:1" x14ac:dyDescent="0.3">
      <c r="A2576" s="1"/>
    </row>
    <row r="2577" spans="1:1" x14ac:dyDescent="0.3">
      <c r="A2577" s="1"/>
    </row>
    <row r="2578" spans="1:1" x14ac:dyDescent="0.3">
      <c r="A2578" s="1"/>
    </row>
    <row r="2579" spans="1:1" x14ac:dyDescent="0.3">
      <c r="A2579" s="1"/>
    </row>
    <row r="2580" spans="1:1" x14ac:dyDescent="0.3">
      <c r="A2580" s="1"/>
    </row>
    <row r="2581" spans="1:1" x14ac:dyDescent="0.3">
      <c r="A2581" s="1"/>
    </row>
    <row r="2582" spans="1:1" x14ac:dyDescent="0.3">
      <c r="A2582" s="1"/>
    </row>
    <row r="2583" spans="1:1" x14ac:dyDescent="0.3">
      <c r="A2583" s="1"/>
    </row>
    <row r="2584" spans="1:1" x14ac:dyDescent="0.3">
      <c r="A2584" s="1"/>
    </row>
    <row r="2585" spans="1:1" x14ac:dyDescent="0.3">
      <c r="A2585" s="1"/>
    </row>
    <row r="2586" spans="1:1" x14ac:dyDescent="0.3">
      <c r="A2586" s="1"/>
    </row>
    <row r="2587" spans="1:1" x14ac:dyDescent="0.3">
      <c r="A2587" s="1"/>
    </row>
    <row r="2588" spans="1:1" x14ac:dyDescent="0.3">
      <c r="A2588" s="1"/>
    </row>
    <row r="2589" spans="1:1" x14ac:dyDescent="0.3">
      <c r="A2589" s="1"/>
    </row>
    <row r="2590" spans="1:1" x14ac:dyDescent="0.3">
      <c r="A2590" s="1"/>
    </row>
    <row r="2591" spans="1:1" x14ac:dyDescent="0.3">
      <c r="A2591" s="1"/>
    </row>
    <row r="2592" spans="1:1" x14ac:dyDescent="0.3">
      <c r="A2592" s="1"/>
    </row>
    <row r="2593" spans="1:1" x14ac:dyDescent="0.3">
      <c r="A2593" s="1"/>
    </row>
    <row r="2594" spans="1:1" x14ac:dyDescent="0.3">
      <c r="A2594" s="1"/>
    </row>
    <row r="2595" spans="1:1" x14ac:dyDescent="0.3">
      <c r="A2595" s="1"/>
    </row>
    <row r="2596" spans="1:1" x14ac:dyDescent="0.3">
      <c r="A2596" s="1"/>
    </row>
    <row r="2597" spans="1:1" x14ac:dyDescent="0.3">
      <c r="A2597" s="1"/>
    </row>
    <row r="2598" spans="1:1" x14ac:dyDescent="0.3">
      <c r="A2598" s="1"/>
    </row>
    <row r="2599" spans="1:1" x14ac:dyDescent="0.3">
      <c r="A2599" s="1"/>
    </row>
    <row r="2600" spans="1:1" x14ac:dyDescent="0.3">
      <c r="A2600" s="1"/>
    </row>
    <row r="2601" spans="1:1" x14ac:dyDescent="0.3">
      <c r="A2601" s="1"/>
    </row>
    <row r="2602" spans="1:1" x14ac:dyDescent="0.3">
      <c r="A2602" s="1"/>
    </row>
    <row r="2603" spans="1:1" x14ac:dyDescent="0.3">
      <c r="A2603" s="1"/>
    </row>
    <row r="2604" spans="1:1" x14ac:dyDescent="0.3">
      <c r="A2604" s="1"/>
    </row>
    <row r="2605" spans="1:1" x14ac:dyDescent="0.3">
      <c r="A2605" s="1"/>
    </row>
    <row r="2606" spans="1:1" x14ac:dyDescent="0.3">
      <c r="A2606" s="1"/>
    </row>
    <row r="2607" spans="1:1" x14ac:dyDescent="0.3">
      <c r="A2607" s="1"/>
    </row>
    <row r="2608" spans="1:1" x14ac:dyDescent="0.3">
      <c r="A2608" s="1"/>
    </row>
    <row r="2609" spans="1:1" x14ac:dyDescent="0.3">
      <c r="A2609" s="1"/>
    </row>
    <row r="2610" spans="1:1" x14ac:dyDescent="0.3">
      <c r="A2610" s="1"/>
    </row>
    <row r="2611" spans="1:1" x14ac:dyDescent="0.3">
      <c r="A2611" s="1"/>
    </row>
    <row r="2612" spans="1:1" x14ac:dyDescent="0.3">
      <c r="A2612" s="1"/>
    </row>
    <row r="2613" spans="1:1" x14ac:dyDescent="0.3">
      <c r="A2613" s="1"/>
    </row>
    <row r="2614" spans="1:1" x14ac:dyDescent="0.3">
      <c r="A2614" s="1"/>
    </row>
    <row r="2615" spans="1:1" x14ac:dyDescent="0.3">
      <c r="A2615" s="1"/>
    </row>
    <row r="2616" spans="1:1" x14ac:dyDescent="0.3">
      <c r="A2616" s="1"/>
    </row>
    <row r="2617" spans="1:1" x14ac:dyDescent="0.3">
      <c r="A2617" s="1"/>
    </row>
    <row r="2618" spans="1:1" x14ac:dyDescent="0.3">
      <c r="A2618" s="1"/>
    </row>
    <row r="2619" spans="1:1" x14ac:dyDescent="0.3">
      <c r="A2619" s="1"/>
    </row>
    <row r="2620" spans="1:1" x14ac:dyDescent="0.3">
      <c r="A2620" s="1"/>
    </row>
    <row r="2621" spans="1:1" x14ac:dyDescent="0.3">
      <c r="A2621" s="1"/>
    </row>
    <row r="2622" spans="1:1" x14ac:dyDescent="0.3">
      <c r="A2622" s="1"/>
    </row>
    <row r="2623" spans="1:1" x14ac:dyDescent="0.3">
      <c r="A2623" s="1"/>
    </row>
    <row r="2624" spans="1:1" x14ac:dyDescent="0.3">
      <c r="A2624" s="1"/>
    </row>
    <row r="2625" spans="1:1" x14ac:dyDescent="0.3">
      <c r="A2625" s="1"/>
    </row>
    <row r="2626" spans="1:1" x14ac:dyDescent="0.3">
      <c r="A2626" s="1"/>
    </row>
    <row r="2627" spans="1:1" x14ac:dyDescent="0.3">
      <c r="A2627" s="1"/>
    </row>
    <row r="2628" spans="1:1" x14ac:dyDescent="0.3">
      <c r="A2628" s="1"/>
    </row>
    <row r="2629" spans="1:1" x14ac:dyDescent="0.3">
      <c r="A2629" s="1"/>
    </row>
    <row r="2630" spans="1:1" x14ac:dyDescent="0.3">
      <c r="A2630" s="1"/>
    </row>
    <row r="2631" spans="1:1" x14ac:dyDescent="0.3">
      <c r="A2631" s="1"/>
    </row>
    <row r="2632" spans="1:1" x14ac:dyDescent="0.3">
      <c r="A2632" s="1"/>
    </row>
    <row r="2633" spans="1:1" x14ac:dyDescent="0.3">
      <c r="A2633" s="1"/>
    </row>
    <row r="2634" spans="1:1" x14ac:dyDescent="0.3">
      <c r="A2634" s="1"/>
    </row>
    <row r="2635" spans="1:1" x14ac:dyDescent="0.3">
      <c r="A2635" s="1"/>
    </row>
    <row r="2636" spans="1:1" x14ac:dyDescent="0.3">
      <c r="A2636" s="1"/>
    </row>
    <row r="2637" spans="1:1" x14ac:dyDescent="0.3">
      <c r="A2637" s="1"/>
    </row>
    <row r="2638" spans="1:1" x14ac:dyDescent="0.3">
      <c r="A2638" s="1"/>
    </row>
    <row r="2639" spans="1:1" x14ac:dyDescent="0.3">
      <c r="A2639" s="1"/>
    </row>
    <row r="2640" spans="1:1" x14ac:dyDescent="0.3">
      <c r="A2640" s="1"/>
    </row>
    <row r="2641" spans="1:1" x14ac:dyDescent="0.3">
      <c r="A2641" s="1"/>
    </row>
    <row r="2642" spans="1:1" x14ac:dyDescent="0.3">
      <c r="A2642" s="1"/>
    </row>
    <row r="2643" spans="1:1" x14ac:dyDescent="0.3">
      <c r="A2643" s="1"/>
    </row>
    <row r="2644" spans="1:1" x14ac:dyDescent="0.3">
      <c r="A2644" s="1"/>
    </row>
    <row r="2645" spans="1:1" x14ac:dyDescent="0.3">
      <c r="A2645" s="1"/>
    </row>
    <row r="2646" spans="1:1" x14ac:dyDescent="0.3">
      <c r="A2646" s="1"/>
    </row>
    <row r="2647" spans="1:1" x14ac:dyDescent="0.3">
      <c r="A2647" s="1"/>
    </row>
    <row r="2648" spans="1:1" x14ac:dyDescent="0.3">
      <c r="A2648" s="1"/>
    </row>
    <row r="2649" spans="1:1" x14ac:dyDescent="0.3">
      <c r="A2649" s="1"/>
    </row>
    <row r="2650" spans="1:1" x14ac:dyDescent="0.3">
      <c r="A2650" s="1"/>
    </row>
    <row r="2651" spans="1:1" x14ac:dyDescent="0.3">
      <c r="A2651" s="1"/>
    </row>
    <row r="2652" spans="1:1" x14ac:dyDescent="0.3">
      <c r="A2652" s="1"/>
    </row>
    <row r="2653" spans="1:1" x14ac:dyDescent="0.3">
      <c r="A2653" s="1"/>
    </row>
    <row r="2654" spans="1:1" x14ac:dyDescent="0.3">
      <c r="A2654" s="1"/>
    </row>
    <row r="2655" spans="1:1" x14ac:dyDescent="0.3">
      <c r="A2655" s="1"/>
    </row>
    <row r="2656" spans="1:1" x14ac:dyDescent="0.3">
      <c r="A2656" s="1"/>
    </row>
    <row r="2657" spans="1:1" x14ac:dyDescent="0.3">
      <c r="A2657" s="1"/>
    </row>
    <row r="2658" spans="1:1" x14ac:dyDescent="0.3">
      <c r="A2658" s="1"/>
    </row>
    <row r="2659" spans="1:1" x14ac:dyDescent="0.3">
      <c r="A2659" s="1"/>
    </row>
    <row r="2660" spans="1:1" x14ac:dyDescent="0.3">
      <c r="A2660" s="1"/>
    </row>
    <row r="2661" spans="1:1" x14ac:dyDescent="0.3">
      <c r="A2661" s="1"/>
    </row>
    <row r="2662" spans="1:1" x14ac:dyDescent="0.3">
      <c r="A2662" s="1"/>
    </row>
    <row r="2663" spans="1:1" x14ac:dyDescent="0.3">
      <c r="A2663" s="1"/>
    </row>
    <row r="2664" spans="1:1" x14ac:dyDescent="0.3">
      <c r="A2664" s="1"/>
    </row>
    <row r="2665" spans="1:1" x14ac:dyDescent="0.3">
      <c r="A2665" s="1"/>
    </row>
    <row r="2666" spans="1:1" x14ac:dyDescent="0.3">
      <c r="A2666" s="1"/>
    </row>
    <row r="2667" spans="1:1" x14ac:dyDescent="0.3">
      <c r="A2667" s="1"/>
    </row>
    <row r="2668" spans="1:1" x14ac:dyDescent="0.3">
      <c r="A2668" s="1"/>
    </row>
    <row r="2669" spans="1:1" x14ac:dyDescent="0.3">
      <c r="A2669" s="1"/>
    </row>
    <row r="2670" spans="1:1" x14ac:dyDescent="0.3">
      <c r="A2670" s="1"/>
    </row>
    <row r="2671" spans="1:1" x14ac:dyDescent="0.3">
      <c r="A2671" s="1"/>
    </row>
    <row r="2672" spans="1:1" x14ac:dyDescent="0.3">
      <c r="A2672" s="1"/>
    </row>
    <row r="2673" spans="1:1" x14ac:dyDescent="0.3">
      <c r="A2673" s="1"/>
    </row>
    <row r="2674" spans="1:1" x14ac:dyDescent="0.3">
      <c r="A2674" s="1"/>
    </row>
    <row r="2675" spans="1:1" x14ac:dyDescent="0.3">
      <c r="A2675" s="1"/>
    </row>
    <row r="2676" spans="1:1" x14ac:dyDescent="0.3">
      <c r="A2676" s="1"/>
    </row>
    <row r="2677" spans="1:1" x14ac:dyDescent="0.3">
      <c r="A2677" s="1"/>
    </row>
    <row r="2678" spans="1:1" x14ac:dyDescent="0.3">
      <c r="A2678" s="1"/>
    </row>
    <row r="2679" spans="1:1" x14ac:dyDescent="0.3">
      <c r="A2679" s="1"/>
    </row>
    <row r="2680" spans="1:1" x14ac:dyDescent="0.3">
      <c r="A2680" s="1"/>
    </row>
    <row r="2681" spans="1:1" x14ac:dyDescent="0.3">
      <c r="A2681" s="1"/>
    </row>
    <row r="2682" spans="1:1" x14ac:dyDescent="0.3">
      <c r="A2682" s="1"/>
    </row>
    <row r="2683" spans="1:1" x14ac:dyDescent="0.3">
      <c r="A2683" s="1"/>
    </row>
    <row r="2684" spans="1:1" x14ac:dyDescent="0.3">
      <c r="A2684" s="1"/>
    </row>
    <row r="2685" spans="1:1" x14ac:dyDescent="0.3">
      <c r="A2685" s="1"/>
    </row>
    <row r="2686" spans="1:1" x14ac:dyDescent="0.3">
      <c r="A2686" s="1"/>
    </row>
    <row r="2687" spans="1:1" x14ac:dyDescent="0.3">
      <c r="A2687" s="1"/>
    </row>
    <row r="2688" spans="1:1" x14ac:dyDescent="0.3">
      <c r="A2688" s="1"/>
    </row>
    <row r="2689" spans="1:1" x14ac:dyDescent="0.3">
      <c r="A2689" s="1"/>
    </row>
    <row r="2690" spans="1:1" x14ac:dyDescent="0.3">
      <c r="A2690" s="1"/>
    </row>
    <row r="2691" spans="1:1" x14ac:dyDescent="0.3">
      <c r="A2691" s="1"/>
    </row>
    <row r="2692" spans="1:1" x14ac:dyDescent="0.3">
      <c r="A2692" s="1"/>
    </row>
    <row r="2693" spans="1:1" x14ac:dyDescent="0.3">
      <c r="A2693" s="1"/>
    </row>
    <row r="2694" spans="1:1" x14ac:dyDescent="0.3">
      <c r="A2694" s="1"/>
    </row>
    <row r="2695" spans="1:1" x14ac:dyDescent="0.3">
      <c r="A2695" s="1"/>
    </row>
    <row r="2696" spans="1:1" x14ac:dyDescent="0.3">
      <c r="A2696" s="1"/>
    </row>
    <row r="2697" spans="1:1" x14ac:dyDescent="0.3">
      <c r="A2697" s="1"/>
    </row>
    <row r="2698" spans="1:1" x14ac:dyDescent="0.3">
      <c r="A2698" s="1"/>
    </row>
    <row r="2699" spans="1:1" x14ac:dyDescent="0.3">
      <c r="A2699" s="1"/>
    </row>
    <row r="2700" spans="1:1" x14ac:dyDescent="0.3">
      <c r="A2700" s="1"/>
    </row>
    <row r="2701" spans="1:1" x14ac:dyDescent="0.3">
      <c r="A2701" s="1"/>
    </row>
    <row r="2702" spans="1:1" x14ac:dyDescent="0.3">
      <c r="A2702" s="1"/>
    </row>
    <row r="2703" spans="1:1" x14ac:dyDescent="0.3">
      <c r="A2703" s="1"/>
    </row>
    <row r="2704" spans="1:1" x14ac:dyDescent="0.3">
      <c r="A2704" s="1"/>
    </row>
    <row r="2705" spans="1:1" x14ac:dyDescent="0.3">
      <c r="A2705" s="1"/>
    </row>
    <row r="2706" spans="1:1" x14ac:dyDescent="0.3">
      <c r="A2706" s="1"/>
    </row>
    <row r="2707" spans="1:1" x14ac:dyDescent="0.3">
      <c r="A2707" s="1"/>
    </row>
    <row r="2708" spans="1:1" x14ac:dyDescent="0.3">
      <c r="A2708" s="1"/>
    </row>
    <row r="2709" spans="1:1" x14ac:dyDescent="0.3">
      <c r="A2709" s="1"/>
    </row>
    <row r="2710" spans="1:1" x14ac:dyDescent="0.3">
      <c r="A2710" s="1"/>
    </row>
    <row r="2711" spans="1:1" x14ac:dyDescent="0.3">
      <c r="A2711" s="1"/>
    </row>
    <row r="2712" spans="1:1" x14ac:dyDescent="0.3">
      <c r="A2712" s="1"/>
    </row>
    <row r="2713" spans="1:1" x14ac:dyDescent="0.3">
      <c r="A2713" s="1"/>
    </row>
    <row r="2714" spans="1:1" x14ac:dyDescent="0.3">
      <c r="A2714" s="1"/>
    </row>
    <row r="2715" spans="1:1" x14ac:dyDescent="0.3">
      <c r="A2715" s="1"/>
    </row>
    <row r="2716" spans="1:1" x14ac:dyDescent="0.3">
      <c r="A2716" s="1"/>
    </row>
    <row r="2717" spans="1:1" x14ac:dyDescent="0.3">
      <c r="A2717" s="1"/>
    </row>
    <row r="2718" spans="1:1" x14ac:dyDescent="0.3">
      <c r="A2718" s="1"/>
    </row>
    <row r="2719" spans="1:1" x14ac:dyDescent="0.3">
      <c r="A2719" s="1"/>
    </row>
    <row r="2720" spans="1:1" x14ac:dyDescent="0.3">
      <c r="A2720" s="1"/>
    </row>
    <row r="2721" spans="1:1" x14ac:dyDescent="0.3">
      <c r="A2721" s="1"/>
    </row>
    <row r="2722" spans="1:1" x14ac:dyDescent="0.3">
      <c r="A2722" s="1"/>
    </row>
    <row r="2723" spans="1:1" x14ac:dyDescent="0.3">
      <c r="A2723" s="1"/>
    </row>
    <row r="2724" spans="1:1" x14ac:dyDescent="0.3">
      <c r="A2724" s="1"/>
    </row>
    <row r="2725" spans="1:1" x14ac:dyDescent="0.3">
      <c r="A2725" s="1"/>
    </row>
    <row r="2726" spans="1:1" x14ac:dyDescent="0.3">
      <c r="A2726" s="1"/>
    </row>
    <row r="2727" spans="1:1" x14ac:dyDescent="0.3">
      <c r="A2727" s="1"/>
    </row>
    <row r="2728" spans="1:1" x14ac:dyDescent="0.3">
      <c r="A2728" s="1"/>
    </row>
    <row r="2729" spans="1:1" x14ac:dyDescent="0.3">
      <c r="A2729" s="1"/>
    </row>
    <row r="2730" spans="1:1" x14ac:dyDescent="0.3">
      <c r="A2730" s="1"/>
    </row>
    <row r="2731" spans="1:1" x14ac:dyDescent="0.3">
      <c r="A2731" s="1"/>
    </row>
    <row r="2732" spans="1:1" x14ac:dyDescent="0.3">
      <c r="A2732" s="1"/>
    </row>
    <row r="2733" spans="1:1" x14ac:dyDescent="0.3">
      <c r="A2733" s="1"/>
    </row>
    <row r="2734" spans="1:1" x14ac:dyDescent="0.3">
      <c r="A2734" s="1"/>
    </row>
    <row r="2735" spans="1:1" x14ac:dyDescent="0.3">
      <c r="A2735" s="1"/>
    </row>
    <row r="2736" spans="1:1" x14ac:dyDescent="0.3">
      <c r="A2736" s="1"/>
    </row>
    <row r="2737" spans="1:1" x14ac:dyDescent="0.3">
      <c r="A2737" s="1"/>
    </row>
    <row r="2738" spans="1:1" x14ac:dyDescent="0.3">
      <c r="A2738" s="1"/>
    </row>
    <row r="2739" spans="1:1" x14ac:dyDescent="0.3">
      <c r="A2739" s="1"/>
    </row>
    <row r="2740" spans="1:1" x14ac:dyDescent="0.3">
      <c r="A2740" s="1"/>
    </row>
    <row r="2741" spans="1:1" x14ac:dyDescent="0.3">
      <c r="A2741" s="1"/>
    </row>
    <row r="2742" spans="1:1" x14ac:dyDescent="0.3">
      <c r="A2742" s="1"/>
    </row>
    <row r="2743" spans="1:1" x14ac:dyDescent="0.3">
      <c r="A2743" s="1"/>
    </row>
    <row r="2744" spans="1:1" x14ac:dyDescent="0.3">
      <c r="A2744" s="1"/>
    </row>
    <row r="2745" spans="1:1" x14ac:dyDescent="0.3">
      <c r="A2745" s="1"/>
    </row>
    <row r="2746" spans="1:1" x14ac:dyDescent="0.3">
      <c r="A2746" s="1"/>
    </row>
    <row r="2747" spans="1:1" x14ac:dyDescent="0.3">
      <c r="A2747" s="1"/>
    </row>
    <row r="2748" spans="1:1" x14ac:dyDescent="0.3">
      <c r="A2748" s="1"/>
    </row>
    <row r="2749" spans="1:1" x14ac:dyDescent="0.3">
      <c r="A2749" s="1"/>
    </row>
    <row r="2750" spans="1:1" x14ac:dyDescent="0.3">
      <c r="A2750" s="1"/>
    </row>
    <row r="2751" spans="1:1" x14ac:dyDescent="0.3">
      <c r="A2751" s="1"/>
    </row>
    <row r="2752" spans="1:1" x14ac:dyDescent="0.3">
      <c r="A2752" s="1"/>
    </row>
    <row r="2753" spans="1:1" x14ac:dyDescent="0.3">
      <c r="A2753" s="1"/>
    </row>
    <row r="2754" spans="1:1" x14ac:dyDescent="0.3">
      <c r="A2754" s="1"/>
    </row>
    <row r="2755" spans="1:1" x14ac:dyDescent="0.3">
      <c r="A2755" s="1"/>
    </row>
    <row r="2756" spans="1:1" x14ac:dyDescent="0.3">
      <c r="A2756" s="1"/>
    </row>
    <row r="2757" spans="1:1" x14ac:dyDescent="0.3">
      <c r="A2757" s="1"/>
    </row>
    <row r="2758" spans="1:1" x14ac:dyDescent="0.3">
      <c r="A2758" s="1"/>
    </row>
    <row r="2759" spans="1:1" x14ac:dyDescent="0.3">
      <c r="A2759" s="1"/>
    </row>
    <row r="2760" spans="1:1" x14ac:dyDescent="0.3">
      <c r="A2760" s="1"/>
    </row>
    <row r="2761" spans="1:1" x14ac:dyDescent="0.3">
      <c r="A2761" s="1"/>
    </row>
    <row r="2762" spans="1:1" x14ac:dyDescent="0.3">
      <c r="A2762" s="1"/>
    </row>
    <row r="2763" spans="1:1" x14ac:dyDescent="0.3">
      <c r="A2763" s="1"/>
    </row>
    <row r="2764" spans="1:1" x14ac:dyDescent="0.3">
      <c r="A2764" s="1"/>
    </row>
    <row r="2765" spans="1:1" x14ac:dyDescent="0.3">
      <c r="A2765" s="1"/>
    </row>
    <row r="2766" spans="1:1" x14ac:dyDescent="0.3">
      <c r="A2766" s="1"/>
    </row>
    <row r="2767" spans="1:1" x14ac:dyDescent="0.3">
      <c r="A2767" s="1"/>
    </row>
    <row r="2768" spans="1:1" x14ac:dyDescent="0.3">
      <c r="A2768" s="1"/>
    </row>
    <row r="2769" spans="1:1" x14ac:dyDescent="0.3">
      <c r="A2769" s="1"/>
    </row>
    <row r="2770" spans="1:1" x14ac:dyDescent="0.3">
      <c r="A2770" s="1"/>
    </row>
    <row r="2771" spans="1:1" x14ac:dyDescent="0.3">
      <c r="A2771" s="1"/>
    </row>
    <row r="2772" spans="1:1" x14ac:dyDescent="0.3">
      <c r="A2772" s="1"/>
    </row>
    <row r="2773" spans="1:1" x14ac:dyDescent="0.3">
      <c r="A2773" s="1"/>
    </row>
    <row r="2774" spans="1:1" x14ac:dyDescent="0.3">
      <c r="A2774" s="1"/>
    </row>
    <row r="2775" spans="1:1" x14ac:dyDescent="0.3">
      <c r="A2775" s="1"/>
    </row>
    <row r="2776" spans="1:1" x14ac:dyDescent="0.3">
      <c r="A2776" s="1"/>
    </row>
    <row r="2777" spans="1:1" x14ac:dyDescent="0.3">
      <c r="A2777" s="1"/>
    </row>
    <row r="2778" spans="1:1" x14ac:dyDescent="0.3">
      <c r="A2778" s="1"/>
    </row>
    <row r="2779" spans="1:1" x14ac:dyDescent="0.3">
      <c r="A2779" s="1"/>
    </row>
    <row r="2780" spans="1:1" x14ac:dyDescent="0.3">
      <c r="A2780" s="1"/>
    </row>
    <row r="2781" spans="1:1" x14ac:dyDescent="0.3">
      <c r="A2781" s="1"/>
    </row>
    <row r="2782" spans="1:1" x14ac:dyDescent="0.3">
      <c r="A2782" s="1"/>
    </row>
    <row r="2783" spans="1:1" x14ac:dyDescent="0.3">
      <c r="A2783" s="1"/>
    </row>
    <row r="2784" spans="1:1" x14ac:dyDescent="0.3">
      <c r="A2784" s="1"/>
    </row>
    <row r="2785" spans="1:1" x14ac:dyDescent="0.3">
      <c r="A2785" s="1"/>
    </row>
    <row r="2786" spans="1:1" x14ac:dyDescent="0.3">
      <c r="A2786" s="1"/>
    </row>
    <row r="2787" spans="1:1" x14ac:dyDescent="0.3">
      <c r="A2787" s="1"/>
    </row>
    <row r="2788" spans="1:1" x14ac:dyDescent="0.3">
      <c r="A2788" s="1"/>
    </row>
    <row r="2789" spans="1:1" x14ac:dyDescent="0.3">
      <c r="A2789" s="1"/>
    </row>
    <row r="2790" spans="1:1" x14ac:dyDescent="0.3">
      <c r="A2790" s="1"/>
    </row>
    <row r="2791" spans="1:1" x14ac:dyDescent="0.3">
      <c r="A2791" s="1"/>
    </row>
    <row r="2792" spans="1:1" x14ac:dyDescent="0.3">
      <c r="A2792" s="1"/>
    </row>
    <row r="2793" spans="1:1" x14ac:dyDescent="0.3">
      <c r="A2793" s="1"/>
    </row>
    <row r="2794" spans="1:1" x14ac:dyDescent="0.3">
      <c r="A2794" s="1"/>
    </row>
    <row r="2795" spans="1:1" x14ac:dyDescent="0.3">
      <c r="A2795" s="1"/>
    </row>
    <row r="2796" spans="1:1" x14ac:dyDescent="0.3">
      <c r="A2796" s="1"/>
    </row>
    <row r="2797" spans="1:1" x14ac:dyDescent="0.3">
      <c r="A2797" s="1"/>
    </row>
    <row r="2798" spans="1:1" x14ac:dyDescent="0.3">
      <c r="A2798" s="1"/>
    </row>
    <row r="2799" spans="1:1" x14ac:dyDescent="0.3">
      <c r="A2799" s="1"/>
    </row>
    <row r="2800" spans="1:1" x14ac:dyDescent="0.3">
      <c r="A2800" s="1"/>
    </row>
    <row r="2801" spans="1:1" x14ac:dyDescent="0.3">
      <c r="A2801" s="1"/>
    </row>
    <row r="2802" spans="1:1" x14ac:dyDescent="0.3">
      <c r="A2802" s="1"/>
    </row>
    <row r="2803" spans="1:1" x14ac:dyDescent="0.3">
      <c r="A2803" s="1"/>
    </row>
    <row r="2804" spans="1:1" x14ac:dyDescent="0.3">
      <c r="A2804" s="1"/>
    </row>
    <row r="2805" spans="1:1" x14ac:dyDescent="0.3">
      <c r="A2805" s="1"/>
    </row>
    <row r="2806" spans="1:1" x14ac:dyDescent="0.3">
      <c r="A2806" s="1"/>
    </row>
    <row r="2807" spans="1:1" x14ac:dyDescent="0.3">
      <c r="A2807" s="1"/>
    </row>
    <row r="2808" spans="1:1" x14ac:dyDescent="0.3">
      <c r="A2808" s="1"/>
    </row>
    <row r="2809" spans="1:1" x14ac:dyDescent="0.3">
      <c r="A2809" s="1"/>
    </row>
    <row r="2810" spans="1:1" x14ac:dyDescent="0.3">
      <c r="A2810" s="1"/>
    </row>
    <row r="2811" spans="1:1" x14ac:dyDescent="0.3">
      <c r="A2811" s="1"/>
    </row>
    <row r="2812" spans="1:1" x14ac:dyDescent="0.3">
      <c r="A2812" s="1"/>
    </row>
    <row r="2813" spans="1:1" x14ac:dyDescent="0.3">
      <c r="A2813" s="1"/>
    </row>
    <row r="2814" spans="1:1" x14ac:dyDescent="0.3">
      <c r="A2814" s="1"/>
    </row>
    <row r="2815" spans="1:1" x14ac:dyDescent="0.3">
      <c r="A2815" s="1"/>
    </row>
    <row r="2816" spans="1:1" x14ac:dyDescent="0.3">
      <c r="A2816" s="1"/>
    </row>
    <row r="2817" spans="1:1" x14ac:dyDescent="0.3">
      <c r="A2817" s="1"/>
    </row>
    <row r="2818" spans="1:1" x14ac:dyDescent="0.3">
      <c r="A2818" s="1"/>
    </row>
    <row r="2819" spans="1:1" x14ac:dyDescent="0.3">
      <c r="A2819" s="1"/>
    </row>
    <row r="2820" spans="1:1" x14ac:dyDescent="0.3">
      <c r="A2820" s="1"/>
    </row>
    <row r="2821" spans="1:1" x14ac:dyDescent="0.3">
      <c r="A2821" s="1"/>
    </row>
    <row r="2822" spans="1:1" x14ac:dyDescent="0.3">
      <c r="A2822" s="1"/>
    </row>
    <row r="2823" spans="1:1" x14ac:dyDescent="0.3">
      <c r="A2823" s="1"/>
    </row>
    <row r="2824" spans="1:1" x14ac:dyDescent="0.3">
      <c r="A2824" s="1"/>
    </row>
    <row r="2825" spans="1:1" x14ac:dyDescent="0.3">
      <c r="A2825" s="1"/>
    </row>
    <row r="2826" spans="1:1" x14ac:dyDescent="0.3">
      <c r="A2826" s="1"/>
    </row>
    <row r="2827" spans="1:1" x14ac:dyDescent="0.3">
      <c r="A2827" s="1"/>
    </row>
    <row r="2828" spans="1:1" x14ac:dyDescent="0.3">
      <c r="A2828" s="1"/>
    </row>
    <row r="2829" spans="1:1" x14ac:dyDescent="0.3">
      <c r="A2829" s="1"/>
    </row>
    <row r="2830" spans="1:1" x14ac:dyDescent="0.3">
      <c r="A2830" s="1"/>
    </row>
    <row r="2831" spans="1:1" x14ac:dyDescent="0.3">
      <c r="A2831" s="1"/>
    </row>
    <row r="2832" spans="1:1" x14ac:dyDescent="0.3">
      <c r="A2832" s="1"/>
    </row>
    <row r="2833" spans="1:1" x14ac:dyDescent="0.3">
      <c r="A2833" s="1"/>
    </row>
    <row r="2834" spans="1:1" x14ac:dyDescent="0.3">
      <c r="A2834" s="1"/>
    </row>
    <row r="2835" spans="1:1" x14ac:dyDescent="0.3">
      <c r="A2835" s="1"/>
    </row>
    <row r="2836" spans="1:1" x14ac:dyDescent="0.3">
      <c r="A2836" s="1"/>
    </row>
    <row r="2837" spans="1:1" x14ac:dyDescent="0.3">
      <c r="A2837" s="1"/>
    </row>
    <row r="2838" spans="1:1" x14ac:dyDescent="0.3">
      <c r="A2838" s="1"/>
    </row>
    <row r="2839" spans="1:1" x14ac:dyDescent="0.3">
      <c r="A2839" s="1"/>
    </row>
    <row r="2840" spans="1:1" x14ac:dyDescent="0.3">
      <c r="A2840" s="1"/>
    </row>
    <row r="2841" spans="1:1" x14ac:dyDescent="0.3">
      <c r="A2841" s="1"/>
    </row>
    <row r="2842" spans="1:1" x14ac:dyDescent="0.3">
      <c r="A2842" s="1"/>
    </row>
    <row r="2843" spans="1:1" x14ac:dyDescent="0.3">
      <c r="A2843" s="1"/>
    </row>
    <row r="2844" spans="1:1" x14ac:dyDescent="0.3">
      <c r="A2844" s="1"/>
    </row>
    <row r="2845" spans="1:1" x14ac:dyDescent="0.3">
      <c r="A2845" s="1"/>
    </row>
    <row r="2846" spans="1:1" x14ac:dyDescent="0.3">
      <c r="A2846" s="1"/>
    </row>
    <row r="2847" spans="1:1" x14ac:dyDescent="0.3">
      <c r="A2847" s="1"/>
    </row>
    <row r="2848" spans="1:1" x14ac:dyDescent="0.3">
      <c r="A2848" s="1"/>
    </row>
    <row r="2849" spans="1:1" x14ac:dyDescent="0.3">
      <c r="A2849" s="1"/>
    </row>
    <row r="2850" spans="1:1" x14ac:dyDescent="0.3">
      <c r="A2850" s="1"/>
    </row>
    <row r="2851" spans="1:1" x14ac:dyDescent="0.3">
      <c r="A2851" s="1"/>
    </row>
    <row r="2852" spans="1:1" x14ac:dyDescent="0.3">
      <c r="A2852" s="1"/>
    </row>
    <row r="2853" spans="1:1" x14ac:dyDescent="0.3">
      <c r="A2853" s="1"/>
    </row>
    <row r="2854" spans="1:1" x14ac:dyDescent="0.3">
      <c r="A2854" s="1"/>
    </row>
    <row r="2855" spans="1:1" x14ac:dyDescent="0.3">
      <c r="A2855" s="1"/>
    </row>
    <row r="2856" spans="1:1" x14ac:dyDescent="0.3">
      <c r="A2856" s="1"/>
    </row>
    <row r="2857" spans="1:1" x14ac:dyDescent="0.3">
      <c r="A2857" s="1"/>
    </row>
    <row r="2858" spans="1:1" x14ac:dyDescent="0.3">
      <c r="A2858" s="1"/>
    </row>
    <row r="2859" spans="1:1" x14ac:dyDescent="0.3">
      <c r="A2859" s="1"/>
    </row>
    <row r="2860" spans="1:1" x14ac:dyDescent="0.3">
      <c r="A2860" s="1"/>
    </row>
    <row r="2861" spans="1:1" x14ac:dyDescent="0.3">
      <c r="A2861" s="1"/>
    </row>
    <row r="2862" spans="1:1" x14ac:dyDescent="0.3">
      <c r="A2862" s="1"/>
    </row>
    <row r="2863" spans="1:1" x14ac:dyDescent="0.3">
      <c r="A2863" s="1"/>
    </row>
    <row r="2864" spans="1:1" x14ac:dyDescent="0.3">
      <c r="A2864" s="1"/>
    </row>
    <row r="2865" spans="1:1" x14ac:dyDescent="0.3">
      <c r="A2865" s="1"/>
    </row>
    <row r="2866" spans="1:1" x14ac:dyDescent="0.3">
      <c r="A2866" s="1"/>
    </row>
    <row r="2867" spans="1:1" x14ac:dyDescent="0.3">
      <c r="A2867" s="1"/>
    </row>
    <row r="2868" spans="1:1" x14ac:dyDescent="0.3">
      <c r="A2868" s="1"/>
    </row>
    <row r="2869" spans="1:1" x14ac:dyDescent="0.3">
      <c r="A2869" s="1"/>
    </row>
    <row r="2870" spans="1:1" x14ac:dyDescent="0.3">
      <c r="A2870" s="1"/>
    </row>
    <row r="2871" spans="1:1" x14ac:dyDescent="0.3">
      <c r="A2871" s="1"/>
    </row>
    <row r="2872" spans="1:1" x14ac:dyDescent="0.3">
      <c r="A2872" s="1"/>
    </row>
    <row r="2873" spans="1:1" x14ac:dyDescent="0.3">
      <c r="A2873" s="1"/>
    </row>
    <row r="2874" spans="1:1" x14ac:dyDescent="0.3">
      <c r="A2874" s="1"/>
    </row>
    <row r="2875" spans="1:1" x14ac:dyDescent="0.3">
      <c r="A2875" s="1"/>
    </row>
    <row r="2876" spans="1:1" x14ac:dyDescent="0.3">
      <c r="A2876" s="1"/>
    </row>
    <row r="2877" spans="1:1" x14ac:dyDescent="0.3">
      <c r="A2877" s="1"/>
    </row>
    <row r="2878" spans="1:1" x14ac:dyDescent="0.3">
      <c r="A2878" s="1"/>
    </row>
    <row r="2879" spans="1:1" x14ac:dyDescent="0.3">
      <c r="A2879" s="1"/>
    </row>
    <row r="2880" spans="1:1" x14ac:dyDescent="0.3">
      <c r="A2880" s="1"/>
    </row>
    <row r="2881" spans="1:1" x14ac:dyDescent="0.3">
      <c r="A2881" s="1"/>
    </row>
    <row r="2882" spans="1:1" x14ac:dyDescent="0.3">
      <c r="A2882" s="1"/>
    </row>
    <row r="2883" spans="1:1" x14ac:dyDescent="0.3">
      <c r="A2883" s="1"/>
    </row>
    <row r="2884" spans="1:1" x14ac:dyDescent="0.3">
      <c r="A2884" s="1"/>
    </row>
    <row r="2885" spans="1:1" x14ac:dyDescent="0.3">
      <c r="A2885" s="1"/>
    </row>
    <row r="2886" spans="1:1" x14ac:dyDescent="0.3">
      <c r="A2886" s="1"/>
    </row>
    <row r="2887" spans="1:1" x14ac:dyDescent="0.3">
      <c r="A2887" s="1"/>
    </row>
    <row r="2888" spans="1:1" x14ac:dyDescent="0.3">
      <c r="A2888" s="1"/>
    </row>
    <row r="2889" spans="1:1" x14ac:dyDescent="0.3">
      <c r="A2889" s="1"/>
    </row>
    <row r="2890" spans="1:1" x14ac:dyDescent="0.3">
      <c r="A2890" s="1"/>
    </row>
    <row r="2891" spans="1:1" x14ac:dyDescent="0.3">
      <c r="A2891" s="1"/>
    </row>
    <row r="2892" spans="1:1" x14ac:dyDescent="0.3">
      <c r="A2892" s="1"/>
    </row>
    <row r="2893" spans="1:1" x14ac:dyDescent="0.3">
      <c r="A2893" s="1"/>
    </row>
    <row r="2894" spans="1:1" x14ac:dyDescent="0.3">
      <c r="A2894" s="1"/>
    </row>
    <row r="2895" spans="1:1" x14ac:dyDescent="0.3">
      <c r="A2895" s="1"/>
    </row>
    <row r="2896" spans="1:1" x14ac:dyDescent="0.3">
      <c r="A2896" s="1"/>
    </row>
    <row r="2897" spans="1:1" x14ac:dyDescent="0.3">
      <c r="A2897" s="1"/>
    </row>
    <row r="2898" spans="1:1" x14ac:dyDescent="0.3">
      <c r="A2898" s="1"/>
    </row>
    <row r="2899" spans="1:1" x14ac:dyDescent="0.3">
      <c r="A2899" s="1"/>
    </row>
    <row r="2900" spans="1:1" x14ac:dyDescent="0.3">
      <c r="A2900" s="1"/>
    </row>
    <row r="2901" spans="1:1" x14ac:dyDescent="0.3">
      <c r="A2901" s="1"/>
    </row>
    <row r="2902" spans="1:1" x14ac:dyDescent="0.3">
      <c r="A2902" s="1"/>
    </row>
    <row r="2903" spans="1:1" x14ac:dyDescent="0.3">
      <c r="A2903" s="1"/>
    </row>
    <row r="2904" spans="1:1" x14ac:dyDescent="0.3">
      <c r="A2904" s="1"/>
    </row>
    <row r="2905" spans="1:1" x14ac:dyDescent="0.3">
      <c r="A2905" s="1"/>
    </row>
    <row r="2906" spans="1:1" x14ac:dyDescent="0.3">
      <c r="A2906" s="1"/>
    </row>
    <row r="2907" spans="1:1" x14ac:dyDescent="0.3">
      <c r="A2907" s="1"/>
    </row>
    <row r="2908" spans="1:1" x14ac:dyDescent="0.3">
      <c r="A2908" s="1"/>
    </row>
    <row r="2909" spans="1:1" x14ac:dyDescent="0.3">
      <c r="A2909" s="1"/>
    </row>
    <row r="2910" spans="1:1" x14ac:dyDescent="0.3">
      <c r="A2910" s="1"/>
    </row>
    <row r="2911" spans="1:1" x14ac:dyDescent="0.3">
      <c r="A2911" s="1"/>
    </row>
    <row r="2912" spans="1:1" x14ac:dyDescent="0.3">
      <c r="A2912" s="1"/>
    </row>
    <row r="2913" spans="1:1" x14ac:dyDescent="0.3">
      <c r="A2913" s="1"/>
    </row>
    <row r="2914" spans="1:1" x14ac:dyDescent="0.3">
      <c r="A2914" s="1"/>
    </row>
    <row r="2915" spans="1:1" x14ac:dyDescent="0.3">
      <c r="A2915" s="1"/>
    </row>
    <row r="2916" spans="1:1" x14ac:dyDescent="0.3">
      <c r="A2916" s="1"/>
    </row>
    <row r="2917" spans="1:1" x14ac:dyDescent="0.3">
      <c r="A2917" s="1"/>
    </row>
    <row r="2918" spans="1:1" x14ac:dyDescent="0.3">
      <c r="A2918" s="1"/>
    </row>
    <row r="2919" spans="1:1" x14ac:dyDescent="0.3">
      <c r="A2919" s="1"/>
    </row>
    <row r="2920" spans="1:1" x14ac:dyDescent="0.3">
      <c r="A2920" s="1"/>
    </row>
    <row r="2921" spans="1:1" x14ac:dyDescent="0.3">
      <c r="A2921" s="1"/>
    </row>
    <row r="2922" spans="1:1" x14ac:dyDescent="0.3">
      <c r="A2922" s="1"/>
    </row>
    <row r="2923" spans="1:1" x14ac:dyDescent="0.3">
      <c r="A2923" s="1"/>
    </row>
    <row r="2924" spans="1:1" x14ac:dyDescent="0.3">
      <c r="A2924" s="1"/>
    </row>
    <row r="2925" spans="1:1" x14ac:dyDescent="0.3">
      <c r="A2925" s="1"/>
    </row>
    <row r="2926" spans="1:1" x14ac:dyDescent="0.3">
      <c r="A2926" s="1"/>
    </row>
    <row r="2927" spans="1:1" x14ac:dyDescent="0.3">
      <c r="A2927" s="1"/>
    </row>
    <row r="2928" spans="1:1" x14ac:dyDescent="0.3">
      <c r="A2928" s="1"/>
    </row>
    <row r="2929" spans="1:1" x14ac:dyDescent="0.3">
      <c r="A2929" s="1"/>
    </row>
    <row r="2930" spans="1:1" x14ac:dyDescent="0.3">
      <c r="A2930" s="1"/>
    </row>
    <row r="2931" spans="1:1" x14ac:dyDescent="0.3">
      <c r="A2931" s="1"/>
    </row>
    <row r="2932" spans="1:1" x14ac:dyDescent="0.3">
      <c r="A2932" s="1"/>
    </row>
    <row r="2933" spans="1:1" x14ac:dyDescent="0.3">
      <c r="A2933" s="1"/>
    </row>
    <row r="2934" spans="1:1" x14ac:dyDescent="0.3">
      <c r="A2934" s="1"/>
    </row>
    <row r="2935" spans="1:1" x14ac:dyDescent="0.3">
      <c r="A2935" s="1"/>
    </row>
    <row r="2936" spans="1:1" x14ac:dyDescent="0.3">
      <c r="A2936" s="1"/>
    </row>
    <row r="2937" spans="1:1" x14ac:dyDescent="0.3">
      <c r="A2937" s="1"/>
    </row>
    <row r="2938" spans="1:1" x14ac:dyDescent="0.3">
      <c r="A2938" s="1"/>
    </row>
    <row r="2939" spans="1:1" x14ac:dyDescent="0.3">
      <c r="A2939" s="1"/>
    </row>
    <row r="2940" spans="1:1" x14ac:dyDescent="0.3">
      <c r="A2940" s="1"/>
    </row>
    <row r="2941" spans="1:1" x14ac:dyDescent="0.3">
      <c r="A2941" s="1"/>
    </row>
    <row r="2942" spans="1:1" x14ac:dyDescent="0.3">
      <c r="A2942" s="1"/>
    </row>
    <row r="2943" spans="1:1" x14ac:dyDescent="0.3">
      <c r="A2943" s="1"/>
    </row>
    <row r="2944" spans="1:1" x14ac:dyDescent="0.3">
      <c r="A2944" s="1"/>
    </row>
    <row r="2945" spans="1:1" x14ac:dyDescent="0.3">
      <c r="A2945" s="1"/>
    </row>
    <row r="2946" spans="1:1" x14ac:dyDescent="0.3">
      <c r="A2946" s="1"/>
    </row>
    <row r="2947" spans="1:1" x14ac:dyDescent="0.3">
      <c r="A2947" s="1"/>
    </row>
    <row r="2948" spans="1:1" x14ac:dyDescent="0.3">
      <c r="A2948" s="1"/>
    </row>
    <row r="2949" spans="1:1" x14ac:dyDescent="0.3">
      <c r="A2949" s="1"/>
    </row>
    <row r="2950" spans="1:1" x14ac:dyDescent="0.3">
      <c r="A2950" s="1"/>
    </row>
    <row r="2951" spans="1:1" x14ac:dyDescent="0.3">
      <c r="A2951" s="1"/>
    </row>
    <row r="2952" spans="1:1" x14ac:dyDescent="0.3">
      <c r="A2952" s="1"/>
    </row>
    <row r="2953" spans="1:1" x14ac:dyDescent="0.3">
      <c r="A2953" s="1"/>
    </row>
    <row r="2954" spans="1:1" x14ac:dyDescent="0.3">
      <c r="A2954" s="1"/>
    </row>
    <row r="2955" spans="1:1" x14ac:dyDescent="0.3">
      <c r="A2955" s="1"/>
    </row>
    <row r="2956" spans="1:1" x14ac:dyDescent="0.3">
      <c r="A2956" s="1"/>
    </row>
    <row r="2957" spans="1:1" x14ac:dyDescent="0.3">
      <c r="A2957" s="1"/>
    </row>
    <row r="2958" spans="1:1" x14ac:dyDescent="0.3">
      <c r="A2958" s="1"/>
    </row>
    <row r="2959" spans="1:1" x14ac:dyDescent="0.3">
      <c r="A2959" s="1"/>
    </row>
    <row r="2960" spans="1:1" x14ac:dyDescent="0.3">
      <c r="A2960" s="1"/>
    </row>
    <row r="2961" spans="1:1" x14ac:dyDescent="0.3">
      <c r="A2961" s="1"/>
    </row>
    <row r="2962" spans="1:1" x14ac:dyDescent="0.3">
      <c r="A2962" s="1"/>
    </row>
    <row r="2963" spans="1:1" x14ac:dyDescent="0.3">
      <c r="A2963" s="1"/>
    </row>
    <row r="2964" spans="1:1" x14ac:dyDescent="0.3">
      <c r="A2964" s="1"/>
    </row>
    <row r="2965" spans="1:1" x14ac:dyDescent="0.3">
      <c r="A2965" s="1"/>
    </row>
    <row r="2966" spans="1:1" x14ac:dyDescent="0.3">
      <c r="A2966" s="1"/>
    </row>
    <row r="2967" spans="1:1" x14ac:dyDescent="0.3">
      <c r="A2967" s="1"/>
    </row>
    <row r="2968" spans="1:1" x14ac:dyDescent="0.3">
      <c r="A2968" s="1"/>
    </row>
    <row r="2969" spans="1:1" x14ac:dyDescent="0.3">
      <c r="A2969" s="1"/>
    </row>
    <row r="2970" spans="1:1" x14ac:dyDescent="0.3">
      <c r="A2970" s="1"/>
    </row>
    <row r="2971" spans="1:1" x14ac:dyDescent="0.3">
      <c r="A2971" s="1"/>
    </row>
    <row r="2972" spans="1:1" x14ac:dyDescent="0.3">
      <c r="A2972" s="1"/>
    </row>
    <row r="2973" spans="1:1" x14ac:dyDescent="0.3">
      <c r="A2973" s="1"/>
    </row>
    <row r="2974" spans="1:1" x14ac:dyDescent="0.3">
      <c r="A2974" s="1"/>
    </row>
    <row r="2975" spans="1:1" x14ac:dyDescent="0.3">
      <c r="A2975" s="1"/>
    </row>
    <row r="2976" spans="1:1" x14ac:dyDescent="0.3">
      <c r="A2976" s="1"/>
    </row>
    <row r="2977" spans="1:1" x14ac:dyDescent="0.3">
      <c r="A2977" s="1"/>
    </row>
    <row r="2978" spans="1:1" x14ac:dyDescent="0.3">
      <c r="A2978" s="1"/>
    </row>
    <row r="2979" spans="1:1" x14ac:dyDescent="0.3">
      <c r="A2979" s="1"/>
    </row>
    <row r="2980" spans="1:1" x14ac:dyDescent="0.3">
      <c r="A2980" s="1"/>
    </row>
    <row r="2981" spans="1:1" x14ac:dyDescent="0.3">
      <c r="A2981" s="1"/>
    </row>
    <row r="2982" spans="1:1" x14ac:dyDescent="0.3">
      <c r="A2982" s="1"/>
    </row>
    <row r="2983" spans="1:1" x14ac:dyDescent="0.3">
      <c r="A2983" s="1"/>
    </row>
    <row r="2984" spans="1:1" x14ac:dyDescent="0.3">
      <c r="A2984" s="1"/>
    </row>
    <row r="2985" spans="1:1" x14ac:dyDescent="0.3">
      <c r="A2985" s="1"/>
    </row>
    <row r="2986" spans="1:1" x14ac:dyDescent="0.3">
      <c r="A2986" s="1"/>
    </row>
    <row r="2987" spans="1:1" x14ac:dyDescent="0.3">
      <c r="A2987" s="1"/>
    </row>
    <row r="2988" spans="1:1" x14ac:dyDescent="0.3">
      <c r="A2988" s="1"/>
    </row>
    <row r="2989" spans="1:1" x14ac:dyDescent="0.3">
      <c r="A2989" s="1"/>
    </row>
    <row r="2990" spans="1:1" x14ac:dyDescent="0.3">
      <c r="A2990" s="1"/>
    </row>
    <row r="2991" spans="1:1" x14ac:dyDescent="0.3">
      <c r="A2991" s="1"/>
    </row>
    <row r="2992" spans="1:1" x14ac:dyDescent="0.3">
      <c r="A2992" s="1"/>
    </row>
    <row r="2993" spans="1:1" x14ac:dyDescent="0.3">
      <c r="A2993" s="1"/>
    </row>
    <row r="2994" spans="1:1" x14ac:dyDescent="0.3">
      <c r="A2994" s="1"/>
    </row>
    <row r="2995" spans="1:1" x14ac:dyDescent="0.3">
      <c r="A2995" s="1"/>
    </row>
    <row r="2996" spans="1:1" x14ac:dyDescent="0.3">
      <c r="A2996" s="1"/>
    </row>
    <row r="2997" spans="1:1" x14ac:dyDescent="0.3">
      <c r="A2997" s="1"/>
    </row>
    <row r="2998" spans="1:1" x14ac:dyDescent="0.3">
      <c r="A2998" s="1"/>
    </row>
    <row r="2999" spans="1:1" x14ac:dyDescent="0.3">
      <c r="A2999" s="1"/>
    </row>
    <row r="3000" spans="1:1" x14ac:dyDescent="0.3">
      <c r="A3000" s="1"/>
    </row>
    <row r="3001" spans="1:1" x14ac:dyDescent="0.3">
      <c r="A3001" s="1"/>
    </row>
    <row r="3002" spans="1:1" x14ac:dyDescent="0.3">
      <c r="A3002" s="1"/>
    </row>
    <row r="3003" spans="1:1" x14ac:dyDescent="0.3">
      <c r="A3003" s="1"/>
    </row>
    <row r="3004" spans="1:1" x14ac:dyDescent="0.3">
      <c r="A3004" s="1"/>
    </row>
    <row r="3005" spans="1:1" x14ac:dyDescent="0.3">
      <c r="A3005" s="1"/>
    </row>
    <row r="3006" spans="1:1" x14ac:dyDescent="0.3">
      <c r="A3006" s="1"/>
    </row>
    <row r="3007" spans="1:1" x14ac:dyDescent="0.3">
      <c r="A3007" s="1"/>
    </row>
    <row r="3008" spans="1:1" x14ac:dyDescent="0.3">
      <c r="A3008" s="1"/>
    </row>
    <row r="3009" spans="1:1" x14ac:dyDescent="0.3">
      <c r="A3009" s="1"/>
    </row>
    <row r="3010" spans="1:1" x14ac:dyDescent="0.3">
      <c r="A3010" s="1"/>
    </row>
    <row r="3011" spans="1:1" x14ac:dyDescent="0.3">
      <c r="A3011" s="1"/>
    </row>
    <row r="3012" spans="1:1" x14ac:dyDescent="0.3">
      <c r="A3012" s="1"/>
    </row>
    <row r="3013" spans="1:1" x14ac:dyDescent="0.3">
      <c r="A3013" s="1"/>
    </row>
    <row r="3014" spans="1:1" x14ac:dyDescent="0.3">
      <c r="A3014" s="1"/>
    </row>
    <row r="3015" spans="1:1" x14ac:dyDescent="0.3">
      <c r="A3015" s="1"/>
    </row>
    <row r="3016" spans="1:1" x14ac:dyDescent="0.3">
      <c r="A3016" s="1"/>
    </row>
    <row r="3017" spans="1:1" x14ac:dyDescent="0.3">
      <c r="A3017" s="1"/>
    </row>
    <row r="3018" spans="1:1" x14ac:dyDescent="0.3">
      <c r="A3018" s="1"/>
    </row>
    <row r="3019" spans="1:1" x14ac:dyDescent="0.3">
      <c r="A3019" s="1"/>
    </row>
    <row r="3020" spans="1:1" x14ac:dyDescent="0.3">
      <c r="A3020" s="1"/>
    </row>
    <row r="3021" spans="1:1" x14ac:dyDescent="0.3">
      <c r="A3021" s="1"/>
    </row>
    <row r="3022" spans="1:1" x14ac:dyDescent="0.3">
      <c r="A3022" s="1"/>
    </row>
    <row r="3023" spans="1:1" x14ac:dyDescent="0.3">
      <c r="A3023" s="1"/>
    </row>
    <row r="3024" spans="1:1" x14ac:dyDescent="0.3">
      <c r="A3024" s="1"/>
    </row>
    <row r="3025" spans="1:1" x14ac:dyDescent="0.3">
      <c r="A3025" s="1"/>
    </row>
    <row r="3026" spans="1:1" x14ac:dyDescent="0.3">
      <c r="A3026" s="1"/>
    </row>
    <row r="3027" spans="1:1" x14ac:dyDescent="0.3">
      <c r="A3027" s="1"/>
    </row>
    <row r="3028" spans="1:1" x14ac:dyDescent="0.3">
      <c r="A3028" s="1"/>
    </row>
    <row r="3029" spans="1:1" x14ac:dyDescent="0.3">
      <c r="A3029" s="1"/>
    </row>
    <row r="3030" spans="1:1" x14ac:dyDescent="0.3">
      <c r="A3030" s="1"/>
    </row>
    <row r="3031" spans="1:1" x14ac:dyDescent="0.3">
      <c r="A3031" s="1"/>
    </row>
    <row r="3032" spans="1:1" x14ac:dyDescent="0.3">
      <c r="A3032" s="1"/>
    </row>
    <row r="3033" spans="1:1" x14ac:dyDescent="0.3">
      <c r="A3033" s="1"/>
    </row>
    <row r="3034" spans="1:1" x14ac:dyDescent="0.3">
      <c r="A3034" s="1"/>
    </row>
    <row r="3035" spans="1:1" x14ac:dyDescent="0.3">
      <c r="A3035" s="1"/>
    </row>
    <row r="3036" spans="1:1" x14ac:dyDescent="0.3">
      <c r="A3036" s="1"/>
    </row>
    <row r="3037" spans="1:1" x14ac:dyDescent="0.3">
      <c r="A3037" s="1"/>
    </row>
    <row r="3038" spans="1:1" x14ac:dyDescent="0.3">
      <c r="A3038" s="1"/>
    </row>
    <row r="3039" spans="1:1" x14ac:dyDescent="0.3">
      <c r="A3039" s="1"/>
    </row>
    <row r="3040" spans="1:1" x14ac:dyDescent="0.3">
      <c r="A3040" s="1"/>
    </row>
    <row r="3041" spans="1:1" x14ac:dyDescent="0.3">
      <c r="A3041" s="1"/>
    </row>
    <row r="3042" spans="1:1" x14ac:dyDescent="0.3">
      <c r="A3042" s="1"/>
    </row>
    <row r="3043" spans="1:1" x14ac:dyDescent="0.3">
      <c r="A3043" s="1"/>
    </row>
    <row r="3044" spans="1:1" x14ac:dyDescent="0.3">
      <c r="A3044" s="1"/>
    </row>
    <row r="3045" spans="1:1" x14ac:dyDescent="0.3">
      <c r="A3045" s="1"/>
    </row>
    <row r="3046" spans="1:1" x14ac:dyDescent="0.3">
      <c r="A3046" s="1"/>
    </row>
    <row r="3047" spans="1:1" x14ac:dyDescent="0.3">
      <c r="A3047" s="1"/>
    </row>
    <row r="3048" spans="1:1" x14ac:dyDescent="0.3">
      <c r="A3048" s="1"/>
    </row>
    <row r="3049" spans="1:1" x14ac:dyDescent="0.3">
      <c r="A3049" s="1"/>
    </row>
    <row r="3050" spans="1:1" x14ac:dyDescent="0.3">
      <c r="A3050" s="1"/>
    </row>
    <row r="3051" spans="1:1" x14ac:dyDescent="0.3">
      <c r="A3051" s="1"/>
    </row>
    <row r="3052" spans="1:1" x14ac:dyDescent="0.3">
      <c r="A3052" s="1"/>
    </row>
    <row r="3053" spans="1:1" x14ac:dyDescent="0.3">
      <c r="A3053" s="1"/>
    </row>
    <row r="3054" spans="1:1" x14ac:dyDescent="0.3">
      <c r="A3054" s="1"/>
    </row>
    <row r="3055" spans="1:1" x14ac:dyDescent="0.3">
      <c r="A3055" s="1"/>
    </row>
    <row r="3056" spans="1:1" x14ac:dyDescent="0.3">
      <c r="A3056" s="1"/>
    </row>
    <row r="3057" spans="1:1" x14ac:dyDescent="0.3">
      <c r="A3057" s="1"/>
    </row>
    <row r="3058" spans="1:1" x14ac:dyDescent="0.3">
      <c r="A3058" s="1"/>
    </row>
    <row r="3059" spans="1:1" x14ac:dyDescent="0.3">
      <c r="A3059" s="1"/>
    </row>
    <row r="3060" spans="1:1" x14ac:dyDescent="0.3">
      <c r="A3060" s="1"/>
    </row>
    <row r="3061" spans="1:1" x14ac:dyDescent="0.3">
      <c r="A3061" s="1"/>
    </row>
    <row r="3062" spans="1:1" x14ac:dyDescent="0.3">
      <c r="A3062" s="1"/>
    </row>
    <row r="3063" spans="1:1" x14ac:dyDescent="0.3">
      <c r="A3063" s="1"/>
    </row>
    <row r="3064" spans="1:1" x14ac:dyDescent="0.3">
      <c r="A3064" s="1"/>
    </row>
    <row r="3065" spans="1:1" x14ac:dyDescent="0.3">
      <c r="A3065" s="1"/>
    </row>
    <row r="3066" spans="1:1" x14ac:dyDescent="0.3">
      <c r="A3066" s="1"/>
    </row>
    <row r="3067" spans="1:1" x14ac:dyDescent="0.3">
      <c r="A3067" s="1"/>
    </row>
    <row r="3068" spans="1:1" x14ac:dyDescent="0.3">
      <c r="A3068" s="1"/>
    </row>
    <row r="3069" spans="1:1" x14ac:dyDescent="0.3">
      <c r="A3069" s="1"/>
    </row>
    <row r="3070" spans="1:1" x14ac:dyDescent="0.3">
      <c r="A3070" s="1"/>
    </row>
    <row r="3071" spans="1:1" x14ac:dyDescent="0.3">
      <c r="A3071" s="1"/>
    </row>
    <row r="3072" spans="1:1" x14ac:dyDescent="0.3">
      <c r="A3072" s="1"/>
    </row>
    <row r="3073" spans="1:1" x14ac:dyDescent="0.3">
      <c r="A3073" s="1"/>
    </row>
    <row r="3074" spans="1:1" x14ac:dyDescent="0.3">
      <c r="A3074" s="1"/>
    </row>
    <row r="3075" spans="1:1" x14ac:dyDescent="0.3">
      <c r="A3075" s="1"/>
    </row>
    <row r="3076" spans="1:1" x14ac:dyDescent="0.3">
      <c r="A3076" s="1"/>
    </row>
    <row r="3077" spans="1:1" x14ac:dyDescent="0.3">
      <c r="A3077" s="1"/>
    </row>
    <row r="3078" spans="1:1" x14ac:dyDescent="0.3">
      <c r="A3078" s="1"/>
    </row>
    <row r="3079" spans="1:1" x14ac:dyDescent="0.3">
      <c r="A3079" s="1"/>
    </row>
    <row r="3080" spans="1:1" x14ac:dyDescent="0.3">
      <c r="A3080" s="1"/>
    </row>
    <row r="3081" spans="1:1" x14ac:dyDescent="0.3">
      <c r="A3081" s="1"/>
    </row>
    <row r="3082" spans="1:1" x14ac:dyDescent="0.3">
      <c r="A3082" s="1"/>
    </row>
    <row r="3083" spans="1:1" x14ac:dyDescent="0.3">
      <c r="A3083" s="1"/>
    </row>
    <row r="3084" spans="1:1" x14ac:dyDescent="0.3">
      <c r="A3084" s="1"/>
    </row>
    <row r="3085" spans="1:1" x14ac:dyDescent="0.3">
      <c r="A3085" s="1"/>
    </row>
    <row r="3086" spans="1:1" x14ac:dyDescent="0.3">
      <c r="A3086" s="1"/>
    </row>
    <row r="3087" spans="1:1" x14ac:dyDescent="0.3">
      <c r="A3087" s="1"/>
    </row>
    <row r="3088" spans="1:1" x14ac:dyDescent="0.3">
      <c r="A3088" s="1"/>
    </row>
    <row r="3089" spans="1:1" x14ac:dyDescent="0.3">
      <c r="A3089" s="1"/>
    </row>
    <row r="3090" spans="1:1" x14ac:dyDescent="0.3">
      <c r="A3090" s="1"/>
    </row>
    <row r="3091" spans="1:1" x14ac:dyDescent="0.3">
      <c r="A3091" s="1"/>
    </row>
    <row r="3092" spans="1:1" x14ac:dyDescent="0.3">
      <c r="A3092" s="1"/>
    </row>
    <row r="3093" spans="1:1" x14ac:dyDescent="0.3">
      <c r="A3093" s="1"/>
    </row>
    <row r="3094" spans="1:1" x14ac:dyDescent="0.3">
      <c r="A3094" s="1"/>
    </row>
    <row r="3095" spans="1:1" x14ac:dyDescent="0.3">
      <c r="A3095" s="1"/>
    </row>
    <row r="3096" spans="1:1" x14ac:dyDescent="0.3">
      <c r="A3096" s="1"/>
    </row>
    <row r="3097" spans="1:1" x14ac:dyDescent="0.3">
      <c r="A3097" s="1"/>
    </row>
    <row r="3098" spans="1:1" x14ac:dyDescent="0.3">
      <c r="A3098" s="1"/>
    </row>
    <row r="3099" spans="1:1" x14ac:dyDescent="0.3">
      <c r="A3099" s="1"/>
    </row>
    <row r="3100" spans="1:1" x14ac:dyDescent="0.3">
      <c r="A3100" s="1"/>
    </row>
    <row r="3101" spans="1:1" x14ac:dyDescent="0.3">
      <c r="A3101" s="1"/>
    </row>
    <row r="3102" spans="1:1" x14ac:dyDescent="0.3">
      <c r="A3102" s="1"/>
    </row>
    <row r="3103" spans="1:1" x14ac:dyDescent="0.3">
      <c r="A3103" s="1"/>
    </row>
    <row r="3104" spans="1:1" x14ac:dyDescent="0.3">
      <c r="A3104" s="1"/>
    </row>
    <row r="3105" spans="1:1" x14ac:dyDescent="0.3">
      <c r="A3105" s="1"/>
    </row>
    <row r="3106" spans="1:1" x14ac:dyDescent="0.3">
      <c r="A3106" s="1"/>
    </row>
    <row r="3107" spans="1:1" x14ac:dyDescent="0.3">
      <c r="A3107" s="1"/>
    </row>
    <row r="3108" spans="1:1" x14ac:dyDescent="0.3">
      <c r="A3108" s="1"/>
    </row>
    <row r="3109" spans="1:1" x14ac:dyDescent="0.3">
      <c r="A3109" s="1"/>
    </row>
    <row r="3110" spans="1:1" x14ac:dyDescent="0.3">
      <c r="A3110" s="1"/>
    </row>
    <row r="3111" spans="1:1" x14ac:dyDescent="0.3">
      <c r="A3111" s="1"/>
    </row>
    <row r="3112" spans="1:1" x14ac:dyDescent="0.3">
      <c r="A3112" s="1"/>
    </row>
    <row r="3113" spans="1:1" x14ac:dyDescent="0.3">
      <c r="A3113" s="1"/>
    </row>
    <row r="3114" spans="1:1" x14ac:dyDescent="0.3">
      <c r="A3114" s="1"/>
    </row>
    <row r="3115" spans="1:1" x14ac:dyDescent="0.3">
      <c r="A3115" s="1"/>
    </row>
    <row r="3116" spans="1:1" x14ac:dyDescent="0.3">
      <c r="A3116" s="1"/>
    </row>
    <row r="3117" spans="1:1" x14ac:dyDescent="0.3">
      <c r="A3117" s="1"/>
    </row>
    <row r="3118" spans="1:1" x14ac:dyDescent="0.3">
      <c r="A3118" s="1"/>
    </row>
    <row r="3119" spans="1:1" x14ac:dyDescent="0.3">
      <c r="A3119" s="1"/>
    </row>
    <row r="3120" spans="1:1" x14ac:dyDescent="0.3">
      <c r="A3120" s="1"/>
    </row>
    <row r="3121" spans="1:1" x14ac:dyDescent="0.3">
      <c r="A3121" s="1"/>
    </row>
    <row r="3122" spans="1:1" x14ac:dyDescent="0.3">
      <c r="A3122" s="1"/>
    </row>
    <row r="3123" spans="1:1" x14ac:dyDescent="0.3">
      <c r="A3123" s="1"/>
    </row>
    <row r="3124" spans="1:1" x14ac:dyDescent="0.3">
      <c r="A3124" s="1"/>
    </row>
    <row r="3125" spans="1:1" x14ac:dyDescent="0.3">
      <c r="A3125" s="1"/>
    </row>
    <row r="3126" spans="1:1" x14ac:dyDescent="0.3">
      <c r="A3126" s="1"/>
    </row>
    <row r="3127" spans="1:1" x14ac:dyDescent="0.3">
      <c r="A3127" s="1"/>
    </row>
    <row r="3128" spans="1:1" x14ac:dyDescent="0.3">
      <c r="A3128" s="1"/>
    </row>
    <row r="3129" spans="1:1" x14ac:dyDescent="0.3">
      <c r="A3129" s="1"/>
    </row>
    <row r="3130" spans="1:1" x14ac:dyDescent="0.3">
      <c r="A3130" s="1"/>
    </row>
    <row r="3131" spans="1:1" x14ac:dyDescent="0.3">
      <c r="A3131" s="1"/>
    </row>
    <row r="3132" spans="1:1" x14ac:dyDescent="0.3">
      <c r="A3132" s="1"/>
    </row>
    <row r="3133" spans="1:1" x14ac:dyDescent="0.3">
      <c r="A3133" s="1"/>
    </row>
    <row r="3134" spans="1:1" x14ac:dyDescent="0.3">
      <c r="A3134" s="1"/>
    </row>
    <row r="3135" spans="1:1" x14ac:dyDescent="0.3">
      <c r="A3135" s="1"/>
    </row>
    <row r="3136" spans="1:1" x14ac:dyDescent="0.3">
      <c r="A3136" s="1"/>
    </row>
    <row r="3137" spans="1:1" x14ac:dyDescent="0.3">
      <c r="A3137" s="1"/>
    </row>
    <row r="3138" spans="1:1" x14ac:dyDescent="0.3">
      <c r="A3138" s="1"/>
    </row>
    <row r="3139" spans="1:1" x14ac:dyDescent="0.3">
      <c r="A3139" s="1"/>
    </row>
    <row r="3140" spans="1:1" x14ac:dyDescent="0.3">
      <c r="A3140" s="1"/>
    </row>
    <row r="3141" spans="1:1" x14ac:dyDescent="0.3">
      <c r="A3141" s="1"/>
    </row>
    <row r="3142" spans="1:1" x14ac:dyDescent="0.3">
      <c r="A3142" s="1"/>
    </row>
    <row r="3143" spans="1:1" x14ac:dyDescent="0.3">
      <c r="A3143" s="1"/>
    </row>
    <row r="3144" spans="1:1" x14ac:dyDescent="0.3">
      <c r="A3144" s="1"/>
    </row>
    <row r="3145" spans="1:1" x14ac:dyDescent="0.3">
      <c r="A3145" s="1"/>
    </row>
    <row r="3146" spans="1:1" x14ac:dyDescent="0.3">
      <c r="A3146" s="1"/>
    </row>
    <row r="3147" spans="1:1" x14ac:dyDescent="0.3">
      <c r="A3147" s="1"/>
    </row>
    <row r="3148" spans="1:1" x14ac:dyDescent="0.3">
      <c r="A3148" s="1"/>
    </row>
    <row r="3149" spans="1:1" x14ac:dyDescent="0.3">
      <c r="A3149" s="1"/>
    </row>
    <row r="3150" spans="1:1" x14ac:dyDescent="0.3">
      <c r="A3150" s="1"/>
    </row>
    <row r="3151" spans="1:1" x14ac:dyDescent="0.3">
      <c r="A3151" s="1"/>
    </row>
    <row r="3152" spans="1:1" x14ac:dyDescent="0.3">
      <c r="A3152" s="1"/>
    </row>
    <row r="3153" spans="1:1" x14ac:dyDescent="0.3">
      <c r="A3153" s="1"/>
    </row>
    <row r="3154" spans="1:1" x14ac:dyDescent="0.3">
      <c r="A3154" s="1"/>
    </row>
    <row r="3155" spans="1:1" x14ac:dyDescent="0.3">
      <c r="A3155" s="1"/>
    </row>
    <row r="3156" spans="1:1" x14ac:dyDescent="0.3">
      <c r="A3156" s="1"/>
    </row>
    <row r="3157" spans="1:1" x14ac:dyDescent="0.3">
      <c r="A3157" s="1"/>
    </row>
    <row r="3158" spans="1:1" x14ac:dyDescent="0.3">
      <c r="A3158" s="1"/>
    </row>
    <row r="3159" spans="1:1" x14ac:dyDescent="0.3">
      <c r="A3159" s="1"/>
    </row>
    <row r="3160" spans="1:1" x14ac:dyDescent="0.3">
      <c r="A3160" s="1"/>
    </row>
    <row r="3161" spans="1:1" x14ac:dyDescent="0.3">
      <c r="A3161" s="1"/>
    </row>
    <row r="3162" spans="1:1" x14ac:dyDescent="0.3">
      <c r="A3162" s="1"/>
    </row>
    <row r="3163" spans="1:1" x14ac:dyDescent="0.3">
      <c r="A3163" s="1"/>
    </row>
    <row r="3164" spans="1:1" x14ac:dyDescent="0.3">
      <c r="A3164" s="1"/>
    </row>
    <row r="3165" spans="1:1" x14ac:dyDescent="0.3">
      <c r="A3165" s="1"/>
    </row>
    <row r="3166" spans="1:1" x14ac:dyDescent="0.3">
      <c r="A3166" s="1"/>
    </row>
    <row r="3167" spans="1:1" x14ac:dyDescent="0.3">
      <c r="A3167" s="1"/>
    </row>
    <row r="3168" spans="1:1" x14ac:dyDescent="0.3">
      <c r="A3168" s="1"/>
    </row>
    <row r="3169" spans="1:1" x14ac:dyDescent="0.3">
      <c r="A3169" s="1"/>
    </row>
    <row r="3170" spans="1:1" x14ac:dyDescent="0.3">
      <c r="A3170" s="1"/>
    </row>
    <row r="3171" spans="1:1" x14ac:dyDescent="0.3">
      <c r="A3171" s="1"/>
    </row>
    <row r="3172" spans="1:1" x14ac:dyDescent="0.3">
      <c r="A3172" s="1"/>
    </row>
    <row r="3173" spans="1:1" x14ac:dyDescent="0.3">
      <c r="A3173" s="1"/>
    </row>
    <row r="3174" spans="1:1" x14ac:dyDescent="0.3">
      <c r="A3174" s="1"/>
    </row>
    <row r="3175" spans="1:1" x14ac:dyDescent="0.3">
      <c r="A3175" s="1"/>
    </row>
    <row r="3176" spans="1:1" x14ac:dyDescent="0.3">
      <c r="A3176" s="1"/>
    </row>
    <row r="3177" spans="1:1" x14ac:dyDescent="0.3">
      <c r="A3177" s="1"/>
    </row>
    <row r="3178" spans="1:1" x14ac:dyDescent="0.3">
      <c r="A3178" s="1"/>
    </row>
    <row r="3179" spans="1:1" x14ac:dyDescent="0.3">
      <c r="A3179" s="1"/>
    </row>
    <row r="3180" spans="1:1" x14ac:dyDescent="0.3">
      <c r="A3180" s="1"/>
    </row>
    <row r="3181" spans="1:1" x14ac:dyDescent="0.3">
      <c r="A3181" s="1"/>
    </row>
    <row r="3182" spans="1:1" x14ac:dyDescent="0.3">
      <c r="A3182" s="1"/>
    </row>
    <row r="3183" spans="1:1" x14ac:dyDescent="0.3">
      <c r="A3183" s="1"/>
    </row>
    <row r="3184" spans="1:1" x14ac:dyDescent="0.3">
      <c r="A3184" s="1"/>
    </row>
    <row r="3185" spans="1:1" x14ac:dyDescent="0.3">
      <c r="A3185" s="1"/>
    </row>
    <row r="3186" spans="1:1" x14ac:dyDescent="0.3">
      <c r="A3186" s="1"/>
    </row>
    <row r="3187" spans="1:1" x14ac:dyDescent="0.3">
      <c r="A3187" s="1"/>
    </row>
    <row r="3188" spans="1:1" x14ac:dyDescent="0.3">
      <c r="A3188" s="1"/>
    </row>
    <row r="3189" spans="1:1" x14ac:dyDescent="0.3">
      <c r="A3189" s="1"/>
    </row>
    <row r="3190" spans="1:1" x14ac:dyDescent="0.3">
      <c r="A3190" s="1"/>
    </row>
    <row r="3191" spans="1:1" x14ac:dyDescent="0.3">
      <c r="A3191" s="1"/>
    </row>
    <row r="3192" spans="1:1" x14ac:dyDescent="0.3">
      <c r="A3192" s="1"/>
    </row>
    <row r="3193" spans="1:1" x14ac:dyDescent="0.3">
      <c r="A3193" s="1"/>
    </row>
    <row r="3194" spans="1:1" x14ac:dyDescent="0.3">
      <c r="A3194" s="1"/>
    </row>
    <row r="3195" spans="1:1" x14ac:dyDescent="0.3">
      <c r="A3195" s="1"/>
    </row>
    <row r="3196" spans="1:1" x14ac:dyDescent="0.3">
      <c r="A3196" s="1"/>
    </row>
    <row r="3197" spans="1:1" x14ac:dyDescent="0.3">
      <c r="A3197" s="1"/>
    </row>
    <row r="3198" spans="1:1" x14ac:dyDescent="0.3">
      <c r="A3198" s="1"/>
    </row>
    <row r="3199" spans="1:1" x14ac:dyDescent="0.3">
      <c r="A3199" s="1"/>
    </row>
    <row r="3200" spans="1:1" x14ac:dyDescent="0.3">
      <c r="A3200" s="1"/>
    </row>
    <row r="3201" spans="1:1" x14ac:dyDescent="0.3">
      <c r="A3201" s="1"/>
    </row>
    <row r="3202" spans="1:1" x14ac:dyDescent="0.3">
      <c r="A3202" s="1"/>
    </row>
    <row r="3203" spans="1:1" x14ac:dyDescent="0.3">
      <c r="A3203" s="1"/>
    </row>
    <row r="3204" spans="1:1" x14ac:dyDescent="0.3">
      <c r="A3204" s="1"/>
    </row>
    <row r="3205" spans="1:1" x14ac:dyDescent="0.3">
      <c r="A3205" s="1"/>
    </row>
    <row r="3206" spans="1:1" x14ac:dyDescent="0.3">
      <c r="A3206" s="1"/>
    </row>
    <row r="3207" spans="1:1" x14ac:dyDescent="0.3">
      <c r="A3207" s="1"/>
    </row>
    <row r="3208" spans="1:1" x14ac:dyDescent="0.3">
      <c r="A3208" s="1"/>
    </row>
    <row r="3209" spans="1:1" x14ac:dyDescent="0.3">
      <c r="A3209" s="1"/>
    </row>
    <row r="3210" spans="1:1" x14ac:dyDescent="0.3">
      <c r="A3210" s="1"/>
    </row>
    <row r="3211" spans="1:1" x14ac:dyDescent="0.3">
      <c r="A3211" s="1"/>
    </row>
    <row r="3212" spans="1:1" x14ac:dyDescent="0.3">
      <c r="A3212" s="1"/>
    </row>
    <row r="3213" spans="1:1" x14ac:dyDescent="0.3">
      <c r="A3213" s="1"/>
    </row>
    <row r="3214" spans="1:1" x14ac:dyDescent="0.3">
      <c r="A3214" s="1"/>
    </row>
    <row r="3215" spans="1:1" x14ac:dyDescent="0.3">
      <c r="A3215" s="1"/>
    </row>
    <row r="3216" spans="1:1" x14ac:dyDescent="0.3">
      <c r="A3216" s="1"/>
    </row>
    <row r="3217" spans="1:1" x14ac:dyDescent="0.3">
      <c r="A3217" s="1"/>
    </row>
    <row r="3218" spans="1:1" x14ac:dyDescent="0.3">
      <c r="A3218" s="1"/>
    </row>
    <row r="3219" spans="1:1" x14ac:dyDescent="0.3">
      <c r="A3219" s="1"/>
    </row>
    <row r="3220" spans="1:1" x14ac:dyDescent="0.3">
      <c r="A3220" s="1"/>
    </row>
    <row r="3221" spans="1:1" x14ac:dyDescent="0.3">
      <c r="A3221" s="1"/>
    </row>
    <row r="3222" spans="1:1" x14ac:dyDescent="0.3">
      <c r="A3222" s="1"/>
    </row>
    <row r="3223" spans="1:1" x14ac:dyDescent="0.3">
      <c r="A3223" s="1"/>
    </row>
    <row r="3224" spans="1:1" x14ac:dyDescent="0.3">
      <c r="A3224" s="1"/>
    </row>
    <row r="3225" spans="1:1" x14ac:dyDescent="0.3">
      <c r="A3225" s="1"/>
    </row>
    <row r="3226" spans="1:1" x14ac:dyDescent="0.3">
      <c r="A3226" s="1"/>
    </row>
    <row r="3227" spans="1:1" x14ac:dyDescent="0.3">
      <c r="A3227" s="1"/>
    </row>
    <row r="3228" spans="1:1" x14ac:dyDescent="0.3">
      <c r="A3228" s="1"/>
    </row>
    <row r="3229" spans="1:1" x14ac:dyDescent="0.3">
      <c r="A3229" s="1"/>
    </row>
    <row r="3230" spans="1:1" x14ac:dyDescent="0.3">
      <c r="A3230" s="1"/>
    </row>
    <row r="3231" spans="1:1" x14ac:dyDescent="0.3">
      <c r="A3231" s="1"/>
    </row>
    <row r="3232" spans="1:1" x14ac:dyDescent="0.3">
      <c r="A3232" s="1"/>
    </row>
    <row r="3233" spans="1:1" x14ac:dyDescent="0.3">
      <c r="A3233" s="1"/>
    </row>
    <row r="3234" spans="1:1" x14ac:dyDescent="0.3">
      <c r="A3234" s="1"/>
    </row>
    <row r="3235" spans="1:1" x14ac:dyDescent="0.3">
      <c r="A3235" s="1"/>
    </row>
    <row r="3236" spans="1:1" x14ac:dyDescent="0.3">
      <c r="A3236" s="1"/>
    </row>
    <row r="3237" spans="1:1" x14ac:dyDescent="0.3">
      <c r="A3237" s="1"/>
    </row>
    <row r="3238" spans="1:1" x14ac:dyDescent="0.3">
      <c r="A3238" s="1"/>
    </row>
    <row r="3239" spans="1:1" x14ac:dyDescent="0.3">
      <c r="A3239" s="1"/>
    </row>
    <row r="3240" spans="1:1" x14ac:dyDescent="0.3">
      <c r="A3240" s="1"/>
    </row>
    <row r="3241" spans="1:1" x14ac:dyDescent="0.3">
      <c r="A3241" s="1"/>
    </row>
    <row r="3242" spans="1:1" x14ac:dyDescent="0.3">
      <c r="A3242" s="1"/>
    </row>
    <row r="3243" spans="1:1" x14ac:dyDescent="0.3">
      <c r="A3243" s="1"/>
    </row>
    <row r="3244" spans="1:1" x14ac:dyDescent="0.3">
      <c r="A3244" s="1"/>
    </row>
    <row r="3245" spans="1:1" x14ac:dyDescent="0.3">
      <c r="A3245" s="1"/>
    </row>
    <row r="3246" spans="1:1" x14ac:dyDescent="0.3">
      <c r="A3246" s="1"/>
    </row>
    <row r="3247" spans="1:1" x14ac:dyDescent="0.3">
      <c r="A3247" s="1"/>
    </row>
    <row r="3248" spans="1:1" x14ac:dyDescent="0.3">
      <c r="A3248" s="1"/>
    </row>
    <row r="3249" spans="1:1" x14ac:dyDescent="0.3">
      <c r="A3249" s="1"/>
    </row>
    <row r="3250" spans="1:1" x14ac:dyDescent="0.3">
      <c r="A3250" s="1"/>
    </row>
    <row r="3251" spans="1:1" x14ac:dyDescent="0.3">
      <c r="A3251" s="1"/>
    </row>
    <row r="3252" spans="1:1" x14ac:dyDescent="0.3">
      <c r="A3252" s="1"/>
    </row>
    <row r="3253" spans="1:1" x14ac:dyDescent="0.3">
      <c r="A3253" s="1"/>
    </row>
    <row r="3254" spans="1:1" x14ac:dyDescent="0.3">
      <c r="A3254" s="1"/>
    </row>
    <row r="3255" spans="1:1" x14ac:dyDescent="0.3">
      <c r="A3255" s="1"/>
    </row>
    <row r="3256" spans="1:1" x14ac:dyDescent="0.3">
      <c r="A3256" s="1"/>
    </row>
    <row r="3257" spans="1:1" x14ac:dyDescent="0.3">
      <c r="A3257" s="1"/>
    </row>
    <row r="3258" spans="1:1" x14ac:dyDescent="0.3">
      <c r="A3258" s="1"/>
    </row>
    <row r="3259" spans="1:1" x14ac:dyDescent="0.3">
      <c r="A3259" s="1"/>
    </row>
    <row r="3260" spans="1:1" x14ac:dyDescent="0.3">
      <c r="A3260" s="1"/>
    </row>
    <row r="3261" spans="1:1" x14ac:dyDescent="0.3">
      <c r="A3261" s="1"/>
    </row>
    <row r="3262" spans="1:1" x14ac:dyDescent="0.3">
      <c r="A3262" s="1"/>
    </row>
    <row r="3263" spans="1:1" x14ac:dyDescent="0.3">
      <c r="A3263" s="1"/>
    </row>
    <row r="3264" spans="1:1" x14ac:dyDescent="0.3">
      <c r="A3264" s="1"/>
    </row>
    <row r="3265" spans="1:1" x14ac:dyDescent="0.3">
      <c r="A3265" s="1"/>
    </row>
    <row r="3266" spans="1:1" x14ac:dyDescent="0.3">
      <c r="A3266" s="1"/>
    </row>
    <row r="3267" spans="1:1" x14ac:dyDescent="0.3">
      <c r="A3267" s="1"/>
    </row>
    <row r="3268" spans="1:1" x14ac:dyDescent="0.3">
      <c r="A3268" s="1"/>
    </row>
    <row r="3269" spans="1:1" x14ac:dyDescent="0.3">
      <c r="A3269" s="1"/>
    </row>
    <row r="3270" spans="1:1" x14ac:dyDescent="0.3">
      <c r="A3270" s="1"/>
    </row>
    <row r="3271" spans="1:1" x14ac:dyDescent="0.3">
      <c r="A3271" s="1"/>
    </row>
    <row r="3272" spans="1:1" x14ac:dyDescent="0.3">
      <c r="A3272" s="1"/>
    </row>
    <row r="3273" spans="1:1" x14ac:dyDescent="0.3">
      <c r="A3273" s="1"/>
    </row>
    <row r="3274" spans="1:1" x14ac:dyDescent="0.3">
      <c r="A3274" s="1"/>
    </row>
    <row r="3275" spans="1:1" x14ac:dyDescent="0.3">
      <c r="A3275" s="1"/>
    </row>
    <row r="3276" spans="1:1" x14ac:dyDescent="0.3">
      <c r="A3276" s="1"/>
    </row>
    <row r="3277" spans="1:1" x14ac:dyDescent="0.3">
      <c r="A3277" s="1"/>
    </row>
    <row r="3278" spans="1:1" x14ac:dyDescent="0.3">
      <c r="A3278" s="1"/>
    </row>
    <row r="3279" spans="1:1" x14ac:dyDescent="0.3">
      <c r="A3279" s="1"/>
    </row>
    <row r="3280" spans="1:1" x14ac:dyDescent="0.3">
      <c r="A3280" s="1"/>
    </row>
    <row r="3281" spans="1:1" x14ac:dyDescent="0.3">
      <c r="A3281" s="1"/>
    </row>
    <row r="3282" spans="1:1" x14ac:dyDescent="0.3">
      <c r="A3282" s="1"/>
    </row>
    <row r="3283" spans="1:1" x14ac:dyDescent="0.3">
      <c r="A3283" s="1"/>
    </row>
    <row r="3284" spans="1:1" x14ac:dyDescent="0.3">
      <c r="A3284" s="1"/>
    </row>
    <row r="3285" spans="1:1" x14ac:dyDescent="0.3">
      <c r="A3285" s="1"/>
    </row>
    <row r="3286" spans="1:1" x14ac:dyDescent="0.3">
      <c r="A3286" s="1"/>
    </row>
    <row r="3287" spans="1:1" x14ac:dyDescent="0.3">
      <c r="A3287" s="1"/>
    </row>
    <row r="3288" spans="1:1" x14ac:dyDescent="0.3">
      <c r="A3288" s="1"/>
    </row>
    <row r="3289" spans="1:1" x14ac:dyDescent="0.3">
      <c r="A3289" s="1"/>
    </row>
    <row r="3290" spans="1:1" x14ac:dyDescent="0.3">
      <c r="A3290" s="1"/>
    </row>
    <row r="3291" spans="1:1" x14ac:dyDescent="0.3">
      <c r="A3291" s="1"/>
    </row>
    <row r="3292" spans="1:1" x14ac:dyDescent="0.3">
      <c r="A3292" s="1"/>
    </row>
    <row r="3293" spans="1:1" x14ac:dyDescent="0.3">
      <c r="A3293" s="1"/>
    </row>
    <row r="3294" spans="1:1" x14ac:dyDescent="0.3">
      <c r="A3294" s="1"/>
    </row>
    <row r="3295" spans="1:1" x14ac:dyDescent="0.3">
      <c r="A3295" s="1"/>
    </row>
    <row r="3296" spans="1:1" x14ac:dyDescent="0.3">
      <c r="A3296" s="1"/>
    </row>
    <row r="3297" spans="1:1" x14ac:dyDescent="0.3">
      <c r="A3297" s="1"/>
    </row>
    <row r="3298" spans="1:1" x14ac:dyDescent="0.3">
      <c r="A3298" s="1"/>
    </row>
    <row r="3299" spans="1:1" x14ac:dyDescent="0.3">
      <c r="A3299" s="1"/>
    </row>
    <row r="3300" spans="1:1" x14ac:dyDescent="0.3">
      <c r="A3300" s="1"/>
    </row>
    <row r="3301" spans="1:1" x14ac:dyDescent="0.3">
      <c r="A3301" s="1"/>
    </row>
    <row r="3302" spans="1:1" x14ac:dyDescent="0.3">
      <c r="A3302" s="1"/>
    </row>
    <row r="3303" spans="1:1" x14ac:dyDescent="0.3">
      <c r="A3303" s="1"/>
    </row>
    <row r="3304" spans="1:1" x14ac:dyDescent="0.3">
      <c r="A3304" s="1"/>
    </row>
    <row r="3305" spans="1:1" x14ac:dyDescent="0.3">
      <c r="A3305" s="1"/>
    </row>
    <row r="3306" spans="1:1" x14ac:dyDescent="0.3">
      <c r="A3306" s="1"/>
    </row>
    <row r="3307" spans="1:1" x14ac:dyDescent="0.3">
      <c r="A3307" s="1"/>
    </row>
    <row r="3308" spans="1:1" x14ac:dyDescent="0.3">
      <c r="A3308" s="1"/>
    </row>
    <row r="3309" spans="1:1" x14ac:dyDescent="0.3">
      <c r="A3309" s="1"/>
    </row>
    <row r="3310" spans="1:1" x14ac:dyDescent="0.3">
      <c r="A3310" s="1"/>
    </row>
    <row r="3311" spans="1:1" x14ac:dyDescent="0.3">
      <c r="A3311" s="1"/>
    </row>
    <row r="3312" spans="1:1" x14ac:dyDescent="0.3">
      <c r="A3312" s="1"/>
    </row>
    <row r="3313" spans="1:1" x14ac:dyDescent="0.3">
      <c r="A3313" s="1"/>
    </row>
    <row r="3314" spans="1:1" x14ac:dyDescent="0.3">
      <c r="A3314" s="1"/>
    </row>
    <row r="3315" spans="1:1" x14ac:dyDescent="0.3">
      <c r="A3315" s="1"/>
    </row>
    <row r="3316" spans="1:1" x14ac:dyDescent="0.3">
      <c r="A3316" s="1"/>
    </row>
    <row r="3317" spans="1:1" x14ac:dyDescent="0.3">
      <c r="A3317" s="1"/>
    </row>
    <row r="3318" spans="1:1" x14ac:dyDescent="0.3">
      <c r="A3318" s="1"/>
    </row>
    <row r="3319" spans="1:1" x14ac:dyDescent="0.3">
      <c r="A3319" s="1"/>
    </row>
    <row r="3320" spans="1:1" x14ac:dyDescent="0.3">
      <c r="A3320" s="1"/>
    </row>
    <row r="3321" spans="1:1" x14ac:dyDescent="0.3">
      <c r="A3321" s="1"/>
    </row>
    <row r="3322" spans="1:1" x14ac:dyDescent="0.3">
      <c r="A3322" s="1"/>
    </row>
    <row r="3323" spans="1:1" x14ac:dyDescent="0.3">
      <c r="A3323" s="1"/>
    </row>
    <row r="3324" spans="1:1" x14ac:dyDescent="0.3">
      <c r="A3324" s="1"/>
    </row>
    <row r="3325" spans="1:1" x14ac:dyDescent="0.3">
      <c r="A3325" s="1"/>
    </row>
    <row r="3326" spans="1:1" x14ac:dyDescent="0.3">
      <c r="A3326" s="1"/>
    </row>
    <row r="3327" spans="1:1" x14ac:dyDescent="0.3">
      <c r="A3327" s="1"/>
    </row>
    <row r="3328" spans="1:1" x14ac:dyDescent="0.3">
      <c r="A3328" s="1"/>
    </row>
    <row r="3329" spans="1:1" x14ac:dyDescent="0.3">
      <c r="A3329" s="1"/>
    </row>
    <row r="3330" spans="1:1" x14ac:dyDescent="0.3">
      <c r="A3330" s="1"/>
    </row>
    <row r="3331" spans="1:1" x14ac:dyDescent="0.3">
      <c r="A3331" s="1"/>
    </row>
    <row r="3332" spans="1:1" x14ac:dyDescent="0.3">
      <c r="A3332" s="1"/>
    </row>
    <row r="3333" spans="1:1" x14ac:dyDescent="0.3">
      <c r="A3333" s="1"/>
    </row>
    <row r="3334" spans="1:1" x14ac:dyDescent="0.3">
      <c r="A3334" s="1"/>
    </row>
    <row r="3335" spans="1:1" x14ac:dyDescent="0.3">
      <c r="A3335" s="1"/>
    </row>
    <row r="3336" spans="1:1" x14ac:dyDescent="0.3">
      <c r="A3336" s="1"/>
    </row>
    <row r="3337" spans="1:1" x14ac:dyDescent="0.3">
      <c r="A3337" s="1"/>
    </row>
    <row r="3338" spans="1:1" x14ac:dyDescent="0.3">
      <c r="A3338" s="1"/>
    </row>
    <row r="3339" spans="1:1" x14ac:dyDescent="0.3">
      <c r="A3339" s="1"/>
    </row>
    <row r="3340" spans="1:1" x14ac:dyDescent="0.3">
      <c r="A3340" s="1"/>
    </row>
    <row r="3341" spans="1:1" x14ac:dyDescent="0.3">
      <c r="A3341" s="1"/>
    </row>
    <row r="3342" spans="1:1" x14ac:dyDescent="0.3">
      <c r="A3342" s="1"/>
    </row>
    <row r="3343" spans="1:1" x14ac:dyDescent="0.3">
      <c r="A3343" s="1"/>
    </row>
    <row r="3344" spans="1:1" x14ac:dyDescent="0.3">
      <c r="A3344" s="1"/>
    </row>
    <row r="3345" spans="1:1" x14ac:dyDescent="0.3">
      <c r="A3345" s="1"/>
    </row>
    <row r="3346" spans="1:1" x14ac:dyDescent="0.3">
      <c r="A3346" s="1"/>
    </row>
    <row r="3347" spans="1:1" x14ac:dyDescent="0.3">
      <c r="A3347" s="1"/>
    </row>
    <row r="3348" spans="1:1" x14ac:dyDescent="0.3">
      <c r="A3348" s="1"/>
    </row>
    <row r="3349" spans="1:1" x14ac:dyDescent="0.3">
      <c r="A3349" s="1"/>
    </row>
    <row r="3350" spans="1:1" x14ac:dyDescent="0.3">
      <c r="A3350" s="1"/>
    </row>
    <row r="3351" spans="1:1" x14ac:dyDescent="0.3">
      <c r="A3351" s="1"/>
    </row>
    <row r="3352" spans="1:1" x14ac:dyDescent="0.3">
      <c r="A3352" s="1"/>
    </row>
    <row r="3353" spans="1:1" x14ac:dyDescent="0.3">
      <c r="A3353" s="1"/>
    </row>
    <row r="3354" spans="1:1" x14ac:dyDescent="0.3">
      <c r="A3354" s="1"/>
    </row>
    <row r="3355" spans="1:1" x14ac:dyDescent="0.3">
      <c r="A3355" s="1"/>
    </row>
    <row r="3356" spans="1:1" x14ac:dyDescent="0.3">
      <c r="A3356" s="1"/>
    </row>
    <row r="3357" spans="1:1" x14ac:dyDescent="0.3">
      <c r="A3357" s="1"/>
    </row>
    <row r="3358" spans="1:1" x14ac:dyDescent="0.3">
      <c r="A3358" s="1"/>
    </row>
    <row r="3359" spans="1:1" x14ac:dyDescent="0.3">
      <c r="A3359" s="1"/>
    </row>
    <row r="3360" spans="1:1" x14ac:dyDescent="0.3">
      <c r="A3360" s="1"/>
    </row>
    <row r="3361" spans="1:1" x14ac:dyDescent="0.3">
      <c r="A3361" s="1"/>
    </row>
    <row r="3362" spans="1:1" x14ac:dyDescent="0.3">
      <c r="A3362" s="1"/>
    </row>
    <row r="3363" spans="1:1" x14ac:dyDescent="0.3">
      <c r="A3363" s="1"/>
    </row>
    <row r="3364" spans="1:1" x14ac:dyDescent="0.3">
      <c r="A3364" s="1"/>
    </row>
    <row r="3365" spans="1:1" x14ac:dyDescent="0.3">
      <c r="A3365" s="1"/>
    </row>
    <row r="3366" spans="1:1" x14ac:dyDescent="0.3">
      <c r="A3366" s="1"/>
    </row>
    <row r="3367" spans="1:1" x14ac:dyDescent="0.3">
      <c r="A3367" s="1"/>
    </row>
    <row r="3368" spans="1:1" x14ac:dyDescent="0.3">
      <c r="A3368" s="1"/>
    </row>
    <row r="3369" spans="1:1" x14ac:dyDescent="0.3">
      <c r="A3369" s="1"/>
    </row>
    <row r="3370" spans="1:1" x14ac:dyDescent="0.3">
      <c r="A3370" s="1"/>
    </row>
    <row r="3371" spans="1:1" x14ac:dyDescent="0.3">
      <c r="A3371" s="1"/>
    </row>
    <row r="3372" spans="1:1" x14ac:dyDescent="0.3">
      <c r="A3372" s="1"/>
    </row>
    <row r="3373" spans="1:1" x14ac:dyDescent="0.3">
      <c r="A3373" s="1"/>
    </row>
    <row r="3374" spans="1:1" x14ac:dyDescent="0.3">
      <c r="A3374" s="1"/>
    </row>
    <row r="3375" spans="1:1" x14ac:dyDescent="0.3">
      <c r="A3375" s="1"/>
    </row>
    <row r="3376" spans="1:1" x14ac:dyDescent="0.3">
      <c r="A3376" s="1"/>
    </row>
    <row r="3377" spans="1:1" x14ac:dyDescent="0.3">
      <c r="A3377" s="1"/>
    </row>
    <row r="3378" spans="1:1" x14ac:dyDescent="0.3">
      <c r="A3378" s="1"/>
    </row>
    <row r="3379" spans="1:1" x14ac:dyDescent="0.3">
      <c r="A3379" s="1"/>
    </row>
    <row r="3380" spans="1:1" x14ac:dyDescent="0.3">
      <c r="A3380" s="1"/>
    </row>
    <row r="3381" spans="1:1" x14ac:dyDescent="0.3">
      <c r="A3381" s="1"/>
    </row>
    <row r="3382" spans="1:1" x14ac:dyDescent="0.3">
      <c r="A3382" s="1"/>
    </row>
    <row r="3383" spans="1:1" x14ac:dyDescent="0.3">
      <c r="A3383" s="1"/>
    </row>
    <row r="3384" spans="1:1" x14ac:dyDescent="0.3">
      <c r="A3384" s="1"/>
    </row>
    <row r="3385" spans="1:1" x14ac:dyDescent="0.3">
      <c r="A3385" s="1"/>
    </row>
    <row r="3386" spans="1:1" x14ac:dyDescent="0.3">
      <c r="A3386" s="1"/>
    </row>
    <row r="3387" spans="1:1" x14ac:dyDescent="0.3">
      <c r="A3387" s="1"/>
    </row>
    <row r="3388" spans="1:1" x14ac:dyDescent="0.3">
      <c r="A3388" s="1"/>
    </row>
    <row r="3389" spans="1:1" x14ac:dyDescent="0.3">
      <c r="A3389" s="1"/>
    </row>
    <row r="3390" spans="1:1" x14ac:dyDescent="0.3">
      <c r="A3390" s="1"/>
    </row>
    <row r="3391" spans="1:1" x14ac:dyDescent="0.3">
      <c r="A3391" s="1"/>
    </row>
    <row r="3392" spans="1:1" x14ac:dyDescent="0.3">
      <c r="A3392" s="1"/>
    </row>
    <row r="3393" spans="1:1" x14ac:dyDescent="0.3">
      <c r="A3393" s="1"/>
    </row>
    <row r="3394" spans="1:1" x14ac:dyDescent="0.3">
      <c r="A3394" s="1"/>
    </row>
    <row r="3395" spans="1:1" x14ac:dyDescent="0.3">
      <c r="A3395" s="1"/>
    </row>
    <row r="3396" spans="1:1" x14ac:dyDescent="0.3">
      <c r="A3396" s="1"/>
    </row>
    <row r="3397" spans="1:1" x14ac:dyDescent="0.3">
      <c r="A3397" s="1"/>
    </row>
    <row r="3398" spans="1:1" x14ac:dyDescent="0.3">
      <c r="A3398" s="1"/>
    </row>
    <row r="3399" spans="1:1" x14ac:dyDescent="0.3">
      <c r="A3399" s="1"/>
    </row>
    <row r="3400" spans="1:1" x14ac:dyDescent="0.3">
      <c r="A3400" s="1"/>
    </row>
    <row r="3401" spans="1:1" x14ac:dyDescent="0.3">
      <c r="A3401" s="1"/>
    </row>
    <row r="3402" spans="1:1" x14ac:dyDescent="0.3">
      <c r="A3402" s="1"/>
    </row>
    <row r="3403" spans="1:1" x14ac:dyDescent="0.3">
      <c r="A3403" s="1"/>
    </row>
    <row r="3404" spans="1:1" x14ac:dyDescent="0.3">
      <c r="A3404" s="1"/>
    </row>
    <row r="3405" spans="1:1" x14ac:dyDescent="0.3">
      <c r="A3405" s="1"/>
    </row>
    <row r="3406" spans="1:1" x14ac:dyDescent="0.3">
      <c r="A3406" s="1"/>
    </row>
    <row r="3407" spans="1:1" x14ac:dyDescent="0.3">
      <c r="A3407" s="1"/>
    </row>
    <row r="3408" spans="1:1" x14ac:dyDescent="0.3">
      <c r="A3408" s="1"/>
    </row>
    <row r="3409" spans="1:1" x14ac:dyDescent="0.3">
      <c r="A3409" s="1"/>
    </row>
    <row r="3410" spans="1:1" x14ac:dyDescent="0.3">
      <c r="A3410" s="1"/>
    </row>
    <row r="3411" spans="1:1" x14ac:dyDescent="0.3">
      <c r="A3411" s="1"/>
    </row>
    <row r="3412" spans="1:1" x14ac:dyDescent="0.3">
      <c r="A3412" s="1"/>
    </row>
    <row r="3413" spans="1:1" x14ac:dyDescent="0.3">
      <c r="A3413" s="1"/>
    </row>
    <row r="3414" spans="1:1" x14ac:dyDescent="0.3">
      <c r="A3414" s="1"/>
    </row>
    <row r="3415" spans="1:1" x14ac:dyDescent="0.3">
      <c r="A3415" s="1"/>
    </row>
    <row r="3416" spans="1:1" x14ac:dyDescent="0.3">
      <c r="A3416" s="1"/>
    </row>
    <row r="3417" spans="1:1" x14ac:dyDescent="0.3">
      <c r="A3417" s="1"/>
    </row>
    <row r="3418" spans="1:1" x14ac:dyDescent="0.3">
      <c r="A3418" s="1"/>
    </row>
    <row r="3419" spans="1:1" x14ac:dyDescent="0.3">
      <c r="A3419" s="1"/>
    </row>
    <row r="3420" spans="1:1" x14ac:dyDescent="0.3">
      <c r="A3420" s="1"/>
    </row>
    <row r="3421" spans="1:1" x14ac:dyDescent="0.3">
      <c r="A3421" s="1"/>
    </row>
    <row r="3422" spans="1:1" x14ac:dyDescent="0.3">
      <c r="A3422" s="1"/>
    </row>
    <row r="3423" spans="1:1" x14ac:dyDescent="0.3">
      <c r="A3423" s="1"/>
    </row>
    <row r="3424" spans="1:1" x14ac:dyDescent="0.3">
      <c r="A3424" s="1"/>
    </row>
    <row r="3425" spans="1:1" x14ac:dyDescent="0.3">
      <c r="A3425" s="1"/>
    </row>
    <row r="3426" spans="1:1" x14ac:dyDescent="0.3">
      <c r="A3426" s="1"/>
    </row>
    <row r="3427" spans="1:1" x14ac:dyDescent="0.3">
      <c r="A3427" s="1"/>
    </row>
    <row r="3428" spans="1:1" x14ac:dyDescent="0.3">
      <c r="A3428" s="1"/>
    </row>
    <row r="3429" spans="1:1" x14ac:dyDescent="0.3">
      <c r="A3429" s="1"/>
    </row>
    <row r="3430" spans="1:1" x14ac:dyDescent="0.3">
      <c r="A3430" s="1"/>
    </row>
    <row r="3431" spans="1:1" x14ac:dyDescent="0.3">
      <c r="A3431" s="1"/>
    </row>
    <row r="3432" spans="1:1" x14ac:dyDescent="0.3">
      <c r="A3432" s="1"/>
    </row>
    <row r="3433" spans="1:1" x14ac:dyDescent="0.3">
      <c r="A3433" s="1"/>
    </row>
    <row r="3434" spans="1:1" x14ac:dyDescent="0.3">
      <c r="A3434" s="1"/>
    </row>
    <row r="3435" spans="1:1" x14ac:dyDescent="0.3">
      <c r="A3435" s="1"/>
    </row>
    <row r="3436" spans="1:1" x14ac:dyDescent="0.3">
      <c r="A3436" s="1"/>
    </row>
    <row r="3437" spans="1:1" x14ac:dyDescent="0.3">
      <c r="A3437" s="1"/>
    </row>
    <row r="3438" spans="1:1" x14ac:dyDescent="0.3">
      <c r="A3438" s="1"/>
    </row>
    <row r="3439" spans="1:1" x14ac:dyDescent="0.3">
      <c r="A3439" s="1"/>
    </row>
    <row r="3440" spans="1:1" x14ac:dyDescent="0.3">
      <c r="A3440" s="1"/>
    </row>
    <row r="3441" spans="1:1" x14ac:dyDescent="0.3">
      <c r="A3441" s="1"/>
    </row>
    <row r="3442" spans="1:1" x14ac:dyDescent="0.3">
      <c r="A3442" s="1"/>
    </row>
    <row r="3443" spans="1:1" x14ac:dyDescent="0.3">
      <c r="A3443" s="1"/>
    </row>
    <row r="3444" spans="1:1" x14ac:dyDescent="0.3">
      <c r="A3444" s="1"/>
    </row>
    <row r="3445" spans="1:1" x14ac:dyDescent="0.3">
      <c r="A3445" s="1"/>
    </row>
    <row r="3446" spans="1:1" x14ac:dyDescent="0.3">
      <c r="A3446" s="1"/>
    </row>
    <row r="3447" spans="1:1" x14ac:dyDescent="0.3">
      <c r="A3447" s="1"/>
    </row>
    <row r="3448" spans="1:1" x14ac:dyDescent="0.3">
      <c r="A3448" s="1"/>
    </row>
    <row r="3449" spans="1:1" x14ac:dyDescent="0.3">
      <c r="A3449" s="1"/>
    </row>
    <row r="3450" spans="1:1" x14ac:dyDescent="0.3">
      <c r="A3450" s="1"/>
    </row>
    <row r="3451" spans="1:1" x14ac:dyDescent="0.3">
      <c r="A3451" s="1"/>
    </row>
    <row r="3452" spans="1:1" x14ac:dyDescent="0.3">
      <c r="A3452" s="1"/>
    </row>
    <row r="3453" spans="1:1" x14ac:dyDescent="0.3">
      <c r="A3453" s="1"/>
    </row>
    <row r="3454" spans="1:1" x14ac:dyDescent="0.3">
      <c r="A3454" s="1"/>
    </row>
    <row r="3455" spans="1:1" x14ac:dyDescent="0.3">
      <c r="A3455" s="1"/>
    </row>
    <row r="3456" spans="1:1" x14ac:dyDescent="0.3">
      <c r="A3456" s="1"/>
    </row>
    <row r="3457" spans="1:1" x14ac:dyDescent="0.3">
      <c r="A3457" s="1"/>
    </row>
    <row r="3458" spans="1:1" x14ac:dyDescent="0.3">
      <c r="A3458" s="1"/>
    </row>
    <row r="3459" spans="1:1" x14ac:dyDescent="0.3">
      <c r="A3459" s="1"/>
    </row>
    <row r="3460" spans="1:1" x14ac:dyDescent="0.3">
      <c r="A3460" s="1"/>
    </row>
    <row r="3461" spans="1:1" x14ac:dyDescent="0.3">
      <c r="A3461" s="1"/>
    </row>
    <row r="3462" spans="1:1" x14ac:dyDescent="0.3">
      <c r="A3462" s="1"/>
    </row>
    <row r="3463" spans="1:1" x14ac:dyDescent="0.3">
      <c r="A3463" s="1"/>
    </row>
    <row r="3464" spans="1:1" x14ac:dyDescent="0.3">
      <c r="A3464" s="1"/>
    </row>
    <row r="3465" spans="1:1" x14ac:dyDescent="0.3">
      <c r="A3465" s="1"/>
    </row>
    <row r="3466" spans="1:1" x14ac:dyDescent="0.3">
      <c r="A3466" s="1"/>
    </row>
    <row r="3467" spans="1:1" x14ac:dyDescent="0.3">
      <c r="A3467" s="1"/>
    </row>
    <row r="3468" spans="1:1" x14ac:dyDescent="0.3">
      <c r="A3468" s="1"/>
    </row>
    <row r="3469" spans="1:1" x14ac:dyDescent="0.3">
      <c r="A3469" s="1"/>
    </row>
    <row r="3470" spans="1:1" x14ac:dyDescent="0.3">
      <c r="A3470" s="1"/>
    </row>
    <row r="3471" spans="1:1" x14ac:dyDescent="0.3">
      <c r="A3471" s="1"/>
    </row>
    <row r="3472" spans="1:1" x14ac:dyDescent="0.3">
      <c r="A3472" s="1"/>
    </row>
    <row r="3473" spans="1:1" x14ac:dyDescent="0.3">
      <c r="A3473" s="1"/>
    </row>
    <row r="3474" spans="1:1" x14ac:dyDescent="0.3">
      <c r="A3474" s="1"/>
    </row>
    <row r="3475" spans="1:1" x14ac:dyDescent="0.3">
      <c r="A3475" s="1"/>
    </row>
    <row r="3476" spans="1:1" x14ac:dyDescent="0.3">
      <c r="A3476" s="1"/>
    </row>
    <row r="3477" spans="1:1" x14ac:dyDescent="0.3">
      <c r="A3477" s="1"/>
    </row>
    <row r="3478" spans="1:1" x14ac:dyDescent="0.3">
      <c r="A3478" s="1"/>
    </row>
    <row r="3479" spans="1:1" x14ac:dyDescent="0.3">
      <c r="A3479" s="1"/>
    </row>
    <row r="3480" spans="1:1" x14ac:dyDescent="0.3">
      <c r="A3480" s="1"/>
    </row>
    <row r="3481" spans="1:1" x14ac:dyDescent="0.3">
      <c r="A3481" s="1"/>
    </row>
    <row r="3482" spans="1:1" x14ac:dyDescent="0.3">
      <c r="A3482" s="1"/>
    </row>
    <row r="3483" spans="1:1" x14ac:dyDescent="0.3">
      <c r="A3483" s="1"/>
    </row>
    <row r="3484" spans="1:1" x14ac:dyDescent="0.3">
      <c r="A3484" s="1"/>
    </row>
    <row r="3485" spans="1:1" x14ac:dyDescent="0.3">
      <c r="A3485" s="1"/>
    </row>
    <row r="3486" spans="1:1" x14ac:dyDescent="0.3">
      <c r="A3486" s="1"/>
    </row>
    <row r="3487" spans="1:1" x14ac:dyDescent="0.3">
      <c r="A3487" s="1"/>
    </row>
    <row r="3488" spans="1:1" x14ac:dyDescent="0.3">
      <c r="A3488" s="1"/>
    </row>
    <row r="3489" spans="1:1" x14ac:dyDescent="0.3">
      <c r="A3489" s="1"/>
    </row>
    <row r="3490" spans="1:1" x14ac:dyDescent="0.3">
      <c r="A3490" s="1"/>
    </row>
    <row r="3491" spans="1:1" x14ac:dyDescent="0.3">
      <c r="A3491" s="1"/>
    </row>
    <row r="3492" spans="1:1" x14ac:dyDescent="0.3">
      <c r="A3492" s="1"/>
    </row>
    <row r="3493" spans="1:1" x14ac:dyDescent="0.3">
      <c r="A3493" s="1"/>
    </row>
    <row r="3494" spans="1:1" x14ac:dyDescent="0.3">
      <c r="A3494" s="1"/>
    </row>
    <row r="3495" spans="1:1" x14ac:dyDescent="0.3">
      <c r="A3495" s="1"/>
    </row>
    <row r="3496" spans="1:1" x14ac:dyDescent="0.3">
      <c r="A3496" s="1"/>
    </row>
    <row r="3497" spans="1:1" x14ac:dyDescent="0.3">
      <c r="A3497" s="1"/>
    </row>
    <row r="3498" spans="1:1" x14ac:dyDescent="0.3">
      <c r="A3498" s="1"/>
    </row>
    <row r="3499" spans="1:1" x14ac:dyDescent="0.3">
      <c r="A3499" s="1"/>
    </row>
    <row r="3500" spans="1:1" x14ac:dyDescent="0.3">
      <c r="A3500" s="1"/>
    </row>
    <row r="3501" spans="1:1" x14ac:dyDescent="0.3">
      <c r="A3501" s="1"/>
    </row>
    <row r="3502" spans="1:1" x14ac:dyDescent="0.3">
      <c r="A3502" s="1"/>
    </row>
    <row r="3503" spans="1:1" x14ac:dyDescent="0.3">
      <c r="A3503" s="1"/>
    </row>
    <row r="3504" spans="1:1" x14ac:dyDescent="0.3">
      <c r="A3504" s="1"/>
    </row>
    <row r="3505" spans="1:1" x14ac:dyDescent="0.3">
      <c r="A3505" s="1"/>
    </row>
    <row r="3506" spans="1:1" x14ac:dyDescent="0.3">
      <c r="A3506" s="1"/>
    </row>
    <row r="3507" spans="1:1" x14ac:dyDescent="0.3">
      <c r="A3507" s="1"/>
    </row>
    <row r="3508" spans="1:1" x14ac:dyDescent="0.3">
      <c r="A3508" s="1"/>
    </row>
    <row r="3509" spans="1:1" x14ac:dyDescent="0.3">
      <c r="A3509" s="1"/>
    </row>
    <row r="3510" spans="1:1" x14ac:dyDescent="0.3">
      <c r="A3510" s="1"/>
    </row>
    <row r="3511" spans="1:1" x14ac:dyDescent="0.3">
      <c r="A3511" s="1"/>
    </row>
    <row r="3512" spans="1:1" x14ac:dyDescent="0.3">
      <c r="A3512" s="1"/>
    </row>
    <row r="3513" spans="1:1" x14ac:dyDescent="0.3">
      <c r="A3513" s="1"/>
    </row>
    <row r="3514" spans="1:1" x14ac:dyDescent="0.3">
      <c r="A3514" s="1"/>
    </row>
    <row r="3515" spans="1:1" x14ac:dyDescent="0.3">
      <c r="A3515" s="1"/>
    </row>
    <row r="3516" spans="1:1" x14ac:dyDescent="0.3">
      <c r="A3516" s="1"/>
    </row>
    <row r="3517" spans="1:1" x14ac:dyDescent="0.3">
      <c r="A3517" s="1"/>
    </row>
    <row r="3518" spans="1:1" x14ac:dyDescent="0.3">
      <c r="A3518" s="1"/>
    </row>
    <row r="3519" spans="1:1" x14ac:dyDescent="0.3">
      <c r="A3519" s="1"/>
    </row>
    <row r="3520" spans="1:1" x14ac:dyDescent="0.3">
      <c r="A3520" s="1"/>
    </row>
    <row r="3521" spans="1:1" x14ac:dyDescent="0.3">
      <c r="A3521" s="1"/>
    </row>
    <row r="3522" spans="1:1" x14ac:dyDescent="0.3">
      <c r="A3522" s="1"/>
    </row>
    <row r="3523" spans="1:1" x14ac:dyDescent="0.3">
      <c r="A3523" s="1"/>
    </row>
    <row r="3524" spans="1:1" x14ac:dyDescent="0.3">
      <c r="A3524" s="1"/>
    </row>
    <row r="3525" spans="1:1" x14ac:dyDescent="0.3">
      <c r="A3525" s="1"/>
    </row>
    <row r="3526" spans="1:1" x14ac:dyDescent="0.3">
      <c r="A3526" s="1"/>
    </row>
    <row r="3527" spans="1:1" x14ac:dyDescent="0.3">
      <c r="A3527" s="1"/>
    </row>
    <row r="3528" spans="1:1" x14ac:dyDescent="0.3">
      <c r="A3528" s="1"/>
    </row>
    <row r="3529" spans="1:1" x14ac:dyDescent="0.3">
      <c r="A3529" s="1"/>
    </row>
    <row r="3530" spans="1:1" x14ac:dyDescent="0.3">
      <c r="A3530" s="1"/>
    </row>
    <row r="3531" spans="1:1" x14ac:dyDescent="0.3">
      <c r="A3531" s="1"/>
    </row>
    <row r="3532" spans="1:1" x14ac:dyDescent="0.3">
      <c r="A3532" s="1"/>
    </row>
    <row r="3533" spans="1:1" x14ac:dyDescent="0.3">
      <c r="A3533" s="1"/>
    </row>
    <row r="3534" spans="1:1" x14ac:dyDescent="0.3">
      <c r="A3534" s="1"/>
    </row>
    <row r="3535" spans="1:1" x14ac:dyDescent="0.3">
      <c r="A3535" s="1"/>
    </row>
    <row r="3536" spans="1:1" x14ac:dyDescent="0.3">
      <c r="A3536" s="1"/>
    </row>
    <row r="3537" spans="1:1" x14ac:dyDescent="0.3">
      <c r="A3537" s="1"/>
    </row>
    <row r="3538" spans="1:1" x14ac:dyDescent="0.3">
      <c r="A3538" s="1"/>
    </row>
    <row r="3539" spans="1:1" x14ac:dyDescent="0.3">
      <c r="A3539" s="1"/>
    </row>
    <row r="3540" spans="1:1" x14ac:dyDescent="0.3">
      <c r="A3540" s="1"/>
    </row>
    <row r="3541" spans="1:1" x14ac:dyDescent="0.3">
      <c r="A3541" s="1"/>
    </row>
    <row r="3542" spans="1:1" x14ac:dyDescent="0.3">
      <c r="A3542" s="1"/>
    </row>
    <row r="3543" spans="1:1" x14ac:dyDescent="0.3">
      <c r="A3543" s="1"/>
    </row>
    <row r="3544" spans="1:1" x14ac:dyDescent="0.3">
      <c r="A3544" s="1"/>
    </row>
    <row r="3545" spans="1:1" x14ac:dyDescent="0.3">
      <c r="A3545" s="1"/>
    </row>
    <row r="3546" spans="1:1" x14ac:dyDescent="0.3">
      <c r="A3546" s="1"/>
    </row>
    <row r="3547" spans="1:1" x14ac:dyDescent="0.3">
      <c r="A3547" s="1"/>
    </row>
    <row r="3548" spans="1:1" x14ac:dyDescent="0.3">
      <c r="A3548" s="1"/>
    </row>
    <row r="3549" spans="1:1" x14ac:dyDescent="0.3">
      <c r="A3549" s="1"/>
    </row>
    <row r="3550" spans="1:1" x14ac:dyDescent="0.3">
      <c r="A3550" s="1"/>
    </row>
    <row r="3551" spans="1:1" x14ac:dyDescent="0.3">
      <c r="A3551" s="1"/>
    </row>
    <row r="3552" spans="1:1" x14ac:dyDescent="0.3">
      <c r="A3552" s="1"/>
    </row>
    <row r="3553" spans="1:1" x14ac:dyDescent="0.3">
      <c r="A3553" s="1"/>
    </row>
    <row r="3554" spans="1:1" x14ac:dyDescent="0.3">
      <c r="A3554" s="1"/>
    </row>
    <row r="3555" spans="1:1" x14ac:dyDescent="0.3">
      <c r="A3555" s="1"/>
    </row>
    <row r="3556" spans="1:1" x14ac:dyDescent="0.3">
      <c r="A3556" s="1"/>
    </row>
    <row r="3557" spans="1:1" x14ac:dyDescent="0.3">
      <c r="A3557" s="1"/>
    </row>
    <row r="3558" spans="1:1" x14ac:dyDescent="0.3">
      <c r="A3558" s="1"/>
    </row>
    <row r="3559" spans="1:1" x14ac:dyDescent="0.3">
      <c r="A3559" s="1"/>
    </row>
    <row r="3560" spans="1:1" x14ac:dyDescent="0.3">
      <c r="A3560" s="1"/>
    </row>
    <row r="3561" spans="1:1" x14ac:dyDescent="0.3">
      <c r="A3561" s="1"/>
    </row>
    <row r="3562" spans="1:1" x14ac:dyDescent="0.3">
      <c r="A3562" s="1"/>
    </row>
    <row r="3563" spans="1:1" x14ac:dyDescent="0.3">
      <c r="A3563" s="1"/>
    </row>
    <row r="3564" spans="1:1" x14ac:dyDescent="0.3">
      <c r="A3564" s="1"/>
    </row>
    <row r="3565" spans="1:1" x14ac:dyDescent="0.3">
      <c r="A3565" s="1"/>
    </row>
    <row r="3566" spans="1:1" x14ac:dyDescent="0.3">
      <c r="A3566" s="1"/>
    </row>
    <row r="3567" spans="1:1" x14ac:dyDescent="0.3">
      <c r="A3567" s="1"/>
    </row>
    <row r="3568" spans="1:1" x14ac:dyDescent="0.3">
      <c r="A3568" s="1"/>
    </row>
    <row r="3569" spans="1:1" x14ac:dyDescent="0.3">
      <c r="A3569" s="1"/>
    </row>
    <row r="3570" spans="1:1" x14ac:dyDescent="0.3">
      <c r="A3570" s="1"/>
    </row>
    <row r="3571" spans="1:1" x14ac:dyDescent="0.3">
      <c r="A3571" s="1"/>
    </row>
    <row r="3572" spans="1:1" x14ac:dyDescent="0.3">
      <c r="A3572" s="1"/>
    </row>
    <row r="3573" spans="1:1" x14ac:dyDescent="0.3">
      <c r="A3573" s="1"/>
    </row>
    <row r="3574" spans="1:1" x14ac:dyDescent="0.3">
      <c r="A3574" s="1"/>
    </row>
    <row r="3575" spans="1:1" x14ac:dyDescent="0.3">
      <c r="A3575" s="1"/>
    </row>
    <row r="3576" spans="1:1" x14ac:dyDescent="0.3">
      <c r="A3576" s="1"/>
    </row>
    <row r="3577" spans="1:1" x14ac:dyDescent="0.3">
      <c r="A3577" s="1"/>
    </row>
    <row r="3578" spans="1:1" x14ac:dyDescent="0.3">
      <c r="A3578" s="1"/>
    </row>
    <row r="3579" spans="1:1" x14ac:dyDescent="0.3">
      <c r="A3579" s="1"/>
    </row>
    <row r="3580" spans="1:1" x14ac:dyDescent="0.3">
      <c r="A3580" s="1"/>
    </row>
    <row r="3581" spans="1:1" x14ac:dyDescent="0.3">
      <c r="A3581" s="1"/>
    </row>
    <row r="3582" spans="1:1" x14ac:dyDescent="0.3">
      <c r="A3582" s="1"/>
    </row>
    <row r="3583" spans="1:1" x14ac:dyDescent="0.3">
      <c r="A3583" s="1"/>
    </row>
    <row r="3584" spans="1:1" x14ac:dyDescent="0.3">
      <c r="A3584" s="1"/>
    </row>
    <row r="3585" spans="1:1" x14ac:dyDescent="0.3">
      <c r="A3585" s="1"/>
    </row>
    <row r="3586" spans="1:1" x14ac:dyDescent="0.3">
      <c r="A3586" s="1"/>
    </row>
    <row r="3587" spans="1:1" x14ac:dyDescent="0.3">
      <c r="A3587" s="1"/>
    </row>
    <row r="3588" spans="1:1" x14ac:dyDescent="0.3">
      <c r="A3588" s="1"/>
    </row>
    <row r="3589" spans="1:1" x14ac:dyDescent="0.3">
      <c r="A3589" s="1"/>
    </row>
    <row r="3590" spans="1:1" x14ac:dyDescent="0.3">
      <c r="A3590" s="1"/>
    </row>
    <row r="3591" spans="1:1" x14ac:dyDescent="0.3">
      <c r="A3591" s="1"/>
    </row>
    <row r="3592" spans="1:1" x14ac:dyDescent="0.3">
      <c r="A3592" s="1"/>
    </row>
    <row r="3593" spans="1:1" x14ac:dyDescent="0.3">
      <c r="A3593" s="1"/>
    </row>
    <row r="3594" spans="1:1" x14ac:dyDescent="0.3">
      <c r="A3594" s="1"/>
    </row>
    <row r="3595" spans="1:1" x14ac:dyDescent="0.3">
      <c r="A3595" s="1"/>
    </row>
    <row r="3596" spans="1:1" x14ac:dyDescent="0.3">
      <c r="A3596" s="1"/>
    </row>
    <row r="3597" spans="1:1" x14ac:dyDescent="0.3">
      <c r="A3597" s="1"/>
    </row>
    <row r="3598" spans="1:1" x14ac:dyDescent="0.3">
      <c r="A3598" s="1"/>
    </row>
    <row r="3599" spans="1:1" x14ac:dyDescent="0.3">
      <c r="A3599" s="1"/>
    </row>
    <row r="3600" spans="1:1" x14ac:dyDescent="0.3">
      <c r="A3600" s="1"/>
    </row>
    <row r="3601" spans="1:1" x14ac:dyDescent="0.3">
      <c r="A3601" s="1"/>
    </row>
    <row r="3602" spans="1:1" x14ac:dyDescent="0.3">
      <c r="A3602" s="1"/>
    </row>
    <row r="3603" spans="1:1" x14ac:dyDescent="0.3">
      <c r="A3603" s="1"/>
    </row>
    <row r="3604" spans="1:1" x14ac:dyDescent="0.3">
      <c r="A3604" s="1"/>
    </row>
    <row r="3605" spans="1:1" x14ac:dyDescent="0.3">
      <c r="A3605" s="1"/>
    </row>
    <row r="3606" spans="1:1" x14ac:dyDescent="0.3">
      <c r="A3606" s="1"/>
    </row>
    <row r="3607" spans="1:1" x14ac:dyDescent="0.3">
      <c r="A3607" s="1"/>
    </row>
    <row r="3608" spans="1:1" x14ac:dyDescent="0.3">
      <c r="A3608" s="1"/>
    </row>
    <row r="3609" spans="1:1" x14ac:dyDescent="0.3">
      <c r="A3609" s="1"/>
    </row>
    <row r="3610" spans="1:1" x14ac:dyDescent="0.3">
      <c r="A3610" s="1"/>
    </row>
    <row r="3611" spans="1:1" x14ac:dyDescent="0.3">
      <c r="A3611" s="1"/>
    </row>
    <row r="3612" spans="1:1" x14ac:dyDescent="0.3">
      <c r="A3612" s="1"/>
    </row>
    <row r="3613" spans="1:1" x14ac:dyDescent="0.3">
      <c r="A3613" s="1"/>
    </row>
    <row r="3614" spans="1:1" x14ac:dyDescent="0.3">
      <c r="A3614" s="1"/>
    </row>
    <row r="3615" spans="1:1" x14ac:dyDescent="0.3">
      <c r="A3615" s="1"/>
    </row>
    <row r="3616" spans="1:1" x14ac:dyDescent="0.3">
      <c r="A3616" s="1"/>
    </row>
    <row r="3617" spans="1:1" x14ac:dyDescent="0.3">
      <c r="A3617" s="1"/>
    </row>
    <row r="3618" spans="1:1" x14ac:dyDescent="0.3">
      <c r="A3618" s="1"/>
    </row>
    <row r="3619" spans="1:1" x14ac:dyDescent="0.3">
      <c r="A3619" s="1"/>
    </row>
    <row r="3620" spans="1:1" x14ac:dyDescent="0.3">
      <c r="A3620" s="1"/>
    </row>
    <row r="3621" spans="1:1" x14ac:dyDescent="0.3">
      <c r="A3621" s="1"/>
    </row>
    <row r="3622" spans="1:1" x14ac:dyDescent="0.3">
      <c r="A3622" s="1"/>
    </row>
    <row r="3623" spans="1:1" x14ac:dyDescent="0.3">
      <c r="A3623" s="1"/>
    </row>
    <row r="3624" spans="1:1" x14ac:dyDescent="0.3">
      <c r="A3624" s="1"/>
    </row>
    <row r="3625" spans="1:1" x14ac:dyDescent="0.3">
      <c r="A3625" s="1"/>
    </row>
    <row r="3626" spans="1:1" x14ac:dyDescent="0.3">
      <c r="A3626" s="1"/>
    </row>
    <row r="3627" spans="1:1" x14ac:dyDescent="0.3">
      <c r="A3627" s="1"/>
    </row>
    <row r="3628" spans="1:1" x14ac:dyDescent="0.3">
      <c r="A3628" s="1"/>
    </row>
    <row r="3629" spans="1:1" x14ac:dyDescent="0.3">
      <c r="A3629" s="1"/>
    </row>
    <row r="3630" spans="1:1" x14ac:dyDescent="0.3">
      <c r="A3630" s="1"/>
    </row>
    <row r="3631" spans="1:1" x14ac:dyDescent="0.3">
      <c r="A3631" s="1"/>
    </row>
    <row r="3632" spans="1:1" x14ac:dyDescent="0.3">
      <c r="A3632" s="1"/>
    </row>
    <row r="3633" spans="1:1" x14ac:dyDescent="0.3">
      <c r="A3633" s="1"/>
    </row>
    <row r="3634" spans="1:1" x14ac:dyDescent="0.3">
      <c r="A3634" s="1"/>
    </row>
    <row r="3635" spans="1:1" x14ac:dyDescent="0.3">
      <c r="A3635" s="1"/>
    </row>
    <row r="3636" spans="1:1" x14ac:dyDescent="0.3">
      <c r="A3636" s="1"/>
    </row>
    <row r="3637" spans="1:1" x14ac:dyDescent="0.3">
      <c r="A3637" s="1"/>
    </row>
    <row r="3638" spans="1:1" x14ac:dyDescent="0.3">
      <c r="A3638" s="1"/>
    </row>
    <row r="3639" spans="1:1" x14ac:dyDescent="0.3">
      <c r="A3639" s="1"/>
    </row>
    <row r="3640" spans="1:1" x14ac:dyDescent="0.3">
      <c r="A3640" s="1"/>
    </row>
    <row r="3641" spans="1:1" x14ac:dyDescent="0.3">
      <c r="A3641" s="1"/>
    </row>
    <row r="3642" spans="1:1" x14ac:dyDescent="0.3">
      <c r="A3642" s="1"/>
    </row>
    <row r="3643" spans="1:1" x14ac:dyDescent="0.3">
      <c r="A3643" s="1"/>
    </row>
    <row r="3644" spans="1:1" x14ac:dyDescent="0.3">
      <c r="A3644" s="1"/>
    </row>
    <row r="3645" spans="1:1" x14ac:dyDescent="0.3">
      <c r="A3645" s="1"/>
    </row>
    <row r="3646" spans="1:1" x14ac:dyDescent="0.3">
      <c r="A3646" s="1"/>
    </row>
    <row r="3647" spans="1:1" x14ac:dyDescent="0.3">
      <c r="A3647" s="1"/>
    </row>
    <row r="3648" spans="1:1" x14ac:dyDescent="0.3">
      <c r="A3648" s="1"/>
    </row>
    <row r="3649" spans="1:1" x14ac:dyDescent="0.3">
      <c r="A3649" s="1"/>
    </row>
    <row r="3650" spans="1:1" x14ac:dyDescent="0.3">
      <c r="A3650" s="1"/>
    </row>
    <row r="3651" spans="1:1" x14ac:dyDescent="0.3">
      <c r="A3651" s="1"/>
    </row>
    <row r="3652" spans="1:1" x14ac:dyDescent="0.3">
      <c r="A3652" s="1"/>
    </row>
    <row r="3653" spans="1:1" x14ac:dyDescent="0.3">
      <c r="A3653" s="1"/>
    </row>
    <row r="3654" spans="1:1" x14ac:dyDescent="0.3">
      <c r="A3654" s="1"/>
    </row>
    <row r="3655" spans="1:1" x14ac:dyDescent="0.3">
      <c r="A3655" s="1"/>
    </row>
    <row r="3656" spans="1:1" x14ac:dyDescent="0.3">
      <c r="A3656" s="1"/>
    </row>
    <row r="3657" spans="1:1" x14ac:dyDescent="0.3">
      <c r="A3657" s="1"/>
    </row>
    <row r="3658" spans="1:1" x14ac:dyDescent="0.3">
      <c r="A3658" s="1"/>
    </row>
    <row r="3659" spans="1:1" x14ac:dyDescent="0.3">
      <c r="A3659" s="1"/>
    </row>
    <row r="3660" spans="1:1" x14ac:dyDescent="0.3">
      <c r="A3660" s="1"/>
    </row>
    <row r="3661" spans="1:1" x14ac:dyDescent="0.3">
      <c r="A3661" s="1"/>
    </row>
    <row r="3662" spans="1:1" x14ac:dyDescent="0.3">
      <c r="A3662" s="1"/>
    </row>
    <row r="3663" spans="1:1" x14ac:dyDescent="0.3">
      <c r="A3663" s="1"/>
    </row>
    <row r="3664" spans="1:1" x14ac:dyDescent="0.3">
      <c r="A3664" s="1"/>
    </row>
    <row r="3665" spans="1:1" x14ac:dyDescent="0.3">
      <c r="A3665" s="1"/>
    </row>
    <row r="3666" spans="1:1" x14ac:dyDescent="0.3">
      <c r="A3666" s="1"/>
    </row>
    <row r="3667" spans="1:1" x14ac:dyDescent="0.3">
      <c r="A3667" s="1"/>
    </row>
    <row r="3668" spans="1:1" x14ac:dyDescent="0.3">
      <c r="A3668" s="1"/>
    </row>
    <row r="3669" spans="1:1" x14ac:dyDescent="0.3">
      <c r="A3669" s="1"/>
    </row>
    <row r="3670" spans="1:1" x14ac:dyDescent="0.3">
      <c r="A3670" s="1"/>
    </row>
    <row r="3671" spans="1:1" x14ac:dyDescent="0.3">
      <c r="A3671" s="1"/>
    </row>
    <row r="3672" spans="1:1" x14ac:dyDescent="0.3">
      <c r="A3672" s="1"/>
    </row>
    <row r="3673" spans="1:1" x14ac:dyDescent="0.3">
      <c r="A3673" s="1"/>
    </row>
    <row r="3674" spans="1:1" x14ac:dyDescent="0.3">
      <c r="A3674" s="1"/>
    </row>
    <row r="3675" spans="1:1" x14ac:dyDescent="0.3">
      <c r="A3675" s="1"/>
    </row>
    <row r="3676" spans="1:1" x14ac:dyDescent="0.3">
      <c r="A3676" s="1"/>
    </row>
    <row r="3677" spans="1:1" x14ac:dyDescent="0.3">
      <c r="A3677" s="1"/>
    </row>
    <row r="3678" spans="1:1" x14ac:dyDescent="0.3">
      <c r="A3678" s="1"/>
    </row>
    <row r="3679" spans="1:1" x14ac:dyDescent="0.3">
      <c r="A3679" s="1"/>
    </row>
    <row r="3680" spans="1:1" x14ac:dyDescent="0.3">
      <c r="A3680" s="1"/>
    </row>
    <row r="3681" spans="1:1" x14ac:dyDescent="0.3">
      <c r="A3681" s="1"/>
    </row>
    <row r="3682" spans="1:1" x14ac:dyDescent="0.3">
      <c r="A3682" s="1"/>
    </row>
    <row r="3683" spans="1:1" x14ac:dyDescent="0.3">
      <c r="A3683" s="1"/>
    </row>
    <row r="3684" spans="1:1" x14ac:dyDescent="0.3">
      <c r="A3684" s="1"/>
    </row>
    <row r="3685" spans="1:1" x14ac:dyDescent="0.3">
      <c r="A3685" s="1"/>
    </row>
    <row r="3686" spans="1:1" x14ac:dyDescent="0.3">
      <c r="A3686" s="1"/>
    </row>
    <row r="3687" spans="1:1" x14ac:dyDescent="0.3">
      <c r="A3687" s="1"/>
    </row>
    <row r="3688" spans="1:1" x14ac:dyDescent="0.3">
      <c r="A3688" s="1"/>
    </row>
    <row r="3689" spans="1:1" x14ac:dyDescent="0.3">
      <c r="A3689" s="1"/>
    </row>
    <row r="3690" spans="1:1" x14ac:dyDescent="0.3">
      <c r="A3690" s="1"/>
    </row>
    <row r="3691" spans="1:1" x14ac:dyDescent="0.3">
      <c r="A3691" s="1"/>
    </row>
    <row r="3692" spans="1:1" x14ac:dyDescent="0.3">
      <c r="A3692" s="1"/>
    </row>
    <row r="3693" spans="1:1" x14ac:dyDescent="0.3">
      <c r="A3693" s="1"/>
    </row>
    <row r="3694" spans="1:1" x14ac:dyDescent="0.3">
      <c r="A3694" s="1"/>
    </row>
    <row r="3695" spans="1:1" x14ac:dyDescent="0.3">
      <c r="A3695" s="1"/>
    </row>
    <row r="3696" spans="1:1" x14ac:dyDescent="0.3">
      <c r="A3696" s="1"/>
    </row>
    <row r="3697" spans="1:1" x14ac:dyDescent="0.3">
      <c r="A3697" s="1"/>
    </row>
    <row r="3698" spans="1:1" x14ac:dyDescent="0.3">
      <c r="A3698" s="1"/>
    </row>
    <row r="3699" spans="1:1" x14ac:dyDescent="0.3">
      <c r="A3699" s="1"/>
    </row>
    <row r="3700" spans="1:1" x14ac:dyDescent="0.3">
      <c r="A3700" s="1"/>
    </row>
    <row r="3701" spans="1:1" x14ac:dyDescent="0.3">
      <c r="A3701" s="1"/>
    </row>
    <row r="3702" spans="1:1" x14ac:dyDescent="0.3">
      <c r="A3702" s="1"/>
    </row>
    <row r="3703" spans="1:1" x14ac:dyDescent="0.3">
      <c r="A3703" s="1"/>
    </row>
    <row r="3704" spans="1:1" x14ac:dyDescent="0.3">
      <c r="A3704" s="1"/>
    </row>
    <row r="3705" spans="1:1" x14ac:dyDescent="0.3">
      <c r="A3705" s="1"/>
    </row>
    <row r="3706" spans="1:1" x14ac:dyDescent="0.3">
      <c r="A3706" s="1"/>
    </row>
    <row r="3707" spans="1:1" x14ac:dyDescent="0.3">
      <c r="A3707" s="1"/>
    </row>
    <row r="3708" spans="1:1" x14ac:dyDescent="0.3">
      <c r="A3708" s="1"/>
    </row>
    <row r="3709" spans="1:1" x14ac:dyDescent="0.3">
      <c r="A3709" s="1"/>
    </row>
    <row r="3710" spans="1:1" x14ac:dyDescent="0.3">
      <c r="A3710" s="1"/>
    </row>
    <row r="3711" spans="1:1" x14ac:dyDescent="0.3">
      <c r="A3711" s="1"/>
    </row>
    <row r="3712" spans="1:1" x14ac:dyDescent="0.3">
      <c r="A3712" s="1"/>
    </row>
    <row r="3713" spans="1:1" x14ac:dyDescent="0.3">
      <c r="A3713" s="1"/>
    </row>
    <row r="3714" spans="1:1" x14ac:dyDescent="0.3">
      <c r="A3714" s="1"/>
    </row>
    <row r="3715" spans="1:1" x14ac:dyDescent="0.3">
      <c r="A3715" s="1"/>
    </row>
    <row r="3716" spans="1:1" x14ac:dyDescent="0.3">
      <c r="A3716" s="1"/>
    </row>
    <row r="3717" spans="1:1" x14ac:dyDescent="0.3">
      <c r="A3717" s="1"/>
    </row>
    <row r="3718" spans="1:1" x14ac:dyDescent="0.3">
      <c r="A3718" s="1"/>
    </row>
    <row r="3719" spans="1:1" x14ac:dyDescent="0.3">
      <c r="A3719" s="1"/>
    </row>
    <row r="3720" spans="1:1" x14ac:dyDescent="0.3">
      <c r="A3720" s="1"/>
    </row>
    <row r="3721" spans="1:1" x14ac:dyDescent="0.3">
      <c r="A3721" s="1"/>
    </row>
    <row r="3722" spans="1:1" x14ac:dyDescent="0.3">
      <c r="A3722" s="1"/>
    </row>
    <row r="3723" spans="1:1" x14ac:dyDescent="0.3">
      <c r="A3723" s="1"/>
    </row>
    <row r="3724" spans="1:1" x14ac:dyDescent="0.3">
      <c r="A3724" s="1"/>
    </row>
    <row r="3725" spans="1:1" x14ac:dyDescent="0.3">
      <c r="A3725" s="1"/>
    </row>
    <row r="3726" spans="1:1" x14ac:dyDescent="0.3">
      <c r="A3726" s="1"/>
    </row>
    <row r="3727" spans="1:1" x14ac:dyDescent="0.3">
      <c r="A3727" s="1"/>
    </row>
    <row r="3728" spans="1:1" x14ac:dyDescent="0.3">
      <c r="A3728" s="1"/>
    </row>
    <row r="3729" spans="1:1" x14ac:dyDescent="0.3">
      <c r="A3729" s="1"/>
    </row>
    <row r="3730" spans="1:1" x14ac:dyDescent="0.3">
      <c r="A3730" s="1"/>
    </row>
    <row r="3731" spans="1:1" x14ac:dyDescent="0.3">
      <c r="A3731" s="1"/>
    </row>
    <row r="3732" spans="1:1" x14ac:dyDescent="0.3">
      <c r="A3732" s="1"/>
    </row>
    <row r="3733" spans="1:1" x14ac:dyDescent="0.3">
      <c r="A3733" s="1"/>
    </row>
    <row r="3734" spans="1:1" x14ac:dyDescent="0.3">
      <c r="A3734" s="1"/>
    </row>
    <row r="3735" spans="1:1" x14ac:dyDescent="0.3">
      <c r="A3735" s="1"/>
    </row>
    <row r="3736" spans="1:1" x14ac:dyDescent="0.3">
      <c r="A3736" s="1"/>
    </row>
    <row r="3737" spans="1:1" x14ac:dyDescent="0.3">
      <c r="A3737" s="1"/>
    </row>
    <row r="3738" spans="1:1" x14ac:dyDescent="0.3">
      <c r="A3738" s="1"/>
    </row>
    <row r="3739" spans="1:1" x14ac:dyDescent="0.3">
      <c r="A3739" s="1"/>
    </row>
    <row r="3740" spans="1:1" x14ac:dyDescent="0.3">
      <c r="A3740" s="1"/>
    </row>
    <row r="3741" spans="1:1" x14ac:dyDescent="0.3">
      <c r="A3741" s="1"/>
    </row>
    <row r="3742" spans="1:1" x14ac:dyDescent="0.3">
      <c r="A3742" s="1"/>
    </row>
    <row r="3743" spans="1:1" x14ac:dyDescent="0.3">
      <c r="A3743" s="1"/>
    </row>
    <row r="3744" spans="1:1" x14ac:dyDescent="0.3">
      <c r="A3744" s="1"/>
    </row>
    <row r="3745" spans="1:1" x14ac:dyDescent="0.3">
      <c r="A3745" s="1"/>
    </row>
    <row r="3746" spans="1:1" x14ac:dyDescent="0.3">
      <c r="A3746" s="1"/>
    </row>
    <row r="3747" spans="1:1" x14ac:dyDescent="0.3">
      <c r="A3747" s="1"/>
    </row>
    <row r="3748" spans="1:1" x14ac:dyDescent="0.3">
      <c r="A3748" s="1"/>
    </row>
    <row r="3749" spans="1:1" x14ac:dyDescent="0.3">
      <c r="A3749" s="1"/>
    </row>
    <row r="3750" spans="1:1" x14ac:dyDescent="0.3">
      <c r="A3750" s="1"/>
    </row>
    <row r="3751" spans="1:1" x14ac:dyDescent="0.3">
      <c r="A3751" s="1"/>
    </row>
    <row r="3752" spans="1:1" x14ac:dyDescent="0.3">
      <c r="A3752" s="1"/>
    </row>
    <row r="3753" spans="1:1" x14ac:dyDescent="0.3">
      <c r="A3753" s="1"/>
    </row>
    <row r="3754" spans="1:1" x14ac:dyDescent="0.3">
      <c r="A3754" s="1"/>
    </row>
    <row r="3755" spans="1:1" x14ac:dyDescent="0.3">
      <c r="A3755" s="1"/>
    </row>
    <row r="3756" spans="1:1" x14ac:dyDescent="0.3">
      <c r="A3756" s="1"/>
    </row>
    <row r="3757" spans="1:1" x14ac:dyDescent="0.3">
      <c r="A3757" s="1"/>
    </row>
    <row r="3758" spans="1:1" x14ac:dyDescent="0.3">
      <c r="A3758" s="1"/>
    </row>
    <row r="3759" spans="1:1" x14ac:dyDescent="0.3">
      <c r="A3759" s="1"/>
    </row>
    <row r="3760" spans="1:1" x14ac:dyDescent="0.3">
      <c r="A3760" s="1"/>
    </row>
    <row r="3761" spans="1:1" x14ac:dyDescent="0.3">
      <c r="A3761" s="1"/>
    </row>
    <row r="3762" spans="1:1" x14ac:dyDescent="0.3">
      <c r="A3762" s="1"/>
    </row>
    <row r="3763" spans="1:1" x14ac:dyDescent="0.3">
      <c r="A3763" s="1"/>
    </row>
    <row r="3764" spans="1:1" x14ac:dyDescent="0.3">
      <c r="A3764" s="1"/>
    </row>
    <row r="3765" spans="1:1" x14ac:dyDescent="0.3">
      <c r="A3765" s="1"/>
    </row>
    <row r="3766" spans="1:1" x14ac:dyDescent="0.3">
      <c r="A3766" s="1"/>
    </row>
    <row r="3767" spans="1:1" x14ac:dyDescent="0.3">
      <c r="A3767" s="1"/>
    </row>
    <row r="3768" spans="1:1" x14ac:dyDescent="0.3">
      <c r="A3768" s="1"/>
    </row>
    <row r="3769" spans="1:1" x14ac:dyDescent="0.3">
      <c r="A3769" s="1"/>
    </row>
    <row r="3770" spans="1:1" x14ac:dyDescent="0.3">
      <c r="A3770" s="1"/>
    </row>
    <row r="3771" spans="1:1" x14ac:dyDescent="0.3">
      <c r="A3771" s="1"/>
    </row>
    <row r="3772" spans="1:1" x14ac:dyDescent="0.3">
      <c r="A3772" s="1"/>
    </row>
    <row r="3773" spans="1:1" x14ac:dyDescent="0.3">
      <c r="A3773" s="1"/>
    </row>
    <row r="3774" spans="1:1" x14ac:dyDescent="0.3">
      <c r="A3774" s="1"/>
    </row>
    <row r="3775" spans="1:1" x14ac:dyDescent="0.3">
      <c r="A3775" s="1"/>
    </row>
    <row r="3776" spans="1:1" x14ac:dyDescent="0.3">
      <c r="A3776" s="1"/>
    </row>
    <row r="3777" spans="1:1" x14ac:dyDescent="0.3">
      <c r="A3777" s="1"/>
    </row>
    <row r="3778" spans="1:1" x14ac:dyDescent="0.3">
      <c r="A3778" s="1"/>
    </row>
    <row r="3779" spans="1:1" x14ac:dyDescent="0.3">
      <c r="A3779" s="1"/>
    </row>
    <row r="3780" spans="1:1" x14ac:dyDescent="0.3">
      <c r="A3780" s="1"/>
    </row>
    <row r="3781" spans="1:1" x14ac:dyDescent="0.3">
      <c r="A3781" s="1"/>
    </row>
    <row r="3782" spans="1:1" x14ac:dyDescent="0.3">
      <c r="A3782" s="1"/>
    </row>
    <row r="3783" spans="1:1" x14ac:dyDescent="0.3">
      <c r="A3783" s="1"/>
    </row>
    <row r="3784" spans="1:1" x14ac:dyDescent="0.3">
      <c r="A3784" s="1"/>
    </row>
    <row r="3785" spans="1:1" x14ac:dyDescent="0.3">
      <c r="A3785" s="1"/>
    </row>
    <row r="3786" spans="1:1" x14ac:dyDescent="0.3">
      <c r="A3786" s="1"/>
    </row>
    <row r="3787" spans="1:1" x14ac:dyDescent="0.3">
      <c r="A3787" s="1"/>
    </row>
    <row r="3788" spans="1:1" x14ac:dyDescent="0.3">
      <c r="A3788" s="1"/>
    </row>
    <row r="3789" spans="1:1" x14ac:dyDescent="0.3">
      <c r="A3789" s="1"/>
    </row>
    <row r="3790" spans="1:1" x14ac:dyDescent="0.3">
      <c r="A3790" s="1"/>
    </row>
    <row r="3791" spans="1:1" x14ac:dyDescent="0.3">
      <c r="A3791" s="1"/>
    </row>
    <row r="3792" spans="1:1" x14ac:dyDescent="0.3">
      <c r="A3792" s="1"/>
    </row>
    <row r="3793" spans="1:1" x14ac:dyDescent="0.3">
      <c r="A3793" s="1"/>
    </row>
    <row r="3794" spans="1:1" x14ac:dyDescent="0.3">
      <c r="A3794" s="1"/>
    </row>
    <row r="3795" spans="1:1" x14ac:dyDescent="0.3">
      <c r="A3795" s="1"/>
    </row>
    <row r="3796" spans="1:1" x14ac:dyDescent="0.3">
      <c r="A3796" s="1"/>
    </row>
    <row r="3797" spans="1:1" x14ac:dyDescent="0.3">
      <c r="A3797" s="1"/>
    </row>
    <row r="3798" spans="1:1" x14ac:dyDescent="0.3">
      <c r="A3798" s="1"/>
    </row>
    <row r="3799" spans="1:1" x14ac:dyDescent="0.3">
      <c r="A3799" s="1"/>
    </row>
    <row r="3800" spans="1:1" x14ac:dyDescent="0.3">
      <c r="A3800" s="1"/>
    </row>
    <row r="3801" spans="1:1" x14ac:dyDescent="0.3">
      <c r="A3801" s="1"/>
    </row>
    <row r="3802" spans="1:1" x14ac:dyDescent="0.3">
      <c r="A3802" s="1"/>
    </row>
    <row r="3803" spans="1:1" x14ac:dyDescent="0.3">
      <c r="A3803" s="1"/>
    </row>
    <row r="3804" spans="1:1" x14ac:dyDescent="0.3">
      <c r="A3804" s="1"/>
    </row>
    <row r="3805" spans="1:1" x14ac:dyDescent="0.3">
      <c r="A3805" s="1"/>
    </row>
    <row r="3806" spans="1:1" x14ac:dyDescent="0.3">
      <c r="A3806" s="1"/>
    </row>
    <row r="3807" spans="1:1" x14ac:dyDescent="0.3">
      <c r="A3807" s="1"/>
    </row>
    <row r="3808" spans="1:1" x14ac:dyDescent="0.3">
      <c r="A3808" s="1"/>
    </row>
    <row r="3809" spans="1:1" x14ac:dyDescent="0.3">
      <c r="A3809" s="1"/>
    </row>
    <row r="3810" spans="1:1" x14ac:dyDescent="0.3">
      <c r="A3810" s="1"/>
    </row>
    <row r="3811" spans="1:1" x14ac:dyDescent="0.3">
      <c r="A3811" s="1"/>
    </row>
    <row r="3812" spans="1:1" x14ac:dyDescent="0.3">
      <c r="A3812" s="1"/>
    </row>
    <row r="3813" spans="1:1" x14ac:dyDescent="0.3">
      <c r="A3813" s="1"/>
    </row>
    <row r="3814" spans="1:1" x14ac:dyDescent="0.3">
      <c r="A3814" s="1"/>
    </row>
    <row r="3815" spans="1:1" x14ac:dyDescent="0.3">
      <c r="A3815" s="1"/>
    </row>
    <row r="3816" spans="1:1" x14ac:dyDescent="0.3">
      <c r="A3816" s="1"/>
    </row>
    <row r="3817" spans="1:1" x14ac:dyDescent="0.3">
      <c r="A3817" s="1"/>
    </row>
    <row r="3818" spans="1:1" x14ac:dyDescent="0.3">
      <c r="A3818" s="1"/>
    </row>
    <row r="3819" spans="1:1" x14ac:dyDescent="0.3">
      <c r="A3819" s="1"/>
    </row>
    <row r="3820" spans="1:1" x14ac:dyDescent="0.3">
      <c r="A3820" s="1"/>
    </row>
    <row r="3821" spans="1:1" x14ac:dyDescent="0.3">
      <c r="A3821" s="1"/>
    </row>
    <row r="3822" spans="1:1" x14ac:dyDescent="0.3">
      <c r="A3822" s="1"/>
    </row>
    <row r="3823" spans="1:1" x14ac:dyDescent="0.3">
      <c r="A3823" s="1"/>
    </row>
    <row r="3824" spans="1:1" x14ac:dyDescent="0.3">
      <c r="A3824" s="1"/>
    </row>
    <row r="3825" spans="1:1" x14ac:dyDescent="0.3">
      <c r="A3825" s="1"/>
    </row>
    <row r="3826" spans="1:1" x14ac:dyDescent="0.3">
      <c r="A3826" s="1"/>
    </row>
    <row r="3827" spans="1:1" x14ac:dyDescent="0.3">
      <c r="A3827" s="1"/>
    </row>
    <row r="3828" spans="1:1" x14ac:dyDescent="0.3">
      <c r="A3828" s="1"/>
    </row>
    <row r="3829" spans="1:1" x14ac:dyDescent="0.3">
      <c r="A3829" s="1"/>
    </row>
    <row r="3830" spans="1:1" x14ac:dyDescent="0.3">
      <c r="A3830" s="1"/>
    </row>
    <row r="3831" spans="1:1" x14ac:dyDescent="0.3">
      <c r="A3831" s="1"/>
    </row>
    <row r="3832" spans="1:1" x14ac:dyDescent="0.3">
      <c r="A3832" s="1"/>
    </row>
    <row r="3833" spans="1:1" x14ac:dyDescent="0.3">
      <c r="A3833" s="1"/>
    </row>
    <row r="3834" spans="1:1" x14ac:dyDescent="0.3">
      <c r="A3834" s="1"/>
    </row>
    <row r="3835" spans="1:1" x14ac:dyDescent="0.3">
      <c r="A3835" s="1"/>
    </row>
    <row r="3836" spans="1:1" x14ac:dyDescent="0.3">
      <c r="A3836" s="1"/>
    </row>
    <row r="3837" spans="1:1" x14ac:dyDescent="0.3">
      <c r="A3837" s="1"/>
    </row>
    <row r="3838" spans="1:1" x14ac:dyDescent="0.3">
      <c r="A3838" s="1"/>
    </row>
    <row r="3839" spans="1:1" x14ac:dyDescent="0.3">
      <c r="A3839" s="1"/>
    </row>
    <row r="3840" spans="1:1" x14ac:dyDescent="0.3">
      <c r="A3840" s="1"/>
    </row>
    <row r="3841" spans="1:1" x14ac:dyDescent="0.3">
      <c r="A3841" s="1"/>
    </row>
    <row r="3842" spans="1:1" x14ac:dyDescent="0.3">
      <c r="A3842" s="1"/>
    </row>
    <row r="3843" spans="1:1" x14ac:dyDescent="0.3">
      <c r="A3843" s="1"/>
    </row>
    <row r="3844" spans="1:1" x14ac:dyDescent="0.3">
      <c r="A3844" s="1"/>
    </row>
    <row r="3845" spans="1:1" x14ac:dyDescent="0.3">
      <c r="A3845" s="1"/>
    </row>
    <row r="3846" spans="1:1" x14ac:dyDescent="0.3">
      <c r="A3846" s="1"/>
    </row>
    <row r="3847" spans="1:1" x14ac:dyDescent="0.3">
      <c r="A3847" s="1"/>
    </row>
    <row r="3848" spans="1:1" x14ac:dyDescent="0.3">
      <c r="A3848" s="1"/>
    </row>
    <row r="3849" spans="1:1" x14ac:dyDescent="0.3">
      <c r="A3849" s="1"/>
    </row>
    <row r="3850" spans="1:1" x14ac:dyDescent="0.3">
      <c r="A3850" s="1"/>
    </row>
    <row r="3851" spans="1:1" x14ac:dyDescent="0.3">
      <c r="A3851" s="1"/>
    </row>
    <row r="3852" spans="1:1" x14ac:dyDescent="0.3">
      <c r="A3852" s="1"/>
    </row>
    <row r="3853" spans="1:1" x14ac:dyDescent="0.3">
      <c r="A3853" s="1"/>
    </row>
    <row r="3854" spans="1:1" x14ac:dyDescent="0.3">
      <c r="A3854" s="1"/>
    </row>
    <row r="3855" spans="1:1" x14ac:dyDescent="0.3">
      <c r="A3855" s="1"/>
    </row>
    <row r="3856" spans="1:1" x14ac:dyDescent="0.3">
      <c r="A3856" s="1"/>
    </row>
    <row r="3857" spans="1:1" x14ac:dyDescent="0.3">
      <c r="A3857" s="1"/>
    </row>
    <row r="3858" spans="1:1" x14ac:dyDescent="0.3">
      <c r="A3858" s="1"/>
    </row>
    <row r="3859" spans="1:1" x14ac:dyDescent="0.3">
      <c r="A3859" s="1"/>
    </row>
    <row r="3860" spans="1:1" x14ac:dyDescent="0.3">
      <c r="A3860" s="1"/>
    </row>
    <row r="3861" spans="1:1" x14ac:dyDescent="0.3">
      <c r="A3861" s="1"/>
    </row>
    <row r="3862" spans="1:1" x14ac:dyDescent="0.3">
      <c r="A3862" s="1"/>
    </row>
    <row r="3863" spans="1:1" x14ac:dyDescent="0.3">
      <c r="A3863" s="1"/>
    </row>
    <row r="3864" spans="1:1" x14ac:dyDescent="0.3">
      <c r="A3864" s="1"/>
    </row>
    <row r="3865" spans="1:1" x14ac:dyDescent="0.3">
      <c r="A3865" s="1"/>
    </row>
    <row r="3866" spans="1:1" x14ac:dyDescent="0.3">
      <c r="A3866" s="1"/>
    </row>
    <row r="3867" spans="1:1" x14ac:dyDescent="0.3">
      <c r="A3867" s="1"/>
    </row>
    <row r="3868" spans="1:1" x14ac:dyDescent="0.3">
      <c r="A3868" s="1"/>
    </row>
    <row r="3869" spans="1:1" x14ac:dyDescent="0.3">
      <c r="A3869" s="1"/>
    </row>
    <row r="3870" spans="1:1" x14ac:dyDescent="0.3">
      <c r="A3870" s="1"/>
    </row>
    <row r="3871" spans="1:1" x14ac:dyDescent="0.3">
      <c r="A3871" s="1"/>
    </row>
    <row r="3872" spans="1:1" x14ac:dyDescent="0.3">
      <c r="A3872" s="1"/>
    </row>
    <row r="3873" spans="1:1" x14ac:dyDescent="0.3">
      <c r="A3873" s="1"/>
    </row>
    <row r="3874" spans="1:1" x14ac:dyDescent="0.3">
      <c r="A3874" s="1"/>
    </row>
    <row r="3875" spans="1:1" x14ac:dyDescent="0.3">
      <c r="A3875" s="1"/>
    </row>
    <row r="3876" spans="1:1" x14ac:dyDescent="0.3">
      <c r="A3876" s="1"/>
    </row>
    <row r="3877" spans="1:1" x14ac:dyDescent="0.3">
      <c r="A3877" s="1"/>
    </row>
    <row r="3878" spans="1:1" x14ac:dyDescent="0.3">
      <c r="A3878" s="1"/>
    </row>
    <row r="3879" spans="1:1" x14ac:dyDescent="0.3">
      <c r="A3879" s="1"/>
    </row>
    <row r="3880" spans="1:1" x14ac:dyDescent="0.3">
      <c r="A3880" s="1"/>
    </row>
    <row r="3881" spans="1:1" x14ac:dyDescent="0.3">
      <c r="A3881" s="1"/>
    </row>
    <row r="3882" spans="1:1" x14ac:dyDescent="0.3">
      <c r="A3882" s="1"/>
    </row>
    <row r="3883" spans="1:1" x14ac:dyDescent="0.3">
      <c r="A3883" s="1"/>
    </row>
    <row r="3884" spans="1:1" x14ac:dyDescent="0.3">
      <c r="A3884" s="1"/>
    </row>
    <row r="3885" spans="1:1" x14ac:dyDescent="0.3">
      <c r="A3885" s="1"/>
    </row>
    <row r="3886" spans="1:1" x14ac:dyDescent="0.3">
      <c r="A3886" s="1"/>
    </row>
    <row r="3887" spans="1:1" x14ac:dyDescent="0.3">
      <c r="A3887" s="1"/>
    </row>
    <row r="3888" spans="1:1" x14ac:dyDescent="0.3">
      <c r="A3888" s="1"/>
    </row>
    <row r="3889" spans="1:1" x14ac:dyDescent="0.3">
      <c r="A3889" s="1"/>
    </row>
    <row r="3890" spans="1:1" x14ac:dyDescent="0.3">
      <c r="A3890" s="1"/>
    </row>
    <row r="3891" spans="1:1" x14ac:dyDescent="0.3">
      <c r="A3891" s="1"/>
    </row>
    <row r="3892" spans="1:1" x14ac:dyDescent="0.3">
      <c r="A3892" s="1"/>
    </row>
    <row r="3893" spans="1:1" x14ac:dyDescent="0.3">
      <c r="A3893" s="1"/>
    </row>
    <row r="3894" spans="1:1" x14ac:dyDescent="0.3">
      <c r="A3894" s="1"/>
    </row>
    <row r="3895" spans="1:1" x14ac:dyDescent="0.3">
      <c r="A3895" s="1"/>
    </row>
    <row r="3896" spans="1:1" x14ac:dyDescent="0.3">
      <c r="A3896" s="1"/>
    </row>
    <row r="3897" spans="1:1" x14ac:dyDescent="0.3">
      <c r="A3897" s="1"/>
    </row>
    <row r="3898" spans="1:1" x14ac:dyDescent="0.3">
      <c r="A3898" s="1"/>
    </row>
    <row r="3899" spans="1:1" x14ac:dyDescent="0.3">
      <c r="A3899" s="1"/>
    </row>
    <row r="3900" spans="1:1" x14ac:dyDescent="0.3">
      <c r="A3900" s="1"/>
    </row>
    <row r="3901" spans="1:1" x14ac:dyDescent="0.3">
      <c r="A3901" s="1"/>
    </row>
    <row r="3902" spans="1:1" x14ac:dyDescent="0.3">
      <c r="A3902" s="1"/>
    </row>
    <row r="3903" spans="1:1" x14ac:dyDescent="0.3">
      <c r="A3903" s="1"/>
    </row>
    <row r="3904" spans="1:1" x14ac:dyDescent="0.3">
      <c r="A3904" s="1"/>
    </row>
    <row r="3905" spans="1:1" x14ac:dyDescent="0.3">
      <c r="A3905" s="1"/>
    </row>
    <row r="3906" spans="1:1" x14ac:dyDescent="0.3">
      <c r="A3906" s="1"/>
    </row>
    <row r="3907" spans="1:1" x14ac:dyDescent="0.3">
      <c r="A3907" s="1"/>
    </row>
    <row r="3908" spans="1:1" x14ac:dyDescent="0.3">
      <c r="A3908" s="1"/>
    </row>
    <row r="3909" spans="1:1" x14ac:dyDescent="0.3">
      <c r="A3909" s="1"/>
    </row>
    <row r="3910" spans="1:1" x14ac:dyDescent="0.3">
      <c r="A3910" s="1"/>
    </row>
    <row r="3911" spans="1:1" x14ac:dyDescent="0.3">
      <c r="A3911" s="1"/>
    </row>
    <row r="3912" spans="1:1" x14ac:dyDescent="0.3">
      <c r="A3912" s="1"/>
    </row>
    <row r="3913" spans="1:1" x14ac:dyDescent="0.3">
      <c r="A3913" s="1"/>
    </row>
    <row r="3914" spans="1:1" x14ac:dyDescent="0.3">
      <c r="A3914" s="1"/>
    </row>
    <row r="3915" spans="1:1" x14ac:dyDescent="0.3">
      <c r="A3915" s="1"/>
    </row>
    <row r="3916" spans="1:1" x14ac:dyDescent="0.3">
      <c r="A3916" s="1"/>
    </row>
    <row r="3917" spans="1:1" x14ac:dyDescent="0.3">
      <c r="A3917" s="1"/>
    </row>
    <row r="3918" spans="1:1" x14ac:dyDescent="0.3">
      <c r="A3918" s="1"/>
    </row>
    <row r="3919" spans="1:1" x14ac:dyDescent="0.3">
      <c r="A3919" s="1"/>
    </row>
    <row r="3920" spans="1:1" x14ac:dyDescent="0.3">
      <c r="A3920" s="1"/>
    </row>
    <row r="3921" spans="1:1" x14ac:dyDescent="0.3">
      <c r="A3921" s="1"/>
    </row>
    <row r="3922" spans="1:1" x14ac:dyDescent="0.3">
      <c r="A3922" s="1"/>
    </row>
    <row r="3923" spans="1:1" x14ac:dyDescent="0.3">
      <c r="A3923" s="1"/>
    </row>
    <row r="3924" spans="1:1" x14ac:dyDescent="0.3">
      <c r="A3924" s="1"/>
    </row>
    <row r="3925" spans="1:1" x14ac:dyDescent="0.3">
      <c r="A3925" s="1"/>
    </row>
    <row r="3926" spans="1:1" x14ac:dyDescent="0.3">
      <c r="A3926" s="1"/>
    </row>
    <row r="3927" spans="1:1" x14ac:dyDescent="0.3">
      <c r="A3927" s="1"/>
    </row>
    <row r="3928" spans="1:1" x14ac:dyDescent="0.3">
      <c r="A3928" s="1"/>
    </row>
    <row r="3929" spans="1:1" x14ac:dyDescent="0.3">
      <c r="A3929" s="1"/>
    </row>
    <row r="3930" spans="1:1" x14ac:dyDescent="0.3">
      <c r="A3930" s="1"/>
    </row>
    <row r="3931" spans="1:1" x14ac:dyDescent="0.3">
      <c r="A3931" s="1"/>
    </row>
    <row r="3932" spans="1:1" x14ac:dyDescent="0.3">
      <c r="A3932" s="1"/>
    </row>
    <row r="3933" spans="1:1" x14ac:dyDescent="0.3">
      <c r="A3933" s="1"/>
    </row>
    <row r="3934" spans="1:1" x14ac:dyDescent="0.3">
      <c r="A3934" s="1"/>
    </row>
    <row r="3935" spans="1:1" x14ac:dyDescent="0.3">
      <c r="A3935" s="1"/>
    </row>
    <row r="3936" spans="1:1" x14ac:dyDescent="0.3">
      <c r="A3936" s="1"/>
    </row>
    <row r="3937" spans="1:1" x14ac:dyDescent="0.3">
      <c r="A3937" s="1"/>
    </row>
    <row r="3938" spans="1:1" x14ac:dyDescent="0.3">
      <c r="A3938" s="1"/>
    </row>
    <row r="3939" spans="1:1" x14ac:dyDescent="0.3">
      <c r="A3939" s="1"/>
    </row>
    <row r="3940" spans="1:1" x14ac:dyDescent="0.3">
      <c r="A3940" s="1"/>
    </row>
    <row r="3941" spans="1:1" x14ac:dyDescent="0.3">
      <c r="A3941" s="1"/>
    </row>
    <row r="3942" spans="1:1" x14ac:dyDescent="0.3">
      <c r="A3942" s="1"/>
    </row>
    <row r="3943" spans="1:1" x14ac:dyDescent="0.3">
      <c r="A3943" s="1"/>
    </row>
    <row r="3944" spans="1:1" x14ac:dyDescent="0.3">
      <c r="A3944" s="1"/>
    </row>
    <row r="3945" spans="1:1" x14ac:dyDescent="0.3">
      <c r="A3945" s="1"/>
    </row>
    <row r="3946" spans="1:1" x14ac:dyDescent="0.3">
      <c r="A3946" s="1"/>
    </row>
    <row r="3947" spans="1:1" x14ac:dyDescent="0.3">
      <c r="A3947" s="1"/>
    </row>
    <row r="3948" spans="1:1" x14ac:dyDescent="0.3">
      <c r="A3948" s="1"/>
    </row>
    <row r="3949" spans="1:1" x14ac:dyDescent="0.3">
      <c r="A3949" s="1"/>
    </row>
    <row r="3950" spans="1:1" x14ac:dyDescent="0.3">
      <c r="A3950" s="1"/>
    </row>
    <row r="3951" spans="1:1" x14ac:dyDescent="0.3">
      <c r="A3951" s="1"/>
    </row>
    <row r="3952" spans="1:1" x14ac:dyDescent="0.3">
      <c r="A3952" s="1"/>
    </row>
    <row r="3953" spans="1:1" x14ac:dyDescent="0.3">
      <c r="A3953" s="1"/>
    </row>
    <row r="3954" spans="1:1" x14ac:dyDescent="0.3">
      <c r="A3954" s="1"/>
    </row>
    <row r="3955" spans="1:1" x14ac:dyDescent="0.3">
      <c r="A3955" s="1"/>
    </row>
    <row r="3956" spans="1:1" x14ac:dyDescent="0.3">
      <c r="A3956" s="1"/>
    </row>
    <row r="3957" spans="1:1" x14ac:dyDescent="0.3">
      <c r="A3957" s="1"/>
    </row>
    <row r="3958" spans="1:1" x14ac:dyDescent="0.3">
      <c r="A3958" s="1"/>
    </row>
    <row r="3959" spans="1:1" x14ac:dyDescent="0.3">
      <c r="A3959" s="1"/>
    </row>
    <row r="3960" spans="1:1" x14ac:dyDescent="0.3">
      <c r="A3960" s="1"/>
    </row>
    <row r="3961" spans="1:1" x14ac:dyDescent="0.3">
      <c r="A3961" s="1"/>
    </row>
    <row r="3962" spans="1:1" x14ac:dyDescent="0.3">
      <c r="A3962" s="1"/>
    </row>
    <row r="3963" spans="1:1" x14ac:dyDescent="0.3">
      <c r="A3963" s="1"/>
    </row>
    <row r="3964" spans="1:1" x14ac:dyDescent="0.3">
      <c r="A3964" s="1"/>
    </row>
    <row r="3965" spans="1:1" x14ac:dyDescent="0.3">
      <c r="A3965" s="1"/>
    </row>
    <row r="3966" spans="1:1" x14ac:dyDescent="0.3">
      <c r="A3966" s="1"/>
    </row>
    <row r="3967" spans="1:1" x14ac:dyDescent="0.3">
      <c r="A3967" s="1"/>
    </row>
    <row r="3968" spans="1:1" x14ac:dyDescent="0.3">
      <c r="A3968" s="1"/>
    </row>
    <row r="3969" spans="1:1" x14ac:dyDescent="0.3">
      <c r="A3969" s="1"/>
    </row>
    <row r="3970" spans="1:1" x14ac:dyDescent="0.3">
      <c r="A3970" s="1"/>
    </row>
    <row r="3971" spans="1:1" x14ac:dyDescent="0.3">
      <c r="A3971" s="1"/>
    </row>
    <row r="3972" spans="1:1" x14ac:dyDescent="0.3">
      <c r="A3972" s="1"/>
    </row>
    <row r="3973" spans="1:1" x14ac:dyDescent="0.3">
      <c r="A3973" s="1"/>
    </row>
    <row r="3974" spans="1:1" x14ac:dyDescent="0.3">
      <c r="A3974" s="1"/>
    </row>
    <row r="3975" spans="1:1" x14ac:dyDescent="0.3">
      <c r="A3975" s="1"/>
    </row>
    <row r="3976" spans="1:1" x14ac:dyDescent="0.3">
      <c r="A3976" s="1"/>
    </row>
    <row r="3977" spans="1:1" x14ac:dyDescent="0.3">
      <c r="A3977" s="1"/>
    </row>
    <row r="3978" spans="1:1" x14ac:dyDescent="0.3">
      <c r="A3978" s="1"/>
    </row>
    <row r="3979" spans="1:1" x14ac:dyDescent="0.3">
      <c r="A3979" s="1"/>
    </row>
    <row r="3980" spans="1:1" x14ac:dyDescent="0.3">
      <c r="A3980" s="1"/>
    </row>
    <row r="3981" spans="1:1" x14ac:dyDescent="0.3">
      <c r="A3981" s="1"/>
    </row>
    <row r="3982" spans="1:1" x14ac:dyDescent="0.3">
      <c r="A3982" s="1"/>
    </row>
    <row r="3983" spans="1:1" x14ac:dyDescent="0.3">
      <c r="A3983" s="1"/>
    </row>
    <row r="3984" spans="1:1" x14ac:dyDescent="0.3">
      <c r="A3984" s="1"/>
    </row>
    <row r="3985" spans="1:1" x14ac:dyDescent="0.3">
      <c r="A3985" s="1"/>
    </row>
    <row r="3986" spans="1:1" x14ac:dyDescent="0.3">
      <c r="A3986" s="1"/>
    </row>
    <row r="3987" spans="1:1" x14ac:dyDescent="0.3">
      <c r="A3987" s="1"/>
    </row>
    <row r="3988" spans="1:1" x14ac:dyDescent="0.3">
      <c r="A3988" s="1"/>
    </row>
    <row r="3989" spans="1:1" x14ac:dyDescent="0.3">
      <c r="A3989" s="1"/>
    </row>
    <row r="3990" spans="1:1" x14ac:dyDescent="0.3">
      <c r="A3990" s="1"/>
    </row>
    <row r="3991" spans="1:1" x14ac:dyDescent="0.3">
      <c r="A3991" s="1"/>
    </row>
    <row r="3992" spans="1:1" x14ac:dyDescent="0.3">
      <c r="A3992" s="1"/>
    </row>
    <row r="3993" spans="1:1" x14ac:dyDescent="0.3">
      <c r="A3993" s="1"/>
    </row>
    <row r="3994" spans="1:1" x14ac:dyDescent="0.3">
      <c r="A3994" s="1"/>
    </row>
    <row r="3995" spans="1:1" x14ac:dyDescent="0.3">
      <c r="A3995" s="1"/>
    </row>
    <row r="3996" spans="1:1" x14ac:dyDescent="0.3">
      <c r="A3996" s="1"/>
    </row>
    <row r="3997" spans="1:1" x14ac:dyDescent="0.3">
      <c r="A3997" s="1"/>
    </row>
    <row r="3998" spans="1:1" x14ac:dyDescent="0.3">
      <c r="A3998" s="1"/>
    </row>
    <row r="3999" spans="1:1" x14ac:dyDescent="0.3">
      <c r="A3999" s="1"/>
    </row>
    <row r="4000" spans="1:1" x14ac:dyDescent="0.3">
      <c r="A4000" s="1"/>
    </row>
    <row r="4001" spans="1:1" x14ac:dyDescent="0.3">
      <c r="A4001" s="1"/>
    </row>
    <row r="4002" spans="1:1" x14ac:dyDescent="0.3">
      <c r="A4002" s="1"/>
    </row>
    <row r="4003" spans="1:1" x14ac:dyDescent="0.3">
      <c r="A4003" s="1"/>
    </row>
    <row r="4004" spans="1:1" x14ac:dyDescent="0.3">
      <c r="A4004" s="1"/>
    </row>
    <row r="4005" spans="1:1" x14ac:dyDescent="0.3">
      <c r="A4005" s="1"/>
    </row>
    <row r="4006" spans="1:1" x14ac:dyDescent="0.3">
      <c r="A4006" s="1"/>
    </row>
    <row r="4007" spans="1:1" x14ac:dyDescent="0.3">
      <c r="A4007" s="1"/>
    </row>
    <row r="4008" spans="1:1" x14ac:dyDescent="0.3">
      <c r="A4008" s="1"/>
    </row>
    <row r="4009" spans="1:1" x14ac:dyDescent="0.3">
      <c r="A4009" s="1"/>
    </row>
    <row r="4010" spans="1:1" x14ac:dyDescent="0.3">
      <c r="A4010" s="1"/>
    </row>
    <row r="4011" spans="1:1" x14ac:dyDescent="0.3">
      <c r="A4011" s="1"/>
    </row>
    <row r="4012" spans="1:1" x14ac:dyDescent="0.3">
      <c r="A4012" s="1"/>
    </row>
    <row r="4013" spans="1:1" x14ac:dyDescent="0.3">
      <c r="A4013" s="1"/>
    </row>
    <row r="4014" spans="1:1" x14ac:dyDescent="0.3">
      <c r="A4014" s="1"/>
    </row>
    <row r="4015" spans="1:1" x14ac:dyDescent="0.3">
      <c r="A4015" s="1"/>
    </row>
    <row r="4016" spans="1:1" x14ac:dyDescent="0.3">
      <c r="A4016" s="1"/>
    </row>
    <row r="4017" spans="1:1" x14ac:dyDescent="0.3">
      <c r="A4017" s="1"/>
    </row>
    <row r="4018" spans="1:1" x14ac:dyDescent="0.3">
      <c r="A4018" s="1"/>
    </row>
    <row r="4019" spans="1:1" x14ac:dyDescent="0.3">
      <c r="A4019" s="1"/>
    </row>
    <row r="4020" spans="1:1" x14ac:dyDescent="0.3">
      <c r="A4020" s="1"/>
    </row>
    <row r="4021" spans="1:1" x14ac:dyDescent="0.3">
      <c r="A4021" s="1"/>
    </row>
    <row r="4022" spans="1:1" x14ac:dyDescent="0.3">
      <c r="A4022" s="1"/>
    </row>
    <row r="4023" spans="1:1" x14ac:dyDescent="0.3">
      <c r="A4023" s="1"/>
    </row>
    <row r="4024" spans="1:1" x14ac:dyDescent="0.3">
      <c r="A4024" s="1"/>
    </row>
    <row r="4025" spans="1:1" x14ac:dyDescent="0.3">
      <c r="A4025" s="1"/>
    </row>
    <row r="4026" spans="1:1" x14ac:dyDescent="0.3">
      <c r="A4026" s="1"/>
    </row>
    <row r="4027" spans="1:1" x14ac:dyDescent="0.3">
      <c r="A4027" s="1"/>
    </row>
    <row r="4028" spans="1:1" x14ac:dyDescent="0.3">
      <c r="A4028" s="1"/>
    </row>
    <row r="4029" spans="1:1" x14ac:dyDescent="0.3">
      <c r="A4029" s="1"/>
    </row>
    <row r="4030" spans="1:1" x14ac:dyDescent="0.3">
      <c r="A4030" s="1"/>
    </row>
    <row r="4031" spans="1:1" x14ac:dyDescent="0.3">
      <c r="A4031" s="1"/>
    </row>
    <row r="4032" spans="1:1" x14ac:dyDescent="0.3">
      <c r="A4032" s="1"/>
    </row>
    <row r="4033" spans="1:1" x14ac:dyDescent="0.3">
      <c r="A4033" s="1"/>
    </row>
    <row r="4034" spans="1:1" x14ac:dyDescent="0.3">
      <c r="A4034" s="1"/>
    </row>
    <row r="4035" spans="1:1" x14ac:dyDescent="0.3">
      <c r="A4035" s="1"/>
    </row>
    <row r="4036" spans="1:1" x14ac:dyDescent="0.3">
      <c r="A4036" s="1"/>
    </row>
    <row r="4037" spans="1:1" x14ac:dyDescent="0.3">
      <c r="A4037" s="1"/>
    </row>
    <row r="4038" spans="1:1" x14ac:dyDescent="0.3">
      <c r="A4038" s="1"/>
    </row>
    <row r="4039" spans="1:1" x14ac:dyDescent="0.3">
      <c r="A4039" s="1"/>
    </row>
    <row r="4040" spans="1:1" x14ac:dyDescent="0.3">
      <c r="A4040" s="1"/>
    </row>
    <row r="4041" spans="1:1" x14ac:dyDescent="0.3">
      <c r="A4041" s="1"/>
    </row>
    <row r="4042" spans="1:1" x14ac:dyDescent="0.3">
      <c r="A4042" s="1"/>
    </row>
    <row r="4043" spans="1:1" x14ac:dyDescent="0.3">
      <c r="A4043" s="1"/>
    </row>
    <row r="4044" spans="1:1" x14ac:dyDescent="0.3">
      <c r="A4044" s="1"/>
    </row>
    <row r="4045" spans="1:1" x14ac:dyDescent="0.3">
      <c r="A4045" s="1"/>
    </row>
    <row r="4046" spans="1:1" x14ac:dyDescent="0.3">
      <c r="A4046" s="1"/>
    </row>
    <row r="4047" spans="1:1" x14ac:dyDescent="0.3">
      <c r="A4047" s="1"/>
    </row>
    <row r="4048" spans="1:1" x14ac:dyDescent="0.3">
      <c r="A4048" s="1"/>
    </row>
    <row r="4049" spans="1:1" x14ac:dyDescent="0.3">
      <c r="A4049" s="1"/>
    </row>
    <row r="4050" spans="1:1" x14ac:dyDescent="0.3">
      <c r="A4050" s="1"/>
    </row>
    <row r="4051" spans="1:1" x14ac:dyDescent="0.3">
      <c r="A4051" s="1"/>
    </row>
    <row r="4052" spans="1:1" x14ac:dyDescent="0.3">
      <c r="A4052" s="1"/>
    </row>
    <row r="4053" spans="1:1" x14ac:dyDescent="0.3">
      <c r="A4053" s="1"/>
    </row>
    <row r="4054" spans="1:1" x14ac:dyDescent="0.3">
      <c r="A4054" s="1"/>
    </row>
    <row r="4055" spans="1:1" x14ac:dyDescent="0.3">
      <c r="A4055" s="1"/>
    </row>
    <row r="4056" spans="1:1" x14ac:dyDescent="0.3">
      <c r="A4056" s="1"/>
    </row>
    <row r="4057" spans="1:1" x14ac:dyDescent="0.3">
      <c r="A4057" s="1"/>
    </row>
    <row r="4058" spans="1:1" x14ac:dyDescent="0.3">
      <c r="A4058" s="1"/>
    </row>
    <row r="4059" spans="1:1" x14ac:dyDescent="0.3">
      <c r="A4059" s="1"/>
    </row>
    <row r="4060" spans="1:1" x14ac:dyDescent="0.3">
      <c r="A4060" s="1"/>
    </row>
    <row r="4061" spans="1:1" x14ac:dyDescent="0.3">
      <c r="A4061" s="1"/>
    </row>
    <row r="4062" spans="1:1" x14ac:dyDescent="0.3">
      <c r="A4062" s="1"/>
    </row>
    <row r="4063" spans="1:1" x14ac:dyDescent="0.3">
      <c r="A4063" s="1"/>
    </row>
    <row r="4064" spans="1:1" x14ac:dyDescent="0.3">
      <c r="A4064" s="1"/>
    </row>
    <row r="4065" spans="1:1" x14ac:dyDescent="0.3">
      <c r="A4065" s="1"/>
    </row>
    <row r="4066" spans="1:1" x14ac:dyDescent="0.3">
      <c r="A4066" s="1"/>
    </row>
    <row r="4067" spans="1:1" x14ac:dyDescent="0.3">
      <c r="A4067" s="1"/>
    </row>
    <row r="4068" spans="1:1" x14ac:dyDescent="0.3">
      <c r="A4068" s="1"/>
    </row>
    <row r="4069" spans="1:1" x14ac:dyDescent="0.3">
      <c r="A4069" s="1"/>
    </row>
    <row r="4070" spans="1:1" x14ac:dyDescent="0.3">
      <c r="A4070" s="1"/>
    </row>
    <row r="4071" spans="1:1" x14ac:dyDescent="0.3">
      <c r="A4071" s="1"/>
    </row>
    <row r="4072" spans="1:1" x14ac:dyDescent="0.3">
      <c r="A4072" s="1"/>
    </row>
    <row r="4073" spans="1:1" x14ac:dyDescent="0.3">
      <c r="A4073" s="1"/>
    </row>
    <row r="4074" spans="1:1" x14ac:dyDescent="0.3">
      <c r="A4074" s="1"/>
    </row>
    <row r="4075" spans="1:1" x14ac:dyDescent="0.3">
      <c r="A4075" s="1"/>
    </row>
    <row r="4076" spans="1:1" x14ac:dyDescent="0.3">
      <c r="A4076" s="1"/>
    </row>
    <row r="4077" spans="1:1" x14ac:dyDescent="0.3">
      <c r="A4077" s="1"/>
    </row>
    <row r="4078" spans="1:1" x14ac:dyDescent="0.3">
      <c r="A4078" s="1"/>
    </row>
    <row r="4079" spans="1:1" x14ac:dyDescent="0.3">
      <c r="A4079" s="1"/>
    </row>
    <row r="4080" spans="1:1" x14ac:dyDescent="0.3">
      <c r="A4080" s="1"/>
    </row>
    <row r="4081" spans="1:1" x14ac:dyDescent="0.3">
      <c r="A4081" s="1"/>
    </row>
    <row r="4082" spans="1:1" x14ac:dyDescent="0.3">
      <c r="A4082" s="1"/>
    </row>
    <row r="4083" spans="1:1" x14ac:dyDescent="0.3">
      <c r="A4083" s="1"/>
    </row>
    <row r="4084" spans="1:1" x14ac:dyDescent="0.3">
      <c r="A4084" s="1"/>
    </row>
    <row r="4085" spans="1:1" x14ac:dyDescent="0.3">
      <c r="A4085" s="1"/>
    </row>
    <row r="4086" spans="1:1" x14ac:dyDescent="0.3">
      <c r="A4086" s="1"/>
    </row>
    <row r="4087" spans="1:1" x14ac:dyDescent="0.3">
      <c r="A4087" s="1"/>
    </row>
    <row r="4088" spans="1:1" x14ac:dyDescent="0.3">
      <c r="A4088" s="1"/>
    </row>
    <row r="4089" spans="1:1" x14ac:dyDescent="0.3">
      <c r="A4089" s="1"/>
    </row>
    <row r="4090" spans="1:1" x14ac:dyDescent="0.3">
      <c r="A4090" s="1"/>
    </row>
    <row r="4091" spans="1:1" x14ac:dyDescent="0.3">
      <c r="A4091" s="1"/>
    </row>
    <row r="4092" spans="1:1" x14ac:dyDescent="0.3">
      <c r="A4092" s="1"/>
    </row>
    <row r="4093" spans="1:1" x14ac:dyDescent="0.3">
      <c r="A4093" s="1"/>
    </row>
    <row r="4094" spans="1:1" x14ac:dyDescent="0.3">
      <c r="A4094" s="1"/>
    </row>
    <row r="4095" spans="1:1" x14ac:dyDescent="0.3">
      <c r="A4095" s="1"/>
    </row>
    <row r="4096" spans="1:1" x14ac:dyDescent="0.3">
      <c r="A4096" s="1"/>
    </row>
    <row r="4097" spans="1:1" x14ac:dyDescent="0.3">
      <c r="A4097" s="1"/>
    </row>
    <row r="4098" spans="1:1" x14ac:dyDescent="0.3">
      <c r="A4098" s="1"/>
    </row>
    <row r="4099" spans="1:1" x14ac:dyDescent="0.3">
      <c r="A4099" s="1"/>
    </row>
    <row r="4100" spans="1:1" x14ac:dyDescent="0.3">
      <c r="A4100" s="1"/>
    </row>
    <row r="4101" spans="1:1" x14ac:dyDescent="0.3">
      <c r="A4101" s="1"/>
    </row>
    <row r="4102" spans="1:1" x14ac:dyDescent="0.3">
      <c r="A4102" s="1"/>
    </row>
    <row r="4103" spans="1:1" x14ac:dyDescent="0.3">
      <c r="A4103" s="1"/>
    </row>
    <row r="4104" spans="1:1" x14ac:dyDescent="0.3">
      <c r="A4104" s="1"/>
    </row>
    <row r="4105" spans="1:1" x14ac:dyDescent="0.3">
      <c r="A4105" s="1"/>
    </row>
    <row r="4106" spans="1:1" x14ac:dyDescent="0.3">
      <c r="A4106" s="1"/>
    </row>
    <row r="4107" spans="1:1" x14ac:dyDescent="0.3">
      <c r="A4107" s="1"/>
    </row>
    <row r="4108" spans="1:1" x14ac:dyDescent="0.3">
      <c r="A4108" s="1"/>
    </row>
    <row r="4109" spans="1:1" x14ac:dyDescent="0.3">
      <c r="A4109" s="1"/>
    </row>
    <row r="4110" spans="1:1" x14ac:dyDescent="0.3">
      <c r="A4110" s="1"/>
    </row>
    <row r="4111" spans="1:1" x14ac:dyDescent="0.3">
      <c r="A4111" s="1"/>
    </row>
    <row r="4112" spans="1:1" x14ac:dyDescent="0.3">
      <c r="A4112" s="1"/>
    </row>
    <row r="4113" spans="1:1" x14ac:dyDescent="0.3">
      <c r="A4113" s="1"/>
    </row>
    <row r="4114" spans="1:1" x14ac:dyDescent="0.3">
      <c r="A4114" s="1"/>
    </row>
    <row r="4115" spans="1:1" x14ac:dyDescent="0.3">
      <c r="A4115" s="1"/>
    </row>
    <row r="4116" spans="1:1" x14ac:dyDescent="0.3">
      <c r="A4116" s="1"/>
    </row>
    <row r="4117" spans="1:1" x14ac:dyDescent="0.3">
      <c r="A4117" s="1"/>
    </row>
    <row r="4118" spans="1:1" x14ac:dyDescent="0.3">
      <c r="A4118" s="1"/>
    </row>
    <row r="4119" spans="1:1" x14ac:dyDescent="0.3">
      <c r="A4119" s="1"/>
    </row>
    <row r="4120" spans="1:1" x14ac:dyDescent="0.3">
      <c r="A4120" s="1"/>
    </row>
    <row r="4121" spans="1:1" x14ac:dyDescent="0.3">
      <c r="A4121" s="1"/>
    </row>
    <row r="4122" spans="1:1" x14ac:dyDescent="0.3">
      <c r="A4122" s="1"/>
    </row>
    <row r="4123" spans="1:1" x14ac:dyDescent="0.3">
      <c r="A4123" s="1"/>
    </row>
    <row r="4124" spans="1:1" x14ac:dyDescent="0.3">
      <c r="A4124" s="1"/>
    </row>
    <row r="4125" spans="1:1" x14ac:dyDescent="0.3">
      <c r="A4125" s="1"/>
    </row>
    <row r="4126" spans="1:1" x14ac:dyDescent="0.3">
      <c r="A4126" s="1"/>
    </row>
    <row r="4127" spans="1:1" x14ac:dyDescent="0.3">
      <c r="A4127" s="1"/>
    </row>
    <row r="4128" spans="1:1" x14ac:dyDescent="0.3">
      <c r="A4128" s="1"/>
    </row>
    <row r="4129" spans="1:1" x14ac:dyDescent="0.3">
      <c r="A4129" s="1"/>
    </row>
    <row r="4130" spans="1:1" x14ac:dyDescent="0.3">
      <c r="A4130" s="1"/>
    </row>
    <row r="4131" spans="1:1" x14ac:dyDescent="0.3">
      <c r="A4131" s="1"/>
    </row>
    <row r="4132" spans="1:1" x14ac:dyDescent="0.3">
      <c r="A4132" s="1"/>
    </row>
    <row r="4133" spans="1:1" x14ac:dyDescent="0.3">
      <c r="A4133" s="1"/>
    </row>
    <row r="4134" spans="1:1" x14ac:dyDescent="0.3">
      <c r="A4134" s="1"/>
    </row>
    <row r="4135" spans="1:1" x14ac:dyDescent="0.3">
      <c r="A4135" s="1"/>
    </row>
    <row r="4136" spans="1:1" x14ac:dyDescent="0.3">
      <c r="A4136" s="1"/>
    </row>
    <row r="4137" spans="1:1" x14ac:dyDescent="0.3">
      <c r="A4137" s="1"/>
    </row>
    <row r="4138" spans="1:1" x14ac:dyDescent="0.3">
      <c r="A4138" s="1"/>
    </row>
    <row r="4139" spans="1:1" x14ac:dyDescent="0.3">
      <c r="A4139" s="1"/>
    </row>
    <row r="4140" spans="1:1" x14ac:dyDescent="0.3">
      <c r="A4140" s="1"/>
    </row>
    <row r="4141" spans="1:1" x14ac:dyDescent="0.3">
      <c r="A4141" s="1"/>
    </row>
    <row r="4142" spans="1:1" x14ac:dyDescent="0.3">
      <c r="A4142" s="1"/>
    </row>
    <row r="4143" spans="1:1" x14ac:dyDescent="0.3">
      <c r="A4143" s="1"/>
    </row>
    <row r="4144" spans="1:1" x14ac:dyDescent="0.3">
      <c r="A4144" s="1"/>
    </row>
    <row r="4145" spans="1:1" x14ac:dyDescent="0.3">
      <c r="A4145" s="1"/>
    </row>
    <row r="4146" spans="1:1" x14ac:dyDescent="0.3">
      <c r="A4146" s="1"/>
    </row>
    <row r="4147" spans="1:1" x14ac:dyDescent="0.3">
      <c r="A4147" s="1"/>
    </row>
    <row r="4148" spans="1:1" x14ac:dyDescent="0.3">
      <c r="A4148" s="1"/>
    </row>
    <row r="4149" spans="1:1" x14ac:dyDescent="0.3">
      <c r="A4149" s="1"/>
    </row>
    <row r="4150" spans="1:1" x14ac:dyDescent="0.3">
      <c r="A4150" s="1"/>
    </row>
    <row r="4151" spans="1:1" x14ac:dyDescent="0.3">
      <c r="A4151" s="1"/>
    </row>
    <row r="4152" spans="1:1" x14ac:dyDescent="0.3">
      <c r="A4152" s="1"/>
    </row>
    <row r="4153" spans="1:1" x14ac:dyDescent="0.3">
      <c r="A4153" s="1"/>
    </row>
    <row r="4154" spans="1:1" x14ac:dyDescent="0.3">
      <c r="A4154" s="1"/>
    </row>
    <row r="4155" spans="1:1" x14ac:dyDescent="0.3">
      <c r="A4155" s="1"/>
    </row>
    <row r="4156" spans="1:1" x14ac:dyDescent="0.3">
      <c r="A4156" s="1"/>
    </row>
    <row r="4157" spans="1:1" x14ac:dyDescent="0.3">
      <c r="A4157" s="1"/>
    </row>
    <row r="4158" spans="1:1" x14ac:dyDescent="0.3">
      <c r="A4158" s="1"/>
    </row>
    <row r="4159" spans="1:1" x14ac:dyDescent="0.3">
      <c r="A4159" s="1"/>
    </row>
    <row r="4160" spans="1:1" x14ac:dyDescent="0.3">
      <c r="A4160" s="1"/>
    </row>
    <row r="4161" spans="1:1" x14ac:dyDescent="0.3">
      <c r="A4161" s="1"/>
    </row>
    <row r="4162" spans="1:1" x14ac:dyDescent="0.3">
      <c r="A4162" s="1"/>
    </row>
    <row r="4163" spans="1:1" x14ac:dyDescent="0.3">
      <c r="A4163" s="1"/>
    </row>
    <row r="4164" spans="1:1" x14ac:dyDescent="0.3">
      <c r="A4164" s="1"/>
    </row>
    <row r="4165" spans="1:1" x14ac:dyDescent="0.3">
      <c r="A4165" s="1"/>
    </row>
    <row r="4166" spans="1:1" x14ac:dyDescent="0.3">
      <c r="A4166" s="1"/>
    </row>
    <row r="4167" spans="1:1" x14ac:dyDescent="0.3">
      <c r="A4167" s="1"/>
    </row>
    <row r="4168" spans="1:1" x14ac:dyDescent="0.3">
      <c r="A4168" s="1"/>
    </row>
    <row r="4169" spans="1:1" x14ac:dyDescent="0.3">
      <c r="A4169" s="1"/>
    </row>
    <row r="4170" spans="1:1" x14ac:dyDescent="0.3">
      <c r="A4170" s="1"/>
    </row>
    <row r="4171" spans="1:1" x14ac:dyDescent="0.3">
      <c r="A4171" s="1"/>
    </row>
    <row r="4172" spans="1:1" x14ac:dyDescent="0.3">
      <c r="A4172" s="1"/>
    </row>
    <row r="4173" spans="1:1" x14ac:dyDescent="0.3">
      <c r="A4173" s="1"/>
    </row>
    <row r="4174" spans="1:1" x14ac:dyDescent="0.3">
      <c r="A4174" s="1"/>
    </row>
    <row r="4175" spans="1:1" x14ac:dyDescent="0.3">
      <c r="A4175" s="1"/>
    </row>
    <row r="4176" spans="1:1" x14ac:dyDescent="0.3">
      <c r="A4176" s="1"/>
    </row>
    <row r="4177" spans="1:1" x14ac:dyDescent="0.3">
      <c r="A4177" s="1"/>
    </row>
    <row r="4178" spans="1:1" x14ac:dyDescent="0.3">
      <c r="A4178" s="1"/>
    </row>
    <row r="4179" spans="1:1" x14ac:dyDescent="0.3">
      <c r="A4179" s="1"/>
    </row>
    <row r="4180" spans="1:1" x14ac:dyDescent="0.3">
      <c r="A4180" s="1"/>
    </row>
    <row r="4181" spans="1:1" x14ac:dyDescent="0.3">
      <c r="A4181" s="1"/>
    </row>
    <row r="4182" spans="1:1" x14ac:dyDescent="0.3">
      <c r="A4182" s="1"/>
    </row>
    <row r="4183" spans="1:1" x14ac:dyDescent="0.3">
      <c r="A4183" s="1"/>
    </row>
    <row r="4184" spans="1:1" x14ac:dyDescent="0.3">
      <c r="A4184" s="1"/>
    </row>
    <row r="4185" spans="1:1" x14ac:dyDescent="0.3">
      <c r="A4185" s="1"/>
    </row>
    <row r="4186" spans="1:1" x14ac:dyDescent="0.3">
      <c r="A4186" s="1"/>
    </row>
    <row r="4187" spans="1:1" x14ac:dyDescent="0.3">
      <c r="A4187" s="1"/>
    </row>
    <row r="4188" spans="1:1" x14ac:dyDescent="0.3">
      <c r="A4188" s="1"/>
    </row>
    <row r="4189" spans="1:1" x14ac:dyDescent="0.3">
      <c r="A4189" s="1"/>
    </row>
    <row r="4190" spans="1:1" x14ac:dyDescent="0.3">
      <c r="A4190" s="1"/>
    </row>
    <row r="4191" spans="1:1" x14ac:dyDescent="0.3">
      <c r="A4191" s="1"/>
    </row>
    <row r="4192" spans="1:1" x14ac:dyDescent="0.3">
      <c r="A4192" s="1"/>
    </row>
    <row r="4193" spans="1:1" x14ac:dyDescent="0.3">
      <c r="A4193" s="1"/>
    </row>
    <row r="4194" spans="1:1" x14ac:dyDescent="0.3">
      <c r="A4194" s="1"/>
    </row>
    <row r="4195" spans="1:1" x14ac:dyDescent="0.3">
      <c r="A4195" s="1"/>
    </row>
    <row r="4196" spans="1:1" x14ac:dyDescent="0.3">
      <c r="A4196" s="1"/>
    </row>
    <row r="4197" spans="1:1" x14ac:dyDescent="0.3">
      <c r="A4197" s="1"/>
    </row>
    <row r="4198" spans="1:1" x14ac:dyDescent="0.3">
      <c r="A4198" s="1"/>
    </row>
    <row r="4199" spans="1:1" x14ac:dyDescent="0.3">
      <c r="A4199" s="1"/>
    </row>
    <row r="4200" spans="1:1" x14ac:dyDescent="0.3">
      <c r="A4200" s="1"/>
    </row>
    <row r="4201" spans="1:1" x14ac:dyDescent="0.3">
      <c r="A4201" s="1"/>
    </row>
    <row r="4202" spans="1:1" x14ac:dyDescent="0.3">
      <c r="A4202" s="1"/>
    </row>
    <row r="4203" spans="1:1" x14ac:dyDescent="0.3">
      <c r="A4203" s="1"/>
    </row>
    <row r="4204" spans="1:1" x14ac:dyDescent="0.3">
      <c r="A4204" s="1"/>
    </row>
    <row r="4205" spans="1:1" x14ac:dyDescent="0.3">
      <c r="A4205" s="1"/>
    </row>
    <row r="4206" spans="1:1" x14ac:dyDescent="0.3">
      <c r="A4206" s="1"/>
    </row>
    <row r="4207" spans="1:1" x14ac:dyDescent="0.3">
      <c r="A4207" s="1"/>
    </row>
    <row r="4208" spans="1:1" x14ac:dyDescent="0.3">
      <c r="A4208" s="1"/>
    </row>
    <row r="4209" spans="1:1" x14ac:dyDescent="0.3">
      <c r="A4209" s="1"/>
    </row>
    <row r="4210" spans="1:1" x14ac:dyDescent="0.3">
      <c r="A4210" s="1"/>
    </row>
    <row r="4211" spans="1:1" x14ac:dyDescent="0.3">
      <c r="A4211" s="1"/>
    </row>
    <row r="4212" spans="1:1" x14ac:dyDescent="0.3">
      <c r="A4212" s="1"/>
    </row>
    <row r="4213" spans="1:1" x14ac:dyDescent="0.3">
      <c r="A4213" s="1"/>
    </row>
    <row r="4214" spans="1:1" x14ac:dyDescent="0.3">
      <c r="A4214" s="1"/>
    </row>
    <row r="4215" spans="1:1" x14ac:dyDescent="0.3">
      <c r="A4215" s="1"/>
    </row>
    <row r="4216" spans="1:1" x14ac:dyDescent="0.3">
      <c r="A4216" s="1"/>
    </row>
    <row r="4217" spans="1:1" x14ac:dyDescent="0.3">
      <c r="A4217" s="1"/>
    </row>
    <row r="4218" spans="1:1" x14ac:dyDescent="0.3">
      <c r="A4218" s="1"/>
    </row>
    <row r="4219" spans="1:1" x14ac:dyDescent="0.3">
      <c r="A4219" s="1"/>
    </row>
    <row r="4220" spans="1:1" x14ac:dyDescent="0.3">
      <c r="A4220" s="1"/>
    </row>
    <row r="4221" spans="1:1" x14ac:dyDescent="0.3">
      <c r="A4221" s="1"/>
    </row>
    <row r="4222" spans="1:1" x14ac:dyDescent="0.3">
      <c r="A4222" s="1"/>
    </row>
    <row r="4223" spans="1:1" x14ac:dyDescent="0.3">
      <c r="A4223" s="1"/>
    </row>
    <row r="4224" spans="1:1" x14ac:dyDescent="0.3">
      <c r="A4224" s="1"/>
    </row>
    <row r="4225" spans="1:1" x14ac:dyDescent="0.3">
      <c r="A4225" s="1"/>
    </row>
    <row r="4226" spans="1:1" x14ac:dyDescent="0.3">
      <c r="A4226" s="1"/>
    </row>
    <row r="4227" spans="1:1" x14ac:dyDescent="0.3">
      <c r="A4227" s="1"/>
    </row>
    <row r="4228" spans="1:1" x14ac:dyDescent="0.3">
      <c r="A4228" s="1"/>
    </row>
    <row r="4229" spans="1:1" x14ac:dyDescent="0.3">
      <c r="A4229" s="1"/>
    </row>
    <row r="4230" spans="1:1" x14ac:dyDescent="0.3">
      <c r="A4230" s="1"/>
    </row>
    <row r="4231" spans="1:1" x14ac:dyDescent="0.3">
      <c r="A4231" s="1"/>
    </row>
    <row r="4232" spans="1:1" x14ac:dyDescent="0.3">
      <c r="A4232" s="1"/>
    </row>
    <row r="4233" spans="1:1" x14ac:dyDescent="0.3">
      <c r="A4233" s="1"/>
    </row>
    <row r="4234" spans="1:1" x14ac:dyDescent="0.3">
      <c r="A4234" s="1"/>
    </row>
    <row r="4235" spans="1:1" x14ac:dyDescent="0.3">
      <c r="A4235" s="1"/>
    </row>
    <row r="4236" spans="1:1" x14ac:dyDescent="0.3">
      <c r="A4236" s="1"/>
    </row>
    <row r="4237" spans="1:1" x14ac:dyDescent="0.3">
      <c r="A4237" s="1"/>
    </row>
    <row r="4238" spans="1:1" x14ac:dyDescent="0.3">
      <c r="A4238" s="1"/>
    </row>
    <row r="4239" spans="1:1" x14ac:dyDescent="0.3">
      <c r="A4239" s="1"/>
    </row>
    <row r="4240" spans="1:1" x14ac:dyDescent="0.3">
      <c r="A4240" s="1"/>
    </row>
    <row r="4241" spans="1:1" x14ac:dyDescent="0.3">
      <c r="A4241" s="1"/>
    </row>
    <row r="4242" spans="1:1" x14ac:dyDescent="0.3">
      <c r="A4242" s="1"/>
    </row>
    <row r="4243" spans="1:1" x14ac:dyDescent="0.3">
      <c r="A4243" s="1"/>
    </row>
    <row r="4244" spans="1:1" x14ac:dyDescent="0.3">
      <c r="A4244" s="1"/>
    </row>
    <row r="4245" spans="1:1" x14ac:dyDescent="0.3">
      <c r="A4245" s="1"/>
    </row>
    <row r="4246" spans="1:1" x14ac:dyDescent="0.3">
      <c r="A4246" s="1"/>
    </row>
    <row r="4247" spans="1:1" x14ac:dyDescent="0.3">
      <c r="A4247" s="1"/>
    </row>
    <row r="4248" spans="1:1" x14ac:dyDescent="0.3">
      <c r="A4248" s="1"/>
    </row>
    <row r="4249" spans="1:1" x14ac:dyDescent="0.3">
      <c r="A4249" s="1"/>
    </row>
    <row r="4250" spans="1:1" x14ac:dyDescent="0.3">
      <c r="A4250" s="1"/>
    </row>
    <row r="4251" spans="1:1" x14ac:dyDescent="0.3">
      <c r="A4251" s="1"/>
    </row>
    <row r="4252" spans="1:1" x14ac:dyDescent="0.3">
      <c r="A4252" s="1"/>
    </row>
    <row r="4253" spans="1:1" x14ac:dyDescent="0.3">
      <c r="A4253" s="1"/>
    </row>
    <row r="4254" spans="1:1" x14ac:dyDescent="0.3">
      <c r="A4254" s="1"/>
    </row>
    <row r="4255" spans="1:1" x14ac:dyDescent="0.3">
      <c r="A4255" s="1"/>
    </row>
    <row r="4256" spans="1:1" x14ac:dyDescent="0.3">
      <c r="A4256" s="1"/>
    </row>
    <row r="4257" spans="1:1" x14ac:dyDescent="0.3">
      <c r="A4257" s="1"/>
    </row>
    <row r="4258" spans="1:1" x14ac:dyDescent="0.3">
      <c r="A4258" s="1"/>
    </row>
    <row r="4259" spans="1:1" x14ac:dyDescent="0.3">
      <c r="A4259" s="1"/>
    </row>
    <row r="4260" spans="1:1" x14ac:dyDescent="0.3">
      <c r="A4260" s="1"/>
    </row>
    <row r="4261" spans="1:1" x14ac:dyDescent="0.3">
      <c r="A4261" s="1"/>
    </row>
    <row r="4262" spans="1:1" x14ac:dyDescent="0.3">
      <c r="A4262" s="1"/>
    </row>
    <row r="4263" spans="1:1" x14ac:dyDescent="0.3">
      <c r="A4263" s="1"/>
    </row>
    <row r="4264" spans="1:1" x14ac:dyDescent="0.3">
      <c r="A4264" s="1"/>
    </row>
    <row r="4265" spans="1:1" x14ac:dyDescent="0.3">
      <c r="A4265" s="1"/>
    </row>
    <row r="4266" spans="1:1" x14ac:dyDescent="0.3">
      <c r="A4266" s="1"/>
    </row>
    <row r="4267" spans="1:1" x14ac:dyDescent="0.3">
      <c r="A4267" s="1"/>
    </row>
    <row r="4268" spans="1:1" x14ac:dyDescent="0.3">
      <c r="A4268" s="1"/>
    </row>
    <row r="4269" spans="1:1" x14ac:dyDescent="0.3">
      <c r="A4269" s="1"/>
    </row>
    <row r="4270" spans="1:1" x14ac:dyDescent="0.3">
      <c r="A4270" s="1"/>
    </row>
    <row r="4271" spans="1:1" x14ac:dyDescent="0.3">
      <c r="A4271" s="1"/>
    </row>
    <row r="4272" spans="1:1" x14ac:dyDescent="0.3">
      <c r="A4272" s="1"/>
    </row>
    <row r="4273" spans="1:1" x14ac:dyDescent="0.3">
      <c r="A4273" s="1"/>
    </row>
    <row r="4274" spans="1:1" x14ac:dyDescent="0.3">
      <c r="A4274" s="1"/>
    </row>
    <row r="4275" spans="1:1" x14ac:dyDescent="0.3">
      <c r="A4275" s="1"/>
    </row>
    <row r="4276" spans="1:1" x14ac:dyDescent="0.3">
      <c r="A4276" s="1"/>
    </row>
    <row r="4277" spans="1:1" x14ac:dyDescent="0.3">
      <c r="A4277" s="1"/>
    </row>
    <row r="4278" spans="1:1" x14ac:dyDescent="0.3">
      <c r="A4278" s="1"/>
    </row>
    <row r="4279" spans="1:1" x14ac:dyDescent="0.3">
      <c r="A4279" s="1"/>
    </row>
    <row r="4280" spans="1:1" x14ac:dyDescent="0.3">
      <c r="A4280" s="1"/>
    </row>
    <row r="4281" spans="1:1" x14ac:dyDescent="0.3">
      <c r="A4281" s="1"/>
    </row>
    <row r="4282" spans="1:1" x14ac:dyDescent="0.3">
      <c r="A4282" s="1"/>
    </row>
    <row r="4283" spans="1:1" x14ac:dyDescent="0.3">
      <c r="A4283" s="1"/>
    </row>
    <row r="4284" spans="1:1" x14ac:dyDescent="0.3">
      <c r="A4284" s="1"/>
    </row>
    <row r="4285" spans="1:1" x14ac:dyDescent="0.3">
      <c r="A4285" s="1"/>
    </row>
    <row r="4286" spans="1:1" x14ac:dyDescent="0.3">
      <c r="A4286" s="1"/>
    </row>
    <row r="4287" spans="1:1" x14ac:dyDescent="0.3">
      <c r="A4287" s="1"/>
    </row>
    <row r="4288" spans="1:1" x14ac:dyDescent="0.3">
      <c r="A4288" s="1"/>
    </row>
    <row r="4289" spans="1:1" x14ac:dyDescent="0.3">
      <c r="A4289" s="1"/>
    </row>
    <row r="4290" spans="1:1" x14ac:dyDescent="0.3">
      <c r="A4290" s="1"/>
    </row>
    <row r="4291" spans="1:1" x14ac:dyDescent="0.3">
      <c r="A4291" s="1"/>
    </row>
    <row r="4292" spans="1:1" x14ac:dyDescent="0.3">
      <c r="A4292" s="1"/>
    </row>
    <row r="4293" spans="1:1" x14ac:dyDescent="0.3">
      <c r="A4293" s="1"/>
    </row>
    <row r="4294" spans="1:1" x14ac:dyDescent="0.3">
      <c r="A4294" s="1"/>
    </row>
    <row r="4295" spans="1:1" x14ac:dyDescent="0.3">
      <c r="A4295" s="1"/>
    </row>
    <row r="4296" spans="1:1" x14ac:dyDescent="0.3">
      <c r="A4296" s="1"/>
    </row>
    <row r="4297" spans="1:1" x14ac:dyDescent="0.3">
      <c r="A4297" s="1"/>
    </row>
    <row r="4298" spans="1:1" x14ac:dyDescent="0.3">
      <c r="A4298" s="1"/>
    </row>
    <row r="4299" spans="1:1" x14ac:dyDescent="0.3">
      <c r="A4299" s="1"/>
    </row>
    <row r="4300" spans="1:1" x14ac:dyDescent="0.3">
      <c r="A4300" s="1"/>
    </row>
    <row r="4301" spans="1:1" x14ac:dyDescent="0.3">
      <c r="A4301" s="1"/>
    </row>
    <row r="4302" spans="1:1" x14ac:dyDescent="0.3">
      <c r="A4302" s="1"/>
    </row>
    <row r="4303" spans="1:1" x14ac:dyDescent="0.3">
      <c r="A4303" s="1"/>
    </row>
    <row r="4304" spans="1:1" x14ac:dyDescent="0.3">
      <c r="A4304" s="1"/>
    </row>
    <row r="4305" spans="1:1" x14ac:dyDescent="0.3">
      <c r="A4305" s="1"/>
    </row>
    <row r="4306" spans="1:1" x14ac:dyDescent="0.3">
      <c r="A4306" s="1"/>
    </row>
    <row r="4307" spans="1:1" x14ac:dyDescent="0.3">
      <c r="A4307" s="1"/>
    </row>
    <row r="4308" spans="1:1" x14ac:dyDescent="0.3">
      <c r="A4308" s="1"/>
    </row>
    <row r="4309" spans="1:1" x14ac:dyDescent="0.3">
      <c r="A4309" s="1"/>
    </row>
    <row r="4310" spans="1:1" x14ac:dyDescent="0.3">
      <c r="A4310" s="1"/>
    </row>
    <row r="4311" spans="1:1" x14ac:dyDescent="0.3">
      <c r="A4311" s="1"/>
    </row>
    <row r="4312" spans="1:1" x14ac:dyDescent="0.3">
      <c r="A4312" s="1"/>
    </row>
    <row r="4313" spans="1:1" x14ac:dyDescent="0.3">
      <c r="A4313" s="1"/>
    </row>
    <row r="4314" spans="1:1" x14ac:dyDescent="0.3">
      <c r="A4314" s="1"/>
    </row>
    <row r="4315" spans="1:1" x14ac:dyDescent="0.3">
      <c r="A4315" s="1"/>
    </row>
    <row r="4316" spans="1:1" x14ac:dyDescent="0.3">
      <c r="A4316" s="1"/>
    </row>
    <row r="4317" spans="1:1" x14ac:dyDescent="0.3">
      <c r="A4317" s="1"/>
    </row>
    <row r="4318" spans="1:1" x14ac:dyDescent="0.3">
      <c r="A4318" s="1"/>
    </row>
    <row r="4319" spans="1:1" x14ac:dyDescent="0.3">
      <c r="A4319" s="1"/>
    </row>
    <row r="4320" spans="1:1" x14ac:dyDescent="0.3">
      <c r="A4320" s="1"/>
    </row>
    <row r="4321" spans="1:1" x14ac:dyDescent="0.3">
      <c r="A4321" s="1"/>
    </row>
    <row r="4322" spans="1:1" x14ac:dyDescent="0.3">
      <c r="A4322" s="1"/>
    </row>
    <row r="4323" spans="1:1" x14ac:dyDescent="0.3">
      <c r="A4323" s="1"/>
    </row>
    <row r="4324" spans="1:1" x14ac:dyDescent="0.3">
      <c r="A4324" s="1"/>
    </row>
    <row r="4325" spans="1:1" x14ac:dyDescent="0.3">
      <c r="A4325" s="1"/>
    </row>
    <row r="4326" spans="1:1" x14ac:dyDescent="0.3">
      <c r="A4326" s="1"/>
    </row>
    <row r="4327" spans="1:1" x14ac:dyDescent="0.3">
      <c r="A4327" s="1"/>
    </row>
    <row r="4328" spans="1:1" x14ac:dyDescent="0.3">
      <c r="A4328" s="1"/>
    </row>
    <row r="4329" spans="1:1" x14ac:dyDescent="0.3">
      <c r="A4329" s="1"/>
    </row>
    <row r="4330" spans="1:1" x14ac:dyDescent="0.3">
      <c r="A4330" s="1"/>
    </row>
    <row r="4331" spans="1:1" x14ac:dyDescent="0.3">
      <c r="A4331" s="1"/>
    </row>
    <row r="4332" spans="1:1" x14ac:dyDescent="0.3">
      <c r="A4332" s="1"/>
    </row>
    <row r="4333" spans="1:1" x14ac:dyDescent="0.3">
      <c r="A4333" s="1"/>
    </row>
    <row r="4334" spans="1:1" x14ac:dyDescent="0.3">
      <c r="A4334" s="1"/>
    </row>
    <row r="4335" spans="1:1" x14ac:dyDescent="0.3">
      <c r="A4335" s="1"/>
    </row>
    <row r="4336" spans="1:1" x14ac:dyDescent="0.3">
      <c r="A4336" s="1"/>
    </row>
    <row r="4337" spans="1:1" x14ac:dyDescent="0.3">
      <c r="A4337" s="1"/>
    </row>
    <row r="4338" spans="1:1" x14ac:dyDescent="0.3">
      <c r="A4338" s="1"/>
    </row>
    <row r="4339" spans="1:1" x14ac:dyDescent="0.3">
      <c r="A4339" s="1"/>
    </row>
    <row r="4340" spans="1:1" x14ac:dyDescent="0.3">
      <c r="A4340" s="1"/>
    </row>
    <row r="4341" spans="1:1" x14ac:dyDescent="0.3">
      <c r="A4341" s="1"/>
    </row>
    <row r="4342" spans="1:1" x14ac:dyDescent="0.3">
      <c r="A4342" s="1"/>
    </row>
    <row r="4343" spans="1:1" x14ac:dyDescent="0.3">
      <c r="A4343" s="1"/>
    </row>
    <row r="4344" spans="1:1" x14ac:dyDescent="0.3">
      <c r="A4344" s="1"/>
    </row>
    <row r="4345" spans="1:1" x14ac:dyDescent="0.3">
      <c r="A4345" s="1"/>
    </row>
    <row r="4346" spans="1:1" x14ac:dyDescent="0.3">
      <c r="A4346" s="1"/>
    </row>
    <row r="4347" spans="1:1" x14ac:dyDescent="0.3">
      <c r="A4347" s="1"/>
    </row>
    <row r="4348" spans="1:1" x14ac:dyDescent="0.3">
      <c r="A4348" s="1"/>
    </row>
    <row r="4349" spans="1:1" x14ac:dyDescent="0.3">
      <c r="A4349" s="1"/>
    </row>
    <row r="4350" spans="1:1" x14ac:dyDescent="0.3">
      <c r="A4350" s="1"/>
    </row>
    <row r="4351" spans="1:1" x14ac:dyDescent="0.3">
      <c r="A4351" s="1"/>
    </row>
    <row r="4352" spans="1:1" x14ac:dyDescent="0.3">
      <c r="A4352" s="1"/>
    </row>
    <row r="4353" spans="1:1" x14ac:dyDescent="0.3">
      <c r="A4353" s="1"/>
    </row>
    <row r="4354" spans="1:1" x14ac:dyDescent="0.3">
      <c r="A4354" s="1"/>
    </row>
    <row r="4355" spans="1:1" x14ac:dyDescent="0.3">
      <c r="A4355" s="1"/>
    </row>
    <row r="4356" spans="1:1" x14ac:dyDescent="0.3">
      <c r="A4356" s="1"/>
    </row>
    <row r="4357" spans="1:1" x14ac:dyDescent="0.3">
      <c r="A4357" s="1"/>
    </row>
    <row r="4358" spans="1:1" x14ac:dyDescent="0.3">
      <c r="A4358" s="1"/>
    </row>
    <row r="4359" spans="1:1" x14ac:dyDescent="0.3">
      <c r="A4359" s="1"/>
    </row>
    <row r="4360" spans="1:1" x14ac:dyDescent="0.3">
      <c r="A4360" s="1"/>
    </row>
    <row r="4361" spans="1:1" x14ac:dyDescent="0.3">
      <c r="A4361" s="1"/>
    </row>
    <row r="4362" spans="1:1" x14ac:dyDescent="0.3">
      <c r="A4362" s="1"/>
    </row>
    <row r="4363" spans="1:1" x14ac:dyDescent="0.3">
      <c r="A4363" s="1"/>
    </row>
    <row r="4364" spans="1:1" x14ac:dyDescent="0.3">
      <c r="A4364" s="1"/>
    </row>
    <row r="4365" spans="1:1" x14ac:dyDescent="0.3">
      <c r="A4365" s="1"/>
    </row>
    <row r="4366" spans="1:1" x14ac:dyDescent="0.3">
      <c r="A4366" s="1"/>
    </row>
    <row r="4367" spans="1:1" x14ac:dyDescent="0.3">
      <c r="A4367" s="1"/>
    </row>
    <row r="4368" spans="1:1" x14ac:dyDescent="0.3">
      <c r="A4368" s="1"/>
    </row>
    <row r="4369" spans="1:1" x14ac:dyDescent="0.3">
      <c r="A4369" s="1"/>
    </row>
    <row r="4370" spans="1:1" x14ac:dyDescent="0.3">
      <c r="A4370" s="1"/>
    </row>
    <row r="4371" spans="1:1" x14ac:dyDescent="0.3">
      <c r="A4371" s="1"/>
    </row>
    <row r="4372" spans="1:1" x14ac:dyDescent="0.3">
      <c r="A4372" s="1"/>
    </row>
    <row r="4373" spans="1:1" x14ac:dyDescent="0.3">
      <c r="A4373" s="1"/>
    </row>
    <row r="4374" spans="1:1" x14ac:dyDescent="0.3">
      <c r="A4374" s="1"/>
    </row>
    <row r="4375" spans="1:1" x14ac:dyDescent="0.3">
      <c r="A4375" s="1"/>
    </row>
    <row r="4376" spans="1:1" x14ac:dyDescent="0.3">
      <c r="A4376" s="1"/>
    </row>
    <row r="4377" spans="1:1" x14ac:dyDescent="0.3">
      <c r="A4377" s="1"/>
    </row>
    <row r="4378" spans="1:1" x14ac:dyDescent="0.3">
      <c r="A4378" s="1"/>
    </row>
    <row r="4379" spans="1:1" x14ac:dyDescent="0.3">
      <c r="A4379" s="1"/>
    </row>
    <row r="4380" spans="1:1" x14ac:dyDescent="0.3">
      <c r="A4380" s="1"/>
    </row>
    <row r="4381" spans="1:1" x14ac:dyDescent="0.3">
      <c r="A4381" s="1"/>
    </row>
    <row r="4382" spans="1:1" x14ac:dyDescent="0.3">
      <c r="A4382" s="1"/>
    </row>
    <row r="4383" spans="1:1" x14ac:dyDescent="0.3">
      <c r="A4383" s="1"/>
    </row>
    <row r="4384" spans="1:1" x14ac:dyDescent="0.3">
      <c r="A4384" s="1"/>
    </row>
    <row r="4385" spans="1:1" x14ac:dyDescent="0.3">
      <c r="A4385" s="1"/>
    </row>
    <row r="4386" spans="1:1" x14ac:dyDescent="0.3">
      <c r="A4386" s="1"/>
    </row>
    <row r="4387" spans="1:1" x14ac:dyDescent="0.3">
      <c r="A4387" s="1"/>
    </row>
    <row r="4388" spans="1:1" x14ac:dyDescent="0.3">
      <c r="A4388" s="1"/>
    </row>
    <row r="4389" spans="1:1" x14ac:dyDescent="0.3">
      <c r="A4389" s="1"/>
    </row>
    <row r="4390" spans="1:1" x14ac:dyDescent="0.3">
      <c r="A4390" s="1"/>
    </row>
    <row r="4391" spans="1:1" x14ac:dyDescent="0.3">
      <c r="A4391" s="1"/>
    </row>
    <row r="4392" spans="1:1" x14ac:dyDescent="0.3">
      <c r="A4392" s="1"/>
    </row>
    <row r="4393" spans="1:1" x14ac:dyDescent="0.3">
      <c r="A4393" s="1"/>
    </row>
    <row r="4394" spans="1:1" x14ac:dyDescent="0.3">
      <c r="A4394" s="1"/>
    </row>
    <row r="4395" spans="1:1" x14ac:dyDescent="0.3">
      <c r="A4395" s="1"/>
    </row>
    <row r="4396" spans="1:1" x14ac:dyDescent="0.3">
      <c r="A4396" s="1"/>
    </row>
    <row r="4397" spans="1:1" x14ac:dyDescent="0.3">
      <c r="A4397" s="1"/>
    </row>
    <row r="4398" spans="1:1" x14ac:dyDescent="0.3">
      <c r="A4398" s="1"/>
    </row>
    <row r="4399" spans="1:1" x14ac:dyDescent="0.3">
      <c r="A4399" s="1"/>
    </row>
    <row r="4400" spans="1:1" x14ac:dyDescent="0.3">
      <c r="A4400" s="1"/>
    </row>
    <row r="4401" spans="1:1" x14ac:dyDescent="0.3">
      <c r="A4401" s="1"/>
    </row>
    <row r="4402" spans="1:1" x14ac:dyDescent="0.3">
      <c r="A4402" s="1"/>
    </row>
    <row r="4403" spans="1:1" x14ac:dyDescent="0.3">
      <c r="A4403" s="1"/>
    </row>
    <row r="4404" spans="1:1" x14ac:dyDescent="0.3">
      <c r="A4404" s="1"/>
    </row>
    <row r="4405" spans="1:1" x14ac:dyDescent="0.3">
      <c r="A4405" s="1"/>
    </row>
    <row r="4406" spans="1:1" x14ac:dyDescent="0.3">
      <c r="A4406" s="1"/>
    </row>
    <row r="4407" spans="1:1" x14ac:dyDescent="0.3">
      <c r="A4407" s="1"/>
    </row>
    <row r="4408" spans="1:1" x14ac:dyDescent="0.3">
      <c r="A4408" s="1"/>
    </row>
    <row r="4409" spans="1:1" x14ac:dyDescent="0.3">
      <c r="A4409" s="1"/>
    </row>
    <row r="4410" spans="1:1" x14ac:dyDescent="0.3">
      <c r="A4410" s="1"/>
    </row>
    <row r="4411" spans="1:1" x14ac:dyDescent="0.3">
      <c r="A4411" s="1"/>
    </row>
    <row r="4412" spans="1:1" x14ac:dyDescent="0.3">
      <c r="A4412" s="1"/>
    </row>
    <row r="4413" spans="1:1" x14ac:dyDescent="0.3">
      <c r="A4413" s="1"/>
    </row>
    <row r="4414" spans="1:1" x14ac:dyDescent="0.3">
      <c r="A4414" s="1"/>
    </row>
    <row r="4415" spans="1:1" x14ac:dyDescent="0.3">
      <c r="A4415" s="1"/>
    </row>
    <row r="4416" spans="1:1" x14ac:dyDescent="0.3">
      <c r="A4416" s="1"/>
    </row>
    <row r="4417" spans="1:1" x14ac:dyDescent="0.3">
      <c r="A4417" s="1"/>
    </row>
    <row r="4418" spans="1:1" x14ac:dyDescent="0.3">
      <c r="A4418" s="1"/>
    </row>
    <row r="4419" spans="1:1" x14ac:dyDescent="0.3">
      <c r="A4419" s="1"/>
    </row>
    <row r="4420" spans="1:1" x14ac:dyDescent="0.3">
      <c r="A4420" s="1"/>
    </row>
    <row r="4421" spans="1:1" x14ac:dyDescent="0.3">
      <c r="A4421" s="1"/>
    </row>
    <row r="4422" spans="1:1" x14ac:dyDescent="0.3">
      <c r="A4422" s="1"/>
    </row>
    <row r="4423" spans="1:1" x14ac:dyDescent="0.3">
      <c r="A4423" s="1"/>
    </row>
    <row r="4424" spans="1:1" x14ac:dyDescent="0.3">
      <c r="A4424" s="1"/>
    </row>
    <row r="4425" spans="1:1" x14ac:dyDescent="0.3">
      <c r="A4425" s="1"/>
    </row>
    <row r="4426" spans="1:1" x14ac:dyDescent="0.3">
      <c r="A4426" s="1"/>
    </row>
    <row r="4427" spans="1:1" x14ac:dyDescent="0.3">
      <c r="A4427" s="1"/>
    </row>
    <row r="4428" spans="1:1" x14ac:dyDescent="0.3">
      <c r="A4428" s="1"/>
    </row>
    <row r="4429" spans="1:1" x14ac:dyDescent="0.3">
      <c r="A4429" s="1"/>
    </row>
    <row r="4430" spans="1:1" x14ac:dyDescent="0.3">
      <c r="A4430" s="1"/>
    </row>
    <row r="4431" spans="1:1" x14ac:dyDescent="0.3">
      <c r="A4431" s="1"/>
    </row>
    <row r="4432" spans="1:1" x14ac:dyDescent="0.3">
      <c r="A4432" s="1"/>
    </row>
    <row r="4433" spans="1:1" x14ac:dyDescent="0.3">
      <c r="A4433" s="1"/>
    </row>
    <row r="4434" spans="1:1" x14ac:dyDescent="0.3">
      <c r="A4434" s="1"/>
    </row>
    <row r="4435" spans="1:1" x14ac:dyDescent="0.3">
      <c r="A4435" s="1"/>
    </row>
    <row r="4436" spans="1:1" x14ac:dyDescent="0.3">
      <c r="A4436" s="1"/>
    </row>
    <row r="4437" spans="1:1" x14ac:dyDescent="0.3">
      <c r="A4437" s="1"/>
    </row>
    <row r="4438" spans="1:1" x14ac:dyDescent="0.3">
      <c r="A4438" s="1"/>
    </row>
    <row r="4439" spans="1:1" x14ac:dyDescent="0.3">
      <c r="A4439" s="1"/>
    </row>
    <row r="4440" spans="1:1" x14ac:dyDescent="0.3">
      <c r="A4440" s="1"/>
    </row>
    <row r="4441" spans="1:1" x14ac:dyDescent="0.3">
      <c r="A4441" s="1"/>
    </row>
    <row r="4442" spans="1:1" x14ac:dyDescent="0.3">
      <c r="A4442" s="1"/>
    </row>
    <row r="4443" spans="1:1" x14ac:dyDescent="0.3">
      <c r="A4443" s="1"/>
    </row>
    <row r="4444" spans="1:1" x14ac:dyDescent="0.3">
      <c r="A4444" s="1"/>
    </row>
    <row r="4445" spans="1:1" x14ac:dyDescent="0.3">
      <c r="A4445" s="1"/>
    </row>
    <row r="4446" spans="1:1" x14ac:dyDescent="0.3">
      <c r="A4446" s="1"/>
    </row>
    <row r="4447" spans="1:1" x14ac:dyDescent="0.3">
      <c r="A4447" s="1"/>
    </row>
    <row r="4448" spans="1:1" x14ac:dyDescent="0.3">
      <c r="A4448" s="1"/>
    </row>
    <row r="4449" spans="1:1" x14ac:dyDescent="0.3">
      <c r="A4449" s="1"/>
    </row>
    <row r="4450" spans="1:1" x14ac:dyDescent="0.3">
      <c r="A4450" s="1"/>
    </row>
    <row r="4451" spans="1:1" x14ac:dyDescent="0.3">
      <c r="A4451" s="1"/>
    </row>
    <row r="4452" spans="1:1" x14ac:dyDescent="0.3">
      <c r="A4452" s="1"/>
    </row>
    <row r="4453" spans="1:1" x14ac:dyDescent="0.3">
      <c r="A4453" s="1"/>
    </row>
    <row r="4454" spans="1:1" x14ac:dyDescent="0.3">
      <c r="A4454" s="1"/>
    </row>
    <row r="4455" spans="1:1" x14ac:dyDescent="0.3">
      <c r="A4455" s="1"/>
    </row>
    <row r="4456" spans="1:1" x14ac:dyDescent="0.3">
      <c r="A4456" s="1"/>
    </row>
    <row r="4457" spans="1:1" x14ac:dyDescent="0.3">
      <c r="A4457" s="1"/>
    </row>
    <row r="4458" spans="1:1" x14ac:dyDescent="0.3">
      <c r="A4458" s="1"/>
    </row>
    <row r="4459" spans="1:1" x14ac:dyDescent="0.3">
      <c r="A4459" s="1"/>
    </row>
    <row r="4460" spans="1:1" x14ac:dyDescent="0.3">
      <c r="A4460" s="1"/>
    </row>
    <row r="4461" spans="1:1" x14ac:dyDescent="0.3">
      <c r="A4461" s="1"/>
    </row>
    <row r="4462" spans="1:1" x14ac:dyDescent="0.3">
      <c r="A4462" s="1"/>
    </row>
    <row r="4463" spans="1:1" x14ac:dyDescent="0.3">
      <c r="A4463" s="1"/>
    </row>
    <row r="4464" spans="1:1" x14ac:dyDescent="0.3">
      <c r="A4464" s="1"/>
    </row>
    <row r="4465" spans="1:1" x14ac:dyDescent="0.3">
      <c r="A4465" s="1"/>
    </row>
    <row r="4466" spans="1:1" x14ac:dyDescent="0.3">
      <c r="A4466" s="1"/>
    </row>
    <row r="4467" spans="1:1" x14ac:dyDescent="0.3">
      <c r="A4467" s="1"/>
    </row>
    <row r="4468" spans="1:1" x14ac:dyDescent="0.3">
      <c r="A4468" s="1"/>
    </row>
    <row r="4469" spans="1:1" x14ac:dyDescent="0.3">
      <c r="A4469" s="1"/>
    </row>
    <row r="4470" spans="1:1" x14ac:dyDescent="0.3">
      <c r="A4470" s="1"/>
    </row>
    <row r="4471" spans="1:1" x14ac:dyDescent="0.3">
      <c r="A4471" s="1"/>
    </row>
    <row r="4472" spans="1:1" x14ac:dyDescent="0.3">
      <c r="A4472" s="1"/>
    </row>
    <row r="4473" spans="1:1" x14ac:dyDescent="0.3">
      <c r="A4473" s="1"/>
    </row>
    <row r="4474" spans="1:1" x14ac:dyDescent="0.3">
      <c r="A4474" s="1"/>
    </row>
    <row r="4475" spans="1:1" x14ac:dyDescent="0.3">
      <c r="A4475" s="1"/>
    </row>
    <row r="4476" spans="1:1" x14ac:dyDescent="0.3">
      <c r="A4476" s="1"/>
    </row>
    <row r="4477" spans="1:1" x14ac:dyDescent="0.3">
      <c r="A4477" s="1"/>
    </row>
    <row r="4478" spans="1:1" x14ac:dyDescent="0.3">
      <c r="A4478" s="1"/>
    </row>
    <row r="4479" spans="1:1" x14ac:dyDescent="0.3">
      <c r="A4479" s="1"/>
    </row>
    <row r="4480" spans="1:1" x14ac:dyDescent="0.3">
      <c r="A4480" s="1"/>
    </row>
    <row r="4481" spans="1:1" x14ac:dyDescent="0.3">
      <c r="A4481" s="1"/>
    </row>
    <row r="4482" spans="1:1" x14ac:dyDescent="0.3">
      <c r="A4482" s="1"/>
    </row>
    <row r="4483" spans="1:1" x14ac:dyDescent="0.3">
      <c r="A4483" s="1"/>
    </row>
    <row r="4484" spans="1:1" x14ac:dyDescent="0.3">
      <c r="A4484" s="1"/>
    </row>
    <row r="4485" spans="1:1" x14ac:dyDescent="0.3">
      <c r="A4485" s="1"/>
    </row>
    <row r="4486" spans="1:1" x14ac:dyDescent="0.3">
      <c r="A4486" s="1"/>
    </row>
    <row r="4487" spans="1:1" x14ac:dyDescent="0.3">
      <c r="A4487" s="1"/>
    </row>
    <row r="4488" spans="1:1" x14ac:dyDescent="0.3">
      <c r="A4488" s="1"/>
    </row>
    <row r="4489" spans="1:1" x14ac:dyDescent="0.3">
      <c r="A4489" s="1"/>
    </row>
    <row r="4490" spans="1:1" x14ac:dyDescent="0.3">
      <c r="A4490" s="1"/>
    </row>
    <row r="4491" spans="1:1" x14ac:dyDescent="0.3">
      <c r="A4491" s="1"/>
    </row>
    <row r="4492" spans="1:1" x14ac:dyDescent="0.3">
      <c r="A4492" s="1"/>
    </row>
    <row r="4493" spans="1:1" x14ac:dyDescent="0.3">
      <c r="A4493" s="1"/>
    </row>
    <row r="4494" spans="1:1" x14ac:dyDescent="0.3">
      <c r="A4494" s="1"/>
    </row>
    <row r="4495" spans="1:1" x14ac:dyDescent="0.3">
      <c r="A4495" s="1"/>
    </row>
    <row r="4496" spans="1:1" x14ac:dyDescent="0.3">
      <c r="A4496" s="1"/>
    </row>
    <row r="4497" spans="1:1" x14ac:dyDescent="0.3">
      <c r="A4497" s="1"/>
    </row>
    <row r="4498" spans="1:1" x14ac:dyDescent="0.3">
      <c r="A4498" s="1"/>
    </row>
    <row r="4499" spans="1:1" x14ac:dyDescent="0.3">
      <c r="A4499" s="1"/>
    </row>
    <row r="4500" spans="1:1" x14ac:dyDescent="0.3">
      <c r="A4500" s="1"/>
    </row>
    <row r="4501" spans="1:1" x14ac:dyDescent="0.3">
      <c r="A4501" s="1"/>
    </row>
    <row r="4502" spans="1:1" x14ac:dyDescent="0.3">
      <c r="A4502" s="1"/>
    </row>
    <row r="4503" spans="1:1" x14ac:dyDescent="0.3">
      <c r="A4503" s="1"/>
    </row>
    <row r="4504" spans="1:1" x14ac:dyDescent="0.3">
      <c r="A4504" s="1"/>
    </row>
    <row r="4505" spans="1:1" x14ac:dyDescent="0.3">
      <c r="A4505" s="1"/>
    </row>
    <row r="4506" spans="1:1" x14ac:dyDescent="0.3">
      <c r="A4506" s="1"/>
    </row>
    <row r="4507" spans="1:1" x14ac:dyDescent="0.3">
      <c r="A4507" s="1"/>
    </row>
    <row r="4508" spans="1:1" x14ac:dyDescent="0.3">
      <c r="A4508" s="1"/>
    </row>
    <row r="4509" spans="1:1" x14ac:dyDescent="0.3">
      <c r="A4509" s="1"/>
    </row>
    <row r="4510" spans="1:1" x14ac:dyDescent="0.3">
      <c r="A4510" s="1"/>
    </row>
    <row r="4511" spans="1:1" x14ac:dyDescent="0.3">
      <c r="A4511" s="1"/>
    </row>
    <row r="4512" spans="1:1" x14ac:dyDescent="0.3">
      <c r="A4512" s="1"/>
    </row>
    <row r="4513" spans="1:1" x14ac:dyDescent="0.3">
      <c r="A4513" s="1"/>
    </row>
    <row r="4514" spans="1:1" x14ac:dyDescent="0.3">
      <c r="A4514" s="1"/>
    </row>
    <row r="4515" spans="1:1" x14ac:dyDescent="0.3">
      <c r="A4515" s="1"/>
    </row>
    <row r="4516" spans="1:1" x14ac:dyDescent="0.3">
      <c r="A4516" s="1"/>
    </row>
    <row r="4517" spans="1:1" x14ac:dyDescent="0.3">
      <c r="A4517" s="1"/>
    </row>
    <row r="4518" spans="1:1" x14ac:dyDescent="0.3">
      <c r="A4518" s="1"/>
    </row>
    <row r="4519" spans="1:1" x14ac:dyDescent="0.3">
      <c r="A4519" s="1"/>
    </row>
    <row r="4520" spans="1:1" x14ac:dyDescent="0.3">
      <c r="A4520" s="1"/>
    </row>
    <row r="4521" spans="1:1" x14ac:dyDescent="0.3">
      <c r="A4521" s="1"/>
    </row>
    <row r="4522" spans="1:1" x14ac:dyDescent="0.3">
      <c r="A4522" s="1"/>
    </row>
    <row r="4523" spans="1:1" x14ac:dyDescent="0.3">
      <c r="A4523" s="1"/>
    </row>
    <row r="4524" spans="1:1" x14ac:dyDescent="0.3">
      <c r="A4524" s="1"/>
    </row>
    <row r="4525" spans="1:1" x14ac:dyDescent="0.3">
      <c r="A4525" s="1"/>
    </row>
    <row r="4526" spans="1:1" x14ac:dyDescent="0.3">
      <c r="A4526" s="1"/>
    </row>
    <row r="4527" spans="1:1" x14ac:dyDescent="0.3">
      <c r="A4527" s="1"/>
    </row>
    <row r="4528" spans="1:1" x14ac:dyDescent="0.3">
      <c r="A4528" s="1"/>
    </row>
    <row r="4529" spans="1:1" x14ac:dyDescent="0.3">
      <c r="A4529" s="1"/>
    </row>
    <row r="4530" spans="1:1" x14ac:dyDescent="0.3">
      <c r="A4530" s="1"/>
    </row>
    <row r="4531" spans="1:1" x14ac:dyDescent="0.3">
      <c r="A4531" s="1"/>
    </row>
    <row r="4532" spans="1:1" x14ac:dyDescent="0.3">
      <c r="A4532" s="1"/>
    </row>
    <row r="4533" spans="1:1" x14ac:dyDescent="0.3">
      <c r="A4533" s="1"/>
    </row>
    <row r="4534" spans="1:1" x14ac:dyDescent="0.3">
      <c r="A4534" s="1"/>
    </row>
    <row r="4535" spans="1:1" x14ac:dyDescent="0.3">
      <c r="A4535" s="1"/>
    </row>
    <row r="4536" spans="1:1" x14ac:dyDescent="0.3">
      <c r="A4536" s="1"/>
    </row>
    <row r="4537" spans="1:1" x14ac:dyDescent="0.3">
      <c r="A4537" s="1"/>
    </row>
    <row r="4538" spans="1:1" x14ac:dyDescent="0.3">
      <c r="A4538" s="1"/>
    </row>
    <row r="4539" spans="1:1" x14ac:dyDescent="0.3">
      <c r="A4539" s="1"/>
    </row>
    <row r="4540" spans="1:1" x14ac:dyDescent="0.3">
      <c r="A4540" s="1"/>
    </row>
    <row r="4541" spans="1:1" x14ac:dyDescent="0.3">
      <c r="A4541" s="1"/>
    </row>
    <row r="4542" spans="1:1" x14ac:dyDescent="0.3">
      <c r="A4542" s="1"/>
    </row>
    <row r="4543" spans="1:1" x14ac:dyDescent="0.3">
      <c r="A4543" s="1"/>
    </row>
    <row r="4544" spans="1:1" x14ac:dyDescent="0.3">
      <c r="A4544" s="1"/>
    </row>
    <row r="4545" spans="1:1" x14ac:dyDescent="0.3">
      <c r="A4545" s="1"/>
    </row>
    <row r="4546" spans="1:1" x14ac:dyDescent="0.3">
      <c r="A4546" s="1"/>
    </row>
    <row r="4547" spans="1:1" x14ac:dyDescent="0.3">
      <c r="A4547" s="1"/>
    </row>
    <row r="4548" spans="1:1" x14ac:dyDescent="0.3">
      <c r="A4548" s="1"/>
    </row>
    <row r="4549" spans="1:1" x14ac:dyDescent="0.3">
      <c r="A4549" s="1"/>
    </row>
    <row r="4550" spans="1:1" x14ac:dyDescent="0.3">
      <c r="A4550" s="1"/>
    </row>
    <row r="4551" spans="1:1" x14ac:dyDescent="0.3">
      <c r="A4551" s="1"/>
    </row>
    <row r="4552" spans="1:1" x14ac:dyDescent="0.3">
      <c r="A4552" s="1"/>
    </row>
    <row r="4553" spans="1:1" x14ac:dyDescent="0.3">
      <c r="A4553" s="1"/>
    </row>
    <row r="4554" spans="1:1" x14ac:dyDescent="0.3">
      <c r="A4554" s="1"/>
    </row>
    <row r="4555" spans="1:1" x14ac:dyDescent="0.3">
      <c r="A4555" s="1"/>
    </row>
    <row r="4556" spans="1:1" x14ac:dyDescent="0.3">
      <c r="A4556" s="1"/>
    </row>
    <row r="4557" spans="1:1" x14ac:dyDescent="0.3">
      <c r="A4557" s="1"/>
    </row>
    <row r="4558" spans="1:1" x14ac:dyDescent="0.3">
      <c r="A4558" s="1"/>
    </row>
    <row r="4559" spans="1:1" x14ac:dyDescent="0.3">
      <c r="A4559" s="1"/>
    </row>
    <row r="4560" spans="1:1" x14ac:dyDescent="0.3">
      <c r="A4560" s="1"/>
    </row>
    <row r="4561" spans="1:1" x14ac:dyDescent="0.3">
      <c r="A4561" s="1"/>
    </row>
    <row r="4562" spans="1:1" x14ac:dyDescent="0.3">
      <c r="A4562" s="1"/>
    </row>
    <row r="4563" spans="1:1" x14ac:dyDescent="0.3">
      <c r="A4563" s="1"/>
    </row>
    <row r="4564" spans="1:1" x14ac:dyDescent="0.3">
      <c r="A4564" s="1"/>
    </row>
    <row r="4565" spans="1:1" x14ac:dyDescent="0.3">
      <c r="A4565" s="1"/>
    </row>
    <row r="4566" spans="1:1" x14ac:dyDescent="0.3">
      <c r="A4566" s="1"/>
    </row>
    <row r="4567" spans="1:1" x14ac:dyDescent="0.3">
      <c r="A4567" s="1"/>
    </row>
    <row r="4568" spans="1:1" x14ac:dyDescent="0.3">
      <c r="A4568" s="1"/>
    </row>
    <row r="4569" spans="1:1" x14ac:dyDescent="0.3">
      <c r="A4569" s="1"/>
    </row>
    <row r="4570" spans="1:1" x14ac:dyDescent="0.3">
      <c r="A4570" s="1"/>
    </row>
    <row r="4571" spans="1:1" x14ac:dyDescent="0.3">
      <c r="A4571" s="1"/>
    </row>
    <row r="4572" spans="1:1" x14ac:dyDescent="0.3">
      <c r="A4572" s="1"/>
    </row>
    <row r="4573" spans="1:1" x14ac:dyDescent="0.3">
      <c r="A4573" s="1"/>
    </row>
    <row r="4574" spans="1:1" x14ac:dyDescent="0.3">
      <c r="A4574" s="1"/>
    </row>
    <row r="4575" spans="1:1" x14ac:dyDescent="0.3">
      <c r="A4575" s="1"/>
    </row>
    <row r="4576" spans="1:1" x14ac:dyDescent="0.3">
      <c r="A4576" s="1"/>
    </row>
    <row r="4577" spans="1:1" x14ac:dyDescent="0.3">
      <c r="A4577" s="1"/>
    </row>
    <row r="4578" spans="1:1" x14ac:dyDescent="0.3">
      <c r="A4578" s="1"/>
    </row>
    <row r="4579" spans="1:1" x14ac:dyDescent="0.3">
      <c r="A4579" s="1"/>
    </row>
    <row r="4580" spans="1:1" x14ac:dyDescent="0.3">
      <c r="A4580" s="1"/>
    </row>
    <row r="4581" spans="1:1" x14ac:dyDescent="0.3">
      <c r="A4581" s="1"/>
    </row>
    <row r="4582" spans="1:1" x14ac:dyDescent="0.3">
      <c r="A4582" s="1"/>
    </row>
    <row r="4583" spans="1:1" x14ac:dyDescent="0.3">
      <c r="A4583" s="1"/>
    </row>
    <row r="4584" spans="1:1" x14ac:dyDescent="0.3">
      <c r="A4584" s="1"/>
    </row>
    <row r="4585" spans="1:1" x14ac:dyDescent="0.3">
      <c r="A4585" s="1"/>
    </row>
    <row r="4586" spans="1:1" x14ac:dyDescent="0.3">
      <c r="A4586" s="1"/>
    </row>
    <row r="4587" spans="1:1" x14ac:dyDescent="0.3">
      <c r="A4587" s="1"/>
    </row>
    <row r="4588" spans="1:1" x14ac:dyDescent="0.3">
      <c r="A4588" s="1"/>
    </row>
    <row r="4589" spans="1:1" x14ac:dyDescent="0.3">
      <c r="A4589" s="1"/>
    </row>
    <row r="4590" spans="1:1" x14ac:dyDescent="0.3">
      <c r="A4590" s="1"/>
    </row>
    <row r="4591" spans="1:1" x14ac:dyDescent="0.3">
      <c r="A4591" s="1"/>
    </row>
    <row r="4592" spans="1:1" x14ac:dyDescent="0.3">
      <c r="A4592" s="1"/>
    </row>
    <row r="4593" spans="1:1" x14ac:dyDescent="0.3">
      <c r="A4593" s="1"/>
    </row>
    <row r="4594" spans="1:1" x14ac:dyDescent="0.3">
      <c r="A4594" s="1"/>
    </row>
    <row r="4595" spans="1:1" x14ac:dyDescent="0.3">
      <c r="A4595" s="1"/>
    </row>
    <row r="4596" spans="1:1" x14ac:dyDescent="0.3">
      <c r="A4596" s="1"/>
    </row>
    <row r="4597" spans="1:1" x14ac:dyDescent="0.3">
      <c r="A4597" s="1"/>
    </row>
    <row r="4598" spans="1:1" x14ac:dyDescent="0.3">
      <c r="A4598" s="1"/>
    </row>
    <row r="4599" spans="1:1" x14ac:dyDescent="0.3">
      <c r="A4599" s="1"/>
    </row>
    <row r="4600" spans="1:1" x14ac:dyDescent="0.3">
      <c r="A4600" s="1"/>
    </row>
    <row r="4601" spans="1:1" x14ac:dyDescent="0.3">
      <c r="A4601" s="1"/>
    </row>
    <row r="4602" spans="1:1" x14ac:dyDescent="0.3">
      <c r="A4602" s="1"/>
    </row>
    <row r="4603" spans="1:1" x14ac:dyDescent="0.3">
      <c r="A4603" s="1"/>
    </row>
    <row r="4604" spans="1:1" x14ac:dyDescent="0.3">
      <c r="A4604" s="1"/>
    </row>
    <row r="4605" spans="1:1" x14ac:dyDescent="0.3">
      <c r="A4605" s="1"/>
    </row>
    <row r="4606" spans="1:1" x14ac:dyDescent="0.3">
      <c r="A4606" s="1"/>
    </row>
    <row r="4607" spans="1:1" x14ac:dyDescent="0.3">
      <c r="A4607" s="1"/>
    </row>
    <row r="4608" spans="1:1" x14ac:dyDescent="0.3">
      <c r="A4608" s="1"/>
    </row>
    <row r="4609" spans="1:1" x14ac:dyDescent="0.3">
      <c r="A4609" s="1"/>
    </row>
    <row r="4610" spans="1:1" x14ac:dyDescent="0.3">
      <c r="A4610" s="1"/>
    </row>
    <row r="4611" spans="1:1" x14ac:dyDescent="0.3">
      <c r="A4611" s="1"/>
    </row>
    <row r="4612" spans="1:1" x14ac:dyDescent="0.3">
      <c r="A4612" s="1"/>
    </row>
    <row r="4613" spans="1:1" x14ac:dyDescent="0.3">
      <c r="A4613" s="1"/>
    </row>
    <row r="4614" spans="1:1" x14ac:dyDescent="0.3">
      <c r="A4614" s="1"/>
    </row>
    <row r="4615" spans="1:1" x14ac:dyDescent="0.3">
      <c r="A4615" s="1"/>
    </row>
    <row r="4616" spans="1:1" x14ac:dyDescent="0.3">
      <c r="A4616" s="1"/>
    </row>
    <row r="4617" spans="1:1" x14ac:dyDescent="0.3">
      <c r="A4617" s="1"/>
    </row>
    <row r="4618" spans="1:1" x14ac:dyDescent="0.3">
      <c r="A4618" s="1"/>
    </row>
    <row r="4619" spans="1:1" x14ac:dyDescent="0.3">
      <c r="A4619" s="1"/>
    </row>
    <row r="4620" spans="1:1" x14ac:dyDescent="0.3">
      <c r="A4620" s="1"/>
    </row>
    <row r="4621" spans="1:1" x14ac:dyDescent="0.3">
      <c r="A4621" s="1"/>
    </row>
    <row r="4622" spans="1:1" x14ac:dyDescent="0.3">
      <c r="A4622" s="1"/>
    </row>
    <row r="4623" spans="1:1" x14ac:dyDescent="0.3">
      <c r="A4623" s="1"/>
    </row>
    <row r="4624" spans="1:1" x14ac:dyDescent="0.3">
      <c r="A4624" s="1"/>
    </row>
    <row r="4625" spans="1:1" x14ac:dyDescent="0.3">
      <c r="A4625" s="1"/>
    </row>
    <row r="4626" spans="1:1" x14ac:dyDescent="0.3">
      <c r="A4626" s="1"/>
    </row>
    <row r="4627" spans="1:1" x14ac:dyDescent="0.3">
      <c r="A4627" s="1"/>
    </row>
    <row r="4628" spans="1:1" x14ac:dyDescent="0.3">
      <c r="A4628" s="1"/>
    </row>
    <row r="4629" spans="1:1" x14ac:dyDescent="0.3">
      <c r="A4629" s="1"/>
    </row>
    <row r="4630" spans="1:1" x14ac:dyDescent="0.3">
      <c r="A4630" s="1"/>
    </row>
    <row r="4631" spans="1:1" x14ac:dyDescent="0.3">
      <c r="A4631" s="1"/>
    </row>
    <row r="4632" spans="1:1" x14ac:dyDescent="0.3">
      <c r="A4632" s="1"/>
    </row>
    <row r="4633" spans="1:1" x14ac:dyDescent="0.3">
      <c r="A4633" s="1"/>
    </row>
    <row r="4634" spans="1:1" x14ac:dyDescent="0.3">
      <c r="A4634" s="1"/>
    </row>
    <row r="4635" spans="1:1" x14ac:dyDescent="0.3">
      <c r="A4635" s="1"/>
    </row>
    <row r="4636" spans="1:1" x14ac:dyDescent="0.3">
      <c r="A4636" s="1"/>
    </row>
    <row r="4637" spans="1:1" x14ac:dyDescent="0.3">
      <c r="A4637" s="1"/>
    </row>
    <row r="4638" spans="1:1" x14ac:dyDescent="0.3">
      <c r="A4638" s="1"/>
    </row>
    <row r="4639" spans="1:1" x14ac:dyDescent="0.3">
      <c r="A4639" s="1"/>
    </row>
    <row r="4640" spans="1:1" x14ac:dyDescent="0.3">
      <c r="A4640" s="1"/>
    </row>
    <row r="4641" spans="1:1" x14ac:dyDescent="0.3">
      <c r="A4641" s="1"/>
    </row>
    <row r="4642" spans="1:1" x14ac:dyDescent="0.3">
      <c r="A4642" s="1"/>
    </row>
    <row r="4643" spans="1:1" x14ac:dyDescent="0.3">
      <c r="A4643" s="1"/>
    </row>
    <row r="4644" spans="1:1" x14ac:dyDescent="0.3">
      <c r="A4644" s="1"/>
    </row>
    <row r="4645" spans="1:1" x14ac:dyDescent="0.3">
      <c r="A4645" s="1"/>
    </row>
    <row r="4646" spans="1:1" x14ac:dyDescent="0.3">
      <c r="A4646" s="1"/>
    </row>
    <row r="4647" spans="1:1" x14ac:dyDescent="0.3">
      <c r="A4647" s="1"/>
    </row>
    <row r="4648" spans="1:1" x14ac:dyDescent="0.3">
      <c r="A4648" s="1"/>
    </row>
    <row r="4649" spans="1:1" x14ac:dyDescent="0.3">
      <c r="A4649" s="1"/>
    </row>
    <row r="4650" spans="1:1" x14ac:dyDescent="0.3">
      <c r="A4650" s="1"/>
    </row>
    <row r="4651" spans="1:1" x14ac:dyDescent="0.3">
      <c r="A4651" s="1"/>
    </row>
    <row r="4652" spans="1:1" x14ac:dyDescent="0.3">
      <c r="A4652" s="1"/>
    </row>
    <row r="4653" spans="1:1" x14ac:dyDescent="0.3">
      <c r="A4653" s="1"/>
    </row>
    <row r="4654" spans="1:1" x14ac:dyDescent="0.3">
      <c r="A4654" s="1"/>
    </row>
    <row r="4655" spans="1:1" x14ac:dyDescent="0.3">
      <c r="A4655" s="1"/>
    </row>
    <row r="4656" spans="1:1" x14ac:dyDescent="0.3">
      <c r="A4656" s="1"/>
    </row>
    <row r="4657" spans="1:1" x14ac:dyDescent="0.3">
      <c r="A4657" s="1"/>
    </row>
    <row r="4658" spans="1:1" x14ac:dyDescent="0.3">
      <c r="A4658" s="1"/>
    </row>
    <row r="4659" spans="1:1" x14ac:dyDescent="0.3">
      <c r="A4659" s="1"/>
    </row>
    <row r="4660" spans="1:1" x14ac:dyDescent="0.3">
      <c r="A4660" s="1"/>
    </row>
    <row r="4661" spans="1:1" x14ac:dyDescent="0.3">
      <c r="A4661" s="1"/>
    </row>
    <row r="4662" spans="1:1" x14ac:dyDescent="0.3">
      <c r="A4662" s="1"/>
    </row>
    <row r="4663" spans="1:1" x14ac:dyDescent="0.3">
      <c r="A4663" s="1"/>
    </row>
    <row r="4664" spans="1:1" x14ac:dyDescent="0.3">
      <c r="A4664" s="1"/>
    </row>
    <row r="4665" spans="1:1" x14ac:dyDescent="0.3">
      <c r="A4665" s="1"/>
    </row>
    <row r="4666" spans="1:1" x14ac:dyDescent="0.3">
      <c r="A4666" s="1"/>
    </row>
    <row r="4667" spans="1:1" x14ac:dyDescent="0.3">
      <c r="A4667" s="1"/>
    </row>
    <row r="4668" spans="1:1" x14ac:dyDescent="0.3">
      <c r="A4668" s="1"/>
    </row>
    <row r="4669" spans="1:1" x14ac:dyDescent="0.3">
      <c r="A4669" s="1"/>
    </row>
    <row r="4670" spans="1:1" x14ac:dyDescent="0.3">
      <c r="A4670" s="1"/>
    </row>
    <row r="4671" spans="1:1" x14ac:dyDescent="0.3">
      <c r="A4671" s="1"/>
    </row>
    <row r="4672" spans="1:1" x14ac:dyDescent="0.3">
      <c r="A4672" s="1"/>
    </row>
    <row r="4673" spans="1:1" x14ac:dyDescent="0.3">
      <c r="A4673" s="1"/>
    </row>
    <row r="4674" spans="1:1" x14ac:dyDescent="0.3">
      <c r="A4674" s="1"/>
    </row>
    <row r="4675" spans="1:1" x14ac:dyDescent="0.3">
      <c r="A4675" s="1"/>
    </row>
    <row r="4676" spans="1:1" x14ac:dyDescent="0.3">
      <c r="A4676" s="1"/>
    </row>
    <row r="4677" spans="1:1" x14ac:dyDescent="0.3">
      <c r="A4677" s="1"/>
    </row>
    <row r="4678" spans="1:1" x14ac:dyDescent="0.3">
      <c r="A4678" s="1"/>
    </row>
    <row r="4679" spans="1:1" x14ac:dyDescent="0.3">
      <c r="A4679" s="1"/>
    </row>
    <row r="4680" spans="1:1" x14ac:dyDescent="0.3">
      <c r="A4680" s="1"/>
    </row>
    <row r="4681" spans="1:1" x14ac:dyDescent="0.3">
      <c r="A4681" s="1"/>
    </row>
    <row r="4682" spans="1:1" x14ac:dyDescent="0.3">
      <c r="A4682" s="1"/>
    </row>
    <row r="4683" spans="1:1" x14ac:dyDescent="0.3">
      <c r="A4683" s="1"/>
    </row>
    <row r="4684" spans="1:1" x14ac:dyDescent="0.3">
      <c r="A4684" s="1"/>
    </row>
    <row r="4685" spans="1:1" x14ac:dyDescent="0.3">
      <c r="A4685" s="1"/>
    </row>
    <row r="4686" spans="1:1" x14ac:dyDescent="0.3">
      <c r="A4686" s="1"/>
    </row>
    <row r="4687" spans="1:1" x14ac:dyDescent="0.3">
      <c r="A4687" s="1"/>
    </row>
    <row r="4688" spans="1:1" x14ac:dyDescent="0.3">
      <c r="A4688" s="1"/>
    </row>
    <row r="4689" spans="1:1" x14ac:dyDescent="0.3">
      <c r="A4689" s="1"/>
    </row>
    <row r="4690" spans="1:1" x14ac:dyDescent="0.3">
      <c r="A4690" s="1"/>
    </row>
    <row r="4691" spans="1:1" x14ac:dyDescent="0.3">
      <c r="A4691" s="1"/>
    </row>
    <row r="4692" spans="1:1" x14ac:dyDescent="0.3">
      <c r="A4692" s="1"/>
    </row>
    <row r="4693" spans="1:1" x14ac:dyDescent="0.3">
      <c r="A4693" s="1"/>
    </row>
    <row r="4694" spans="1:1" x14ac:dyDescent="0.3">
      <c r="A4694" s="1"/>
    </row>
    <row r="4695" spans="1:1" x14ac:dyDescent="0.3">
      <c r="A4695" s="1"/>
    </row>
    <row r="4696" spans="1:1" x14ac:dyDescent="0.3">
      <c r="A4696" s="1"/>
    </row>
    <row r="4697" spans="1:1" x14ac:dyDescent="0.3">
      <c r="A4697" s="1"/>
    </row>
    <row r="4698" spans="1:1" x14ac:dyDescent="0.3">
      <c r="A4698" s="1"/>
    </row>
    <row r="4699" spans="1:1" x14ac:dyDescent="0.3">
      <c r="A4699" s="1"/>
    </row>
    <row r="4700" spans="1:1" x14ac:dyDescent="0.3">
      <c r="A4700" s="1"/>
    </row>
    <row r="4701" spans="1:1" x14ac:dyDescent="0.3">
      <c r="A4701" s="1"/>
    </row>
    <row r="4702" spans="1:1" x14ac:dyDescent="0.3">
      <c r="A4702" s="1"/>
    </row>
    <row r="4703" spans="1:1" x14ac:dyDescent="0.3">
      <c r="A4703" s="1"/>
    </row>
    <row r="4704" spans="1:1" x14ac:dyDescent="0.3">
      <c r="A4704" s="1"/>
    </row>
    <row r="4705" spans="1:1" x14ac:dyDescent="0.3">
      <c r="A4705" s="1"/>
    </row>
    <row r="4706" spans="1:1" x14ac:dyDescent="0.3">
      <c r="A4706" s="1"/>
    </row>
    <row r="4707" spans="1:1" x14ac:dyDescent="0.3">
      <c r="A4707" s="1"/>
    </row>
    <row r="4708" spans="1:1" x14ac:dyDescent="0.3">
      <c r="A4708" s="1"/>
    </row>
    <row r="4709" spans="1:1" x14ac:dyDescent="0.3">
      <c r="A4709" s="1"/>
    </row>
    <row r="4710" spans="1:1" x14ac:dyDescent="0.3">
      <c r="A4710" s="1"/>
    </row>
    <row r="4711" spans="1:1" x14ac:dyDescent="0.3">
      <c r="A4711" s="1"/>
    </row>
    <row r="4712" spans="1:1" x14ac:dyDescent="0.3">
      <c r="A4712" s="1"/>
    </row>
    <row r="4713" spans="1:1" x14ac:dyDescent="0.3">
      <c r="A4713" s="1"/>
    </row>
    <row r="4714" spans="1:1" x14ac:dyDescent="0.3">
      <c r="A4714" s="1"/>
    </row>
    <row r="4715" spans="1:1" x14ac:dyDescent="0.3">
      <c r="A4715" s="1"/>
    </row>
    <row r="4716" spans="1:1" x14ac:dyDescent="0.3">
      <c r="A4716" s="1"/>
    </row>
    <row r="4717" spans="1:1" x14ac:dyDescent="0.3">
      <c r="A4717" s="1"/>
    </row>
    <row r="4718" spans="1:1" x14ac:dyDescent="0.3">
      <c r="A4718" s="1"/>
    </row>
    <row r="4719" spans="1:1" x14ac:dyDescent="0.3">
      <c r="A4719" s="1"/>
    </row>
    <row r="4720" spans="1:1" x14ac:dyDescent="0.3">
      <c r="A4720" s="1"/>
    </row>
    <row r="4721" spans="1:1" x14ac:dyDescent="0.3">
      <c r="A4721" s="1"/>
    </row>
    <row r="4722" spans="1:1" x14ac:dyDescent="0.3">
      <c r="A4722" s="1"/>
    </row>
    <row r="4723" spans="1:1" x14ac:dyDescent="0.3">
      <c r="A4723" s="1"/>
    </row>
    <row r="4724" spans="1:1" x14ac:dyDescent="0.3">
      <c r="A4724" s="1"/>
    </row>
    <row r="4725" spans="1:1" x14ac:dyDescent="0.3">
      <c r="A4725" s="1"/>
    </row>
    <row r="4726" spans="1:1" x14ac:dyDescent="0.3">
      <c r="A4726" s="1"/>
    </row>
    <row r="4727" spans="1:1" x14ac:dyDescent="0.3">
      <c r="A4727" s="1"/>
    </row>
    <row r="4728" spans="1:1" x14ac:dyDescent="0.3">
      <c r="A4728" s="1"/>
    </row>
    <row r="4729" spans="1:1" x14ac:dyDescent="0.3">
      <c r="A4729" s="1"/>
    </row>
    <row r="4730" spans="1:1" x14ac:dyDescent="0.3">
      <c r="A4730" s="1"/>
    </row>
    <row r="4731" spans="1:1" x14ac:dyDescent="0.3">
      <c r="A4731" s="1"/>
    </row>
    <row r="4732" spans="1:1" x14ac:dyDescent="0.3">
      <c r="A4732" s="1"/>
    </row>
    <row r="4733" spans="1:1" x14ac:dyDescent="0.3">
      <c r="A4733" s="1"/>
    </row>
    <row r="4734" spans="1:1" x14ac:dyDescent="0.3">
      <c r="A4734" s="1"/>
    </row>
    <row r="4735" spans="1:1" x14ac:dyDescent="0.3">
      <c r="A4735" s="1"/>
    </row>
    <row r="4736" spans="1:1" x14ac:dyDescent="0.3">
      <c r="A4736" s="1"/>
    </row>
    <row r="4737" spans="1:1" x14ac:dyDescent="0.3">
      <c r="A4737" s="1"/>
    </row>
    <row r="4738" spans="1:1" x14ac:dyDescent="0.3">
      <c r="A4738" s="1"/>
    </row>
    <row r="4739" spans="1:1" x14ac:dyDescent="0.3">
      <c r="A4739" s="1"/>
    </row>
    <row r="4740" spans="1:1" x14ac:dyDescent="0.3">
      <c r="A4740" s="1"/>
    </row>
    <row r="4741" spans="1:1" x14ac:dyDescent="0.3">
      <c r="A4741" s="1"/>
    </row>
    <row r="4742" spans="1:1" x14ac:dyDescent="0.3">
      <c r="A4742" s="1"/>
    </row>
    <row r="4743" spans="1:1" x14ac:dyDescent="0.3">
      <c r="A4743" s="1"/>
    </row>
    <row r="4744" spans="1:1" x14ac:dyDescent="0.3">
      <c r="A4744" s="1"/>
    </row>
    <row r="4745" spans="1:1" x14ac:dyDescent="0.3">
      <c r="A4745" s="1"/>
    </row>
    <row r="4746" spans="1:1" x14ac:dyDescent="0.3">
      <c r="A4746" s="1"/>
    </row>
    <row r="4747" spans="1:1" x14ac:dyDescent="0.3">
      <c r="A4747" s="1"/>
    </row>
    <row r="4748" spans="1:1" x14ac:dyDescent="0.3">
      <c r="A4748" s="1"/>
    </row>
    <row r="4749" spans="1:1" x14ac:dyDescent="0.3">
      <c r="A4749" s="1"/>
    </row>
    <row r="4750" spans="1:1" x14ac:dyDescent="0.3">
      <c r="A4750" s="1"/>
    </row>
    <row r="4751" spans="1:1" x14ac:dyDescent="0.3">
      <c r="A4751" s="1"/>
    </row>
    <row r="4752" spans="1:1" x14ac:dyDescent="0.3">
      <c r="A4752" s="1"/>
    </row>
    <row r="4753" spans="1:1" x14ac:dyDescent="0.3">
      <c r="A4753" s="1"/>
    </row>
    <row r="4754" spans="1:1" x14ac:dyDescent="0.3">
      <c r="A4754" s="1"/>
    </row>
    <row r="4755" spans="1:1" x14ac:dyDescent="0.3">
      <c r="A4755" s="1"/>
    </row>
    <row r="4756" spans="1:1" x14ac:dyDescent="0.3">
      <c r="A4756" s="1"/>
    </row>
    <row r="4757" spans="1:1" x14ac:dyDescent="0.3">
      <c r="A4757" s="1"/>
    </row>
    <row r="4758" spans="1:1" x14ac:dyDescent="0.3">
      <c r="A4758" s="1"/>
    </row>
    <row r="4759" spans="1:1" x14ac:dyDescent="0.3">
      <c r="A4759" s="1"/>
    </row>
    <row r="4760" spans="1:1" x14ac:dyDescent="0.3">
      <c r="A4760" s="1"/>
    </row>
    <row r="4761" spans="1:1" x14ac:dyDescent="0.3">
      <c r="A4761" s="1"/>
    </row>
    <row r="4762" spans="1:1" x14ac:dyDescent="0.3">
      <c r="A4762" s="1"/>
    </row>
    <row r="4763" spans="1:1" x14ac:dyDescent="0.3">
      <c r="A4763" s="1"/>
    </row>
    <row r="4764" spans="1:1" x14ac:dyDescent="0.3">
      <c r="A4764" s="1"/>
    </row>
    <row r="4765" spans="1:1" x14ac:dyDescent="0.3">
      <c r="A4765" s="1"/>
    </row>
    <row r="4766" spans="1:1" x14ac:dyDescent="0.3">
      <c r="A4766" s="1"/>
    </row>
    <row r="4767" spans="1:1" x14ac:dyDescent="0.3">
      <c r="A4767" s="1"/>
    </row>
    <row r="4768" spans="1:1" x14ac:dyDescent="0.3">
      <c r="A4768" s="1"/>
    </row>
    <row r="4769" spans="1:1" x14ac:dyDescent="0.3">
      <c r="A4769" s="1"/>
    </row>
    <row r="4770" spans="1:1" x14ac:dyDescent="0.3">
      <c r="A4770" s="1"/>
    </row>
    <row r="4771" spans="1:1" x14ac:dyDescent="0.3">
      <c r="A4771" s="1"/>
    </row>
    <row r="4772" spans="1:1" x14ac:dyDescent="0.3">
      <c r="A4772" s="1"/>
    </row>
    <row r="4773" spans="1:1" x14ac:dyDescent="0.3">
      <c r="A4773" s="1"/>
    </row>
    <row r="4774" spans="1:1" x14ac:dyDescent="0.3">
      <c r="A4774" s="1"/>
    </row>
    <row r="4775" spans="1:1" x14ac:dyDescent="0.3">
      <c r="A4775" s="1"/>
    </row>
    <row r="4776" spans="1:1" x14ac:dyDescent="0.3">
      <c r="A4776" s="1"/>
    </row>
    <row r="4777" spans="1:1" x14ac:dyDescent="0.3">
      <c r="A4777" s="1"/>
    </row>
    <row r="4778" spans="1:1" x14ac:dyDescent="0.3">
      <c r="A4778" s="1"/>
    </row>
    <row r="4779" spans="1:1" x14ac:dyDescent="0.3">
      <c r="A4779" s="1"/>
    </row>
    <row r="4780" spans="1:1" x14ac:dyDescent="0.3">
      <c r="A4780" s="1"/>
    </row>
    <row r="4781" spans="1:1" x14ac:dyDescent="0.3">
      <c r="A4781" s="1"/>
    </row>
    <row r="4782" spans="1:1" x14ac:dyDescent="0.3">
      <c r="A4782" s="1"/>
    </row>
    <row r="4783" spans="1:1" x14ac:dyDescent="0.3">
      <c r="A4783" s="1"/>
    </row>
    <row r="4784" spans="1:1" x14ac:dyDescent="0.3">
      <c r="A4784" s="1"/>
    </row>
    <row r="4785" spans="1:1" x14ac:dyDescent="0.3">
      <c r="A4785" s="1"/>
    </row>
    <row r="4786" spans="1:1" x14ac:dyDescent="0.3">
      <c r="A4786" s="1"/>
    </row>
    <row r="4787" spans="1:1" x14ac:dyDescent="0.3">
      <c r="A4787" s="1"/>
    </row>
    <row r="4788" spans="1:1" x14ac:dyDescent="0.3">
      <c r="A4788" s="1"/>
    </row>
    <row r="4789" spans="1:1" x14ac:dyDescent="0.3">
      <c r="A4789" s="1"/>
    </row>
    <row r="4790" spans="1:1" x14ac:dyDescent="0.3">
      <c r="A4790" s="1"/>
    </row>
    <row r="4791" spans="1:1" x14ac:dyDescent="0.3">
      <c r="A4791" s="1"/>
    </row>
    <row r="4792" spans="1:1" x14ac:dyDescent="0.3">
      <c r="A4792" s="1"/>
    </row>
    <row r="4793" spans="1:1" x14ac:dyDescent="0.3">
      <c r="A4793" s="1"/>
    </row>
    <row r="4794" spans="1:1" x14ac:dyDescent="0.3">
      <c r="A4794" s="1"/>
    </row>
    <row r="4795" spans="1:1" x14ac:dyDescent="0.3">
      <c r="A4795" s="1"/>
    </row>
    <row r="4796" spans="1:1" x14ac:dyDescent="0.3">
      <c r="A4796" s="1"/>
    </row>
    <row r="4797" spans="1:1" x14ac:dyDescent="0.3">
      <c r="A4797" s="1"/>
    </row>
    <row r="4798" spans="1:1" x14ac:dyDescent="0.3">
      <c r="A4798" s="1"/>
    </row>
    <row r="4799" spans="1:1" x14ac:dyDescent="0.3">
      <c r="A4799" s="1"/>
    </row>
    <row r="4800" spans="1:1" x14ac:dyDescent="0.3">
      <c r="A4800" s="1"/>
    </row>
    <row r="4801" spans="1:1" x14ac:dyDescent="0.3">
      <c r="A4801" s="1"/>
    </row>
    <row r="4802" spans="1:1" x14ac:dyDescent="0.3">
      <c r="A4802" s="1"/>
    </row>
    <row r="4803" spans="1:1" x14ac:dyDescent="0.3">
      <c r="A4803" s="1"/>
    </row>
    <row r="4804" spans="1:1" x14ac:dyDescent="0.3">
      <c r="A4804" s="1"/>
    </row>
    <row r="4805" spans="1:1" x14ac:dyDescent="0.3">
      <c r="A4805" s="1"/>
    </row>
    <row r="4806" spans="1:1" x14ac:dyDescent="0.3">
      <c r="A4806" s="1"/>
    </row>
    <row r="4807" spans="1:1" x14ac:dyDescent="0.3">
      <c r="A4807" s="1"/>
    </row>
    <row r="4808" spans="1:1" x14ac:dyDescent="0.3">
      <c r="A4808" s="1"/>
    </row>
    <row r="4809" spans="1:1" x14ac:dyDescent="0.3">
      <c r="A4809" s="1"/>
    </row>
    <row r="4810" spans="1:1" x14ac:dyDescent="0.3">
      <c r="A4810" s="1"/>
    </row>
    <row r="4811" spans="1:1" x14ac:dyDescent="0.3">
      <c r="A4811" s="1"/>
    </row>
    <row r="4812" spans="1:1" x14ac:dyDescent="0.3">
      <c r="A4812" s="1"/>
    </row>
    <row r="4813" spans="1:1" x14ac:dyDescent="0.3">
      <c r="A4813" s="1"/>
    </row>
    <row r="4814" spans="1:1" x14ac:dyDescent="0.3">
      <c r="A4814" s="1"/>
    </row>
    <row r="4815" spans="1:1" x14ac:dyDescent="0.3">
      <c r="A4815" s="1"/>
    </row>
    <row r="4816" spans="1:1" x14ac:dyDescent="0.3">
      <c r="A4816" s="1"/>
    </row>
    <row r="4817" spans="1:1" x14ac:dyDescent="0.3">
      <c r="A4817" s="1"/>
    </row>
    <row r="4818" spans="1:1" x14ac:dyDescent="0.3">
      <c r="A4818" s="1"/>
    </row>
    <row r="4819" spans="1:1" x14ac:dyDescent="0.3">
      <c r="A4819" s="1"/>
    </row>
    <row r="4820" spans="1:1" x14ac:dyDescent="0.3">
      <c r="A4820" s="1"/>
    </row>
    <row r="4821" spans="1:1" x14ac:dyDescent="0.3">
      <c r="A4821" s="1"/>
    </row>
    <row r="4822" spans="1:1" x14ac:dyDescent="0.3">
      <c r="A4822" s="1"/>
    </row>
    <row r="4823" spans="1:1" x14ac:dyDescent="0.3">
      <c r="A4823" s="1"/>
    </row>
    <row r="4824" spans="1:1" x14ac:dyDescent="0.3">
      <c r="A4824" s="1"/>
    </row>
    <row r="4825" spans="1:1" x14ac:dyDescent="0.3">
      <c r="A4825" s="1"/>
    </row>
    <row r="4826" spans="1:1" x14ac:dyDescent="0.3">
      <c r="A4826" s="1"/>
    </row>
    <row r="4827" spans="1:1" x14ac:dyDescent="0.3">
      <c r="A4827" s="1"/>
    </row>
    <row r="4828" spans="1:1" x14ac:dyDescent="0.3">
      <c r="A4828" s="1"/>
    </row>
    <row r="4829" spans="1:1" x14ac:dyDescent="0.3">
      <c r="A4829" s="1"/>
    </row>
    <row r="4830" spans="1:1" x14ac:dyDescent="0.3">
      <c r="A4830" s="1"/>
    </row>
    <row r="4831" spans="1:1" x14ac:dyDescent="0.3">
      <c r="A4831" s="1"/>
    </row>
    <row r="4832" spans="1:1" x14ac:dyDescent="0.3">
      <c r="A4832" s="1"/>
    </row>
    <row r="4833" spans="1:1" x14ac:dyDescent="0.3">
      <c r="A4833" s="1"/>
    </row>
    <row r="4834" spans="1:1" x14ac:dyDescent="0.3">
      <c r="A4834" s="1"/>
    </row>
    <row r="4835" spans="1:1" x14ac:dyDescent="0.3">
      <c r="A4835" s="1"/>
    </row>
    <row r="4836" spans="1:1" x14ac:dyDescent="0.3">
      <c r="A4836" s="1"/>
    </row>
    <row r="4837" spans="1:1" x14ac:dyDescent="0.3">
      <c r="A4837" s="1"/>
    </row>
    <row r="4838" spans="1:1" x14ac:dyDescent="0.3">
      <c r="A4838" s="1"/>
    </row>
    <row r="4839" spans="1:1" x14ac:dyDescent="0.3">
      <c r="A4839" s="1"/>
    </row>
    <row r="4840" spans="1:1" x14ac:dyDescent="0.3">
      <c r="A4840" s="1"/>
    </row>
    <row r="4841" spans="1:1" x14ac:dyDescent="0.3">
      <c r="A4841" s="1"/>
    </row>
    <row r="4842" spans="1:1" x14ac:dyDescent="0.3">
      <c r="A4842" s="1"/>
    </row>
    <row r="4843" spans="1:1" x14ac:dyDescent="0.3">
      <c r="A4843" s="1"/>
    </row>
    <row r="4844" spans="1:1" x14ac:dyDescent="0.3">
      <c r="A4844" s="1"/>
    </row>
    <row r="4845" spans="1:1" x14ac:dyDescent="0.3">
      <c r="A4845" s="1"/>
    </row>
    <row r="4846" spans="1:1" x14ac:dyDescent="0.3">
      <c r="A4846" s="1"/>
    </row>
    <row r="4847" spans="1:1" x14ac:dyDescent="0.3">
      <c r="A4847" s="1"/>
    </row>
    <row r="4848" spans="1:1" x14ac:dyDescent="0.3">
      <c r="A4848" s="1"/>
    </row>
    <row r="4849" spans="1:1" x14ac:dyDescent="0.3">
      <c r="A4849" s="1"/>
    </row>
    <row r="4850" spans="1:1" x14ac:dyDescent="0.3">
      <c r="A4850" s="1"/>
    </row>
    <row r="4851" spans="1:1" x14ac:dyDescent="0.3">
      <c r="A4851" s="1"/>
    </row>
    <row r="4852" spans="1:1" x14ac:dyDescent="0.3">
      <c r="A4852" s="1"/>
    </row>
    <row r="4853" spans="1:1" x14ac:dyDescent="0.3">
      <c r="A4853" s="1"/>
    </row>
    <row r="4854" spans="1:1" x14ac:dyDescent="0.3">
      <c r="A4854" s="1"/>
    </row>
    <row r="4855" spans="1:1" x14ac:dyDescent="0.3">
      <c r="A4855" s="1"/>
    </row>
    <row r="4856" spans="1:1" x14ac:dyDescent="0.3">
      <c r="A4856" s="1"/>
    </row>
    <row r="4857" spans="1:1" x14ac:dyDescent="0.3">
      <c r="A4857" s="1"/>
    </row>
    <row r="4858" spans="1:1" x14ac:dyDescent="0.3">
      <c r="A4858" s="1"/>
    </row>
    <row r="4859" spans="1:1" x14ac:dyDescent="0.3">
      <c r="A4859" s="1"/>
    </row>
    <row r="4860" spans="1:1" x14ac:dyDescent="0.3">
      <c r="A4860" s="1"/>
    </row>
    <row r="4861" spans="1:1" x14ac:dyDescent="0.3">
      <c r="A4861" s="1"/>
    </row>
    <row r="4862" spans="1:1" x14ac:dyDescent="0.3">
      <c r="A4862" s="1"/>
    </row>
    <row r="4863" spans="1:1" x14ac:dyDescent="0.3">
      <c r="A4863" s="1"/>
    </row>
    <row r="4864" spans="1:1" x14ac:dyDescent="0.3">
      <c r="A4864" s="1"/>
    </row>
    <row r="4865" spans="1:1" x14ac:dyDescent="0.3">
      <c r="A4865" s="1"/>
    </row>
    <row r="4866" spans="1:1" x14ac:dyDescent="0.3">
      <c r="A4866" s="1"/>
    </row>
    <row r="4867" spans="1:1" x14ac:dyDescent="0.3">
      <c r="A4867" s="1"/>
    </row>
    <row r="4868" spans="1:1" x14ac:dyDescent="0.3">
      <c r="A4868" s="1"/>
    </row>
    <row r="4869" spans="1:1" x14ac:dyDescent="0.3">
      <c r="A4869" s="1"/>
    </row>
    <row r="4870" spans="1:1" x14ac:dyDescent="0.3">
      <c r="A4870" s="1"/>
    </row>
    <row r="4871" spans="1:1" x14ac:dyDescent="0.3">
      <c r="A4871" s="1"/>
    </row>
    <row r="4872" spans="1:1" x14ac:dyDescent="0.3">
      <c r="A4872" s="1"/>
    </row>
    <row r="4873" spans="1:1" x14ac:dyDescent="0.3">
      <c r="A4873" s="1"/>
    </row>
    <row r="4874" spans="1:1" x14ac:dyDescent="0.3">
      <c r="A4874" s="1"/>
    </row>
    <row r="4875" spans="1:1" x14ac:dyDescent="0.3">
      <c r="A4875" s="1"/>
    </row>
    <row r="4876" spans="1:1" x14ac:dyDescent="0.3">
      <c r="A4876" s="1"/>
    </row>
    <row r="4877" spans="1:1" x14ac:dyDescent="0.3">
      <c r="A4877" s="1"/>
    </row>
    <row r="4878" spans="1:1" x14ac:dyDescent="0.3">
      <c r="A4878" s="1"/>
    </row>
    <row r="4879" spans="1:1" x14ac:dyDescent="0.3">
      <c r="A4879" s="1"/>
    </row>
    <row r="4880" spans="1:1" x14ac:dyDescent="0.3">
      <c r="A4880" s="1"/>
    </row>
    <row r="4881" spans="1:1" x14ac:dyDescent="0.3">
      <c r="A4881" s="1"/>
    </row>
    <row r="4882" spans="1:1" x14ac:dyDescent="0.3">
      <c r="A4882" s="1"/>
    </row>
    <row r="4883" spans="1:1" x14ac:dyDescent="0.3">
      <c r="A4883" s="1"/>
    </row>
    <row r="4884" spans="1:1" x14ac:dyDescent="0.3">
      <c r="A4884" s="1"/>
    </row>
    <row r="4885" spans="1:1" x14ac:dyDescent="0.3">
      <c r="A4885" s="1"/>
    </row>
    <row r="4886" spans="1:1" x14ac:dyDescent="0.3">
      <c r="A4886" s="1"/>
    </row>
    <row r="4887" spans="1:1" x14ac:dyDescent="0.3">
      <c r="A4887" s="1"/>
    </row>
    <row r="4888" spans="1:1" x14ac:dyDescent="0.3">
      <c r="A4888" s="1"/>
    </row>
    <row r="4889" spans="1:1" x14ac:dyDescent="0.3">
      <c r="A4889" s="1"/>
    </row>
    <row r="4890" spans="1:1" x14ac:dyDescent="0.3">
      <c r="A4890" s="1"/>
    </row>
    <row r="4891" spans="1:1" x14ac:dyDescent="0.3">
      <c r="A4891" s="1"/>
    </row>
    <row r="4892" spans="1:1" x14ac:dyDescent="0.3">
      <c r="A4892" s="1"/>
    </row>
    <row r="4893" spans="1:1" x14ac:dyDescent="0.3">
      <c r="A4893" s="1"/>
    </row>
    <row r="4894" spans="1:1" x14ac:dyDescent="0.3">
      <c r="A4894" s="1"/>
    </row>
    <row r="4895" spans="1:1" x14ac:dyDescent="0.3">
      <c r="A4895" s="1"/>
    </row>
    <row r="4896" spans="1:1" x14ac:dyDescent="0.3">
      <c r="A4896" s="1"/>
    </row>
    <row r="4897" spans="1:1" x14ac:dyDescent="0.3">
      <c r="A4897" s="1"/>
    </row>
    <row r="4898" spans="1:1" x14ac:dyDescent="0.3">
      <c r="A4898" s="1"/>
    </row>
    <row r="4899" spans="1:1" x14ac:dyDescent="0.3">
      <c r="A4899" s="1"/>
    </row>
    <row r="4900" spans="1:1" x14ac:dyDescent="0.3">
      <c r="A4900" s="1"/>
    </row>
    <row r="4901" spans="1:1" x14ac:dyDescent="0.3">
      <c r="A4901" s="1"/>
    </row>
    <row r="4902" spans="1:1" x14ac:dyDescent="0.3">
      <c r="A4902" s="1"/>
    </row>
    <row r="4903" spans="1:1" x14ac:dyDescent="0.3">
      <c r="A4903" s="1"/>
    </row>
    <row r="4904" spans="1:1" x14ac:dyDescent="0.3">
      <c r="A4904" s="1"/>
    </row>
    <row r="4905" spans="1:1" x14ac:dyDescent="0.3">
      <c r="A4905" s="1"/>
    </row>
    <row r="4906" spans="1:1" x14ac:dyDescent="0.3">
      <c r="A4906" s="1"/>
    </row>
    <row r="4907" spans="1:1" x14ac:dyDescent="0.3">
      <c r="A4907" s="1"/>
    </row>
    <row r="4908" spans="1:1" x14ac:dyDescent="0.3">
      <c r="A4908" s="1"/>
    </row>
    <row r="4909" spans="1:1" x14ac:dyDescent="0.3">
      <c r="A4909" s="1"/>
    </row>
    <row r="4910" spans="1:1" x14ac:dyDescent="0.3">
      <c r="A4910" s="1"/>
    </row>
    <row r="4911" spans="1:1" x14ac:dyDescent="0.3">
      <c r="A4911" s="1"/>
    </row>
    <row r="4912" spans="1:1" x14ac:dyDescent="0.3">
      <c r="A4912" s="1"/>
    </row>
    <row r="4913" spans="1:1" x14ac:dyDescent="0.3">
      <c r="A4913" s="1"/>
    </row>
    <row r="4914" spans="1:1" x14ac:dyDescent="0.3">
      <c r="A4914" s="1"/>
    </row>
    <row r="4915" spans="1:1" x14ac:dyDescent="0.3">
      <c r="A4915" s="1"/>
    </row>
    <row r="4916" spans="1:1" x14ac:dyDescent="0.3">
      <c r="A4916" s="1"/>
    </row>
    <row r="4917" spans="1:1" x14ac:dyDescent="0.3">
      <c r="A4917" s="1"/>
    </row>
    <row r="4918" spans="1:1" x14ac:dyDescent="0.3">
      <c r="A4918" s="1"/>
    </row>
    <row r="4919" spans="1:1" x14ac:dyDescent="0.3">
      <c r="A4919" s="1"/>
    </row>
    <row r="4920" spans="1:1" x14ac:dyDescent="0.3">
      <c r="A4920" s="1"/>
    </row>
    <row r="4921" spans="1:1" x14ac:dyDescent="0.3">
      <c r="A4921" s="1"/>
    </row>
    <row r="4922" spans="1:1" x14ac:dyDescent="0.3">
      <c r="A4922" s="1"/>
    </row>
    <row r="4923" spans="1:1" x14ac:dyDescent="0.3">
      <c r="A4923" s="1"/>
    </row>
    <row r="4924" spans="1:1" x14ac:dyDescent="0.3">
      <c r="A4924" s="1"/>
    </row>
    <row r="4925" spans="1:1" x14ac:dyDescent="0.3">
      <c r="A4925" s="1"/>
    </row>
    <row r="4926" spans="1:1" x14ac:dyDescent="0.3">
      <c r="A4926" s="1"/>
    </row>
    <row r="4927" spans="1:1" x14ac:dyDescent="0.3">
      <c r="A4927" s="1"/>
    </row>
    <row r="4928" spans="1:1" x14ac:dyDescent="0.3">
      <c r="A4928" s="1"/>
    </row>
    <row r="4929" spans="1:1" x14ac:dyDescent="0.3">
      <c r="A4929" s="1"/>
    </row>
    <row r="4930" spans="1:1" x14ac:dyDescent="0.3">
      <c r="A4930" s="1"/>
    </row>
    <row r="4931" spans="1:1" x14ac:dyDescent="0.3">
      <c r="A4931" s="1"/>
    </row>
    <row r="4932" spans="1:1" x14ac:dyDescent="0.3">
      <c r="A4932" s="1"/>
    </row>
    <row r="4933" spans="1:1" x14ac:dyDescent="0.3">
      <c r="A4933" s="1"/>
    </row>
    <row r="4934" spans="1:1" x14ac:dyDescent="0.3">
      <c r="A4934" s="1"/>
    </row>
    <row r="4935" spans="1:1" x14ac:dyDescent="0.3">
      <c r="A4935" s="1"/>
    </row>
    <row r="4936" spans="1:1" x14ac:dyDescent="0.3">
      <c r="A4936" s="1"/>
    </row>
    <row r="4937" spans="1:1" x14ac:dyDescent="0.3">
      <c r="A4937" s="1"/>
    </row>
    <row r="4938" spans="1:1" x14ac:dyDescent="0.3">
      <c r="A4938" s="1"/>
    </row>
    <row r="4939" spans="1:1" x14ac:dyDescent="0.3">
      <c r="A4939" s="1"/>
    </row>
    <row r="4940" spans="1:1" x14ac:dyDescent="0.3">
      <c r="A4940" s="1"/>
    </row>
    <row r="4941" spans="1:1" x14ac:dyDescent="0.3">
      <c r="A4941" s="1"/>
    </row>
    <row r="4942" spans="1:1" x14ac:dyDescent="0.3">
      <c r="A4942" s="1"/>
    </row>
    <row r="4943" spans="1:1" x14ac:dyDescent="0.3">
      <c r="A4943" s="1"/>
    </row>
    <row r="4944" spans="1:1" x14ac:dyDescent="0.3">
      <c r="A4944" s="1"/>
    </row>
    <row r="4945" spans="1:1" x14ac:dyDescent="0.3">
      <c r="A4945" s="1"/>
    </row>
    <row r="4946" spans="1:1" x14ac:dyDescent="0.3">
      <c r="A4946" s="1"/>
    </row>
    <row r="4947" spans="1:1" x14ac:dyDescent="0.3">
      <c r="A4947" s="1"/>
    </row>
    <row r="4948" spans="1:1" x14ac:dyDescent="0.3">
      <c r="A4948" s="1"/>
    </row>
    <row r="4949" spans="1:1" x14ac:dyDescent="0.3">
      <c r="A4949" s="1"/>
    </row>
    <row r="4950" spans="1:1" x14ac:dyDescent="0.3">
      <c r="A4950" s="1"/>
    </row>
    <row r="4951" spans="1:1" x14ac:dyDescent="0.3">
      <c r="A4951" s="1"/>
    </row>
    <row r="4952" spans="1:1" x14ac:dyDescent="0.3">
      <c r="A4952" s="1"/>
    </row>
    <row r="4953" spans="1:1" x14ac:dyDescent="0.3">
      <c r="A4953" s="1"/>
    </row>
    <row r="4954" spans="1:1" x14ac:dyDescent="0.3">
      <c r="A4954" s="1"/>
    </row>
    <row r="4955" spans="1:1" x14ac:dyDescent="0.3">
      <c r="A4955" s="1"/>
    </row>
    <row r="4956" spans="1:1" x14ac:dyDescent="0.3">
      <c r="A4956" s="1"/>
    </row>
    <row r="4957" spans="1:1" x14ac:dyDescent="0.3">
      <c r="A4957" s="1"/>
    </row>
    <row r="4958" spans="1:1" x14ac:dyDescent="0.3">
      <c r="A4958" s="1"/>
    </row>
    <row r="4959" spans="1:1" x14ac:dyDescent="0.3">
      <c r="A4959" s="1"/>
    </row>
    <row r="4960" spans="1:1" x14ac:dyDescent="0.3">
      <c r="A4960" s="1"/>
    </row>
    <row r="4961" spans="1:1" x14ac:dyDescent="0.3">
      <c r="A4961" s="1"/>
    </row>
    <row r="4962" spans="1:1" x14ac:dyDescent="0.3">
      <c r="A4962" s="1"/>
    </row>
    <row r="4963" spans="1:1" x14ac:dyDescent="0.3">
      <c r="A4963" s="1"/>
    </row>
    <row r="4964" spans="1:1" x14ac:dyDescent="0.3">
      <c r="A4964" s="1"/>
    </row>
    <row r="4965" spans="1:1" x14ac:dyDescent="0.3">
      <c r="A4965" s="1"/>
    </row>
    <row r="4966" spans="1:1" x14ac:dyDescent="0.3">
      <c r="A4966" s="1"/>
    </row>
    <row r="4967" spans="1:1" x14ac:dyDescent="0.3">
      <c r="A4967" s="1"/>
    </row>
    <row r="4968" spans="1:1" x14ac:dyDescent="0.3">
      <c r="A4968" s="1"/>
    </row>
    <row r="4969" spans="1:1" x14ac:dyDescent="0.3">
      <c r="A4969" s="1"/>
    </row>
    <row r="4970" spans="1:1" x14ac:dyDescent="0.3">
      <c r="A4970" s="1"/>
    </row>
    <row r="4971" spans="1:1" x14ac:dyDescent="0.3">
      <c r="A4971" s="1"/>
    </row>
    <row r="4972" spans="1:1" x14ac:dyDescent="0.3">
      <c r="A4972" s="1"/>
    </row>
    <row r="4973" spans="1:1" x14ac:dyDescent="0.3">
      <c r="A4973" s="1"/>
    </row>
    <row r="4974" spans="1:1" x14ac:dyDescent="0.3">
      <c r="A4974" s="1"/>
    </row>
    <row r="4975" spans="1:1" x14ac:dyDescent="0.3">
      <c r="A4975" s="1"/>
    </row>
    <row r="4976" spans="1:1" x14ac:dyDescent="0.3">
      <c r="A4976" s="1"/>
    </row>
    <row r="4977" spans="1:1" x14ac:dyDescent="0.3">
      <c r="A4977" s="1"/>
    </row>
    <row r="4978" spans="1:1" x14ac:dyDescent="0.3">
      <c r="A4978" s="1"/>
    </row>
    <row r="4979" spans="1:1" x14ac:dyDescent="0.3">
      <c r="A4979" s="1"/>
    </row>
    <row r="4980" spans="1:1" x14ac:dyDescent="0.3">
      <c r="A4980" s="1"/>
    </row>
    <row r="4981" spans="1:1" x14ac:dyDescent="0.3">
      <c r="A4981" s="1"/>
    </row>
    <row r="4982" spans="1:1" x14ac:dyDescent="0.3">
      <c r="A4982" s="1"/>
    </row>
    <row r="4983" spans="1:1" x14ac:dyDescent="0.3">
      <c r="A4983" s="1"/>
    </row>
    <row r="4984" spans="1:1" x14ac:dyDescent="0.3">
      <c r="A4984" s="1"/>
    </row>
    <row r="4985" spans="1:1" x14ac:dyDescent="0.3">
      <c r="A4985" s="1"/>
    </row>
    <row r="4986" spans="1:1" x14ac:dyDescent="0.3">
      <c r="A4986" s="1"/>
    </row>
    <row r="4987" spans="1:1" x14ac:dyDescent="0.3">
      <c r="A4987" s="1"/>
    </row>
    <row r="4988" spans="1:1" x14ac:dyDescent="0.3">
      <c r="A4988" s="1"/>
    </row>
    <row r="4989" spans="1:1" x14ac:dyDescent="0.3">
      <c r="A4989" s="1"/>
    </row>
    <row r="4990" spans="1:1" x14ac:dyDescent="0.3">
      <c r="A4990" s="1"/>
    </row>
    <row r="4991" spans="1:1" x14ac:dyDescent="0.3">
      <c r="A4991" s="1"/>
    </row>
    <row r="4992" spans="1:1" x14ac:dyDescent="0.3">
      <c r="A4992" s="1"/>
    </row>
    <row r="4993" spans="1:1" x14ac:dyDescent="0.3">
      <c r="A4993" s="1"/>
    </row>
    <row r="4994" spans="1:1" x14ac:dyDescent="0.3">
      <c r="A4994" s="1"/>
    </row>
    <row r="4995" spans="1:1" x14ac:dyDescent="0.3">
      <c r="A4995" s="1"/>
    </row>
    <row r="4996" spans="1:1" x14ac:dyDescent="0.3">
      <c r="A4996" s="1"/>
    </row>
    <row r="4997" spans="1:1" x14ac:dyDescent="0.3">
      <c r="A4997" s="1"/>
    </row>
    <row r="4998" spans="1:1" x14ac:dyDescent="0.3">
      <c r="A4998" s="1"/>
    </row>
    <row r="4999" spans="1:1" x14ac:dyDescent="0.3">
      <c r="A4999" s="1"/>
    </row>
    <row r="5000" spans="1:1" x14ac:dyDescent="0.3">
      <c r="A5000" s="1"/>
    </row>
    <row r="5001" spans="1:1" x14ac:dyDescent="0.3">
      <c r="A5001" s="1"/>
    </row>
    <row r="5002" spans="1:1" x14ac:dyDescent="0.3">
      <c r="A5002" s="1"/>
    </row>
    <row r="5003" spans="1:1" x14ac:dyDescent="0.3">
      <c r="A5003" s="1"/>
    </row>
    <row r="5004" spans="1:1" x14ac:dyDescent="0.3">
      <c r="A5004" s="1"/>
    </row>
    <row r="5005" spans="1:1" x14ac:dyDescent="0.3">
      <c r="A5005" s="1"/>
    </row>
    <row r="5006" spans="1:1" x14ac:dyDescent="0.3">
      <c r="A5006" s="1"/>
    </row>
    <row r="5007" spans="1:1" x14ac:dyDescent="0.3">
      <c r="A5007" s="1"/>
    </row>
    <row r="5008" spans="1:1" x14ac:dyDescent="0.3">
      <c r="A5008" s="1"/>
    </row>
    <row r="5009" spans="1:1" x14ac:dyDescent="0.3">
      <c r="A5009" s="1"/>
    </row>
    <row r="5010" spans="1:1" x14ac:dyDescent="0.3">
      <c r="A5010" s="1"/>
    </row>
    <row r="5011" spans="1:1" x14ac:dyDescent="0.3">
      <c r="A5011" s="1"/>
    </row>
    <row r="5012" spans="1:1" x14ac:dyDescent="0.3">
      <c r="A5012" s="1"/>
    </row>
    <row r="5013" spans="1:1" x14ac:dyDescent="0.3">
      <c r="A5013" s="1"/>
    </row>
    <row r="5014" spans="1:1" x14ac:dyDescent="0.3">
      <c r="A5014" s="1"/>
    </row>
    <row r="5015" spans="1:1" x14ac:dyDescent="0.3">
      <c r="A5015" s="1"/>
    </row>
    <row r="5016" spans="1:1" x14ac:dyDescent="0.3">
      <c r="A5016" s="1"/>
    </row>
    <row r="5017" spans="1:1" x14ac:dyDescent="0.3">
      <c r="A5017" s="1"/>
    </row>
    <row r="5018" spans="1:1" x14ac:dyDescent="0.3">
      <c r="A5018" s="1"/>
    </row>
    <row r="5019" spans="1:1" x14ac:dyDescent="0.3">
      <c r="A5019" s="1"/>
    </row>
    <row r="5020" spans="1:1" x14ac:dyDescent="0.3">
      <c r="A5020" s="1"/>
    </row>
    <row r="5021" spans="1:1" x14ac:dyDescent="0.3">
      <c r="A5021" s="1"/>
    </row>
    <row r="5022" spans="1:1" x14ac:dyDescent="0.3">
      <c r="A5022" s="1"/>
    </row>
    <row r="5023" spans="1:1" x14ac:dyDescent="0.3">
      <c r="A5023" s="1"/>
    </row>
    <row r="5024" spans="1:1" x14ac:dyDescent="0.3">
      <c r="A5024" s="1"/>
    </row>
    <row r="5025" spans="1:1" x14ac:dyDescent="0.3">
      <c r="A5025" s="1"/>
    </row>
    <row r="5026" spans="1:1" x14ac:dyDescent="0.3">
      <c r="A5026" s="1"/>
    </row>
    <row r="5027" spans="1:1" x14ac:dyDescent="0.3">
      <c r="A5027" s="1"/>
    </row>
    <row r="5028" spans="1:1" x14ac:dyDescent="0.3">
      <c r="A5028" s="1"/>
    </row>
    <row r="5029" spans="1:1" x14ac:dyDescent="0.3">
      <c r="A5029" s="1"/>
    </row>
    <row r="5030" spans="1:1" x14ac:dyDescent="0.3">
      <c r="A5030" s="1"/>
    </row>
    <row r="5031" spans="1:1" x14ac:dyDescent="0.3">
      <c r="A5031" s="1"/>
    </row>
    <row r="5032" spans="1:1" x14ac:dyDescent="0.3">
      <c r="A5032" s="1"/>
    </row>
    <row r="5033" spans="1:1" x14ac:dyDescent="0.3">
      <c r="A5033" s="1"/>
    </row>
    <row r="5034" spans="1:1" x14ac:dyDescent="0.3">
      <c r="A5034" s="1"/>
    </row>
    <row r="5035" spans="1:1" x14ac:dyDescent="0.3">
      <c r="A5035" s="1"/>
    </row>
    <row r="5036" spans="1:1" x14ac:dyDescent="0.3">
      <c r="A5036" s="1"/>
    </row>
    <row r="5037" spans="1:1" x14ac:dyDescent="0.3">
      <c r="A5037" s="1"/>
    </row>
    <row r="5038" spans="1:1" x14ac:dyDescent="0.3">
      <c r="A5038" s="1"/>
    </row>
    <row r="5039" spans="1:1" x14ac:dyDescent="0.3">
      <c r="A5039" s="1"/>
    </row>
    <row r="5040" spans="1:1" x14ac:dyDescent="0.3">
      <c r="A5040" s="1"/>
    </row>
    <row r="5041" spans="1:1" x14ac:dyDescent="0.3">
      <c r="A5041" s="1"/>
    </row>
    <row r="5042" spans="1:1" x14ac:dyDescent="0.3">
      <c r="A5042" s="1"/>
    </row>
    <row r="5043" spans="1:1" x14ac:dyDescent="0.3">
      <c r="A5043" s="1"/>
    </row>
    <row r="5044" spans="1:1" x14ac:dyDescent="0.3">
      <c r="A5044" s="1"/>
    </row>
    <row r="5045" spans="1:1" x14ac:dyDescent="0.3">
      <c r="A5045" s="1"/>
    </row>
    <row r="5046" spans="1:1" x14ac:dyDescent="0.3">
      <c r="A5046" s="1"/>
    </row>
    <row r="5047" spans="1:1" x14ac:dyDescent="0.3">
      <c r="A5047" s="1"/>
    </row>
    <row r="5048" spans="1:1" x14ac:dyDescent="0.3">
      <c r="A5048" s="1"/>
    </row>
    <row r="5049" spans="1:1" x14ac:dyDescent="0.3">
      <c r="A5049" s="1"/>
    </row>
    <row r="5050" spans="1:1" x14ac:dyDescent="0.3">
      <c r="A5050" s="1"/>
    </row>
    <row r="5051" spans="1:1" x14ac:dyDescent="0.3">
      <c r="A5051" s="1"/>
    </row>
    <row r="5052" spans="1:1" x14ac:dyDescent="0.3">
      <c r="A5052" s="1"/>
    </row>
    <row r="5053" spans="1:1" x14ac:dyDescent="0.3">
      <c r="A5053" s="1"/>
    </row>
    <row r="5054" spans="1:1" x14ac:dyDescent="0.3">
      <c r="A5054" s="1"/>
    </row>
    <row r="5055" spans="1:1" x14ac:dyDescent="0.3">
      <c r="A5055" s="1"/>
    </row>
    <row r="5056" spans="1:1" x14ac:dyDescent="0.3">
      <c r="A5056" s="1"/>
    </row>
    <row r="5057" spans="1:1" x14ac:dyDescent="0.3">
      <c r="A5057" s="1"/>
    </row>
    <row r="5058" spans="1:1" x14ac:dyDescent="0.3">
      <c r="A5058" s="1"/>
    </row>
    <row r="5059" spans="1:1" x14ac:dyDescent="0.3">
      <c r="A5059" s="1"/>
    </row>
    <row r="5060" spans="1:1" x14ac:dyDescent="0.3">
      <c r="A5060" s="1"/>
    </row>
    <row r="5061" spans="1:1" x14ac:dyDescent="0.3">
      <c r="A5061" s="1"/>
    </row>
    <row r="5062" spans="1:1" x14ac:dyDescent="0.3">
      <c r="A5062" s="1"/>
    </row>
    <row r="5063" spans="1:1" x14ac:dyDescent="0.3">
      <c r="A5063" s="1"/>
    </row>
    <row r="5064" spans="1:1" x14ac:dyDescent="0.3">
      <c r="A5064" s="1"/>
    </row>
    <row r="5065" spans="1:1" x14ac:dyDescent="0.3">
      <c r="A5065" s="1"/>
    </row>
    <row r="5066" spans="1:1" x14ac:dyDescent="0.3">
      <c r="A5066" s="1"/>
    </row>
    <row r="5067" spans="1:1" x14ac:dyDescent="0.3">
      <c r="A5067" s="1"/>
    </row>
    <row r="5068" spans="1:1" x14ac:dyDescent="0.3">
      <c r="A5068" s="1"/>
    </row>
    <row r="5069" spans="1:1" x14ac:dyDescent="0.3">
      <c r="A5069" s="1"/>
    </row>
    <row r="5070" spans="1:1" x14ac:dyDescent="0.3">
      <c r="A5070" s="1"/>
    </row>
    <row r="5071" spans="1:1" x14ac:dyDescent="0.3">
      <c r="A5071" s="1"/>
    </row>
    <row r="5072" spans="1:1" x14ac:dyDescent="0.3">
      <c r="A5072" s="1"/>
    </row>
    <row r="5073" spans="1:1" x14ac:dyDescent="0.3">
      <c r="A5073" s="1"/>
    </row>
    <row r="5074" spans="1:1" x14ac:dyDescent="0.3">
      <c r="A5074" s="1"/>
    </row>
    <row r="5075" spans="1:1" x14ac:dyDescent="0.3">
      <c r="A5075" s="1"/>
    </row>
    <row r="5076" spans="1:1" x14ac:dyDescent="0.3">
      <c r="A5076" s="1"/>
    </row>
    <row r="5077" spans="1:1" x14ac:dyDescent="0.3">
      <c r="A5077" s="1"/>
    </row>
    <row r="5078" spans="1:1" x14ac:dyDescent="0.3">
      <c r="A5078" s="1"/>
    </row>
    <row r="5079" spans="1:1" x14ac:dyDescent="0.3">
      <c r="A5079" s="1"/>
    </row>
    <row r="5080" spans="1:1" x14ac:dyDescent="0.3">
      <c r="A5080" s="1"/>
    </row>
    <row r="5081" spans="1:1" x14ac:dyDescent="0.3">
      <c r="A5081" s="1"/>
    </row>
    <row r="5082" spans="1:1" x14ac:dyDescent="0.3">
      <c r="A5082" s="1"/>
    </row>
    <row r="5083" spans="1:1" x14ac:dyDescent="0.3">
      <c r="A5083" s="1"/>
    </row>
    <row r="5084" spans="1:1" x14ac:dyDescent="0.3">
      <c r="A5084" s="1"/>
    </row>
    <row r="5085" spans="1:1" x14ac:dyDescent="0.3">
      <c r="A5085" s="1"/>
    </row>
    <row r="5086" spans="1:1" x14ac:dyDescent="0.3">
      <c r="A5086" s="1"/>
    </row>
    <row r="5087" spans="1:1" x14ac:dyDescent="0.3">
      <c r="A5087" s="1"/>
    </row>
    <row r="5088" spans="1:1" x14ac:dyDescent="0.3">
      <c r="A5088" s="1"/>
    </row>
    <row r="5089" spans="1:1" x14ac:dyDescent="0.3">
      <c r="A5089" s="1"/>
    </row>
    <row r="5090" spans="1:1" x14ac:dyDescent="0.3">
      <c r="A5090" s="1"/>
    </row>
    <row r="5091" spans="1:1" x14ac:dyDescent="0.3">
      <c r="A5091" s="1"/>
    </row>
    <row r="5092" spans="1:1" x14ac:dyDescent="0.3">
      <c r="A5092" s="1"/>
    </row>
    <row r="5093" spans="1:1" x14ac:dyDescent="0.3">
      <c r="A5093" s="1"/>
    </row>
    <row r="5094" spans="1:1" x14ac:dyDescent="0.3">
      <c r="A5094" s="1"/>
    </row>
    <row r="5095" spans="1:1" x14ac:dyDescent="0.3">
      <c r="A5095" s="1"/>
    </row>
    <row r="5096" spans="1:1" x14ac:dyDescent="0.3">
      <c r="A5096" s="1"/>
    </row>
    <row r="5097" spans="1:1" x14ac:dyDescent="0.3">
      <c r="A5097" s="1"/>
    </row>
    <row r="5098" spans="1:1" x14ac:dyDescent="0.3">
      <c r="A5098" s="1"/>
    </row>
    <row r="5099" spans="1:1" x14ac:dyDescent="0.3">
      <c r="A5099" s="1"/>
    </row>
    <row r="5100" spans="1:1" x14ac:dyDescent="0.3">
      <c r="A5100" s="1"/>
    </row>
    <row r="5101" spans="1:1" x14ac:dyDescent="0.3">
      <c r="A5101" s="1"/>
    </row>
    <row r="5102" spans="1:1" x14ac:dyDescent="0.3">
      <c r="A5102" s="1"/>
    </row>
    <row r="5103" spans="1:1" x14ac:dyDescent="0.3">
      <c r="A5103" s="1"/>
    </row>
    <row r="5104" spans="1:1" x14ac:dyDescent="0.3">
      <c r="A5104" s="1"/>
    </row>
    <row r="5105" spans="1:1" x14ac:dyDescent="0.3">
      <c r="A5105" s="1"/>
    </row>
    <row r="5106" spans="1:1" x14ac:dyDescent="0.3">
      <c r="A5106" s="1"/>
    </row>
    <row r="5107" spans="1:1" x14ac:dyDescent="0.3">
      <c r="A5107" s="1"/>
    </row>
    <row r="5108" spans="1:1" x14ac:dyDescent="0.3">
      <c r="A5108" s="1"/>
    </row>
    <row r="5109" spans="1:1" x14ac:dyDescent="0.3">
      <c r="A5109" s="1"/>
    </row>
    <row r="5110" spans="1:1" x14ac:dyDescent="0.3">
      <c r="A5110" s="1"/>
    </row>
    <row r="5111" spans="1:1" x14ac:dyDescent="0.3">
      <c r="A5111" s="1"/>
    </row>
    <row r="5112" spans="1:1" x14ac:dyDescent="0.3">
      <c r="A5112" s="1"/>
    </row>
    <row r="5113" spans="1:1" x14ac:dyDescent="0.3">
      <c r="A5113" s="1"/>
    </row>
    <row r="5114" spans="1:1" x14ac:dyDescent="0.3">
      <c r="A5114" s="1"/>
    </row>
    <row r="5115" spans="1:1" x14ac:dyDescent="0.3">
      <c r="A5115" s="1"/>
    </row>
    <row r="5116" spans="1:1" x14ac:dyDescent="0.3">
      <c r="A5116" s="1"/>
    </row>
    <row r="5117" spans="1:1" x14ac:dyDescent="0.3">
      <c r="A5117" s="1"/>
    </row>
    <row r="5118" spans="1:1" x14ac:dyDescent="0.3">
      <c r="A5118" s="1"/>
    </row>
    <row r="5119" spans="1:1" x14ac:dyDescent="0.3">
      <c r="A5119" s="1"/>
    </row>
    <row r="5120" spans="1:1" x14ac:dyDescent="0.3">
      <c r="A5120" s="1"/>
    </row>
    <row r="5121" spans="1:1" x14ac:dyDescent="0.3">
      <c r="A5121" s="1"/>
    </row>
    <row r="5122" spans="1:1" x14ac:dyDescent="0.3">
      <c r="A5122" s="1"/>
    </row>
    <row r="5123" spans="1:1" x14ac:dyDescent="0.3">
      <c r="A5123" s="1"/>
    </row>
    <row r="5124" spans="1:1" x14ac:dyDescent="0.3">
      <c r="A5124" s="1"/>
    </row>
    <row r="5125" spans="1:1" x14ac:dyDescent="0.3">
      <c r="A5125" s="1"/>
    </row>
    <row r="5126" spans="1:1" x14ac:dyDescent="0.3">
      <c r="A5126" s="1"/>
    </row>
    <row r="5127" spans="1:1" x14ac:dyDescent="0.3">
      <c r="A5127" s="1"/>
    </row>
    <row r="5128" spans="1:1" x14ac:dyDescent="0.3">
      <c r="A5128" s="1"/>
    </row>
    <row r="5129" spans="1:1" x14ac:dyDescent="0.3">
      <c r="A5129" s="1"/>
    </row>
    <row r="5130" spans="1:1" x14ac:dyDescent="0.3">
      <c r="A5130" s="1"/>
    </row>
    <row r="5131" spans="1:1" x14ac:dyDescent="0.3">
      <c r="A5131" s="1"/>
    </row>
    <row r="5132" spans="1:1" x14ac:dyDescent="0.3">
      <c r="A5132" s="1"/>
    </row>
    <row r="5133" spans="1:1" x14ac:dyDescent="0.3">
      <c r="A5133" s="1"/>
    </row>
    <row r="5134" spans="1:1" x14ac:dyDescent="0.3">
      <c r="A5134" s="1"/>
    </row>
    <row r="5135" spans="1:1" x14ac:dyDescent="0.3">
      <c r="A5135" s="1"/>
    </row>
    <row r="5136" spans="1:1" x14ac:dyDescent="0.3">
      <c r="A5136" s="1"/>
    </row>
    <row r="5137" spans="1:1" x14ac:dyDescent="0.3">
      <c r="A5137" s="1"/>
    </row>
    <row r="5138" spans="1:1" x14ac:dyDescent="0.3">
      <c r="A5138" s="1"/>
    </row>
    <row r="5139" spans="1:1" x14ac:dyDescent="0.3">
      <c r="A5139" s="1"/>
    </row>
    <row r="5140" spans="1:1" x14ac:dyDescent="0.3">
      <c r="A5140" s="1"/>
    </row>
    <row r="5141" spans="1:1" x14ac:dyDescent="0.3">
      <c r="A5141" s="1"/>
    </row>
    <row r="5142" spans="1:1" x14ac:dyDescent="0.3">
      <c r="A5142" s="1"/>
    </row>
    <row r="5143" spans="1:1" x14ac:dyDescent="0.3">
      <c r="A5143" s="1"/>
    </row>
    <row r="5144" spans="1:1" x14ac:dyDescent="0.3">
      <c r="A5144" s="1"/>
    </row>
    <row r="5145" spans="1:1" x14ac:dyDescent="0.3">
      <c r="A5145" s="1"/>
    </row>
    <row r="5146" spans="1:1" x14ac:dyDescent="0.3">
      <c r="A5146" s="1"/>
    </row>
    <row r="5147" spans="1:1" x14ac:dyDescent="0.3">
      <c r="A5147" s="1"/>
    </row>
    <row r="5148" spans="1:1" x14ac:dyDescent="0.3">
      <c r="A5148" s="1"/>
    </row>
    <row r="5149" spans="1:1" x14ac:dyDescent="0.3">
      <c r="A5149" s="1"/>
    </row>
    <row r="5150" spans="1:1" x14ac:dyDescent="0.3">
      <c r="A5150" s="1"/>
    </row>
    <row r="5151" spans="1:1" x14ac:dyDescent="0.3">
      <c r="A5151" s="1"/>
    </row>
    <row r="5152" spans="1:1" x14ac:dyDescent="0.3">
      <c r="A5152" s="1"/>
    </row>
    <row r="5153" spans="1:1" x14ac:dyDescent="0.3">
      <c r="A5153" s="1"/>
    </row>
    <row r="5154" spans="1:1" x14ac:dyDescent="0.3">
      <c r="A5154" s="1"/>
    </row>
    <row r="5155" spans="1:1" x14ac:dyDescent="0.3">
      <c r="A5155" s="1"/>
    </row>
    <row r="5156" spans="1:1" x14ac:dyDescent="0.3">
      <c r="A5156" s="1"/>
    </row>
    <row r="5157" spans="1:1" x14ac:dyDescent="0.3">
      <c r="A5157" s="1"/>
    </row>
    <row r="5158" spans="1:1" x14ac:dyDescent="0.3">
      <c r="A5158" s="1"/>
    </row>
    <row r="5159" spans="1:1" x14ac:dyDescent="0.3">
      <c r="A5159" s="1"/>
    </row>
    <row r="5160" spans="1:1" x14ac:dyDescent="0.3">
      <c r="A5160" s="1"/>
    </row>
    <row r="5161" spans="1:1" x14ac:dyDescent="0.3">
      <c r="A5161" s="1"/>
    </row>
    <row r="5162" spans="1:1" x14ac:dyDescent="0.3">
      <c r="A5162" s="1"/>
    </row>
    <row r="5163" spans="1:1" x14ac:dyDescent="0.3">
      <c r="A5163" s="1"/>
    </row>
    <row r="5164" spans="1:1" x14ac:dyDescent="0.3">
      <c r="A5164" s="1"/>
    </row>
    <row r="5165" spans="1:1" x14ac:dyDescent="0.3">
      <c r="A5165" s="1"/>
    </row>
    <row r="5166" spans="1:1" x14ac:dyDescent="0.3">
      <c r="A5166" s="1"/>
    </row>
    <row r="5167" spans="1:1" x14ac:dyDescent="0.3">
      <c r="A5167" s="1"/>
    </row>
    <row r="5168" spans="1:1" x14ac:dyDescent="0.3">
      <c r="A5168" s="1"/>
    </row>
    <row r="5169" spans="1:1" x14ac:dyDescent="0.3">
      <c r="A5169" s="1"/>
    </row>
    <row r="5170" spans="1:1" x14ac:dyDescent="0.3">
      <c r="A5170" s="1"/>
    </row>
    <row r="5171" spans="1:1" x14ac:dyDescent="0.3">
      <c r="A5171" s="1"/>
    </row>
    <row r="5172" spans="1:1" x14ac:dyDescent="0.3">
      <c r="A5172" s="1"/>
    </row>
    <row r="5173" spans="1:1" x14ac:dyDescent="0.3">
      <c r="A5173" s="1"/>
    </row>
    <row r="5174" spans="1:1" x14ac:dyDescent="0.3">
      <c r="A5174" s="1"/>
    </row>
    <row r="5175" spans="1:1" x14ac:dyDescent="0.3">
      <c r="A5175" s="1"/>
    </row>
    <row r="5176" spans="1:1" x14ac:dyDescent="0.3">
      <c r="A5176" s="1"/>
    </row>
    <row r="5177" spans="1:1" x14ac:dyDescent="0.3">
      <c r="A5177" s="1"/>
    </row>
    <row r="5178" spans="1:1" x14ac:dyDescent="0.3">
      <c r="A5178" s="1"/>
    </row>
    <row r="5179" spans="1:1" x14ac:dyDescent="0.3">
      <c r="A5179" s="1"/>
    </row>
    <row r="5180" spans="1:1" x14ac:dyDescent="0.3">
      <c r="A5180" s="1"/>
    </row>
    <row r="5181" spans="1:1" x14ac:dyDescent="0.3">
      <c r="A5181" s="1"/>
    </row>
    <row r="5182" spans="1:1" x14ac:dyDescent="0.3">
      <c r="A5182" s="1"/>
    </row>
    <row r="5183" spans="1:1" x14ac:dyDescent="0.3">
      <c r="A5183" s="1"/>
    </row>
    <row r="5184" spans="1:1" x14ac:dyDescent="0.3">
      <c r="A5184" s="1"/>
    </row>
    <row r="5185" spans="1:1" x14ac:dyDescent="0.3">
      <c r="A5185" s="1"/>
    </row>
    <row r="5186" spans="1:1" x14ac:dyDescent="0.3">
      <c r="A5186" s="1"/>
    </row>
    <row r="5187" spans="1:1" x14ac:dyDescent="0.3">
      <c r="A5187" s="1"/>
    </row>
    <row r="5188" spans="1:1" x14ac:dyDescent="0.3">
      <c r="A5188" s="1"/>
    </row>
    <row r="5189" spans="1:1" x14ac:dyDescent="0.3">
      <c r="A5189" s="1"/>
    </row>
    <row r="5190" spans="1:1" x14ac:dyDescent="0.3">
      <c r="A5190" s="1"/>
    </row>
    <row r="5191" spans="1:1" x14ac:dyDescent="0.3">
      <c r="A5191" s="1"/>
    </row>
    <row r="5192" spans="1:1" x14ac:dyDescent="0.3">
      <c r="A5192" s="1"/>
    </row>
    <row r="5193" spans="1:1" x14ac:dyDescent="0.3">
      <c r="A5193" s="1"/>
    </row>
    <row r="5194" spans="1:1" x14ac:dyDescent="0.3">
      <c r="A5194" s="1"/>
    </row>
    <row r="5195" spans="1:1" x14ac:dyDescent="0.3">
      <c r="A5195" s="1"/>
    </row>
    <row r="5196" spans="1:1" x14ac:dyDescent="0.3">
      <c r="A5196" s="1"/>
    </row>
    <row r="5197" spans="1:1" x14ac:dyDescent="0.3">
      <c r="A5197" s="1"/>
    </row>
    <row r="5198" spans="1:1" x14ac:dyDescent="0.3">
      <c r="A5198" s="1"/>
    </row>
    <row r="5199" spans="1:1" x14ac:dyDescent="0.3">
      <c r="A5199" s="1"/>
    </row>
    <row r="5200" spans="1:1" x14ac:dyDescent="0.3">
      <c r="A5200" s="1"/>
    </row>
    <row r="5201" spans="1:1" x14ac:dyDescent="0.3">
      <c r="A5201" s="1"/>
    </row>
    <row r="5202" spans="1:1" x14ac:dyDescent="0.3">
      <c r="A5202" s="1"/>
    </row>
    <row r="5203" spans="1:1" x14ac:dyDescent="0.3">
      <c r="A5203" s="1"/>
    </row>
    <row r="5204" spans="1:1" x14ac:dyDescent="0.3">
      <c r="A5204" s="1"/>
    </row>
    <row r="5205" spans="1:1" x14ac:dyDescent="0.3">
      <c r="A5205" s="1"/>
    </row>
    <row r="5206" spans="1:1" x14ac:dyDescent="0.3">
      <c r="A5206" s="1"/>
    </row>
    <row r="5207" spans="1:1" x14ac:dyDescent="0.3">
      <c r="A5207" s="1"/>
    </row>
    <row r="5208" spans="1:1" x14ac:dyDescent="0.3">
      <c r="A5208" s="1"/>
    </row>
    <row r="5209" spans="1:1" x14ac:dyDescent="0.3">
      <c r="A5209" s="1"/>
    </row>
    <row r="5210" spans="1:1" x14ac:dyDescent="0.3">
      <c r="A5210" s="1"/>
    </row>
    <row r="5211" spans="1:1" x14ac:dyDescent="0.3">
      <c r="A5211" s="1"/>
    </row>
    <row r="5212" spans="1:1" x14ac:dyDescent="0.3">
      <c r="A5212" s="1"/>
    </row>
    <row r="5213" spans="1:1" x14ac:dyDescent="0.3">
      <c r="A5213" s="1"/>
    </row>
    <row r="5214" spans="1:1" x14ac:dyDescent="0.3">
      <c r="A5214" s="1"/>
    </row>
    <row r="5215" spans="1:1" x14ac:dyDescent="0.3">
      <c r="A5215" s="1"/>
    </row>
    <row r="5216" spans="1:1" x14ac:dyDescent="0.3">
      <c r="A5216" s="1"/>
    </row>
    <row r="5217" spans="1:1" x14ac:dyDescent="0.3">
      <c r="A5217" s="1"/>
    </row>
    <row r="5218" spans="1:1" x14ac:dyDescent="0.3">
      <c r="A5218" s="1"/>
    </row>
    <row r="5219" spans="1:1" x14ac:dyDescent="0.3">
      <c r="A5219" s="1"/>
    </row>
    <row r="5220" spans="1:1" x14ac:dyDescent="0.3">
      <c r="A5220" s="1"/>
    </row>
    <row r="5221" spans="1:1" x14ac:dyDescent="0.3">
      <c r="A5221" s="1"/>
    </row>
    <row r="5222" spans="1:1" x14ac:dyDescent="0.3">
      <c r="A5222" s="1"/>
    </row>
    <row r="5223" spans="1:1" x14ac:dyDescent="0.3">
      <c r="A5223" s="1"/>
    </row>
    <row r="5224" spans="1:1" x14ac:dyDescent="0.3">
      <c r="A5224" s="1"/>
    </row>
    <row r="5225" spans="1:1" x14ac:dyDescent="0.3">
      <c r="A5225" s="1"/>
    </row>
    <row r="5226" spans="1:1" x14ac:dyDescent="0.3">
      <c r="A5226" s="1"/>
    </row>
    <row r="5227" spans="1:1" x14ac:dyDescent="0.3">
      <c r="A5227" s="1"/>
    </row>
    <row r="5228" spans="1:1" x14ac:dyDescent="0.3">
      <c r="A5228" s="1"/>
    </row>
    <row r="5229" spans="1:1" x14ac:dyDescent="0.3">
      <c r="A5229" s="1"/>
    </row>
    <row r="5230" spans="1:1" x14ac:dyDescent="0.3">
      <c r="A5230" s="1"/>
    </row>
    <row r="5231" spans="1:1" x14ac:dyDescent="0.3">
      <c r="A5231" s="1"/>
    </row>
    <row r="5232" spans="1:1" x14ac:dyDescent="0.3">
      <c r="A5232" s="1"/>
    </row>
    <row r="5233" spans="1:1" x14ac:dyDescent="0.3">
      <c r="A5233" s="1"/>
    </row>
    <row r="5234" spans="1:1" x14ac:dyDescent="0.3">
      <c r="A5234" s="1"/>
    </row>
    <row r="5235" spans="1:1" x14ac:dyDescent="0.3">
      <c r="A5235" s="1"/>
    </row>
    <row r="5236" spans="1:1" x14ac:dyDescent="0.3">
      <c r="A5236" s="1"/>
    </row>
    <row r="5237" spans="1:1" x14ac:dyDescent="0.3">
      <c r="A5237" s="1"/>
    </row>
    <row r="5238" spans="1:1" x14ac:dyDescent="0.3">
      <c r="A5238" s="1"/>
    </row>
    <row r="5239" spans="1:1" x14ac:dyDescent="0.3">
      <c r="A5239" s="1"/>
    </row>
    <row r="5240" spans="1:1" x14ac:dyDescent="0.3">
      <c r="A5240" s="1"/>
    </row>
    <row r="5241" spans="1:1" x14ac:dyDescent="0.3">
      <c r="A5241" s="1"/>
    </row>
    <row r="5242" spans="1:1" x14ac:dyDescent="0.3">
      <c r="A5242" s="1"/>
    </row>
    <row r="5243" spans="1:1" x14ac:dyDescent="0.3">
      <c r="A5243" s="1"/>
    </row>
    <row r="5244" spans="1:1" x14ac:dyDescent="0.3">
      <c r="A5244" s="1"/>
    </row>
    <row r="5245" spans="1:1" x14ac:dyDescent="0.3">
      <c r="A5245" s="1"/>
    </row>
    <row r="5246" spans="1:1" x14ac:dyDescent="0.3">
      <c r="A5246" s="1"/>
    </row>
    <row r="5247" spans="1:1" x14ac:dyDescent="0.3">
      <c r="A5247" s="1"/>
    </row>
    <row r="5248" spans="1:1" x14ac:dyDescent="0.3">
      <c r="A5248" s="1"/>
    </row>
    <row r="5249" spans="1:1" x14ac:dyDescent="0.3">
      <c r="A5249" s="1"/>
    </row>
    <row r="5250" spans="1:1" x14ac:dyDescent="0.3">
      <c r="A5250" s="1"/>
    </row>
    <row r="5251" spans="1:1" x14ac:dyDescent="0.3">
      <c r="A5251" s="1"/>
    </row>
    <row r="5252" spans="1:1" x14ac:dyDescent="0.3">
      <c r="A5252" s="1"/>
    </row>
    <row r="5253" spans="1:1" x14ac:dyDescent="0.3">
      <c r="A5253" s="1"/>
    </row>
    <row r="5254" spans="1:1" x14ac:dyDescent="0.3">
      <c r="A5254" s="1"/>
    </row>
    <row r="5255" spans="1:1" x14ac:dyDescent="0.3">
      <c r="A5255" s="1"/>
    </row>
    <row r="5256" spans="1:1" x14ac:dyDescent="0.3">
      <c r="A5256" s="1"/>
    </row>
    <row r="5257" spans="1:1" x14ac:dyDescent="0.3">
      <c r="A5257" s="1"/>
    </row>
    <row r="5258" spans="1:1" x14ac:dyDescent="0.3">
      <c r="A5258" s="1"/>
    </row>
    <row r="5259" spans="1:1" x14ac:dyDescent="0.3">
      <c r="A5259" s="1"/>
    </row>
    <row r="5260" spans="1:1" x14ac:dyDescent="0.3">
      <c r="A5260" s="1"/>
    </row>
    <row r="5261" spans="1:1" x14ac:dyDescent="0.3">
      <c r="A5261" s="1"/>
    </row>
    <row r="5262" spans="1:1" x14ac:dyDescent="0.3">
      <c r="A5262" s="1"/>
    </row>
    <row r="5263" spans="1:1" x14ac:dyDescent="0.3">
      <c r="A5263" s="1"/>
    </row>
    <row r="5264" spans="1:1" x14ac:dyDescent="0.3">
      <c r="A5264" s="1"/>
    </row>
    <row r="5265" spans="1:1" x14ac:dyDescent="0.3">
      <c r="A5265" s="1"/>
    </row>
    <row r="5266" spans="1:1" x14ac:dyDescent="0.3">
      <c r="A5266" s="1"/>
    </row>
    <row r="5267" spans="1:1" x14ac:dyDescent="0.3">
      <c r="A5267" s="1"/>
    </row>
    <row r="5268" spans="1:1" x14ac:dyDescent="0.3">
      <c r="A5268" s="1"/>
    </row>
    <row r="5269" spans="1:1" x14ac:dyDescent="0.3">
      <c r="A5269" s="1"/>
    </row>
    <row r="5270" spans="1:1" x14ac:dyDescent="0.3">
      <c r="A5270" s="1"/>
    </row>
    <row r="5271" spans="1:1" x14ac:dyDescent="0.3">
      <c r="A5271" s="1"/>
    </row>
    <row r="5272" spans="1:1" x14ac:dyDescent="0.3">
      <c r="A5272" s="1"/>
    </row>
    <row r="5273" spans="1:1" x14ac:dyDescent="0.3">
      <c r="A5273" s="1"/>
    </row>
    <row r="5274" spans="1:1" x14ac:dyDescent="0.3">
      <c r="A5274" s="1"/>
    </row>
    <row r="5275" spans="1:1" x14ac:dyDescent="0.3">
      <c r="A5275" s="1"/>
    </row>
    <row r="5276" spans="1:1" x14ac:dyDescent="0.3">
      <c r="A5276" s="1"/>
    </row>
    <row r="5277" spans="1:1" x14ac:dyDescent="0.3">
      <c r="A5277" s="1"/>
    </row>
    <row r="5278" spans="1:1" x14ac:dyDescent="0.3">
      <c r="A5278" s="1"/>
    </row>
    <row r="5279" spans="1:1" x14ac:dyDescent="0.3">
      <c r="A5279" s="1"/>
    </row>
    <row r="5280" spans="1:1" x14ac:dyDescent="0.3">
      <c r="A5280" s="1"/>
    </row>
    <row r="5281" spans="1:1" x14ac:dyDescent="0.3">
      <c r="A5281" s="1"/>
    </row>
    <row r="5282" spans="1:1" x14ac:dyDescent="0.3">
      <c r="A5282" s="1"/>
    </row>
    <row r="5283" spans="1:1" x14ac:dyDescent="0.3">
      <c r="A5283" s="1"/>
    </row>
    <row r="5284" spans="1:1" x14ac:dyDescent="0.3">
      <c r="A5284" s="1"/>
    </row>
    <row r="5285" spans="1:1" x14ac:dyDescent="0.3">
      <c r="A5285" s="1"/>
    </row>
    <row r="5286" spans="1:1" x14ac:dyDescent="0.3">
      <c r="A5286" s="1"/>
    </row>
    <row r="5287" spans="1:1" x14ac:dyDescent="0.3">
      <c r="A5287" s="1"/>
    </row>
    <row r="5288" spans="1:1" x14ac:dyDescent="0.3">
      <c r="A5288" s="1"/>
    </row>
    <row r="5289" spans="1:1" x14ac:dyDescent="0.3">
      <c r="A5289" s="1"/>
    </row>
    <row r="5290" spans="1:1" x14ac:dyDescent="0.3">
      <c r="A5290" s="1"/>
    </row>
    <row r="5291" spans="1:1" x14ac:dyDescent="0.3">
      <c r="A5291" s="1"/>
    </row>
    <row r="5292" spans="1:1" x14ac:dyDescent="0.3">
      <c r="A5292" s="1"/>
    </row>
    <row r="5293" spans="1:1" x14ac:dyDescent="0.3">
      <c r="A5293" s="1"/>
    </row>
    <row r="5294" spans="1:1" x14ac:dyDescent="0.3">
      <c r="A5294" s="1"/>
    </row>
    <row r="5295" spans="1:1" x14ac:dyDescent="0.3">
      <c r="A5295" s="1"/>
    </row>
    <row r="5296" spans="1:1" x14ac:dyDescent="0.3">
      <c r="A5296" s="1"/>
    </row>
    <row r="5297" spans="1:1" x14ac:dyDescent="0.3">
      <c r="A5297" s="1"/>
    </row>
    <row r="5298" spans="1:1" x14ac:dyDescent="0.3">
      <c r="A5298" s="1"/>
    </row>
    <row r="5299" spans="1:1" x14ac:dyDescent="0.3">
      <c r="A5299" s="1"/>
    </row>
    <row r="5300" spans="1:1" x14ac:dyDescent="0.3">
      <c r="A5300" s="1"/>
    </row>
    <row r="5301" spans="1:1" x14ac:dyDescent="0.3">
      <c r="A5301" s="1"/>
    </row>
    <row r="5302" spans="1:1" x14ac:dyDescent="0.3">
      <c r="A5302" s="1"/>
    </row>
    <row r="5303" spans="1:1" x14ac:dyDescent="0.3">
      <c r="A5303" s="1"/>
    </row>
    <row r="5304" spans="1:1" x14ac:dyDescent="0.3">
      <c r="A5304" s="1"/>
    </row>
    <row r="5305" spans="1:1" x14ac:dyDescent="0.3">
      <c r="A5305" s="1"/>
    </row>
    <row r="5306" spans="1:1" x14ac:dyDescent="0.3">
      <c r="A5306" s="1"/>
    </row>
    <row r="5307" spans="1:1" x14ac:dyDescent="0.3">
      <c r="A5307" s="1"/>
    </row>
    <row r="5308" spans="1:1" x14ac:dyDescent="0.3">
      <c r="A5308" s="1"/>
    </row>
    <row r="5309" spans="1:1" x14ac:dyDescent="0.3">
      <c r="A5309" s="1"/>
    </row>
    <row r="5310" spans="1:1" x14ac:dyDescent="0.3">
      <c r="A5310" s="1"/>
    </row>
    <row r="5311" spans="1:1" x14ac:dyDescent="0.3">
      <c r="A5311" s="1"/>
    </row>
    <row r="5312" spans="1:1" x14ac:dyDescent="0.3">
      <c r="A5312" s="1"/>
    </row>
    <row r="5313" spans="1:1" x14ac:dyDescent="0.3">
      <c r="A5313" s="1"/>
    </row>
    <row r="5314" spans="1:1" x14ac:dyDescent="0.3">
      <c r="A5314" s="1"/>
    </row>
    <row r="5315" spans="1:1" x14ac:dyDescent="0.3">
      <c r="A5315" s="1"/>
    </row>
    <row r="5316" spans="1:1" x14ac:dyDescent="0.3">
      <c r="A5316" s="1"/>
    </row>
    <row r="5317" spans="1:1" x14ac:dyDescent="0.3">
      <c r="A5317" s="1"/>
    </row>
    <row r="5318" spans="1:1" x14ac:dyDescent="0.3">
      <c r="A5318" s="1"/>
    </row>
    <row r="5319" spans="1:1" x14ac:dyDescent="0.3">
      <c r="A5319" s="1"/>
    </row>
    <row r="5320" spans="1:1" x14ac:dyDescent="0.3">
      <c r="A5320" s="1"/>
    </row>
    <row r="5321" spans="1:1" x14ac:dyDescent="0.3">
      <c r="A5321" s="1"/>
    </row>
    <row r="5322" spans="1:1" x14ac:dyDescent="0.3">
      <c r="A5322" s="1"/>
    </row>
    <row r="5323" spans="1:1" x14ac:dyDescent="0.3">
      <c r="A5323" s="1"/>
    </row>
    <row r="5324" spans="1:1" x14ac:dyDescent="0.3">
      <c r="A5324" s="1"/>
    </row>
    <row r="5325" spans="1:1" x14ac:dyDescent="0.3">
      <c r="A5325" s="1"/>
    </row>
    <row r="5326" spans="1:1" x14ac:dyDescent="0.3">
      <c r="A5326" s="1"/>
    </row>
    <row r="5327" spans="1:1" x14ac:dyDescent="0.3">
      <c r="A5327" s="1"/>
    </row>
    <row r="5328" spans="1:1" x14ac:dyDescent="0.3">
      <c r="A5328" s="1"/>
    </row>
    <row r="5329" spans="1:1" x14ac:dyDescent="0.3">
      <c r="A5329" s="1"/>
    </row>
    <row r="5330" spans="1:1" x14ac:dyDescent="0.3">
      <c r="A5330" s="1"/>
    </row>
    <row r="5331" spans="1:1" x14ac:dyDescent="0.3">
      <c r="A5331" s="1"/>
    </row>
    <row r="5332" spans="1:1" x14ac:dyDescent="0.3">
      <c r="A5332" s="1"/>
    </row>
    <row r="5333" spans="1:1" x14ac:dyDescent="0.3">
      <c r="A5333" s="1"/>
    </row>
    <row r="5334" spans="1:1" x14ac:dyDescent="0.3">
      <c r="A5334" s="1"/>
    </row>
    <row r="5335" spans="1:1" x14ac:dyDescent="0.3">
      <c r="A5335" s="1"/>
    </row>
    <row r="5336" spans="1:1" x14ac:dyDescent="0.3">
      <c r="A5336" s="1"/>
    </row>
    <row r="5337" spans="1:1" x14ac:dyDescent="0.3">
      <c r="A5337" s="1"/>
    </row>
    <row r="5338" spans="1:1" x14ac:dyDescent="0.3">
      <c r="A5338" s="1"/>
    </row>
    <row r="5339" spans="1:1" x14ac:dyDescent="0.3">
      <c r="A5339" s="1"/>
    </row>
    <row r="5340" spans="1:1" x14ac:dyDescent="0.3">
      <c r="A5340" s="1"/>
    </row>
    <row r="5341" spans="1:1" x14ac:dyDescent="0.3">
      <c r="A5341" s="1"/>
    </row>
    <row r="5342" spans="1:1" x14ac:dyDescent="0.3">
      <c r="A5342" s="1"/>
    </row>
    <row r="5343" spans="1:1" x14ac:dyDescent="0.3">
      <c r="A5343" s="1"/>
    </row>
    <row r="5344" spans="1:1" x14ac:dyDescent="0.3">
      <c r="A5344" s="1"/>
    </row>
    <row r="5345" spans="1:1" x14ac:dyDescent="0.3">
      <c r="A5345" s="1"/>
    </row>
    <row r="5346" spans="1:1" x14ac:dyDescent="0.3">
      <c r="A5346" s="1"/>
    </row>
    <row r="5347" spans="1:1" x14ac:dyDescent="0.3">
      <c r="A5347" s="1"/>
    </row>
    <row r="5348" spans="1:1" x14ac:dyDescent="0.3">
      <c r="A5348" s="1"/>
    </row>
    <row r="5349" spans="1:1" x14ac:dyDescent="0.3">
      <c r="A5349" s="1"/>
    </row>
    <row r="5350" spans="1:1" x14ac:dyDescent="0.3">
      <c r="A5350" s="1"/>
    </row>
    <row r="5351" spans="1:1" x14ac:dyDescent="0.3">
      <c r="A5351" s="1"/>
    </row>
    <row r="5352" spans="1:1" x14ac:dyDescent="0.3">
      <c r="A5352" s="1"/>
    </row>
    <row r="5353" spans="1:1" x14ac:dyDescent="0.3">
      <c r="A5353" s="1"/>
    </row>
    <row r="5354" spans="1:1" x14ac:dyDescent="0.3">
      <c r="A5354" s="1"/>
    </row>
    <row r="5355" spans="1:1" x14ac:dyDescent="0.3">
      <c r="A5355" s="1"/>
    </row>
    <row r="5356" spans="1:1" x14ac:dyDescent="0.3">
      <c r="A5356" s="1"/>
    </row>
    <row r="5357" spans="1:1" x14ac:dyDescent="0.3">
      <c r="A5357" s="1"/>
    </row>
    <row r="5358" spans="1:1" x14ac:dyDescent="0.3">
      <c r="A5358" s="1"/>
    </row>
    <row r="5359" spans="1:1" x14ac:dyDescent="0.3">
      <c r="A5359" s="1"/>
    </row>
    <row r="5360" spans="1:1" x14ac:dyDescent="0.3">
      <c r="A5360" s="1"/>
    </row>
    <row r="5361" spans="1:1" x14ac:dyDescent="0.3">
      <c r="A5361" s="1"/>
    </row>
    <row r="5362" spans="1:1" x14ac:dyDescent="0.3">
      <c r="A5362" s="1"/>
    </row>
    <row r="5363" spans="1:1" x14ac:dyDescent="0.3">
      <c r="A5363" s="1"/>
    </row>
    <row r="5364" spans="1:1" x14ac:dyDescent="0.3">
      <c r="A5364" s="1"/>
    </row>
    <row r="5365" spans="1:1" x14ac:dyDescent="0.3">
      <c r="A5365" s="1"/>
    </row>
    <row r="5366" spans="1:1" x14ac:dyDescent="0.3">
      <c r="A5366" s="1"/>
    </row>
    <row r="5367" spans="1:1" x14ac:dyDescent="0.3">
      <c r="A5367" s="1"/>
    </row>
    <row r="5368" spans="1:1" x14ac:dyDescent="0.3">
      <c r="A5368" s="1"/>
    </row>
    <row r="5369" spans="1:1" x14ac:dyDescent="0.3">
      <c r="A5369" s="1"/>
    </row>
    <row r="5370" spans="1:1" x14ac:dyDescent="0.3">
      <c r="A5370" s="1"/>
    </row>
    <row r="5371" spans="1:1" x14ac:dyDescent="0.3">
      <c r="A5371" s="1"/>
    </row>
    <row r="5372" spans="1:1" x14ac:dyDescent="0.3">
      <c r="A5372" s="1"/>
    </row>
    <row r="5373" spans="1:1" x14ac:dyDescent="0.3">
      <c r="A5373" s="1"/>
    </row>
    <row r="5374" spans="1:1" x14ac:dyDescent="0.3">
      <c r="A5374" s="1"/>
    </row>
    <row r="5375" spans="1:1" x14ac:dyDescent="0.3">
      <c r="A5375" s="1"/>
    </row>
    <row r="5376" spans="1:1" x14ac:dyDescent="0.3">
      <c r="A5376" s="1"/>
    </row>
    <row r="5377" spans="1:1" x14ac:dyDescent="0.3">
      <c r="A5377" s="1"/>
    </row>
    <row r="5378" spans="1:1" x14ac:dyDescent="0.3">
      <c r="A5378" s="1"/>
    </row>
    <row r="5379" spans="1:1" x14ac:dyDescent="0.3">
      <c r="A5379" s="1"/>
    </row>
    <row r="5380" spans="1:1" x14ac:dyDescent="0.3">
      <c r="A5380" s="1"/>
    </row>
    <row r="5381" spans="1:1" x14ac:dyDescent="0.3">
      <c r="A5381" s="1"/>
    </row>
    <row r="5382" spans="1:1" x14ac:dyDescent="0.3">
      <c r="A5382" s="1"/>
    </row>
    <row r="5383" spans="1:1" x14ac:dyDescent="0.3">
      <c r="A5383" s="1"/>
    </row>
    <row r="5384" spans="1:1" x14ac:dyDescent="0.3">
      <c r="A5384" s="1"/>
    </row>
    <row r="5385" spans="1:1" x14ac:dyDescent="0.3">
      <c r="A5385" s="1"/>
    </row>
    <row r="5386" spans="1:1" x14ac:dyDescent="0.3">
      <c r="A5386" s="1"/>
    </row>
    <row r="5387" spans="1:1" x14ac:dyDescent="0.3">
      <c r="A5387" s="1"/>
    </row>
    <row r="5388" spans="1:1" x14ac:dyDescent="0.3">
      <c r="A5388" s="1"/>
    </row>
    <row r="5389" spans="1:1" x14ac:dyDescent="0.3">
      <c r="A5389" s="1"/>
    </row>
    <row r="5390" spans="1:1" x14ac:dyDescent="0.3">
      <c r="A5390" s="1"/>
    </row>
    <row r="5391" spans="1:1" x14ac:dyDescent="0.3">
      <c r="A5391" s="1"/>
    </row>
    <row r="5392" spans="1:1" x14ac:dyDescent="0.3">
      <c r="A5392" s="1"/>
    </row>
    <row r="5393" spans="1:1" x14ac:dyDescent="0.3">
      <c r="A5393" s="1"/>
    </row>
    <row r="5394" spans="1:1" x14ac:dyDescent="0.3">
      <c r="A5394" s="1"/>
    </row>
    <row r="5395" spans="1:1" x14ac:dyDescent="0.3">
      <c r="A5395" s="1"/>
    </row>
    <row r="5396" spans="1:1" x14ac:dyDescent="0.3">
      <c r="A5396" s="1"/>
    </row>
    <row r="5397" spans="1:1" x14ac:dyDescent="0.3">
      <c r="A5397" s="1"/>
    </row>
    <row r="5398" spans="1:1" x14ac:dyDescent="0.3">
      <c r="A5398" s="1"/>
    </row>
    <row r="5399" spans="1:1" x14ac:dyDescent="0.3">
      <c r="A5399" s="1"/>
    </row>
    <row r="5400" spans="1:1" x14ac:dyDescent="0.3">
      <c r="A5400" s="1"/>
    </row>
    <row r="5401" spans="1:1" x14ac:dyDescent="0.3">
      <c r="A5401" s="1"/>
    </row>
    <row r="5402" spans="1:1" x14ac:dyDescent="0.3">
      <c r="A5402" s="1"/>
    </row>
    <row r="5403" spans="1:1" x14ac:dyDescent="0.3">
      <c r="A5403" s="1"/>
    </row>
    <row r="5404" spans="1:1" x14ac:dyDescent="0.3">
      <c r="A5404" s="1"/>
    </row>
    <row r="5405" spans="1:1" x14ac:dyDescent="0.3">
      <c r="A5405" s="1"/>
    </row>
    <row r="5406" spans="1:1" x14ac:dyDescent="0.3">
      <c r="A5406" s="1"/>
    </row>
    <row r="5407" spans="1:1" x14ac:dyDescent="0.3">
      <c r="A5407" s="1"/>
    </row>
    <row r="5408" spans="1:1" x14ac:dyDescent="0.3">
      <c r="A5408" s="1"/>
    </row>
    <row r="5409" spans="1:1" x14ac:dyDescent="0.3">
      <c r="A5409" s="1"/>
    </row>
    <row r="5410" spans="1:1" x14ac:dyDescent="0.3">
      <c r="A5410" s="1"/>
    </row>
    <row r="5411" spans="1:1" x14ac:dyDescent="0.3">
      <c r="A5411" s="1"/>
    </row>
    <row r="5412" spans="1:1" x14ac:dyDescent="0.3">
      <c r="A5412" s="1"/>
    </row>
    <row r="5413" spans="1:1" x14ac:dyDescent="0.3">
      <c r="A5413" s="1"/>
    </row>
    <row r="5414" spans="1:1" x14ac:dyDescent="0.3">
      <c r="A5414" s="1"/>
    </row>
    <row r="5415" spans="1:1" x14ac:dyDescent="0.3">
      <c r="A5415" s="1"/>
    </row>
    <row r="5416" spans="1:1" x14ac:dyDescent="0.3">
      <c r="A5416" s="1"/>
    </row>
    <row r="5417" spans="1:1" x14ac:dyDescent="0.3">
      <c r="A5417" s="1"/>
    </row>
    <row r="5418" spans="1:1" x14ac:dyDescent="0.3">
      <c r="A5418" s="1"/>
    </row>
    <row r="5419" spans="1:1" x14ac:dyDescent="0.3">
      <c r="A5419" s="1"/>
    </row>
    <row r="5420" spans="1:1" x14ac:dyDescent="0.3">
      <c r="A5420" s="1"/>
    </row>
    <row r="5421" spans="1:1" x14ac:dyDescent="0.3">
      <c r="A5421" s="1"/>
    </row>
    <row r="5422" spans="1:1" x14ac:dyDescent="0.3">
      <c r="A5422" s="1"/>
    </row>
    <row r="5423" spans="1:1" x14ac:dyDescent="0.3">
      <c r="A5423" s="1"/>
    </row>
    <row r="5424" spans="1:1" x14ac:dyDescent="0.3">
      <c r="A5424" s="1"/>
    </row>
    <row r="5425" spans="1:1" x14ac:dyDescent="0.3">
      <c r="A5425" s="1"/>
    </row>
    <row r="5426" spans="1:1" x14ac:dyDescent="0.3">
      <c r="A5426" s="1"/>
    </row>
    <row r="5427" spans="1:1" x14ac:dyDescent="0.3">
      <c r="A5427" s="1"/>
    </row>
    <row r="5428" spans="1:1" x14ac:dyDescent="0.3">
      <c r="A5428" s="1"/>
    </row>
    <row r="5429" spans="1:1" x14ac:dyDescent="0.3">
      <c r="A5429" s="1"/>
    </row>
    <row r="5430" spans="1:1" x14ac:dyDescent="0.3">
      <c r="A5430" s="1"/>
    </row>
    <row r="5431" spans="1:1" x14ac:dyDescent="0.3">
      <c r="A5431" s="1"/>
    </row>
    <row r="5432" spans="1:1" x14ac:dyDescent="0.3">
      <c r="A5432" s="1"/>
    </row>
    <row r="5433" spans="1:1" x14ac:dyDescent="0.3">
      <c r="A5433" s="1"/>
    </row>
    <row r="5434" spans="1:1" x14ac:dyDescent="0.3">
      <c r="A5434" s="1"/>
    </row>
    <row r="5435" spans="1:1" x14ac:dyDescent="0.3">
      <c r="A5435" s="1"/>
    </row>
    <row r="5436" spans="1:1" x14ac:dyDescent="0.3">
      <c r="A5436" s="1"/>
    </row>
    <row r="5437" spans="1:1" x14ac:dyDescent="0.3">
      <c r="A5437" s="1"/>
    </row>
    <row r="5438" spans="1:1" x14ac:dyDescent="0.3">
      <c r="A5438" s="1"/>
    </row>
    <row r="5439" spans="1:1" x14ac:dyDescent="0.3">
      <c r="A5439" s="1"/>
    </row>
    <row r="5440" spans="1:1" x14ac:dyDescent="0.3">
      <c r="A5440" s="1"/>
    </row>
    <row r="5441" spans="1:1" x14ac:dyDescent="0.3">
      <c r="A5441" s="1"/>
    </row>
    <row r="5442" spans="1:1" x14ac:dyDescent="0.3">
      <c r="A5442" s="1"/>
    </row>
    <row r="5443" spans="1:1" x14ac:dyDescent="0.3">
      <c r="A5443" s="1"/>
    </row>
    <row r="5444" spans="1:1" x14ac:dyDescent="0.3">
      <c r="A5444" s="1"/>
    </row>
    <row r="5445" spans="1:1" x14ac:dyDescent="0.3">
      <c r="A5445" s="1"/>
    </row>
    <row r="5446" spans="1:1" x14ac:dyDescent="0.3">
      <c r="A5446" s="1"/>
    </row>
    <row r="5447" spans="1:1" x14ac:dyDescent="0.3">
      <c r="A5447" s="1"/>
    </row>
    <row r="5448" spans="1:1" x14ac:dyDescent="0.3">
      <c r="A5448" s="1"/>
    </row>
    <row r="5449" spans="1:1" x14ac:dyDescent="0.3">
      <c r="A5449" s="1"/>
    </row>
    <row r="5450" spans="1:1" x14ac:dyDescent="0.3">
      <c r="A5450" s="1"/>
    </row>
    <row r="5451" spans="1:1" x14ac:dyDescent="0.3">
      <c r="A5451" s="1"/>
    </row>
    <row r="5452" spans="1:1" x14ac:dyDescent="0.3">
      <c r="A5452" s="1"/>
    </row>
    <row r="5453" spans="1:1" x14ac:dyDescent="0.3">
      <c r="A5453" s="1"/>
    </row>
    <row r="5454" spans="1:1" x14ac:dyDescent="0.3">
      <c r="A5454" s="1"/>
    </row>
    <row r="5455" spans="1:1" x14ac:dyDescent="0.3">
      <c r="A5455" s="1"/>
    </row>
    <row r="5456" spans="1:1" x14ac:dyDescent="0.3">
      <c r="A5456" s="1"/>
    </row>
    <row r="5457" spans="1:1" x14ac:dyDescent="0.3">
      <c r="A5457" s="1"/>
    </row>
    <row r="5458" spans="1:1" x14ac:dyDescent="0.3">
      <c r="A5458" s="1"/>
    </row>
    <row r="5459" spans="1:1" x14ac:dyDescent="0.3">
      <c r="A5459" s="1"/>
    </row>
    <row r="5460" spans="1:1" x14ac:dyDescent="0.3">
      <c r="A5460" s="1"/>
    </row>
    <row r="5461" spans="1:1" x14ac:dyDescent="0.3">
      <c r="A5461" s="1"/>
    </row>
    <row r="5462" spans="1:1" x14ac:dyDescent="0.3">
      <c r="A5462" s="1"/>
    </row>
    <row r="5463" spans="1:1" x14ac:dyDescent="0.3">
      <c r="A5463" s="1"/>
    </row>
    <row r="5464" spans="1:1" x14ac:dyDescent="0.3">
      <c r="A5464" s="1"/>
    </row>
    <row r="5465" spans="1:1" x14ac:dyDescent="0.3">
      <c r="A5465" s="1"/>
    </row>
    <row r="5466" spans="1:1" x14ac:dyDescent="0.3">
      <c r="A5466" s="1"/>
    </row>
    <row r="5467" spans="1:1" x14ac:dyDescent="0.3">
      <c r="A5467" s="1"/>
    </row>
    <row r="5468" spans="1:1" x14ac:dyDescent="0.3">
      <c r="A5468" s="1"/>
    </row>
    <row r="5469" spans="1:1" x14ac:dyDescent="0.3">
      <c r="A5469" s="1"/>
    </row>
    <row r="5470" spans="1:1" x14ac:dyDescent="0.3">
      <c r="A5470" s="1"/>
    </row>
    <row r="5471" spans="1:1" x14ac:dyDescent="0.3">
      <c r="A5471" s="1"/>
    </row>
    <row r="5472" spans="1:1" x14ac:dyDescent="0.3">
      <c r="A5472" s="1"/>
    </row>
    <row r="5473" spans="1:1" x14ac:dyDescent="0.3">
      <c r="A5473" s="1"/>
    </row>
    <row r="5474" spans="1:1" x14ac:dyDescent="0.3">
      <c r="A5474" s="1"/>
    </row>
    <row r="5475" spans="1:1" x14ac:dyDescent="0.3">
      <c r="A5475" s="1"/>
    </row>
    <row r="5476" spans="1:1" x14ac:dyDescent="0.3">
      <c r="A5476" s="1"/>
    </row>
    <row r="5477" spans="1:1" x14ac:dyDescent="0.3">
      <c r="A5477" s="1"/>
    </row>
    <row r="5478" spans="1:1" x14ac:dyDescent="0.3">
      <c r="A5478" s="1"/>
    </row>
    <row r="5479" spans="1:1" x14ac:dyDescent="0.3">
      <c r="A5479" s="1"/>
    </row>
    <row r="5480" spans="1:1" x14ac:dyDescent="0.3">
      <c r="A5480" s="1"/>
    </row>
    <row r="5481" spans="1:1" x14ac:dyDescent="0.3">
      <c r="A5481" s="1"/>
    </row>
    <row r="5482" spans="1:1" x14ac:dyDescent="0.3">
      <c r="A5482" s="1"/>
    </row>
    <row r="5483" spans="1:1" x14ac:dyDescent="0.3">
      <c r="A5483" s="1"/>
    </row>
    <row r="5484" spans="1:1" x14ac:dyDescent="0.3">
      <c r="A5484" s="1"/>
    </row>
    <row r="5485" spans="1:1" x14ac:dyDescent="0.3">
      <c r="A5485" s="1"/>
    </row>
    <row r="5486" spans="1:1" x14ac:dyDescent="0.3">
      <c r="A5486" s="1"/>
    </row>
    <row r="5487" spans="1:1" x14ac:dyDescent="0.3">
      <c r="A5487" s="1"/>
    </row>
    <row r="5488" spans="1:1" x14ac:dyDescent="0.3">
      <c r="A5488" s="1"/>
    </row>
    <row r="5489" spans="1:1" x14ac:dyDescent="0.3">
      <c r="A5489" s="1"/>
    </row>
    <row r="5490" spans="1:1" x14ac:dyDescent="0.3">
      <c r="A5490" s="1"/>
    </row>
    <row r="5491" spans="1:1" x14ac:dyDescent="0.3">
      <c r="A5491" s="1"/>
    </row>
    <row r="5492" spans="1:1" x14ac:dyDescent="0.3">
      <c r="A5492" s="1"/>
    </row>
    <row r="5493" spans="1:1" x14ac:dyDescent="0.3">
      <c r="A5493" s="1"/>
    </row>
    <row r="5494" spans="1:1" x14ac:dyDescent="0.3">
      <c r="A5494" s="1"/>
    </row>
    <row r="5495" spans="1:1" x14ac:dyDescent="0.3">
      <c r="A5495" s="1"/>
    </row>
    <row r="5496" spans="1:1" x14ac:dyDescent="0.3">
      <c r="A5496" s="1"/>
    </row>
    <row r="5497" spans="1:1" x14ac:dyDescent="0.3">
      <c r="A5497" s="1"/>
    </row>
    <row r="5498" spans="1:1" x14ac:dyDescent="0.3">
      <c r="A5498" s="1"/>
    </row>
    <row r="5499" spans="1:1" x14ac:dyDescent="0.3">
      <c r="A5499" s="1"/>
    </row>
    <row r="5500" spans="1:1" x14ac:dyDescent="0.3">
      <c r="A5500" s="1"/>
    </row>
    <row r="5501" spans="1:1" x14ac:dyDescent="0.3">
      <c r="A5501" s="1"/>
    </row>
    <row r="5502" spans="1:1" x14ac:dyDescent="0.3">
      <c r="A5502" s="1"/>
    </row>
    <row r="5503" spans="1:1" x14ac:dyDescent="0.3">
      <c r="A5503" s="1"/>
    </row>
    <row r="5504" spans="1:1" x14ac:dyDescent="0.3">
      <c r="A5504" s="1"/>
    </row>
    <row r="5505" spans="1:1" x14ac:dyDescent="0.3">
      <c r="A5505" s="1"/>
    </row>
    <row r="5506" spans="1:1" x14ac:dyDescent="0.3">
      <c r="A5506" s="1"/>
    </row>
    <row r="5507" spans="1:1" x14ac:dyDescent="0.3">
      <c r="A5507" s="1"/>
    </row>
    <row r="5508" spans="1:1" x14ac:dyDescent="0.3">
      <c r="A5508" s="1"/>
    </row>
    <row r="5509" spans="1:1" x14ac:dyDescent="0.3">
      <c r="A5509" s="1"/>
    </row>
    <row r="5510" spans="1:1" x14ac:dyDescent="0.3">
      <c r="A5510" s="1"/>
    </row>
    <row r="5511" spans="1:1" x14ac:dyDescent="0.3">
      <c r="A5511" s="1"/>
    </row>
    <row r="5512" spans="1:1" x14ac:dyDescent="0.3">
      <c r="A5512" s="1"/>
    </row>
    <row r="5513" spans="1:1" x14ac:dyDescent="0.3">
      <c r="A5513" s="1"/>
    </row>
    <row r="5514" spans="1:1" x14ac:dyDescent="0.3">
      <c r="A5514" s="1"/>
    </row>
    <row r="5515" spans="1:1" x14ac:dyDescent="0.3">
      <c r="A5515" s="1"/>
    </row>
    <row r="5516" spans="1:1" x14ac:dyDescent="0.3">
      <c r="A5516" s="1"/>
    </row>
    <row r="5517" spans="1:1" x14ac:dyDescent="0.3">
      <c r="A5517" s="1"/>
    </row>
    <row r="5518" spans="1:1" x14ac:dyDescent="0.3">
      <c r="A5518" s="1"/>
    </row>
    <row r="5519" spans="1:1" x14ac:dyDescent="0.3">
      <c r="A5519" s="1"/>
    </row>
    <row r="5520" spans="1:1" x14ac:dyDescent="0.3">
      <c r="A5520" s="1"/>
    </row>
    <row r="5521" spans="1:1" x14ac:dyDescent="0.3">
      <c r="A5521" s="1"/>
    </row>
    <row r="5522" spans="1:1" x14ac:dyDescent="0.3">
      <c r="A5522" s="1"/>
    </row>
    <row r="5523" spans="1:1" x14ac:dyDescent="0.3">
      <c r="A5523" s="1"/>
    </row>
    <row r="5524" spans="1:1" x14ac:dyDescent="0.3">
      <c r="A5524" s="1"/>
    </row>
    <row r="5525" spans="1:1" x14ac:dyDescent="0.3">
      <c r="A5525" s="1"/>
    </row>
    <row r="5526" spans="1:1" x14ac:dyDescent="0.3">
      <c r="A5526" s="1"/>
    </row>
    <row r="5527" spans="1:1" x14ac:dyDescent="0.3">
      <c r="A5527" s="1"/>
    </row>
    <row r="5528" spans="1:1" x14ac:dyDescent="0.3">
      <c r="A5528" s="1"/>
    </row>
    <row r="5529" spans="1:1" x14ac:dyDescent="0.3">
      <c r="A5529" s="1"/>
    </row>
    <row r="5530" spans="1:1" x14ac:dyDescent="0.3">
      <c r="A5530" s="1"/>
    </row>
    <row r="5531" spans="1:1" x14ac:dyDescent="0.3">
      <c r="A5531" s="1"/>
    </row>
    <row r="5532" spans="1:1" x14ac:dyDescent="0.3">
      <c r="A5532" s="1"/>
    </row>
    <row r="5533" spans="1:1" x14ac:dyDescent="0.3">
      <c r="A5533" s="1"/>
    </row>
    <row r="5534" spans="1:1" x14ac:dyDescent="0.3">
      <c r="A5534" s="1"/>
    </row>
    <row r="5535" spans="1:1" x14ac:dyDescent="0.3">
      <c r="A5535" s="1"/>
    </row>
    <row r="5536" spans="1:1" x14ac:dyDescent="0.3">
      <c r="A5536" s="1"/>
    </row>
    <row r="5537" spans="1:1" x14ac:dyDescent="0.3">
      <c r="A5537" s="1"/>
    </row>
    <row r="5538" spans="1:1" x14ac:dyDescent="0.3">
      <c r="A5538" s="1"/>
    </row>
    <row r="5539" spans="1:1" x14ac:dyDescent="0.3">
      <c r="A5539" s="1"/>
    </row>
    <row r="5540" spans="1:1" x14ac:dyDescent="0.3">
      <c r="A5540" s="1"/>
    </row>
    <row r="5541" spans="1:1" x14ac:dyDescent="0.3">
      <c r="A5541" s="1"/>
    </row>
    <row r="5542" spans="1:1" x14ac:dyDescent="0.3">
      <c r="A5542" s="1"/>
    </row>
    <row r="5543" spans="1:1" x14ac:dyDescent="0.3">
      <c r="A5543" s="1"/>
    </row>
    <row r="5544" spans="1:1" x14ac:dyDescent="0.3">
      <c r="A5544" s="1"/>
    </row>
    <row r="5545" spans="1:1" x14ac:dyDescent="0.3">
      <c r="A5545" s="1"/>
    </row>
    <row r="5546" spans="1:1" x14ac:dyDescent="0.3">
      <c r="A5546" s="1"/>
    </row>
    <row r="5547" spans="1:1" x14ac:dyDescent="0.3">
      <c r="A5547" s="1"/>
    </row>
    <row r="5548" spans="1:1" x14ac:dyDescent="0.3">
      <c r="A5548" s="1"/>
    </row>
    <row r="5549" spans="1:1" x14ac:dyDescent="0.3">
      <c r="A5549" s="1"/>
    </row>
    <row r="5550" spans="1:1" x14ac:dyDescent="0.3">
      <c r="A5550" s="1"/>
    </row>
    <row r="5551" spans="1:1" x14ac:dyDescent="0.3">
      <c r="A5551" s="1"/>
    </row>
    <row r="5552" spans="1:1" x14ac:dyDescent="0.3">
      <c r="A5552" s="1"/>
    </row>
    <row r="5553" spans="1:1" x14ac:dyDescent="0.3">
      <c r="A5553" s="1"/>
    </row>
    <row r="5554" spans="1:1" x14ac:dyDescent="0.3">
      <c r="A5554" s="1"/>
    </row>
    <row r="5555" spans="1:1" x14ac:dyDescent="0.3">
      <c r="A5555" s="1"/>
    </row>
    <row r="5556" spans="1:1" x14ac:dyDescent="0.3">
      <c r="A5556" s="1"/>
    </row>
    <row r="5557" spans="1:1" x14ac:dyDescent="0.3">
      <c r="A5557" s="1"/>
    </row>
    <row r="5558" spans="1:1" x14ac:dyDescent="0.3">
      <c r="A5558" s="1"/>
    </row>
    <row r="5559" spans="1:1" x14ac:dyDescent="0.3">
      <c r="A5559" s="1"/>
    </row>
    <row r="5560" spans="1:1" x14ac:dyDescent="0.3">
      <c r="A5560" s="1"/>
    </row>
    <row r="5561" spans="1:1" x14ac:dyDescent="0.3">
      <c r="A5561" s="1"/>
    </row>
    <row r="5562" spans="1:1" x14ac:dyDescent="0.3">
      <c r="A5562" s="1"/>
    </row>
    <row r="5563" spans="1:1" x14ac:dyDescent="0.3">
      <c r="A5563" s="1"/>
    </row>
    <row r="5564" spans="1:1" x14ac:dyDescent="0.3">
      <c r="A5564" s="1"/>
    </row>
    <row r="5565" spans="1:1" x14ac:dyDescent="0.3">
      <c r="A5565" s="1"/>
    </row>
    <row r="5566" spans="1:1" x14ac:dyDescent="0.3">
      <c r="A5566" s="1"/>
    </row>
    <row r="5567" spans="1:1" x14ac:dyDescent="0.3">
      <c r="A5567" s="1"/>
    </row>
    <row r="5568" spans="1:1" x14ac:dyDescent="0.3">
      <c r="A5568" s="1"/>
    </row>
    <row r="5569" spans="1:1" x14ac:dyDescent="0.3">
      <c r="A5569" s="1"/>
    </row>
    <row r="5570" spans="1:1" x14ac:dyDescent="0.3">
      <c r="A5570" s="1"/>
    </row>
    <row r="5571" spans="1:1" x14ac:dyDescent="0.3">
      <c r="A5571" s="1"/>
    </row>
    <row r="5572" spans="1:1" x14ac:dyDescent="0.3">
      <c r="A5572" s="1"/>
    </row>
    <row r="5573" spans="1:1" x14ac:dyDescent="0.3">
      <c r="A5573" s="1"/>
    </row>
    <row r="5574" spans="1:1" x14ac:dyDescent="0.3">
      <c r="A5574" s="1"/>
    </row>
    <row r="5575" spans="1:1" x14ac:dyDescent="0.3">
      <c r="A5575" s="1"/>
    </row>
    <row r="5576" spans="1:1" x14ac:dyDescent="0.3">
      <c r="A5576" s="1"/>
    </row>
    <row r="5577" spans="1:1" x14ac:dyDescent="0.3">
      <c r="A5577" s="1"/>
    </row>
    <row r="5578" spans="1:1" x14ac:dyDescent="0.3">
      <c r="A5578" s="1"/>
    </row>
    <row r="5579" spans="1:1" x14ac:dyDescent="0.3">
      <c r="A5579" s="1"/>
    </row>
    <row r="5580" spans="1:1" x14ac:dyDescent="0.3">
      <c r="A5580" s="1"/>
    </row>
    <row r="5581" spans="1:1" x14ac:dyDescent="0.3">
      <c r="A5581" s="1"/>
    </row>
    <row r="5582" spans="1:1" x14ac:dyDescent="0.3">
      <c r="A5582" s="1"/>
    </row>
    <row r="5583" spans="1:1" x14ac:dyDescent="0.3">
      <c r="A5583" s="1"/>
    </row>
    <row r="5584" spans="1:1" x14ac:dyDescent="0.3">
      <c r="A5584" s="1"/>
    </row>
    <row r="5585" spans="1:1" x14ac:dyDescent="0.3">
      <c r="A5585" s="1"/>
    </row>
    <row r="5586" spans="1:1" x14ac:dyDescent="0.3">
      <c r="A5586" s="1"/>
    </row>
    <row r="5587" spans="1:1" x14ac:dyDescent="0.3">
      <c r="A5587" s="1"/>
    </row>
    <row r="5588" spans="1:1" x14ac:dyDescent="0.3">
      <c r="A5588" s="1"/>
    </row>
    <row r="5589" spans="1:1" x14ac:dyDescent="0.3">
      <c r="A5589" s="1"/>
    </row>
    <row r="5590" spans="1:1" x14ac:dyDescent="0.3">
      <c r="A5590" s="1"/>
    </row>
    <row r="5591" spans="1:1" x14ac:dyDescent="0.3">
      <c r="A5591" s="1"/>
    </row>
    <row r="5592" spans="1:1" x14ac:dyDescent="0.3">
      <c r="A5592" s="1"/>
    </row>
    <row r="5593" spans="1:1" x14ac:dyDescent="0.3">
      <c r="A5593" s="1"/>
    </row>
    <row r="5594" spans="1:1" x14ac:dyDescent="0.3">
      <c r="A5594" s="1"/>
    </row>
    <row r="5595" spans="1:1" x14ac:dyDescent="0.3">
      <c r="A5595" s="1"/>
    </row>
    <row r="5596" spans="1:1" x14ac:dyDescent="0.3">
      <c r="A5596" s="1"/>
    </row>
    <row r="5597" spans="1:1" x14ac:dyDescent="0.3">
      <c r="A5597" s="1"/>
    </row>
    <row r="5598" spans="1:1" x14ac:dyDescent="0.3">
      <c r="A5598" s="1"/>
    </row>
    <row r="5599" spans="1:1" x14ac:dyDescent="0.3">
      <c r="A5599" s="1"/>
    </row>
    <row r="5600" spans="1:1" x14ac:dyDescent="0.3">
      <c r="A5600" s="1"/>
    </row>
    <row r="5601" spans="1:1" x14ac:dyDescent="0.3">
      <c r="A5601" s="1"/>
    </row>
    <row r="5602" spans="1:1" x14ac:dyDescent="0.3">
      <c r="A5602" s="1"/>
    </row>
    <row r="5603" spans="1:1" x14ac:dyDescent="0.3">
      <c r="A5603" s="1"/>
    </row>
    <row r="5604" spans="1:1" x14ac:dyDescent="0.3">
      <c r="A5604" s="1"/>
    </row>
    <row r="5605" spans="1:1" x14ac:dyDescent="0.3">
      <c r="A5605" s="1"/>
    </row>
    <row r="5606" spans="1:1" x14ac:dyDescent="0.3">
      <c r="A5606" s="1"/>
    </row>
    <row r="5607" spans="1:1" x14ac:dyDescent="0.3">
      <c r="A5607" s="1"/>
    </row>
    <row r="5608" spans="1:1" x14ac:dyDescent="0.3">
      <c r="A5608" s="1"/>
    </row>
    <row r="5609" spans="1:1" x14ac:dyDescent="0.3">
      <c r="A5609" s="1"/>
    </row>
    <row r="5610" spans="1:1" x14ac:dyDescent="0.3">
      <c r="A5610" s="1"/>
    </row>
    <row r="5611" spans="1:1" x14ac:dyDescent="0.3">
      <c r="A5611" s="1"/>
    </row>
    <row r="5612" spans="1:1" x14ac:dyDescent="0.3">
      <c r="A5612" s="1"/>
    </row>
    <row r="5613" spans="1:1" x14ac:dyDescent="0.3">
      <c r="A5613" s="1"/>
    </row>
    <row r="5614" spans="1:1" x14ac:dyDescent="0.3">
      <c r="A5614" s="1"/>
    </row>
    <row r="5615" spans="1:1" x14ac:dyDescent="0.3">
      <c r="A5615" s="1"/>
    </row>
    <row r="5616" spans="1:1" x14ac:dyDescent="0.3">
      <c r="A5616" s="1"/>
    </row>
    <row r="5617" spans="1:1" x14ac:dyDescent="0.3">
      <c r="A5617" s="1"/>
    </row>
    <row r="5618" spans="1:1" x14ac:dyDescent="0.3">
      <c r="A5618" s="1"/>
    </row>
    <row r="5619" spans="1:1" x14ac:dyDescent="0.3">
      <c r="A5619" s="1"/>
    </row>
    <row r="5620" spans="1:1" x14ac:dyDescent="0.3">
      <c r="A5620" s="1"/>
    </row>
    <row r="5621" spans="1:1" x14ac:dyDescent="0.3">
      <c r="A5621" s="1"/>
    </row>
    <row r="5622" spans="1:1" x14ac:dyDescent="0.3">
      <c r="A5622" s="1"/>
    </row>
    <row r="5623" spans="1:1" x14ac:dyDescent="0.3">
      <c r="A5623" s="1"/>
    </row>
    <row r="5624" spans="1:1" x14ac:dyDescent="0.3">
      <c r="A5624" s="1"/>
    </row>
    <row r="5625" spans="1:1" x14ac:dyDescent="0.3">
      <c r="A5625" s="1"/>
    </row>
    <row r="5626" spans="1:1" x14ac:dyDescent="0.3">
      <c r="A5626" s="1"/>
    </row>
    <row r="5627" spans="1:1" x14ac:dyDescent="0.3">
      <c r="A5627" s="1"/>
    </row>
    <row r="5628" spans="1:1" x14ac:dyDescent="0.3">
      <c r="A5628" s="1"/>
    </row>
    <row r="5629" spans="1:1" x14ac:dyDescent="0.3">
      <c r="A5629" s="1"/>
    </row>
    <row r="5630" spans="1:1" x14ac:dyDescent="0.3">
      <c r="A5630" s="1"/>
    </row>
    <row r="5631" spans="1:1" x14ac:dyDescent="0.3">
      <c r="A5631" s="1"/>
    </row>
    <row r="5632" spans="1:1" x14ac:dyDescent="0.3">
      <c r="A5632" s="1"/>
    </row>
    <row r="5633" spans="1:1" x14ac:dyDescent="0.3">
      <c r="A5633" s="1"/>
    </row>
    <row r="5634" spans="1:1" x14ac:dyDescent="0.3">
      <c r="A5634" s="1"/>
    </row>
    <row r="5635" spans="1:1" x14ac:dyDescent="0.3">
      <c r="A5635" s="1"/>
    </row>
    <row r="5636" spans="1:1" x14ac:dyDescent="0.3">
      <c r="A5636" s="1"/>
    </row>
    <row r="5637" spans="1:1" x14ac:dyDescent="0.3">
      <c r="A5637" s="1"/>
    </row>
    <row r="5638" spans="1:1" x14ac:dyDescent="0.3">
      <c r="A5638" s="1"/>
    </row>
    <row r="5639" spans="1:1" x14ac:dyDescent="0.3">
      <c r="A5639" s="1"/>
    </row>
    <row r="5640" spans="1:1" x14ac:dyDescent="0.3">
      <c r="A5640" s="1"/>
    </row>
    <row r="5641" spans="1:1" x14ac:dyDescent="0.3">
      <c r="A5641" s="1"/>
    </row>
    <row r="5642" spans="1:1" x14ac:dyDescent="0.3">
      <c r="A5642" s="1"/>
    </row>
    <row r="5643" spans="1:1" x14ac:dyDescent="0.3">
      <c r="A5643" s="1"/>
    </row>
    <row r="5644" spans="1:1" x14ac:dyDescent="0.3">
      <c r="A5644" s="1"/>
    </row>
    <row r="5645" spans="1:1" x14ac:dyDescent="0.3">
      <c r="A5645" s="1"/>
    </row>
    <row r="5646" spans="1:1" x14ac:dyDescent="0.3">
      <c r="A5646" s="1"/>
    </row>
    <row r="5647" spans="1:1" x14ac:dyDescent="0.3">
      <c r="A5647" s="1"/>
    </row>
    <row r="5648" spans="1:1" x14ac:dyDescent="0.3">
      <c r="A5648" s="1"/>
    </row>
    <row r="5649" spans="1:1" x14ac:dyDescent="0.3">
      <c r="A5649" s="1"/>
    </row>
    <row r="5650" spans="1:1" x14ac:dyDescent="0.3">
      <c r="A5650" s="1"/>
    </row>
    <row r="5651" spans="1:1" x14ac:dyDescent="0.3">
      <c r="A5651" s="1"/>
    </row>
    <row r="5652" spans="1:1" x14ac:dyDescent="0.3">
      <c r="A5652" s="1"/>
    </row>
    <row r="5653" spans="1:1" x14ac:dyDescent="0.3">
      <c r="A5653" s="1"/>
    </row>
    <row r="5654" spans="1:1" x14ac:dyDescent="0.3">
      <c r="A5654" s="1"/>
    </row>
    <row r="5655" spans="1:1" x14ac:dyDescent="0.3">
      <c r="A5655" s="1"/>
    </row>
    <row r="5656" spans="1:1" x14ac:dyDescent="0.3">
      <c r="A5656" s="1"/>
    </row>
    <row r="5657" spans="1:1" x14ac:dyDescent="0.3">
      <c r="A5657" s="1"/>
    </row>
    <row r="5658" spans="1:1" x14ac:dyDescent="0.3">
      <c r="A5658" s="1"/>
    </row>
    <row r="5659" spans="1:1" x14ac:dyDescent="0.3">
      <c r="A5659" s="1"/>
    </row>
    <row r="5660" spans="1:1" x14ac:dyDescent="0.3">
      <c r="A5660" s="1"/>
    </row>
    <row r="5661" spans="1:1" x14ac:dyDescent="0.3">
      <c r="A5661" s="1"/>
    </row>
    <row r="5662" spans="1:1" x14ac:dyDescent="0.3">
      <c r="A5662" s="1"/>
    </row>
    <row r="5663" spans="1:1" x14ac:dyDescent="0.3">
      <c r="A5663" s="1"/>
    </row>
    <row r="5664" spans="1:1" x14ac:dyDescent="0.3">
      <c r="A5664" s="1"/>
    </row>
    <row r="5665" spans="1:1" x14ac:dyDescent="0.3">
      <c r="A5665" s="1"/>
    </row>
    <row r="5666" spans="1:1" x14ac:dyDescent="0.3">
      <c r="A5666" s="1"/>
    </row>
    <row r="5667" spans="1:1" x14ac:dyDescent="0.3">
      <c r="A5667" s="1"/>
    </row>
    <row r="5668" spans="1:1" x14ac:dyDescent="0.3">
      <c r="A5668" s="1"/>
    </row>
    <row r="5669" spans="1:1" x14ac:dyDescent="0.3">
      <c r="A5669" s="1"/>
    </row>
    <row r="5670" spans="1:1" x14ac:dyDescent="0.3">
      <c r="A5670" s="1"/>
    </row>
    <row r="5671" spans="1:1" x14ac:dyDescent="0.3">
      <c r="A5671" s="1"/>
    </row>
    <row r="5672" spans="1:1" x14ac:dyDescent="0.3">
      <c r="A5672" s="1"/>
    </row>
    <row r="5673" spans="1:1" x14ac:dyDescent="0.3">
      <c r="A5673" s="1"/>
    </row>
    <row r="5674" spans="1:1" x14ac:dyDescent="0.3">
      <c r="A5674" s="1"/>
    </row>
    <row r="5675" spans="1:1" x14ac:dyDescent="0.3">
      <c r="A5675" s="1"/>
    </row>
    <row r="5676" spans="1:1" x14ac:dyDescent="0.3">
      <c r="A5676" s="1"/>
    </row>
    <row r="5677" spans="1:1" x14ac:dyDescent="0.3">
      <c r="A5677" s="1"/>
    </row>
    <row r="5678" spans="1:1" x14ac:dyDescent="0.3">
      <c r="A5678" s="1"/>
    </row>
    <row r="5679" spans="1:1" x14ac:dyDescent="0.3">
      <c r="A5679" s="1"/>
    </row>
    <row r="5680" spans="1:1" x14ac:dyDescent="0.3">
      <c r="A5680" s="1"/>
    </row>
    <row r="5681" spans="1:1" x14ac:dyDescent="0.3">
      <c r="A5681" s="1"/>
    </row>
    <row r="5682" spans="1:1" x14ac:dyDescent="0.3">
      <c r="A5682" s="1"/>
    </row>
    <row r="5683" spans="1:1" x14ac:dyDescent="0.3">
      <c r="A5683" s="1"/>
    </row>
    <row r="5684" spans="1:1" x14ac:dyDescent="0.3">
      <c r="A5684" s="1"/>
    </row>
    <row r="5685" spans="1:1" x14ac:dyDescent="0.3">
      <c r="A5685" s="1"/>
    </row>
    <row r="5686" spans="1:1" x14ac:dyDescent="0.3">
      <c r="A5686" s="1"/>
    </row>
    <row r="5687" spans="1:1" x14ac:dyDescent="0.3">
      <c r="A5687" s="1"/>
    </row>
    <row r="5688" spans="1:1" x14ac:dyDescent="0.3">
      <c r="A5688" s="1"/>
    </row>
    <row r="5689" spans="1:1" x14ac:dyDescent="0.3">
      <c r="A5689" s="1"/>
    </row>
    <row r="5690" spans="1:1" x14ac:dyDescent="0.3">
      <c r="A5690" s="1"/>
    </row>
    <row r="5691" spans="1:1" x14ac:dyDescent="0.3">
      <c r="A5691" s="1"/>
    </row>
    <row r="5692" spans="1:1" x14ac:dyDescent="0.3">
      <c r="A5692" s="1"/>
    </row>
    <row r="5693" spans="1:1" x14ac:dyDescent="0.3">
      <c r="A5693" s="1"/>
    </row>
    <row r="5694" spans="1:1" x14ac:dyDescent="0.3">
      <c r="A5694" s="1"/>
    </row>
    <row r="5695" spans="1:1" x14ac:dyDescent="0.3">
      <c r="A5695" s="1"/>
    </row>
    <row r="5696" spans="1:1" x14ac:dyDescent="0.3">
      <c r="A5696" s="1"/>
    </row>
    <row r="5697" spans="1:1" x14ac:dyDescent="0.3">
      <c r="A5697" s="1"/>
    </row>
    <row r="5698" spans="1:1" x14ac:dyDescent="0.3">
      <c r="A5698" s="1"/>
    </row>
    <row r="5699" spans="1:1" x14ac:dyDescent="0.3">
      <c r="A5699" s="1"/>
    </row>
    <row r="5700" spans="1:1" x14ac:dyDescent="0.3">
      <c r="A5700" s="1"/>
    </row>
    <row r="5701" spans="1:1" x14ac:dyDescent="0.3">
      <c r="A5701" s="1"/>
    </row>
    <row r="5702" spans="1:1" x14ac:dyDescent="0.3">
      <c r="A5702" s="1"/>
    </row>
    <row r="5703" spans="1:1" x14ac:dyDescent="0.3">
      <c r="A5703" s="1"/>
    </row>
    <row r="5704" spans="1:1" x14ac:dyDescent="0.3">
      <c r="A5704" s="1"/>
    </row>
    <row r="5705" spans="1:1" x14ac:dyDescent="0.3">
      <c r="A5705" s="1"/>
    </row>
    <row r="5706" spans="1:1" x14ac:dyDescent="0.3">
      <c r="A5706" s="1"/>
    </row>
    <row r="5707" spans="1:1" x14ac:dyDescent="0.3">
      <c r="A5707" s="1"/>
    </row>
    <row r="5708" spans="1:1" x14ac:dyDescent="0.3">
      <c r="A5708" s="1"/>
    </row>
    <row r="5709" spans="1:1" x14ac:dyDescent="0.3">
      <c r="A5709" s="1"/>
    </row>
    <row r="5710" spans="1:1" x14ac:dyDescent="0.3">
      <c r="A5710" s="1"/>
    </row>
    <row r="5711" spans="1:1" x14ac:dyDescent="0.3">
      <c r="A5711" s="1"/>
    </row>
    <row r="5712" spans="1:1" x14ac:dyDescent="0.3">
      <c r="A5712" s="1"/>
    </row>
    <row r="5713" spans="1:1" x14ac:dyDescent="0.3">
      <c r="A5713" s="1"/>
    </row>
    <row r="5714" spans="1:1" x14ac:dyDescent="0.3">
      <c r="A5714" s="1"/>
    </row>
    <row r="5715" spans="1:1" x14ac:dyDescent="0.3">
      <c r="A5715" s="1"/>
    </row>
    <row r="5716" spans="1:1" x14ac:dyDescent="0.3">
      <c r="A5716" s="1"/>
    </row>
    <row r="5717" spans="1:1" x14ac:dyDescent="0.3">
      <c r="A5717" s="1"/>
    </row>
    <row r="5718" spans="1:1" x14ac:dyDescent="0.3">
      <c r="A5718" s="1"/>
    </row>
    <row r="5719" spans="1:1" x14ac:dyDescent="0.3">
      <c r="A5719" s="1"/>
    </row>
    <row r="5720" spans="1:1" x14ac:dyDescent="0.3">
      <c r="A5720" s="1"/>
    </row>
    <row r="5721" spans="1:1" x14ac:dyDescent="0.3">
      <c r="A5721" s="1"/>
    </row>
    <row r="5722" spans="1:1" x14ac:dyDescent="0.3">
      <c r="A5722" s="1"/>
    </row>
    <row r="5723" spans="1:1" x14ac:dyDescent="0.3">
      <c r="A5723" s="1"/>
    </row>
    <row r="5724" spans="1:1" x14ac:dyDescent="0.3">
      <c r="A5724" s="1"/>
    </row>
    <row r="5725" spans="1:1" x14ac:dyDescent="0.3">
      <c r="A5725" s="1"/>
    </row>
    <row r="5726" spans="1:1" x14ac:dyDescent="0.3">
      <c r="A5726" s="1"/>
    </row>
    <row r="5727" spans="1:1" x14ac:dyDescent="0.3">
      <c r="A5727" s="1"/>
    </row>
    <row r="5728" spans="1:1" x14ac:dyDescent="0.3">
      <c r="A5728" s="1"/>
    </row>
    <row r="5729" spans="1:1" x14ac:dyDescent="0.3">
      <c r="A5729" s="1"/>
    </row>
    <row r="5730" spans="1:1" x14ac:dyDescent="0.3">
      <c r="A5730" s="1"/>
    </row>
    <row r="5731" spans="1:1" x14ac:dyDescent="0.3">
      <c r="A5731" s="1"/>
    </row>
    <row r="5732" spans="1:1" x14ac:dyDescent="0.3">
      <c r="A5732" s="1"/>
    </row>
    <row r="5733" spans="1:1" x14ac:dyDescent="0.3">
      <c r="A5733" s="1"/>
    </row>
    <row r="5734" spans="1:1" x14ac:dyDescent="0.3">
      <c r="A5734" s="1"/>
    </row>
    <row r="5735" spans="1:1" x14ac:dyDescent="0.3">
      <c r="A5735" s="1"/>
    </row>
    <row r="5736" spans="1:1" x14ac:dyDescent="0.3">
      <c r="A5736" s="1"/>
    </row>
    <row r="5737" spans="1:1" x14ac:dyDescent="0.3">
      <c r="A5737" s="1"/>
    </row>
    <row r="5738" spans="1:1" x14ac:dyDescent="0.3">
      <c r="A5738" s="1"/>
    </row>
    <row r="5739" spans="1:1" x14ac:dyDescent="0.3">
      <c r="A5739" s="1"/>
    </row>
    <row r="5740" spans="1:1" x14ac:dyDescent="0.3">
      <c r="A5740" s="1"/>
    </row>
    <row r="5741" spans="1:1" x14ac:dyDescent="0.3">
      <c r="A5741" s="1"/>
    </row>
    <row r="5742" spans="1:1" x14ac:dyDescent="0.3">
      <c r="A5742" s="1"/>
    </row>
    <row r="5743" spans="1:1" x14ac:dyDescent="0.3">
      <c r="A5743" s="1"/>
    </row>
    <row r="5744" spans="1:1" x14ac:dyDescent="0.3">
      <c r="A5744" s="1"/>
    </row>
    <row r="5745" spans="1:1" x14ac:dyDescent="0.3">
      <c r="A5745" s="1"/>
    </row>
    <row r="5746" spans="1:1" x14ac:dyDescent="0.3">
      <c r="A5746" s="1"/>
    </row>
    <row r="5747" spans="1:1" x14ac:dyDescent="0.3">
      <c r="A5747" s="1"/>
    </row>
    <row r="5748" spans="1:1" x14ac:dyDescent="0.3">
      <c r="A5748" s="1"/>
    </row>
    <row r="5749" spans="1:1" x14ac:dyDescent="0.3">
      <c r="A5749" s="1"/>
    </row>
    <row r="5750" spans="1:1" x14ac:dyDescent="0.3">
      <c r="A5750" s="1"/>
    </row>
    <row r="5751" spans="1:1" x14ac:dyDescent="0.3">
      <c r="A5751" s="1"/>
    </row>
    <row r="5752" spans="1:1" x14ac:dyDescent="0.3">
      <c r="A5752" s="1"/>
    </row>
    <row r="5753" spans="1:1" x14ac:dyDescent="0.3">
      <c r="A5753" s="1"/>
    </row>
    <row r="5754" spans="1:1" x14ac:dyDescent="0.3">
      <c r="A5754" s="1"/>
    </row>
    <row r="5755" spans="1:1" x14ac:dyDescent="0.3">
      <c r="A5755" s="1"/>
    </row>
    <row r="5756" spans="1:1" x14ac:dyDescent="0.3">
      <c r="A5756" s="1"/>
    </row>
    <row r="5757" spans="1:1" x14ac:dyDescent="0.3">
      <c r="A5757" s="1"/>
    </row>
    <row r="5758" spans="1:1" x14ac:dyDescent="0.3">
      <c r="A5758" s="1"/>
    </row>
    <row r="5759" spans="1:1" x14ac:dyDescent="0.3">
      <c r="A5759" s="1"/>
    </row>
    <row r="5760" spans="1:1" x14ac:dyDescent="0.3">
      <c r="A5760" s="1"/>
    </row>
    <row r="5761" spans="1:1" x14ac:dyDescent="0.3">
      <c r="A5761" s="1"/>
    </row>
    <row r="5762" spans="1:1" x14ac:dyDescent="0.3">
      <c r="A5762" s="1"/>
    </row>
    <row r="5763" spans="1:1" x14ac:dyDescent="0.3">
      <c r="A5763" s="1"/>
    </row>
    <row r="5764" spans="1:1" x14ac:dyDescent="0.3">
      <c r="A5764" s="1"/>
    </row>
    <row r="5765" spans="1:1" x14ac:dyDescent="0.3">
      <c r="A5765" s="1"/>
    </row>
    <row r="5766" spans="1:1" x14ac:dyDescent="0.3">
      <c r="A5766" s="1"/>
    </row>
    <row r="5767" spans="1:1" x14ac:dyDescent="0.3">
      <c r="A5767" s="1"/>
    </row>
    <row r="5768" spans="1:1" x14ac:dyDescent="0.3">
      <c r="A5768" s="1"/>
    </row>
    <row r="5769" spans="1:1" x14ac:dyDescent="0.3">
      <c r="A5769" s="1"/>
    </row>
    <row r="5770" spans="1:1" x14ac:dyDescent="0.3">
      <c r="A5770" s="1"/>
    </row>
    <row r="5771" spans="1:1" x14ac:dyDescent="0.3">
      <c r="A5771" s="1"/>
    </row>
    <row r="5772" spans="1:1" x14ac:dyDescent="0.3">
      <c r="A5772" s="1"/>
    </row>
    <row r="5773" spans="1:1" x14ac:dyDescent="0.3">
      <c r="A5773" s="1"/>
    </row>
    <row r="5774" spans="1:1" x14ac:dyDescent="0.3">
      <c r="A5774" s="1"/>
    </row>
    <row r="5775" spans="1:1" x14ac:dyDescent="0.3">
      <c r="A5775" s="1"/>
    </row>
    <row r="5776" spans="1:1" x14ac:dyDescent="0.3">
      <c r="A5776" s="1"/>
    </row>
    <row r="5777" spans="1:1" x14ac:dyDescent="0.3">
      <c r="A5777" s="1"/>
    </row>
    <row r="5778" spans="1:1" x14ac:dyDescent="0.3">
      <c r="A5778" s="1"/>
    </row>
    <row r="5779" spans="1:1" x14ac:dyDescent="0.3">
      <c r="A5779" s="1"/>
    </row>
    <row r="5780" spans="1:1" x14ac:dyDescent="0.3">
      <c r="A5780" s="1"/>
    </row>
    <row r="5781" spans="1:1" x14ac:dyDescent="0.3">
      <c r="A5781" s="1"/>
    </row>
    <row r="5782" spans="1:1" x14ac:dyDescent="0.3">
      <c r="A5782" s="1"/>
    </row>
    <row r="5783" spans="1:1" x14ac:dyDescent="0.3">
      <c r="A5783" s="1"/>
    </row>
    <row r="5784" spans="1:1" x14ac:dyDescent="0.3">
      <c r="A5784" s="1"/>
    </row>
    <row r="5785" spans="1:1" x14ac:dyDescent="0.3">
      <c r="A5785" s="1"/>
    </row>
    <row r="5786" spans="1:1" x14ac:dyDescent="0.3">
      <c r="A5786" s="1"/>
    </row>
    <row r="5787" spans="1:1" x14ac:dyDescent="0.3">
      <c r="A5787" s="1"/>
    </row>
    <row r="5788" spans="1:1" x14ac:dyDescent="0.3">
      <c r="A5788" s="1"/>
    </row>
    <row r="5789" spans="1:1" x14ac:dyDescent="0.3">
      <c r="A5789" s="1"/>
    </row>
    <row r="5790" spans="1:1" x14ac:dyDescent="0.3">
      <c r="A5790" s="1"/>
    </row>
    <row r="5791" spans="1:1" x14ac:dyDescent="0.3">
      <c r="A5791" s="1"/>
    </row>
    <row r="5792" spans="1:1" x14ac:dyDescent="0.3">
      <c r="A5792" s="1"/>
    </row>
    <row r="5793" spans="1:1" x14ac:dyDescent="0.3">
      <c r="A5793" s="1"/>
    </row>
    <row r="5794" spans="1:1" x14ac:dyDescent="0.3">
      <c r="A5794" s="1"/>
    </row>
    <row r="5795" spans="1:1" x14ac:dyDescent="0.3">
      <c r="A5795" s="1"/>
    </row>
    <row r="5796" spans="1:1" x14ac:dyDescent="0.3">
      <c r="A5796" s="1"/>
    </row>
    <row r="5797" spans="1:1" x14ac:dyDescent="0.3">
      <c r="A5797" s="1"/>
    </row>
    <row r="5798" spans="1:1" x14ac:dyDescent="0.3">
      <c r="A5798" s="1"/>
    </row>
    <row r="5799" spans="1:1" x14ac:dyDescent="0.3">
      <c r="A5799" s="1"/>
    </row>
    <row r="5800" spans="1:1" x14ac:dyDescent="0.3">
      <c r="A5800" s="1"/>
    </row>
    <row r="5801" spans="1:1" x14ac:dyDescent="0.3">
      <c r="A5801" s="1"/>
    </row>
    <row r="5802" spans="1:1" x14ac:dyDescent="0.3">
      <c r="A5802" s="1"/>
    </row>
    <row r="5803" spans="1:1" x14ac:dyDescent="0.3">
      <c r="A5803" s="1"/>
    </row>
    <row r="5804" spans="1:1" x14ac:dyDescent="0.3">
      <c r="A5804" s="1"/>
    </row>
    <row r="5805" spans="1:1" x14ac:dyDescent="0.3">
      <c r="A5805" s="1"/>
    </row>
    <row r="5806" spans="1:1" x14ac:dyDescent="0.3">
      <c r="A5806" s="1"/>
    </row>
    <row r="5807" spans="1:1" x14ac:dyDescent="0.3">
      <c r="A5807" s="1"/>
    </row>
    <row r="5808" spans="1:1" x14ac:dyDescent="0.3">
      <c r="A5808" s="1"/>
    </row>
    <row r="5809" spans="1:1" x14ac:dyDescent="0.3">
      <c r="A5809" s="1"/>
    </row>
    <row r="5810" spans="1:1" x14ac:dyDescent="0.3">
      <c r="A5810" s="1"/>
    </row>
    <row r="5811" spans="1:1" x14ac:dyDescent="0.3">
      <c r="A5811" s="1"/>
    </row>
    <row r="5812" spans="1:1" x14ac:dyDescent="0.3">
      <c r="A5812" s="1"/>
    </row>
    <row r="5813" spans="1:1" x14ac:dyDescent="0.3">
      <c r="A5813" s="1"/>
    </row>
    <row r="5814" spans="1:1" x14ac:dyDescent="0.3">
      <c r="A5814" s="1"/>
    </row>
    <row r="5815" spans="1:1" x14ac:dyDescent="0.3">
      <c r="A5815" s="1"/>
    </row>
    <row r="5816" spans="1:1" x14ac:dyDescent="0.3">
      <c r="A5816" s="1"/>
    </row>
    <row r="5817" spans="1:1" x14ac:dyDescent="0.3">
      <c r="A5817" s="1"/>
    </row>
    <row r="5818" spans="1:1" x14ac:dyDescent="0.3">
      <c r="A5818" s="1"/>
    </row>
    <row r="5819" spans="1:1" x14ac:dyDescent="0.3">
      <c r="A5819" s="1"/>
    </row>
    <row r="5820" spans="1:1" x14ac:dyDescent="0.3">
      <c r="A5820" s="1"/>
    </row>
    <row r="5821" spans="1:1" x14ac:dyDescent="0.3">
      <c r="A5821" s="1"/>
    </row>
    <row r="5822" spans="1:1" x14ac:dyDescent="0.3">
      <c r="A5822" s="1"/>
    </row>
    <row r="5823" spans="1:1" x14ac:dyDescent="0.3">
      <c r="A5823" s="1"/>
    </row>
    <row r="5824" spans="1:1" x14ac:dyDescent="0.3">
      <c r="A5824" s="1"/>
    </row>
    <row r="5825" spans="1:1" x14ac:dyDescent="0.3">
      <c r="A5825" s="1"/>
    </row>
    <row r="5826" spans="1:1" x14ac:dyDescent="0.3">
      <c r="A5826" s="1"/>
    </row>
    <row r="5827" spans="1:1" x14ac:dyDescent="0.3">
      <c r="A5827" s="1"/>
    </row>
    <row r="5828" spans="1:1" x14ac:dyDescent="0.3">
      <c r="A5828" s="1"/>
    </row>
    <row r="5829" spans="1:1" x14ac:dyDescent="0.3">
      <c r="A5829" s="1"/>
    </row>
    <row r="5830" spans="1:1" x14ac:dyDescent="0.3">
      <c r="A5830" s="1"/>
    </row>
    <row r="5831" spans="1:1" x14ac:dyDescent="0.3">
      <c r="A5831" s="1"/>
    </row>
    <row r="5832" spans="1:1" x14ac:dyDescent="0.3">
      <c r="A5832" s="1"/>
    </row>
    <row r="5833" spans="1:1" x14ac:dyDescent="0.3">
      <c r="A5833" s="1"/>
    </row>
    <row r="5834" spans="1:1" x14ac:dyDescent="0.3">
      <c r="A5834" s="1"/>
    </row>
    <row r="5835" spans="1:1" x14ac:dyDescent="0.3">
      <c r="A5835" s="1"/>
    </row>
    <row r="5836" spans="1:1" x14ac:dyDescent="0.3">
      <c r="A5836" s="1"/>
    </row>
    <row r="5837" spans="1:1" x14ac:dyDescent="0.3">
      <c r="A5837" s="1"/>
    </row>
    <row r="5838" spans="1:1" x14ac:dyDescent="0.3">
      <c r="A5838" s="1"/>
    </row>
    <row r="5839" spans="1:1" x14ac:dyDescent="0.3">
      <c r="A5839" s="1"/>
    </row>
    <row r="5840" spans="1:1" x14ac:dyDescent="0.3">
      <c r="A5840" s="1"/>
    </row>
    <row r="5841" spans="1:1" x14ac:dyDescent="0.3">
      <c r="A5841" s="1"/>
    </row>
    <row r="5842" spans="1:1" x14ac:dyDescent="0.3">
      <c r="A5842" s="1"/>
    </row>
    <row r="5843" spans="1:1" x14ac:dyDescent="0.3">
      <c r="A5843" s="1"/>
    </row>
    <row r="5844" spans="1:1" x14ac:dyDescent="0.3">
      <c r="A5844" s="1"/>
    </row>
    <row r="5845" spans="1:1" x14ac:dyDescent="0.3">
      <c r="A5845" s="1"/>
    </row>
    <row r="5846" spans="1:1" x14ac:dyDescent="0.3">
      <c r="A5846" s="1"/>
    </row>
    <row r="5847" spans="1:1" x14ac:dyDescent="0.3">
      <c r="A5847" s="1"/>
    </row>
    <row r="5848" spans="1:1" x14ac:dyDescent="0.3">
      <c r="A5848" s="1"/>
    </row>
    <row r="5849" spans="1:1" x14ac:dyDescent="0.3">
      <c r="A5849" s="1"/>
    </row>
    <row r="5850" spans="1:1" x14ac:dyDescent="0.3">
      <c r="A5850" s="1"/>
    </row>
    <row r="5851" spans="1:1" x14ac:dyDescent="0.3">
      <c r="A5851" s="1"/>
    </row>
    <row r="5852" spans="1:1" x14ac:dyDescent="0.3">
      <c r="A5852" s="1"/>
    </row>
    <row r="5853" spans="1:1" x14ac:dyDescent="0.3">
      <c r="A5853" s="1"/>
    </row>
    <row r="5854" spans="1:1" x14ac:dyDescent="0.3">
      <c r="A5854" s="1"/>
    </row>
    <row r="5855" spans="1:1" x14ac:dyDescent="0.3">
      <c r="A5855" s="1"/>
    </row>
    <row r="5856" spans="1:1" x14ac:dyDescent="0.3">
      <c r="A5856" s="1"/>
    </row>
    <row r="5857" spans="1:1" x14ac:dyDescent="0.3">
      <c r="A5857" s="1"/>
    </row>
    <row r="5858" spans="1:1" x14ac:dyDescent="0.3">
      <c r="A5858" s="1"/>
    </row>
    <row r="5859" spans="1:1" x14ac:dyDescent="0.3">
      <c r="A5859" s="1"/>
    </row>
    <row r="5860" spans="1:1" x14ac:dyDescent="0.3">
      <c r="A5860" s="1"/>
    </row>
    <row r="5861" spans="1:1" x14ac:dyDescent="0.3">
      <c r="A5861" s="1"/>
    </row>
    <row r="5862" spans="1:1" x14ac:dyDescent="0.3">
      <c r="A5862" s="1"/>
    </row>
    <row r="5863" spans="1:1" x14ac:dyDescent="0.3">
      <c r="A5863" s="1"/>
    </row>
    <row r="5864" spans="1:1" x14ac:dyDescent="0.3">
      <c r="A5864" s="1"/>
    </row>
    <row r="5865" spans="1:1" x14ac:dyDescent="0.3">
      <c r="A5865" s="1"/>
    </row>
    <row r="5866" spans="1:1" x14ac:dyDescent="0.3">
      <c r="A5866" s="1"/>
    </row>
    <row r="5867" spans="1:1" x14ac:dyDescent="0.3">
      <c r="A5867" s="1"/>
    </row>
    <row r="5868" spans="1:1" x14ac:dyDescent="0.3">
      <c r="A5868" s="1"/>
    </row>
    <row r="5869" spans="1:1" x14ac:dyDescent="0.3">
      <c r="A5869" s="1"/>
    </row>
    <row r="5870" spans="1:1" x14ac:dyDescent="0.3">
      <c r="A5870" s="1"/>
    </row>
    <row r="5871" spans="1:1" x14ac:dyDescent="0.3">
      <c r="A5871" s="1"/>
    </row>
    <row r="5872" spans="1:1" x14ac:dyDescent="0.3">
      <c r="A5872" s="1"/>
    </row>
    <row r="5873" spans="1:1" x14ac:dyDescent="0.3">
      <c r="A5873" s="1"/>
    </row>
    <row r="5874" spans="1:1" x14ac:dyDescent="0.3">
      <c r="A5874" s="1"/>
    </row>
    <row r="5875" spans="1:1" x14ac:dyDescent="0.3">
      <c r="A5875" s="1"/>
    </row>
    <row r="5876" spans="1:1" x14ac:dyDescent="0.3">
      <c r="A5876" s="1"/>
    </row>
    <row r="5877" spans="1:1" x14ac:dyDescent="0.3">
      <c r="A5877" s="1"/>
    </row>
    <row r="5878" spans="1:1" x14ac:dyDescent="0.3">
      <c r="A5878" s="1"/>
    </row>
    <row r="5879" spans="1:1" x14ac:dyDescent="0.3">
      <c r="A5879" s="1"/>
    </row>
    <row r="5880" spans="1:1" x14ac:dyDescent="0.3">
      <c r="A5880" s="1"/>
    </row>
    <row r="5881" spans="1:1" x14ac:dyDescent="0.3">
      <c r="A5881" s="1"/>
    </row>
    <row r="5882" spans="1:1" x14ac:dyDescent="0.3">
      <c r="A5882" s="1"/>
    </row>
    <row r="5883" spans="1:1" x14ac:dyDescent="0.3">
      <c r="A5883" s="1"/>
    </row>
    <row r="5884" spans="1:1" x14ac:dyDescent="0.3">
      <c r="A5884" s="1"/>
    </row>
    <row r="5885" spans="1:1" x14ac:dyDescent="0.3">
      <c r="A5885" s="1"/>
    </row>
    <row r="5886" spans="1:1" x14ac:dyDescent="0.3">
      <c r="A5886" s="1"/>
    </row>
    <row r="5887" spans="1:1" x14ac:dyDescent="0.3">
      <c r="A5887" s="1"/>
    </row>
    <row r="5888" spans="1:1" x14ac:dyDescent="0.3">
      <c r="A5888" s="1"/>
    </row>
    <row r="5889" spans="1:1" x14ac:dyDescent="0.3">
      <c r="A5889" s="1"/>
    </row>
    <row r="5890" spans="1:1" x14ac:dyDescent="0.3">
      <c r="A5890" s="1"/>
    </row>
    <row r="5891" spans="1:1" x14ac:dyDescent="0.3">
      <c r="A5891" s="1"/>
    </row>
    <row r="5892" spans="1:1" x14ac:dyDescent="0.3">
      <c r="A5892" s="1"/>
    </row>
    <row r="5893" spans="1:1" x14ac:dyDescent="0.3">
      <c r="A5893" s="1"/>
    </row>
    <row r="5894" spans="1:1" x14ac:dyDescent="0.3">
      <c r="A5894" s="1"/>
    </row>
    <row r="5895" spans="1:1" x14ac:dyDescent="0.3">
      <c r="A5895" s="1"/>
    </row>
    <row r="5896" spans="1:1" x14ac:dyDescent="0.3">
      <c r="A5896" s="1"/>
    </row>
    <row r="5897" spans="1:1" x14ac:dyDescent="0.3">
      <c r="A5897" s="1"/>
    </row>
    <row r="5898" spans="1:1" x14ac:dyDescent="0.3">
      <c r="A5898" s="1"/>
    </row>
    <row r="5899" spans="1:1" x14ac:dyDescent="0.3">
      <c r="A5899" s="1"/>
    </row>
    <row r="5900" spans="1:1" x14ac:dyDescent="0.3">
      <c r="A5900" s="1"/>
    </row>
    <row r="5901" spans="1:1" x14ac:dyDescent="0.3">
      <c r="A5901" s="1"/>
    </row>
    <row r="5902" spans="1:1" x14ac:dyDescent="0.3">
      <c r="A5902" s="1"/>
    </row>
    <row r="5903" spans="1:1" x14ac:dyDescent="0.3">
      <c r="A5903" s="1"/>
    </row>
    <row r="5904" spans="1:1" x14ac:dyDescent="0.3">
      <c r="A5904" s="1"/>
    </row>
    <row r="5905" spans="1:1" x14ac:dyDescent="0.3">
      <c r="A5905" s="1"/>
    </row>
    <row r="5906" spans="1:1" x14ac:dyDescent="0.3">
      <c r="A5906" s="1"/>
    </row>
    <row r="5907" spans="1:1" x14ac:dyDescent="0.3">
      <c r="A5907" s="1"/>
    </row>
    <row r="5908" spans="1:1" x14ac:dyDescent="0.3">
      <c r="A5908" s="1"/>
    </row>
    <row r="5909" spans="1:1" x14ac:dyDescent="0.3">
      <c r="A5909" s="1"/>
    </row>
    <row r="5910" spans="1:1" x14ac:dyDescent="0.3">
      <c r="A5910" s="1"/>
    </row>
    <row r="5911" spans="1:1" x14ac:dyDescent="0.3">
      <c r="A5911" s="1"/>
    </row>
    <row r="5912" spans="1:1" x14ac:dyDescent="0.3">
      <c r="A5912" s="1"/>
    </row>
    <row r="5913" spans="1:1" x14ac:dyDescent="0.3">
      <c r="A5913" s="1"/>
    </row>
    <row r="5914" spans="1:1" x14ac:dyDescent="0.3">
      <c r="A5914" s="1"/>
    </row>
    <row r="5915" spans="1:1" x14ac:dyDescent="0.3">
      <c r="A5915" s="1"/>
    </row>
    <row r="5916" spans="1:1" x14ac:dyDescent="0.3">
      <c r="A5916" s="1"/>
    </row>
    <row r="5917" spans="1:1" x14ac:dyDescent="0.3">
      <c r="A5917" s="1"/>
    </row>
    <row r="5918" spans="1:1" x14ac:dyDescent="0.3">
      <c r="A5918" s="1"/>
    </row>
    <row r="5919" spans="1:1" x14ac:dyDescent="0.3">
      <c r="A5919" s="1"/>
    </row>
    <row r="5920" spans="1:1" x14ac:dyDescent="0.3">
      <c r="A5920" s="1"/>
    </row>
    <row r="5921" spans="1:1" x14ac:dyDescent="0.3">
      <c r="A5921" s="1"/>
    </row>
    <row r="5922" spans="1:1" x14ac:dyDescent="0.3">
      <c r="A5922" s="1"/>
    </row>
    <row r="5923" spans="1:1" x14ac:dyDescent="0.3">
      <c r="A5923" s="1"/>
    </row>
    <row r="5924" spans="1:1" x14ac:dyDescent="0.3">
      <c r="A5924" s="1"/>
    </row>
    <row r="5925" spans="1:1" x14ac:dyDescent="0.3">
      <c r="A5925" s="1"/>
    </row>
    <row r="5926" spans="1:1" x14ac:dyDescent="0.3">
      <c r="A5926" s="1"/>
    </row>
    <row r="5927" spans="1:1" x14ac:dyDescent="0.3">
      <c r="A5927" s="1"/>
    </row>
    <row r="5928" spans="1:1" x14ac:dyDescent="0.3">
      <c r="A5928" s="1"/>
    </row>
    <row r="5929" spans="1:1" x14ac:dyDescent="0.3">
      <c r="A5929" s="1"/>
    </row>
    <row r="5930" spans="1:1" x14ac:dyDescent="0.3">
      <c r="A5930" s="1"/>
    </row>
    <row r="5931" spans="1:1" x14ac:dyDescent="0.3">
      <c r="A5931" s="1"/>
    </row>
    <row r="5932" spans="1:1" x14ac:dyDescent="0.3">
      <c r="A5932" s="1"/>
    </row>
    <row r="5933" spans="1:1" x14ac:dyDescent="0.3">
      <c r="A5933" s="1"/>
    </row>
    <row r="5934" spans="1:1" x14ac:dyDescent="0.3">
      <c r="A5934" s="1"/>
    </row>
    <row r="5935" spans="1:1" x14ac:dyDescent="0.3">
      <c r="A5935" s="1"/>
    </row>
    <row r="5936" spans="1:1" x14ac:dyDescent="0.3">
      <c r="A5936" s="1"/>
    </row>
    <row r="5937" spans="1:1" x14ac:dyDescent="0.3">
      <c r="A5937" s="1"/>
    </row>
    <row r="5938" spans="1:1" x14ac:dyDescent="0.3">
      <c r="A5938" s="1"/>
    </row>
    <row r="5939" spans="1:1" x14ac:dyDescent="0.3">
      <c r="A5939" s="1"/>
    </row>
    <row r="5940" spans="1:1" x14ac:dyDescent="0.3">
      <c r="A5940" s="1"/>
    </row>
    <row r="5941" spans="1:1" x14ac:dyDescent="0.3">
      <c r="A5941" s="1"/>
    </row>
    <row r="5942" spans="1:1" x14ac:dyDescent="0.3">
      <c r="A5942" s="1"/>
    </row>
    <row r="5943" spans="1:1" x14ac:dyDescent="0.3">
      <c r="A5943" s="1"/>
    </row>
    <row r="5944" spans="1:1" x14ac:dyDescent="0.3">
      <c r="A5944" s="1"/>
    </row>
    <row r="5945" spans="1:1" x14ac:dyDescent="0.3">
      <c r="A5945" s="1"/>
    </row>
    <row r="5946" spans="1:1" x14ac:dyDescent="0.3">
      <c r="A5946" s="1"/>
    </row>
    <row r="5947" spans="1:1" x14ac:dyDescent="0.3">
      <c r="A5947" s="1"/>
    </row>
    <row r="5948" spans="1:1" x14ac:dyDescent="0.3">
      <c r="A5948" s="1"/>
    </row>
    <row r="5949" spans="1:1" x14ac:dyDescent="0.3">
      <c r="A5949" s="1"/>
    </row>
    <row r="5950" spans="1:1" x14ac:dyDescent="0.3">
      <c r="A5950" s="1"/>
    </row>
    <row r="5951" spans="1:1" x14ac:dyDescent="0.3">
      <c r="A5951" s="1"/>
    </row>
    <row r="5952" spans="1:1" x14ac:dyDescent="0.3">
      <c r="A5952" s="1"/>
    </row>
    <row r="5953" spans="1:1" x14ac:dyDescent="0.3">
      <c r="A5953" s="1"/>
    </row>
    <row r="5954" spans="1:1" x14ac:dyDescent="0.3">
      <c r="A5954" s="1"/>
    </row>
    <row r="5955" spans="1:1" x14ac:dyDescent="0.3">
      <c r="A5955" s="1"/>
    </row>
    <row r="5956" spans="1:1" x14ac:dyDescent="0.3">
      <c r="A5956" s="1"/>
    </row>
    <row r="5957" spans="1:1" x14ac:dyDescent="0.3">
      <c r="A5957" s="1"/>
    </row>
    <row r="5958" spans="1:1" x14ac:dyDescent="0.3">
      <c r="A5958" s="1"/>
    </row>
    <row r="5959" spans="1:1" x14ac:dyDescent="0.3">
      <c r="A5959" s="1"/>
    </row>
    <row r="5960" spans="1:1" x14ac:dyDescent="0.3">
      <c r="A5960" s="1"/>
    </row>
    <row r="5961" spans="1:1" x14ac:dyDescent="0.3">
      <c r="A5961" s="1"/>
    </row>
    <row r="5962" spans="1:1" x14ac:dyDescent="0.3">
      <c r="A5962" s="1"/>
    </row>
    <row r="5963" spans="1:1" x14ac:dyDescent="0.3">
      <c r="A5963" s="1"/>
    </row>
    <row r="5964" spans="1:1" x14ac:dyDescent="0.3">
      <c r="A5964" s="1"/>
    </row>
    <row r="5965" spans="1:1" x14ac:dyDescent="0.3">
      <c r="A5965" s="1"/>
    </row>
    <row r="5966" spans="1:1" x14ac:dyDescent="0.3">
      <c r="A5966" s="1"/>
    </row>
    <row r="5967" spans="1:1" x14ac:dyDescent="0.3">
      <c r="A5967" s="1"/>
    </row>
    <row r="5968" spans="1:1" x14ac:dyDescent="0.3">
      <c r="A5968" s="1"/>
    </row>
    <row r="5969" spans="1:1" x14ac:dyDescent="0.3">
      <c r="A5969" s="1"/>
    </row>
    <row r="5970" spans="1:1" x14ac:dyDescent="0.3">
      <c r="A5970" s="1"/>
    </row>
    <row r="5971" spans="1:1" x14ac:dyDescent="0.3">
      <c r="A5971" s="1"/>
    </row>
    <row r="5972" spans="1:1" x14ac:dyDescent="0.3">
      <c r="A5972" s="1"/>
    </row>
    <row r="5973" spans="1:1" x14ac:dyDescent="0.3">
      <c r="A5973" s="1"/>
    </row>
    <row r="5974" spans="1:1" x14ac:dyDescent="0.3">
      <c r="A5974" s="1"/>
    </row>
    <row r="5975" spans="1:1" x14ac:dyDescent="0.3">
      <c r="A5975" s="1"/>
    </row>
    <row r="5976" spans="1:1" x14ac:dyDescent="0.3">
      <c r="A5976" s="1"/>
    </row>
    <row r="5977" spans="1:1" x14ac:dyDescent="0.3">
      <c r="A5977" s="1"/>
    </row>
    <row r="5978" spans="1:1" x14ac:dyDescent="0.3">
      <c r="A5978" s="1"/>
    </row>
    <row r="5979" spans="1:1" x14ac:dyDescent="0.3">
      <c r="A5979" s="1"/>
    </row>
    <row r="5980" spans="1:1" x14ac:dyDescent="0.3">
      <c r="A5980" s="1"/>
    </row>
    <row r="5981" spans="1:1" x14ac:dyDescent="0.3">
      <c r="A5981" s="1"/>
    </row>
    <row r="5982" spans="1:1" x14ac:dyDescent="0.3">
      <c r="A5982" s="1"/>
    </row>
    <row r="5983" spans="1:1" x14ac:dyDescent="0.3">
      <c r="A5983" s="1"/>
    </row>
    <row r="5984" spans="1:1" x14ac:dyDescent="0.3">
      <c r="A5984" s="1"/>
    </row>
    <row r="5985" spans="1:1" x14ac:dyDescent="0.3">
      <c r="A5985" s="1"/>
    </row>
    <row r="5986" spans="1:1" x14ac:dyDescent="0.3">
      <c r="A5986" s="1"/>
    </row>
    <row r="5987" spans="1:1" x14ac:dyDescent="0.3">
      <c r="A5987" s="1"/>
    </row>
    <row r="5988" spans="1:1" x14ac:dyDescent="0.3">
      <c r="A5988" s="1"/>
    </row>
    <row r="5989" spans="1:1" x14ac:dyDescent="0.3">
      <c r="A5989" s="1"/>
    </row>
    <row r="5990" spans="1:1" x14ac:dyDescent="0.3">
      <c r="A5990" s="1"/>
    </row>
    <row r="5991" spans="1:1" x14ac:dyDescent="0.3">
      <c r="A5991" s="1"/>
    </row>
    <row r="5992" spans="1:1" x14ac:dyDescent="0.3">
      <c r="A5992" s="1"/>
    </row>
    <row r="5993" spans="1:1" x14ac:dyDescent="0.3">
      <c r="A5993" s="1"/>
    </row>
    <row r="5994" spans="1:1" x14ac:dyDescent="0.3">
      <c r="A5994" s="1"/>
    </row>
    <row r="5995" spans="1:1" x14ac:dyDescent="0.3">
      <c r="A5995" s="1"/>
    </row>
    <row r="5996" spans="1:1" x14ac:dyDescent="0.3">
      <c r="A5996" s="1"/>
    </row>
    <row r="5997" spans="1:1" x14ac:dyDescent="0.3">
      <c r="A5997" s="1"/>
    </row>
    <row r="5998" spans="1:1" x14ac:dyDescent="0.3">
      <c r="A5998" s="1"/>
    </row>
    <row r="5999" spans="1:1" x14ac:dyDescent="0.3">
      <c r="A5999" s="1"/>
    </row>
    <row r="6000" spans="1:1" x14ac:dyDescent="0.3">
      <c r="A6000" s="1"/>
    </row>
    <row r="6001" spans="1:1" x14ac:dyDescent="0.3">
      <c r="A6001" s="1"/>
    </row>
    <row r="6002" spans="1:1" x14ac:dyDescent="0.3">
      <c r="A6002" s="1"/>
    </row>
    <row r="6003" spans="1:1" x14ac:dyDescent="0.3">
      <c r="A6003" s="1"/>
    </row>
    <row r="6004" spans="1:1" x14ac:dyDescent="0.3">
      <c r="A6004" s="1"/>
    </row>
    <row r="6005" spans="1:1" x14ac:dyDescent="0.3">
      <c r="A6005" s="1"/>
    </row>
    <row r="6006" spans="1:1" x14ac:dyDescent="0.3">
      <c r="A6006" s="1"/>
    </row>
    <row r="6007" spans="1:1" x14ac:dyDescent="0.3">
      <c r="A6007" s="1"/>
    </row>
    <row r="6008" spans="1:1" x14ac:dyDescent="0.3">
      <c r="A6008" s="1"/>
    </row>
    <row r="6009" spans="1:1" x14ac:dyDescent="0.3">
      <c r="A6009" s="1"/>
    </row>
    <row r="6010" spans="1:1" x14ac:dyDescent="0.3">
      <c r="A6010" s="1"/>
    </row>
    <row r="6011" spans="1:1" x14ac:dyDescent="0.3">
      <c r="A6011" s="1"/>
    </row>
    <row r="6012" spans="1:1" x14ac:dyDescent="0.3">
      <c r="A6012" s="1"/>
    </row>
    <row r="6013" spans="1:1" x14ac:dyDescent="0.3">
      <c r="A6013" s="1"/>
    </row>
    <row r="6014" spans="1:1" x14ac:dyDescent="0.3">
      <c r="A6014" s="1"/>
    </row>
    <row r="6015" spans="1:1" x14ac:dyDescent="0.3">
      <c r="A6015" s="1"/>
    </row>
    <row r="6016" spans="1:1" x14ac:dyDescent="0.3">
      <c r="A6016" s="1"/>
    </row>
    <row r="6017" spans="1:1" x14ac:dyDescent="0.3">
      <c r="A6017" s="1"/>
    </row>
    <row r="6018" spans="1:1" x14ac:dyDescent="0.3">
      <c r="A6018" s="1"/>
    </row>
    <row r="6019" spans="1:1" x14ac:dyDescent="0.3">
      <c r="A6019" s="1"/>
    </row>
    <row r="6020" spans="1:1" x14ac:dyDescent="0.3">
      <c r="A6020" s="1"/>
    </row>
    <row r="6021" spans="1:1" x14ac:dyDescent="0.3">
      <c r="A6021" s="1"/>
    </row>
    <row r="6022" spans="1:1" x14ac:dyDescent="0.3">
      <c r="A6022" s="1"/>
    </row>
    <row r="6023" spans="1:1" x14ac:dyDescent="0.3">
      <c r="A6023" s="1"/>
    </row>
    <row r="6024" spans="1:1" x14ac:dyDescent="0.3">
      <c r="A6024" s="1"/>
    </row>
    <row r="6025" spans="1:1" x14ac:dyDescent="0.3">
      <c r="A6025" s="1"/>
    </row>
    <row r="6026" spans="1:1" x14ac:dyDescent="0.3">
      <c r="A6026" s="1"/>
    </row>
    <row r="6027" spans="1:1" x14ac:dyDescent="0.3">
      <c r="A6027" s="1"/>
    </row>
    <row r="6028" spans="1:1" x14ac:dyDescent="0.3">
      <c r="A6028" s="1"/>
    </row>
    <row r="6029" spans="1:1" x14ac:dyDescent="0.3">
      <c r="A6029" s="1"/>
    </row>
    <row r="6030" spans="1:1" x14ac:dyDescent="0.3">
      <c r="A6030" s="1"/>
    </row>
    <row r="6031" spans="1:1" x14ac:dyDescent="0.3">
      <c r="A6031" s="1"/>
    </row>
    <row r="6032" spans="1:1" x14ac:dyDescent="0.3">
      <c r="A6032" s="1"/>
    </row>
    <row r="6033" spans="1:1" x14ac:dyDescent="0.3">
      <c r="A6033" s="1"/>
    </row>
    <row r="6034" spans="1:1" x14ac:dyDescent="0.3">
      <c r="A6034" s="1"/>
    </row>
    <row r="6035" spans="1:1" x14ac:dyDescent="0.3">
      <c r="A6035" s="1"/>
    </row>
    <row r="6036" spans="1:1" x14ac:dyDescent="0.3">
      <c r="A6036" s="1"/>
    </row>
    <row r="6037" spans="1:1" x14ac:dyDescent="0.3">
      <c r="A6037" s="1"/>
    </row>
    <row r="6038" spans="1:1" x14ac:dyDescent="0.3">
      <c r="A6038" s="1"/>
    </row>
    <row r="6039" spans="1:1" x14ac:dyDescent="0.3">
      <c r="A6039" s="1"/>
    </row>
    <row r="6040" spans="1:1" x14ac:dyDescent="0.3">
      <c r="A6040" s="1"/>
    </row>
    <row r="6041" spans="1:1" x14ac:dyDescent="0.3">
      <c r="A6041" s="1"/>
    </row>
    <row r="6042" spans="1:1" x14ac:dyDescent="0.3">
      <c r="A6042" s="1"/>
    </row>
    <row r="6043" spans="1:1" x14ac:dyDescent="0.3">
      <c r="A6043" s="1"/>
    </row>
    <row r="6044" spans="1:1" x14ac:dyDescent="0.3">
      <c r="A6044" s="1"/>
    </row>
    <row r="6045" spans="1:1" x14ac:dyDescent="0.3">
      <c r="A6045" s="1"/>
    </row>
    <row r="6046" spans="1:1" x14ac:dyDescent="0.3">
      <c r="A6046" s="1"/>
    </row>
    <row r="6047" spans="1:1" x14ac:dyDescent="0.3">
      <c r="A6047" s="1"/>
    </row>
    <row r="6048" spans="1:1" x14ac:dyDescent="0.3">
      <c r="A6048" s="1"/>
    </row>
    <row r="6049" spans="1:1" x14ac:dyDescent="0.3">
      <c r="A6049" s="1"/>
    </row>
    <row r="6050" spans="1:1" x14ac:dyDescent="0.3">
      <c r="A6050" s="1"/>
    </row>
    <row r="6051" spans="1:1" x14ac:dyDescent="0.3">
      <c r="A6051" s="1"/>
    </row>
    <row r="6052" spans="1:1" x14ac:dyDescent="0.3">
      <c r="A6052" s="1"/>
    </row>
    <row r="6053" spans="1:1" x14ac:dyDescent="0.3">
      <c r="A6053" s="1"/>
    </row>
    <row r="6054" spans="1:1" x14ac:dyDescent="0.3">
      <c r="A6054" s="1"/>
    </row>
    <row r="6055" spans="1:1" x14ac:dyDescent="0.3">
      <c r="A6055" s="1"/>
    </row>
    <row r="6056" spans="1:1" x14ac:dyDescent="0.3">
      <c r="A6056" s="1"/>
    </row>
    <row r="6057" spans="1:1" x14ac:dyDescent="0.3">
      <c r="A6057" s="1"/>
    </row>
    <row r="6058" spans="1:1" x14ac:dyDescent="0.3">
      <c r="A6058" s="1"/>
    </row>
    <row r="6059" spans="1:1" x14ac:dyDescent="0.3">
      <c r="A6059" s="1"/>
    </row>
    <row r="6060" spans="1:1" x14ac:dyDescent="0.3">
      <c r="A6060" s="1"/>
    </row>
    <row r="6061" spans="1:1" x14ac:dyDescent="0.3">
      <c r="A6061" s="1"/>
    </row>
    <row r="6062" spans="1:1" x14ac:dyDescent="0.3">
      <c r="A6062" s="1"/>
    </row>
    <row r="6063" spans="1:1" x14ac:dyDescent="0.3">
      <c r="A6063" s="1"/>
    </row>
    <row r="6064" spans="1:1" x14ac:dyDescent="0.3">
      <c r="A6064" s="1"/>
    </row>
    <row r="6065" spans="1:1" x14ac:dyDescent="0.3">
      <c r="A6065" s="1"/>
    </row>
    <row r="6066" spans="1:1" x14ac:dyDescent="0.3">
      <c r="A6066" s="1"/>
    </row>
    <row r="6067" spans="1:1" x14ac:dyDescent="0.3">
      <c r="A6067" s="1"/>
    </row>
    <row r="6068" spans="1:1" x14ac:dyDescent="0.3">
      <c r="A6068" s="1"/>
    </row>
    <row r="6069" spans="1:1" x14ac:dyDescent="0.3">
      <c r="A6069" s="1"/>
    </row>
    <row r="6070" spans="1:1" x14ac:dyDescent="0.3">
      <c r="A6070" s="1"/>
    </row>
    <row r="6071" spans="1:1" x14ac:dyDescent="0.3">
      <c r="A6071" s="1"/>
    </row>
    <row r="6072" spans="1:1" x14ac:dyDescent="0.3">
      <c r="A6072" s="1"/>
    </row>
    <row r="6073" spans="1:1" x14ac:dyDescent="0.3">
      <c r="A6073" s="1"/>
    </row>
    <row r="6074" spans="1:1" x14ac:dyDescent="0.3">
      <c r="A6074" s="1"/>
    </row>
    <row r="6075" spans="1:1" x14ac:dyDescent="0.3">
      <c r="A6075" s="1"/>
    </row>
    <row r="6076" spans="1:1" x14ac:dyDescent="0.3">
      <c r="A6076" s="1"/>
    </row>
    <row r="6077" spans="1:1" x14ac:dyDescent="0.3">
      <c r="A6077" s="1"/>
    </row>
    <row r="6078" spans="1:1" x14ac:dyDescent="0.3">
      <c r="A6078" s="1"/>
    </row>
    <row r="6079" spans="1:1" x14ac:dyDescent="0.3">
      <c r="A6079" s="1"/>
    </row>
    <row r="6080" spans="1:1" x14ac:dyDescent="0.3">
      <c r="A6080" s="1"/>
    </row>
    <row r="6081" spans="1:1" x14ac:dyDescent="0.3">
      <c r="A6081" s="1"/>
    </row>
    <row r="6082" spans="1:1" x14ac:dyDescent="0.3">
      <c r="A6082" s="1"/>
    </row>
    <row r="6083" spans="1:1" x14ac:dyDescent="0.3">
      <c r="A6083" s="1"/>
    </row>
    <row r="6084" spans="1:1" x14ac:dyDescent="0.3">
      <c r="A6084" s="1"/>
    </row>
    <row r="6085" spans="1:1" x14ac:dyDescent="0.3">
      <c r="A6085" s="1"/>
    </row>
    <row r="6086" spans="1:1" x14ac:dyDescent="0.3">
      <c r="A6086" s="1"/>
    </row>
    <row r="6087" spans="1:1" x14ac:dyDescent="0.3">
      <c r="A6087" s="1"/>
    </row>
    <row r="6088" spans="1:1" x14ac:dyDescent="0.3">
      <c r="A6088" s="1"/>
    </row>
    <row r="6089" spans="1:1" x14ac:dyDescent="0.3">
      <c r="A6089" s="1"/>
    </row>
    <row r="6090" spans="1:1" x14ac:dyDescent="0.3">
      <c r="A6090" s="1"/>
    </row>
    <row r="6091" spans="1:1" x14ac:dyDescent="0.3">
      <c r="A6091" s="1"/>
    </row>
    <row r="6092" spans="1:1" x14ac:dyDescent="0.3">
      <c r="A6092" s="1"/>
    </row>
    <row r="6093" spans="1:1" x14ac:dyDescent="0.3">
      <c r="A6093" s="1"/>
    </row>
    <row r="6094" spans="1:1" x14ac:dyDescent="0.3">
      <c r="A6094" s="1"/>
    </row>
    <row r="6095" spans="1:1" x14ac:dyDescent="0.3">
      <c r="A6095" s="1"/>
    </row>
    <row r="6096" spans="1:1" x14ac:dyDescent="0.3">
      <c r="A6096" s="1"/>
    </row>
    <row r="6097" spans="1:1" x14ac:dyDescent="0.3">
      <c r="A6097" s="1"/>
    </row>
    <row r="6098" spans="1:1" x14ac:dyDescent="0.3">
      <c r="A6098" s="1"/>
    </row>
    <row r="6099" spans="1:1" x14ac:dyDescent="0.3">
      <c r="A6099" s="1"/>
    </row>
    <row r="6100" spans="1:1" x14ac:dyDescent="0.3">
      <c r="A6100" s="1"/>
    </row>
    <row r="6101" spans="1:1" x14ac:dyDescent="0.3">
      <c r="A6101" s="1"/>
    </row>
    <row r="6102" spans="1:1" x14ac:dyDescent="0.3">
      <c r="A6102" s="1"/>
    </row>
    <row r="6103" spans="1:1" x14ac:dyDescent="0.3">
      <c r="A6103" s="1"/>
    </row>
    <row r="6104" spans="1:1" x14ac:dyDescent="0.3">
      <c r="A6104" s="1"/>
    </row>
    <row r="6105" spans="1:1" x14ac:dyDescent="0.3">
      <c r="A6105" s="1"/>
    </row>
    <row r="6106" spans="1:1" x14ac:dyDescent="0.3">
      <c r="A6106" s="1"/>
    </row>
    <row r="6107" spans="1:1" x14ac:dyDescent="0.3">
      <c r="A6107" s="1"/>
    </row>
    <row r="6108" spans="1:1" x14ac:dyDescent="0.3">
      <c r="A6108" s="1"/>
    </row>
    <row r="6109" spans="1:1" x14ac:dyDescent="0.3">
      <c r="A6109" s="1"/>
    </row>
    <row r="6110" spans="1:1" x14ac:dyDescent="0.3">
      <c r="A6110" s="1"/>
    </row>
    <row r="6111" spans="1:1" x14ac:dyDescent="0.3">
      <c r="A6111" s="1"/>
    </row>
    <row r="6112" spans="1:1" x14ac:dyDescent="0.3">
      <c r="A6112" s="1"/>
    </row>
    <row r="6113" spans="1:1" x14ac:dyDescent="0.3">
      <c r="A6113" s="1"/>
    </row>
    <row r="6114" spans="1:1" x14ac:dyDescent="0.3">
      <c r="A6114" s="1"/>
    </row>
    <row r="6115" spans="1:1" x14ac:dyDescent="0.3">
      <c r="A6115" s="1"/>
    </row>
    <row r="6116" spans="1:1" x14ac:dyDescent="0.3">
      <c r="A6116" s="1"/>
    </row>
    <row r="6117" spans="1:1" x14ac:dyDescent="0.3">
      <c r="A6117" s="1"/>
    </row>
    <row r="6118" spans="1:1" x14ac:dyDescent="0.3">
      <c r="A6118" s="1"/>
    </row>
    <row r="6119" spans="1:1" x14ac:dyDescent="0.3">
      <c r="A6119" s="1"/>
    </row>
    <row r="6120" spans="1:1" x14ac:dyDescent="0.3">
      <c r="A6120" s="1"/>
    </row>
    <row r="6121" spans="1:1" x14ac:dyDescent="0.3">
      <c r="A6121" s="1"/>
    </row>
    <row r="6122" spans="1:1" x14ac:dyDescent="0.3">
      <c r="A6122" s="1"/>
    </row>
    <row r="6123" spans="1:1" x14ac:dyDescent="0.3">
      <c r="A6123" s="1"/>
    </row>
    <row r="6124" spans="1:1" x14ac:dyDescent="0.3">
      <c r="A6124" s="1"/>
    </row>
    <row r="6125" spans="1:1" x14ac:dyDescent="0.3">
      <c r="A6125" s="1"/>
    </row>
    <row r="6126" spans="1:1" x14ac:dyDescent="0.3">
      <c r="A6126" s="1"/>
    </row>
    <row r="6127" spans="1:1" x14ac:dyDescent="0.3">
      <c r="A6127" s="1"/>
    </row>
    <row r="6128" spans="1:1" x14ac:dyDescent="0.3">
      <c r="A6128" s="1"/>
    </row>
    <row r="6129" spans="1:1" x14ac:dyDescent="0.3">
      <c r="A6129" s="1"/>
    </row>
    <row r="6130" spans="1:1" x14ac:dyDescent="0.3">
      <c r="A6130" s="1"/>
    </row>
    <row r="6131" spans="1:1" x14ac:dyDescent="0.3">
      <c r="A6131" s="1"/>
    </row>
    <row r="6132" spans="1:1" x14ac:dyDescent="0.3">
      <c r="A6132" s="1"/>
    </row>
    <row r="6133" spans="1:1" x14ac:dyDescent="0.3">
      <c r="A6133" s="1"/>
    </row>
    <row r="6134" spans="1:1" x14ac:dyDescent="0.3">
      <c r="A6134" s="1"/>
    </row>
    <row r="6135" spans="1:1" x14ac:dyDescent="0.3">
      <c r="A6135" s="1"/>
    </row>
    <row r="6136" spans="1:1" x14ac:dyDescent="0.3">
      <c r="A6136" s="1"/>
    </row>
    <row r="6137" spans="1:1" x14ac:dyDescent="0.3">
      <c r="A6137" s="1"/>
    </row>
    <row r="6138" spans="1:1" x14ac:dyDescent="0.3">
      <c r="A6138" s="1"/>
    </row>
    <row r="6139" spans="1:1" x14ac:dyDescent="0.3">
      <c r="A6139" s="1"/>
    </row>
    <row r="6140" spans="1:1" x14ac:dyDescent="0.3">
      <c r="A6140" s="1"/>
    </row>
    <row r="6141" spans="1:1" x14ac:dyDescent="0.3">
      <c r="A6141" s="1"/>
    </row>
    <row r="6142" spans="1:1" x14ac:dyDescent="0.3">
      <c r="A6142" s="1"/>
    </row>
    <row r="6143" spans="1:1" x14ac:dyDescent="0.3">
      <c r="A6143" s="1"/>
    </row>
    <row r="6144" spans="1:1" x14ac:dyDescent="0.3">
      <c r="A6144" s="1"/>
    </row>
    <row r="6145" spans="1:1" x14ac:dyDescent="0.3">
      <c r="A6145" s="1"/>
    </row>
    <row r="6146" spans="1:1" x14ac:dyDescent="0.3">
      <c r="A6146" s="1"/>
    </row>
    <row r="6147" spans="1:1" x14ac:dyDescent="0.3">
      <c r="A6147" s="1"/>
    </row>
    <row r="6148" spans="1:1" x14ac:dyDescent="0.3">
      <c r="A6148" s="1"/>
    </row>
    <row r="6149" spans="1:1" x14ac:dyDescent="0.3">
      <c r="A6149" s="1"/>
    </row>
    <row r="6150" spans="1:1" x14ac:dyDescent="0.3">
      <c r="A6150" s="1"/>
    </row>
    <row r="6151" spans="1:1" x14ac:dyDescent="0.3">
      <c r="A6151" s="1"/>
    </row>
    <row r="6152" spans="1:1" x14ac:dyDescent="0.3">
      <c r="A6152" s="1"/>
    </row>
    <row r="6153" spans="1:1" x14ac:dyDescent="0.3">
      <c r="A6153" s="1"/>
    </row>
    <row r="6154" spans="1:1" x14ac:dyDescent="0.3">
      <c r="A6154" s="1"/>
    </row>
    <row r="6155" spans="1:1" x14ac:dyDescent="0.3">
      <c r="A6155" s="1"/>
    </row>
    <row r="6156" spans="1:1" x14ac:dyDescent="0.3">
      <c r="A6156" s="1"/>
    </row>
    <row r="6157" spans="1:1" x14ac:dyDescent="0.3">
      <c r="A6157" s="1"/>
    </row>
    <row r="6158" spans="1:1" x14ac:dyDescent="0.3">
      <c r="A6158" s="1"/>
    </row>
    <row r="6159" spans="1:1" x14ac:dyDescent="0.3">
      <c r="A6159" s="1"/>
    </row>
    <row r="6160" spans="1:1" x14ac:dyDescent="0.3">
      <c r="A6160" s="1"/>
    </row>
    <row r="6161" spans="1:1" x14ac:dyDescent="0.3">
      <c r="A6161" s="1"/>
    </row>
    <row r="6162" spans="1:1" x14ac:dyDescent="0.3">
      <c r="A6162" s="1"/>
    </row>
    <row r="6163" spans="1:1" x14ac:dyDescent="0.3">
      <c r="A6163" s="1"/>
    </row>
    <row r="6164" spans="1:1" x14ac:dyDescent="0.3">
      <c r="A6164" s="1"/>
    </row>
    <row r="6165" spans="1:1" x14ac:dyDescent="0.3">
      <c r="A6165" s="1"/>
    </row>
    <row r="6166" spans="1:1" x14ac:dyDescent="0.3">
      <c r="A6166" s="1"/>
    </row>
    <row r="6167" spans="1:1" x14ac:dyDescent="0.3">
      <c r="A6167" s="1"/>
    </row>
    <row r="6168" spans="1:1" x14ac:dyDescent="0.3">
      <c r="A6168" s="1"/>
    </row>
    <row r="6169" spans="1:1" x14ac:dyDescent="0.3">
      <c r="A6169" s="1"/>
    </row>
    <row r="6170" spans="1:1" x14ac:dyDescent="0.3">
      <c r="A6170" s="1"/>
    </row>
    <row r="6171" spans="1:1" x14ac:dyDescent="0.3">
      <c r="A6171" s="1"/>
    </row>
    <row r="6172" spans="1:1" x14ac:dyDescent="0.3">
      <c r="A6172" s="1"/>
    </row>
    <row r="6173" spans="1:1" x14ac:dyDescent="0.3">
      <c r="A6173" s="1"/>
    </row>
    <row r="6174" spans="1:1" x14ac:dyDescent="0.3">
      <c r="A6174" s="1"/>
    </row>
    <row r="6175" spans="1:1" x14ac:dyDescent="0.3">
      <c r="A6175" s="1"/>
    </row>
    <row r="6176" spans="1:1" x14ac:dyDescent="0.3">
      <c r="A6176" s="1"/>
    </row>
    <row r="6177" spans="1:1" x14ac:dyDescent="0.3">
      <c r="A6177" s="1"/>
    </row>
    <row r="6178" spans="1:1" x14ac:dyDescent="0.3">
      <c r="A6178" s="1"/>
    </row>
    <row r="6179" spans="1:1" x14ac:dyDescent="0.3">
      <c r="A6179" s="1"/>
    </row>
    <row r="6180" spans="1:1" x14ac:dyDescent="0.3">
      <c r="A6180" s="1"/>
    </row>
    <row r="6181" spans="1:1" x14ac:dyDescent="0.3">
      <c r="A6181" s="1"/>
    </row>
    <row r="6182" spans="1:1" x14ac:dyDescent="0.3">
      <c r="A6182" s="1"/>
    </row>
    <row r="6183" spans="1:1" x14ac:dyDescent="0.3">
      <c r="A6183" s="1"/>
    </row>
    <row r="6184" spans="1:1" x14ac:dyDescent="0.3">
      <c r="A6184" s="1"/>
    </row>
    <row r="6185" spans="1:1" x14ac:dyDescent="0.3">
      <c r="A6185" s="1"/>
    </row>
    <row r="6186" spans="1:1" x14ac:dyDescent="0.3">
      <c r="A6186" s="1"/>
    </row>
    <row r="6187" spans="1:1" x14ac:dyDescent="0.3">
      <c r="A6187" s="1"/>
    </row>
    <row r="6188" spans="1:1" x14ac:dyDescent="0.3">
      <c r="A6188" s="1"/>
    </row>
    <row r="6189" spans="1:1" x14ac:dyDescent="0.3">
      <c r="A6189" s="1"/>
    </row>
    <row r="6190" spans="1:1" x14ac:dyDescent="0.3">
      <c r="A6190" s="1"/>
    </row>
    <row r="6191" spans="1:1" x14ac:dyDescent="0.3">
      <c r="A6191" s="1"/>
    </row>
    <row r="6192" spans="1:1" x14ac:dyDescent="0.3">
      <c r="A6192" s="1"/>
    </row>
    <row r="6193" spans="1:1" x14ac:dyDescent="0.3">
      <c r="A6193" s="1"/>
    </row>
    <row r="6194" spans="1:1" x14ac:dyDescent="0.3">
      <c r="A6194" s="1"/>
    </row>
    <row r="6195" spans="1:1" x14ac:dyDescent="0.3">
      <c r="A6195" s="1"/>
    </row>
    <row r="6196" spans="1:1" x14ac:dyDescent="0.3">
      <c r="A6196" s="1"/>
    </row>
    <row r="6197" spans="1:1" x14ac:dyDescent="0.3">
      <c r="A6197" s="1"/>
    </row>
    <row r="6198" spans="1:1" x14ac:dyDescent="0.3">
      <c r="A6198" s="1"/>
    </row>
    <row r="6199" spans="1:1" x14ac:dyDescent="0.3">
      <c r="A6199" s="1"/>
    </row>
    <row r="6200" spans="1:1" x14ac:dyDescent="0.3">
      <c r="A6200" s="1"/>
    </row>
    <row r="6201" spans="1:1" x14ac:dyDescent="0.3">
      <c r="A6201" s="1"/>
    </row>
    <row r="6202" spans="1:1" x14ac:dyDescent="0.3">
      <c r="A6202" s="1"/>
    </row>
    <row r="6203" spans="1:1" x14ac:dyDescent="0.3">
      <c r="A6203" s="1"/>
    </row>
    <row r="6204" spans="1:1" x14ac:dyDescent="0.3">
      <c r="A6204" s="1"/>
    </row>
    <row r="6205" spans="1:1" x14ac:dyDescent="0.3">
      <c r="A6205" s="1"/>
    </row>
    <row r="6206" spans="1:1" x14ac:dyDescent="0.3">
      <c r="A6206" s="1"/>
    </row>
    <row r="6207" spans="1:1" x14ac:dyDescent="0.3">
      <c r="A6207" s="1"/>
    </row>
    <row r="6208" spans="1:1" x14ac:dyDescent="0.3">
      <c r="A6208" s="1"/>
    </row>
    <row r="6209" spans="1:1" x14ac:dyDescent="0.3">
      <c r="A6209" s="1"/>
    </row>
    <row r="6210" spans="1:1" x14ac:dyDescent="0.3">
      <c r="A6210" s="1"/>
    </row>
    <row r="6211" spans="1:1" x14ac:dyDescent="0.3">
      <c r="A6211" s="1"/>
    </row>
    <row r="6212" spans="1:1" x14ac:dyDescent="0.3">
      <c r="A6212" s="1"/>
    </row>
    <row r="6213" spans="1:1" x14ac:dyDescent="0.3">
      <c r="A6213" s="1"/>
    </row>
    <row r="6214" spans="1:1" x14ac:dyDescent="0.3">
      <c r="A6214" s="1"/>
    </row>
    <row r="6215" spans="1:1" x14ac:dyDescent="0.3">
      <c r="A6215" s="1"/>
    </row>
    <row r="6216" spans="1:1" x14ac:dyDescent="0.3">
      <c r="A6216" s="1"/>
    </row>
    <row r="6217" spans="1:1" x14ac:dyDescent="0.3">
      <c r="A6217" s="1"/>
    </row>
    <row r="6218" spans="1:1" x14ac:dyDescent="0.3">
      <c r="A6218" s="1"/>
    </row>
    <row r="6219" spans="1:1" x14ac:dyDescent="0.3">
      <c r="A6219" s="1"/>
    </row>
    <row r="6220" spans="1:1" x14ac:dyDescent="0.3">
      <c r="A6220" s="1"/>
    </row>
    <row r="6221" spans="1:1" x14ac:dyDescent="0.3">
      <c r="A6221" s="1"/>
    </row>
    <row r="6222" spans="1:1" x14ac:dyDescent="0.3">
      <c r="A6222" s="1"/>
    </row>
    <row r="6223" spans="1:1" x14ac:dyDescent="0.3">
      <c r="A6223" s="1"/>
    </row>
    <row r="6224" spans="1:1" x14ac:dyDescent="0.3">
      <c r="A6224" s="1"/>
    </row>
    <row r="6225" spans="1:1" x14ac:dyDescent="0.3">
      <c r="A6225" s="1"/>
    </row>
    <row r="6226" spans="1:1" x14ac:dyDescent="0.3">
      <c r="A6226" s="1"/>
    </row>
    <row r="6227" spans="1:1" x14ac:dyDescent="0.3">
      <c r="A6227" s="1"/>
    </row>
    <row r="6228" spans="1:1" x14ac:dyDescent="0.3">
      <c r="A6228" s="1"/>
    </row>
    <row r="6229" spans="1:1" x14ac:dyDescent="0.3">
      <c r="A6229" s="1"/>
    </row>
    <row r="6230" spans="1:1" x14ac:dyDescent="0.3">
      <c r="A6230" s="1"/>
    </row>
    <row r="6231" spans="1:1" x14ac:dyDescent="0.3">
      <c r="A6231" s="1"/>
    </row>
    <row r="6232" spans="1:1" x14ac:dyDescent="0.3">
      <c r="A6232" s="1"/>
    </row>
    <row r="6233" spans="1:1" x14ac:dyDescent="0.3">
      <c r="A6233" s="1"/>
    </row>
    <row r="6234" spans="1:1" x14ac:dyDescent="0.3">
      <c r="A6234" s="1"/>
    </row>
    <row r="6235" spans="1:1" x14ac:dyDescent="0.3">
      <c r="A6235" s="1"/>
    </row>
    <row r="6236" spans="1:1" x14ac:dyDescent="0.3">
      <c r="A6236" s="1"/>
    </row>
    <row r="6237" spans="1:1" x14ac:dyDescent="0.3">
      <c r="A6237" s="1"/>
    </row>
    <row r="6238" spans="1:1" x14ac:dyDescent="0.3">
      <c r="A6238" s="1"/>
    </row>
    <row r="6239" spans="1:1" x14ac:dyDescent="0.3">
      <c r="A6239" s="1"/>
    </row>
    <row r="6240" spans="1:1" x14ac:dyDescent="0.3">
      <c r="A6240" s="1"/>
    </row>
    <row r="6241" spans="1:1" x14ac:dyDescent="0.3">
      <c r="A6241" s="1"/>
    </row>
    <row r="6242" spans="1:1" x14ac:dyDescent="0.3">
      <c r="A6242" s="1"/>
    </row>
    <row r="6243" spans="1:1" x14ac:dyDescent="0.3">
      <c r="A6243" s="1"/>
    </row>
    <row r="6244" spans="1:1" x14ac:dyDescent="0.3">
      <c r="A6244" s="1"/>
    </row>
    <row r="6245" spans="1:1" x14ac:dyDescent="0.3">
      <c r="A6245" s="1"/>
    </row>
    <row r="6246" spans="1:1" x14ac:dyDescent="0.3">
      <c r="A6246" s="1"/>
    </row>
    <row r="6247" spans="1:1" x14ac:dyDescent="0.3">
      <c r="A6247" s="1"/>
    </row>
    <row r="6248" spans="1:1" x14ac:dyDescent="0.3">
      <c r="A6248" s="1"/>
    </row>
    <row r="6249" spans="1:1" x14ac:dyDescent="0.3">
      <c r="A6249" s="1"/>
    </row>
    <row r="6250" spans="1:1" x14ac:dyDescent="0.3">
      <c r="A6250" s="1"/>
    </row>
    <row r="6251" spans="1:1" x14ac:dyDescent="0.3">
      <c r="A6251" s="1"/>
    </row>
    <row r="6252" spans="1:1" x14ac:dyDescent="0.3">
      <c r="A6252" s="1"/>
    </row>
    <row r="6253" spans="1:1" x14ac:dyDescent="0.3">
      <c r="A6253" s="1"/>
    </row>
    <row r="6254" spans="1:1" x14ac:dyDescent="0.3">
      <c r="A6254" s="1"/>
    </row>
    <row r="6255" spans="1:1" x14ac:dyDescent="0.3">
      <c r="A6255" s="1"/>
    </row>
    <row r="6256" spans="1:1" x14ac:dyDescent="0.3">
      <c r="A6256" s="1"/>
    </row>
    <row r="6257" spans="1:1" x14ac:dyDescent="0.3">
      <c r="A6257" s="1"/>
    </row>
    <row r="6258" spans="1:1" x14ac:dyDescent="0.3">
      <c r="A6258" s="1"/>
    </row>
    <row r="6259" spans="1:1" x14ac:dyDescent="0.3">
      <c r="A6259" s="1"/>
    </row>
    <row r="6260" spans="1:1" x14ac:dyDescent="0.3">
      <c r="A6260" s="1"/>
    </row>
    <row r="6261" spans="1:1" x14ac:dyDescent="0.3">
      <c r="A6261" s="1"/>
    </row>
    <row r="6262" spans="1:1" x14ac:dyDescent="0.3">
      <c r="A6262" s="1"/>
    </row>
    <row r="6263" spans="1:1" x14ac:dyDescent="0.3">
      <c r="A6263" s="1"/>
    </row>
    <row r="6264" spans="1:1" x14ac:dyDescent="0.3">
      <c r="A6264" s="1"/>
    </row>
    <row r="6265" spans="1:1" x14ac:dyDescent="0.3">
      <c r="A6265" s="1"/>
    </row>
    <row r="6266" spans="1:1" x14ac:dyDescent="0.3">
      <c r="A6266" s="1"/>
    </row>
    <row r="6267" spans="1:1" x14ac:dyDescent="0.3">
      <c r="A6267" s="1"/>
    </row>
    <row r="6268" spans="1:1" x14ac:dyDescent="0.3">
      <c r="A6268" s="1"/>
    </row>
    <row r="6269" spans="1:1" x14ac:dyDescent="0.3">
      <c r="A6269" s="1"/>
    </row>
    <row r="6270" spans="1:1" x14ac:dyDescent="0.3">
      <c r="A6270" s="1"/>
    </row>
    <row r="6271" spans="1:1" x14ac:dyDescent="0.3">
      <c r="A6271" s="1"/>
    </row>
    <row r="6272" spans="1:1" x14ac:dyDescent="0.3">
      <c r="A6272" s="1"/>
    </row>
    <row r="6273" spans="1:1" x14ac:dyDescent="0.3">
      <c r="A6273" s="1"/>
    </row>
    <row r="6274" spans="1:1" x14ac:dyDescent="0.3">
      <c r="A6274" s="1"/>
    </row>
    <row r="6275" spans="1:1" x14ac:dyDescent="0.3">
      <c r="A6275" s="1"/>
    </row>
    <row r="6276" spans="1:1" x14ac:dyDescent="0.3">
      <c r="A6276" s="1"/>
    </row>
    <row r="6277" spans="1:1" x14ac:dyDescent="0.3">
      <c r="A6277" s="1"/>
    </row>
    <row r="6278" spans="1:1" x14ac:dyDescent="0.3">
      <c r="A6278" s="1"/>
    </row>
    <row r="6279" spans="1:1" x14ac:dyDescent="0.3">
      <c r="A6279" s="1"/>
    </row>
    <row r="6280" spans="1:1" x14ac:dyDescent="0.3">
      <c r="A6280" s="1"/>
    </row>
    <row r="6281" spans="1:1" x14ac:dyDescent="0.3">
      <c r="A6281" s="1"/>
    </row>
    <row r="6282" spans="1:1" x14ac:dyDescent="0.3">
      <c r="A6282" s="1"/>
    </row>
    <row r="6283" spans="1:1" x14ac:dyDescent="0.3">
      <c r="A6283" s="1"/>
    </row>
    <row r="6284" spans="1:1" x14ac:dyDescent="0.3">
      <c r="A6284" s="1"/>
    </row>
    <row r="6285" spans="1:1" x14ac:dyDescent="0.3">
      <c r="A6285" s="1"/>
    </row>
    <row r="6286" spans="1:1" x14ac:dyDescent="0.3">
      <c r="A6286" s="1"/>
    </row>
    <row r="6287" spans="1:1" x14ac:dyDescent="0.3">
      <c r="A6287" s="1"/>
    </row>
    <row r="6288" spans="1:1" x14ac:dyDescent="0.3">
      <c r="A6288" s="1"/>
    </row>
    <row r="6289" spans="1:1" x14ac:dyDescent="0.3">
      <c r="A6289" s="1"/>
    </row>
    <row r="6290" spans="1:1" x14ac:dyDescent="0.3">
      <c r="A6290" s="1"/>
    </row>
    <row r="6291" spans="1:1" x14ac:dyDescent="0.3">
      <c r="A6291" s="1"/>
    </row>
    <row r="6292" spans="1:1" x14ac:dyDescent="0.3">
      <c r="A6292" s="1"/>
    </row>
    <row r="6293" spans="1:1" x14ac:dyDescent="0.3">
      <c r="A6293" s="1"/>
    </row>
    <row r="6294" spans="1:1" x14ac:dyDescent="0.3">
      <c r="A6294" s="1"/>
    </row>
    <row r="6295" spans="1:1" x14ac:dyDescent="0.3">
      <c r="A6295" s="1"/>
    </row>
    <row r="6296" spans="1:1" x14ac:dyDescent="0.3">
      <c r="A6296" s="1"/>
    </row>
    <row r="6297" spans="1:1" x14ac:dyDescent="0.3">
      <c r="A6297" s="1"/>
    </row>
    <row r="6298" spans="1:1" x14ac:dyDescent="0.3">
      <c r="A6298" s="1"/>
    </row>
    <row r="6299" spans="1:1" x14ac:dyDescent="0.3">
      <c r="A6299" s="1"/>
    </row>
    <row r="6300" spans="1:1" x14ac:dyDescent="0.3">
      <c r="A6300" s="1"/>
    </row>
    <row r="6301" spans="1:1" x14ac:dyDescent="0.3">
      <c r="A6301" s="1"/>
    </row>
    <row r="6302" spans="1:1" x14ac:dyDescent="0.3">
      <c r="A6302" s="1"/>
    </row>
    <row r="6303" spans="1:1" x14ac:dyDescent="0.3">
      <c r="A6303" s="1"/>
    </row>
    <row r="6304" spans="1:1" x14ac:dyDescent="0.3">
      <c r="A6304" s="1"/>
    </row>
    <row r="6305" spans="1:1" x14ac:dyDescent="0.3">
      <c r="A6305" s="1"/>
    </row>
    <row r="6306" spans="1:1" x14ac:dyDescent="0.3">
      <c r="A6306" s="1"/>
    </row>
    <row r="6307" spans="1:1" x14ac:dyDescent="0.3">
      <c r="A6307" s="1"/>
    </row>
    <row r="6308" spans="1:1" x14ac:dyDescent="0.3">
      <c r="A6308" s="1"/>
    </row>
    <row r="6309" spans="1:1" x14ac:dyDescent="0.3">
      <c r="A6309" s="1"/>
    </row>
    <row r="6310" spans="1:1" x14ac:dyDescent="0.3">
      <c r="A6310" s="1"/>
    </row>
    <row r="6311" spans="1:1" x14ac:dyDescent="0.3">
      <c r="A6311" s="1"/>
    </row>
    <row r="6312" spans="1:1" x14ac:dyDescent="0.3">
      <c r="A6312" s="1"/>
    </row>
    <row r="6313" spans="1:1" x14ac:dyDescent="0.3">
      <c r="A6313" s="1"/>
    </row>
    <row r="6314" spans="1:1" x14ac:dyDescent="0.3">
      <c r="A6314" s="1"/>
    </row>
    <row r="6315" spans="1:1" x14ac:dyDescent="0.3">
      <c r="A6315" s="1"/>
    </row>
    <row r="6316" spans="1:1" x14ac:dyDescent="0.3">
      <c r="A6316" s="1"/>
    </row>
    <row r="6317" spans="1:1" x14ac:dyDescent="0.3">
      <c r="A6317" s="1"/>
    </row>
    <row r="6318" spans="1:1" x14ac:dyDescent="0.3">
      <c r="A6318" s="1"/>
    </row>
    <row r="6319" spans="1:1" x14ac:dyDescent="0.3">
      <c r="A6319" s="1"/>
    </row>
    <row r="6320" spans="1:1" x14ac:dyDescent="0.3">
      <c r="A6320" s="1"/>
    </row>
    <row r="6321" spans="1:1" x14ac:dyDescent="0.3">
      <c r="A6321" s="1"/>
    </row>
    <row r="6322" spans="1:1" x14ac:dyDescent="0.3">
      <c r="A6322" s="1"/>
    </row>
    <row r="6323" spans="1:1" x14ac:dyDescent="0.3">
      <c r="A6323" s="1"/>
    </row>
    <row r="6324" spans="1:1" x14ac:dyDescent="0.3">
      <c r="A6324" s="1"/>
    </row>
    <row r="6325" spans="1:1" x14ac:dyDescent="0.3">
      <c r="A6325" s="1"/>
    </row>
    <row r="6326" spans="1:1" x14ac:dyDescent="0.3">
      <c r="A6326" s="1"/>
    </row>
    <row r="6327" spans="1:1" x14ac:dyDescent="0.3">
      <c r="A6327" s="1"/>
    </row>
    <row r="6328" spans="1:1" x14ac:dyDescent="0.3">
      <c r="A6328" s="1"/>
    </row>
    <row r="6329" spans="1:1" x14ac:dyDescent="0.3">
      <c r="A6329" s="1"/>
    </row>
    <row r="6330" spans="1:1" x14ac:dyDescent="0.3">
      <c r="A6330" s="1"/>
    </row>
    <row r="6331" spans="1:1" x14ac:dyDescent="0.3">
      <c r="A6331" s="1"/>
    </row>
    <row r="6332" spans="1:1" x14ac:dyDescent="0.3">
      <c r="A6332" s="1"/>
    </row>
    <row r="6333" spans="1:1" x14ac:dyDescent="0.3">
      <c r="A6333" s="1"/>
    </row>
    <row r="6334" spans="1:1" x14ac:dyDescent="0.3">
      <c r="A6334" s="1"/>
    </row>
    <row r="6335" spans="1:1" x14ac:dyDescent="0.3">
      <c r="A6335" s="1"/>
    </row>
    <row r="6336" spans="1:1" x14ac:dyDescent="0.3">
      <c r="A6336" s="1"/>
    </row>
    <row r="6337" spans="1:1" x14ac:dyDescent="0.3">
      <c r="A6337" s="1"/>
    </row>
    <row r="6338" spans="1:1" x14ac:dyDescent="0.3">
      <c r="A6338" s="1"/>
    </row>
    <row r="6339" spans="1:1" x14ac:dyDescent="0.3">
      <c r="A6339" s="1"/>
    </row>
    <row r="6340" spans="1:1" x14ac:dyDescent="0.3">
      <c r="A6340" s="1"/>
    </row>
    <row r="6341" spans="1:1" x14ac:dyDescent="0.3">
      <c r="A6341" s="1"/>
    </row>
    <row r="6342" spans="1:1" x14ac:dyDescent="0.3">
      <c r="A6342" s="1"/>
    </row>
    <row r="6343" spans="1:1" x14ac:dyDescent="0.3">
      <c r="A6343" s="1"/>
    </row>
    <row r="6344" spans="1:1" x14ac:dyDescent="0.3">
      <c r="A6344" s="1"/>
    </row>
    <row r="6345" spans="1:1" x14ac:dyDescent="0.3">
      <c r="A6345" s="1"/>
    </row>
    <row r="6346" spans="1:1" x14ac:dyDescent="0.3">
      <c r="A6346" s="1"/>
    </row>
    <row r="6347" spans="1:1" x14ac:dyDescent="0.3">
      <c r="A6347" s="1"/>
    </row>
    <row r="6348" spans="1:1" x14ac:dyDescent="0.3">
      <c r="A6348" s="1"/>
    </row>
    <row r="6349" spans="1:1" x14ac:dyDescent="0.3">
      <c r="A6349" s="1"/>
    </row>
    <row r="6350" spans="1:1" x14ac:dyDescent="0.3">
      <c r="A6350" s="1"/>
    </row>
    <row r="6351" spans="1:1" x14ac:dyDescent="0.3">
      <c r="A6351" s="1"/>
    </row>
    <row r="6352" spans="1:1" x14ac:dyDescent="0.3">
      <c r="A6352" s="1"/>
    </row>
    <row r="6353" spans="1:1" x14ac:dyDescent="0.3">
      <c r="A6353" s="1"/>
    </row>
    <row r="6354" spans="1:1" x14ac:dyDescent="0.3">
      <c r="A6354" s="1"/>
    </row>
    <row r="6355" spans="1:1" x14ac:dyDescent="0.3">
      <c r="A6355" s="1"/>
    </row>
    <row r="6356" spans="1:1" x14ac:dyDescent="0.3">
      <c r="A6356" s="1"/>
    </row>
    <row r="6357" spans="1:1" x14ac:dyDescent="0.3">
      <c r="A6357" s="1"/>
    </row>
    <row r="6358" spans="1:1" x14ac:dyDescent="0.3">
      <c r="A6358" s="1"/>
    </row>
    <row r="6359" spans="1:1" x14ac:dyDescent="0.3">
      <c r="A6359" s="1"/>
    </row>
    <row r="6360" spans="1:1" x14ac:dyDescent="0.3">
      <c r="A6360" s="1"/>
    </row>
    <row r="6361" spans="1:1" x14ac:dyDescent="0.3">
      <c r="A6361" s="1"/>
    </row>
    <row r="6362" spans="1:1" x14ac:dyDescent="0.3">
      <c r="A6362" s="1"/>
    </row>
    <row r="6363" spans="1:1" x14ac:dyDescent="0.3">
      <c r="A6363" s="1"/>
    </row>
    <row r="6364" spans="1:1" x14ac:dyDescent="0.3">
      <c r="A6364" s="1"/>
    </row>
    <row r="6365" spans="1:1" x14ac:dyDescent="0.3">
      <c r="A6365" s="1"/>
    </row>
    <row r="6366" spans="1:1" x14ac:dyDescent="0.3">
      <c r="A6366" s="1"/>
    </row>
    <row r="6367" spans="1:1" x14ac:dyDescent="0.3">
      <c r="A6367" s="1"/>
    </row>
    <row r="6368" spans="1:1" x14ac:dyDescent="0.3">
      <c r="A6368" s="1"/>
    </row>
    <row r="6369" spans="1:1" x14ac:dyDescent="0.3">
      <c r="A6369" s="1"/>
    </row>
    <row r="6370" spans="1:1" x14ac:dyDescent="0.3">
      <c r="A6370" s="1"/>
    </row>
    <row r="6371" spans="1:1" x14ac:dyDescent="0.3">
      <c r="A6371" s="1"/>
    </row>
    <row r="6372" spans="1:1" x14ac:dyDescent="0.3">
      <c r="A6372" s="1"/>
    </row>
    <row r="6373" spans="1:1" x14ac:dyDescent="0.3">
      <c r="A6373" s="1"/>
    </row>
    <row r="6374" spans="1:1" x14ac:dyDescent="0.3">
      <c r="A6374" s="1"/>
    </row>
    <row r="6375" spans="1:1" x14ac:dyDescent="0.3">
      <c r="A6375" s="1"/>
    </row>
    <row r="6376" spans="1:1" x14ac:dyDescent="0.3">
      <c r="A6376" s="1"/>
    </row>
    <row r="6377" spans="1:1" x14ac:dyDescent="0.3">
      <c r="A6377" s="1"/>
    </row>
    <row r="6378" spans="1:1" x14ac:dyDescent="0.3">
      <c r="A6378" s="1"/>
    </row>
    <row r="6379" spans="1:1" x14ac:dyDescent="0.3">
      <c r="A6379" s="1"/>
    </row>
    <row r="6380" spans="1:1" x14ac:dyDescent="0.3">
      <c r="A6380" s="1"/>
    </row>
    <row r="6381" spans="1:1" x14ac:dyDescent="0.3">
      <c r="A6381" s="1"/>
    </row>
    <row r="6382" spans="1:1" x14ac:dyDescent="0.3">
      <c r="A6382" s="1"/>
    </row>
    <row r="6383" spans="1:1" x14ac:dyDescent="0.3">
      <c r="A6383" s="1"/>
    </row>
    <row r="6384" spans="1:1" x14ac:dyDescent="0.3">
      <c r="A6384" s="1"/>
    </row>
    <row r="6385" spans="1:1" x14ac:dyDescent="0.3">
      <c r="A6385" s="1"/>
    </row>
    <row r="6386" spans="1:1" x14ac:dyDescent="0.3">
      <c r="A6386" s="1"/>
    </row>
    <row r="6387" spans="1:1" x14ac:dyDescent="0.3">
      <c r="A6387" s="1"/>
    </row>
    <row r="6388" spans="1:1" x14ac:dyDescent="0.3">
      <c r="A6388" s="1"/>
    </row>
    <row r="6389" spans="1:1" x14ac:dyDescent="0.3">
      <c r="A6389" s="1"/>
    </row>
    <row r="6390" spans="1:1" x14ac:dyDescent="0.3">
      <c r="A6390" s="1"/>
    </row>
    <row r="6391" spans="1:1" x14ac:dyDescent="0.3">
      <c r="A6391" s="1"/>
    </row>
    <row r="6392" spans="1:1" x14ac:dyDescent="0.3">
      <c r="A6392" s="1"/>
    </row>
    <row r="6393" spans="1:1" x14ac:dyDescent="0.3">
      <c r="A6393" s="1"/>
    </row>
    <row r="6394" spans="1:1" x14ac:dyDescent="0.3">
      <c r="A6394" s="1"/>
    </row>
    <row r="6395" spans="1:1" x14ac:dyDescent="0.3">
      <c r="A6395" s="1"/>
    </row>
    <row r="6396" spans="1:1" x14ac:dyDescent="0.3">
      <c r="A6396" s="1"/>
    </row>
    <row r="6397" spans="1:1" x14ac:dyDescent="0.3">
      <c r="A6397" s="1"/>
    </row>
    <row r="6398" spans="1:1" x14ac:dyDescent="0.3">
      <c r="A6398" s="1"/>
    </row>
    <row r="6399" spans="1:1" x14ac:dyDescent="0.3">
      <c r="A6399" s="1"/>
    </row>
    <row r="6400" spans="1:1" x14ac:dyDescent="0.3">
      <c r="A6400" s="1"/>
    </row>
    <row r="6401" spans="1:1" x14ac:dyDescent="0.3">
      <c r="A6401" s="1"/>
    </row>
    <row r="6402" spans="1:1" x14ac:dyDescent="0.3">
      <c r="A6402" s="1"/>
    </row>
    <row r="6403" spans="1:1" x14ac:dyDescent="0.3">
      <c r="A6403" s="1"/>
    </row>
    <row r="6404" spans="1:1" x14ac:dyDescent="0.3">
      <c r="A6404" s="1"/>
    </row>
    <row r="6405" spans="1:1" x14ac:dyDescent="0.3">
      <c r="A6405" s="1"/>
    </row>
    <row r="6406" spans="1:1" x14ac:dyDescent="0.3">
      <c r="A6406" s="1"/>
    </row>
    <row r="6407" spans="1:1" x14ac:dyDescent="0.3">
      <c r="A6407" s="1"/>
    </row>
    <row r="6408" spans="1:1" x14ac:dyDescent="0.3">
      <c r="A6408" s="1"/>
    </row>
    <row r="6409" spans="1:1" x14ac:dyDescent="0.3">
      <c r="A6409" s="1"/>
    </row>
    <row r="6410" spans="1:1" x14ac:dyDescent="0.3">
      <c r="A6410" s="1"/>
    </row>
    <row r="6411" spans="1:1" x14ac:dyDescent="0.3">
      <c r="A6411" s="1"/>
    </row>
    <row r="6412" spans="1:1" x14ac:dyDescent="0.3">
      <c r="A6412" s="1"/>
    </row>
    <row r="6413" spans="1:1" x14ac:dyDescent="0.3">
      <c r="A6413" s="1"/>
    </row>
    <row r="6414" spans="1:1" x14ac:dyDescent="0.3">
      <c r="A6414" s="1"/>
    </row>
    <row r="6415" spans="1:1" x14ac:dyDescent="0.3">
      <c r="A6415" s="1"/>
    </row>
    <row r="6416" spans="1:1" x14ac:dyDescent="0.3">
      <c r="A6416" s="1"/>
    </row>
    <row r="6417" spans="1:1" x14ac:dyDescent="0.3">
      <c r="A6417" s="1"/>
    </row>
    <row r="6418" spans="1:1" x14ac:dyDescent="0.3">
      <c r="A6418" s="1"/>
    </row>
    <row r="6419" spans="1:1" x14ac:dyDescent="0.3">
      <c r="A6419" s="1"/>
    </row>
    <row r="6420" spans="1:1" x14ac:dyDescent="0.3">
      <c r="A6420" s="1"/>
    </row>
    <row r="6421" spans="1:1" x14ac:dyDescent="0.3">
      <c r="A6421" s="1"/>
    </row>
    <row r="6422" spans="1:1" x14ac:dyDescent="0.3">
      <c r="A6422" s="1"/>
    </row>
    <row r="6423" spans="1:1" x14ac:dyDescent="0.3">
      <c r="A6423" s="1"/>
    </row>
    <row r="6424" spans="1:1" x14ac:dyDescent="0.3">
      <c r="A6424" s="1"/>
    </row>
    <row r="6425" spans="1:1" x14ac:dyDescent="0.3">
      <c r="A6425" s="1"/>
    </row>
    <row r="6426" spans="1:1" x14ac:dyDescent="0.3">
      <c r="A6426" s="1"/>
    </row>
    <row r="6427" spans="1:1" x14ac:dyDescent="0.3">
      <c r="A6427" s="1"/>
    </row>
    <row r="6428" spans="1:1" x14ac:dyDescent="0.3">
      <c r="A6428" s="1"/>
    </row>
    <row r="6429" spans="1:1" x14ac:dyDescent="0.3">
      <c r="A6429" s="1"/>
    </row>
    <row r="6430" spans="1:1" x14ac:dyDescent="0.3">
      <c r="A6430" s="1"/>
    </row>
    <row r="6431" spans="1:1" x14ac:dyDescent="0.3">
      <c r="A6431" s="1"/>
    </row>
    <row r="6432" spans="1:1" x14ac:dyDescent="0.3">
      <c r="A6432" s="1"/>
    </row>
    <row r="6433" spans="1:1" x14ac:dyDescent="0.3">
      <c r="A6433" s="1"/>
    </row>
    <row r="6434" spans="1:1" x14ac:dyDescent="0.3">
      <c r="A6434" s="1"/>
    </row>
    <row r="6435" spans="1:1" x14ac:dyDescent="0.3">
      <c r="A6435" s="1"/>
    </row>
    <row r="6436" spans="1:1" x14ac:dyDescent="0.3">
      <c r="A6436" s="1"/>
    </row>
    <row r="6437" spans="1:1" x14ac:dyDescent="0.3">
      <c r="A6437" s="1"/>
    </row>
    <row r="6438" spans="1:1" x14ac:dyDescent="0.3">
      <c r="A6438" s="1"/>
    </row>
    <row r="6439" spans="1:1" x14ac:dyDescent="0.3">
      <c r="A6439" s="1"/>
    </row>
    <row r="6440" spans="1:1" x14ac:dyDescent="0.3">
      <c r="A6440" s="1"/>
    </row>
    <row r="6441" spans="1:1" x14ac:dyDescent="0.3">
      <c r="A6441" s="1"/>
    </row>
    <row r="6442" spans="1:1" x14ac:dyDescent="0.3">
      <c r="A6442" s="1"/>
    </row>
    <row r="6443" spans="1:1" x14ac:dyDescent="0.3">
      <c r="A6443" s="1"/>
    </row>
    <row r="6444" spans="1:1" x14ac:dyDescent="0.3">
      <c r="A6444" s="1"/>
    </row>
    <row r="6445" spans="1:1" x14ac:dyDescent="0.3">
      <c r="A6445" s="1"/>
    </row>
    <row r="6446" spans="1:1" x14ac:dyDescent="0.3">
      <c r="A6446" s="1"/>
    </row>
    <row r="6447" spans="1:1" x14ac:dyDescent="0.3">
      <c r="A6447" s="1"/>
    </row>
    <row r="6448" spans="1:1" x14ac:dyDescent="0.3">
      <c r="A6448" s="1"/>
    </row>
    <row r="6449" spans="1:1" x14ac:dyDescent="0.3">
      <c r="A6449" s="1"/>
    </row>
    <row r="6450" spans="1:1" x14ac:dyDescent="0.3">
      <c r="A6450" s="1"/>
    </row>
    <row r="6451" spans="1:1" x14ac:dyDescent="0.3">
      <c r="A6451" s="1"/>
    </row>
    <row r="6452" spans="1:1" x14ac:dyDescent="0.3">
      <c r="A6452" s="1"/>
    </row>
    <row r="6453" spans="1:1" x14ac:dyDescent="0.3">
      <c r="A6453" s="1"/>
    </row>
    <row r="6454" spans="1:1" x14ac:dyDescent="0.3">
      <c r="A6454" s="1"/>
    </row>
    <row r="6455" spans="1:1" x14ac:dyDescent="0.3">
      <c r="A6455" s="1"/>
    </row>
    <row r="6456" spans="1:1" x14ac:dyDescent="0.3">
      <c r="A6456" s="1"/>
    </row>
    <row r="6457" spans="1:1" x14ac:dyDescent="0.3">
      <c r="A6457" s="1"/>
    </row>
    <row r="6458" spans="1:1" x14ac:dyDescent="0.3">
      <c r="A6458" s="1"/>
    </row>
    <row r="6459" spans="1:1" x14ac:dyDescent="0.3">
      <c r="A6459" s="1"/>
    </row>
    <row r="6460" spans="1:1" x14ac:dyDescent="0.3">
      <c r="A6460" s="1"/>
    </row>
    <row r="6461" spans="1:1" x14ac:dyDescent="0.3">
      <c r="A6461" s="1"/>
    </row>
    <row r="6462" spans="1:1" x14ac:dyDescent="0.3">
      <c r="A6462" s="1"/>
    </row>
    <row r="6463" spans="1:1" x14ac:dyDescent="0.3">
      <c r="A6463" s="1"/>
    </row>
    <row r="6464" spans="1:1" x14ac:dyDescent="0.3">
      <c r="A6464" s="1"/>
    </row>
    <row r="6465" spans="1:1" x14ac:dyDescent="0.3">
      <c r="A6465" s="1"/>
    </row>
    <row r="6466" spans="1:1" x14ac:dyDescent="0.3">
      <c r="A6466" s="1"/>
    </row>
    <row r="6467" spans="1:1" x14ac:dyDescent="0.3">
      <c r="A6467" s="1"/>
    </row>
    <row r="6468" spans="1:1" x14ac:dyDescent="0.3">
      <c r="A6468" s="1"/>
    </row>
    <row r="6469" spans="1:1" x14ac:dyDescent="0.3">
      <c r="A6469" s="1"/>
    </row>
    <row r="6470" spans="1:1" x14ac:dyDescent="0.3">
      <c r="A6470" s="1"/>
    </row>
    <row r="6471" spans="1:1" x14ac:dyDescent="0.3">
      <c r="A6471" s="1"/>
    </row>
    <row r="6472" spans="1:1" x14ac:dyDescent="0.3">
      <c r="A6472" s="1"/>
    </row>
    <row r="6473" spans="1:1" x14ac:dyDescent="0.3">
      <c r="A6473" s="1"/>
    </row>
    <row r="6474" spans="1:1" x14ac:dyDescent="0.3">
      <c r="A6474" s="1"/>
    </row>
    <row r="6475" spans="1:1" x14ac:dyDescent="0.3">
      <c r="A6475" s="1"/>
    </row>
    <row r="6476" spans="1:1" x14ac:dyDescent="0.3">
      <c r="A6476" s="1"/>
    </row>
    <row r="6477" spans="1:1" x14ac:dyDescent="0.3">
      <c r="A6477" s="1"/>
    </row>
    <row r="6478" spans="1:1" x14ac:dyDescent="0.3">
      <c r="A6478" s="1"/>
    </row>
    <row r="6479" spans="1:1" x14ac:dyDescent="0.3">
      <c r="A6479" s="1"/>
    </row>
    <row r="6480" spans="1:1" x14ac:dyDescent="0.3">
      <c r="A6480" s="1"/>
    </row>
    <row r="6481" spans="1:1" x14ac:dyDescent="0.3">
      <c r="A6481" s="1"/>
    </row>
    <row r="6482" spans="1:1" x14ac:dyDescent="0.3">
      <c r="A6482" s="1"/>
    </row>
    <row r="6483" spans="1:1" x14ac:dyDescent="0.3">
      <c r="A6483" s="1"/>
    </row>
    <row r="6484" spans="1:1" x14ac:dyDescent="0.3">
      <c r="A6484" s="1"/>
    </row>
    <row r="6485" spans="1:1" x14ac:dyDescent="0.3">
      <c r="A6485" s="1"/>
    </row>
    <row r="6486" spans="1:1" x14ac:dyDescent="0.3">
      <c r="A6486" s="1"/>
    </row>
    <row r="6487" spans="1:1" x14ac:dyDescent="0.3">
      <c r="A6487" s="1"/>
    </row>
    <row r="6488" spans="1:1" x14ac:dyDescent="0.3">
      <c r="A6488" s="1"/>
    </row>
    <row r="6489" spans="1:1" x14ac:dyDescent="0.3">
      <c r="A6489" s="1"/>
    </row>
    <row r="6490" spans="1:1" x14ac:dyDescent="0.3">
      <c r="A6490" s="1"/>
    </row>
    <row r="6491" spans="1:1" x14ac:dyDescent="0.3">
      <c r="A6491" s="1"/>
    </row>
    <row r="6492" spans="1:1" x14ac:dyDescent="0.3">
      <c r="A6492" s="1"/>
    </row>
    <row r="6493" spans="1:1" x14ac:dyDescent="0.3">
      <c r="A6493" s="1"/>
    </row>
    <row r="6494" spans="1:1" x14ac:dyDescent="0.3">
      <c r="A6494" s="1"/>
    </row>
    <row r="6495" spans="1:1" x14ac:dyDescent="0.3">
      <c r="A6495" s="1"/>
    </row>
    <row r="6496" spans="1:1" x14ac:dyDescent="0.3">
      <c r="A6496" s="1"/>
    </row>
    <row r="6497" spans="1:1" x14ac:dyDescent="0.3">
      <c r="A6497" s="1"/>
    </row>
    <row r="6498" spans="1:1" x14ac:dyDescent="0.3">
      <c r="A6498" s="1"/>
    </row>
    <row r="6499" spans="1:1" x14ac:dyDescent="0.3">
      <c r="A6499" s="1"/>
    </row>
    <row r="6500" spans="1:1" x14ac:dyDescent="0.3">
      <c r="A6500" s="1"/>
    </row>
    <row r="6501" spans="1:1" x14ac:dyDescent="0.3">
      <c r="A6501" s="1"/>
    </row>
    <row r="6502" spans="1:1" x14ac:dyDescent="0.3">
      <c r="A6502" s="1"/>
    </row>
    <row r="6503" spans="1:1" x14ac:dyDescent="0.3">
      <c r="A6503" s="1"/>
    </row>
    <row r="6504" spans="1:1" x14ac:dyDescent="0.3">
      <c r="A6504" s="1"/>
    </row>
    <row r="6505" spans="1:1" x14ac:dyDescent="0.3">
      <c r="A6505" s="1"/>
    </row>
    <row r="6506" spans="1:1" x14ac:dyDescent="0.3">
      <c r="A6506" s="1"/>
    </row>
    <row r="6507" spans="1:1" x14ac:dyDescent="0.3">
      <c r="A6507" s="1"/>
    </row>
    <row r="6508" spans="1:1" x14ac:dyDescent="0.3">
      <c r="A6508" s="1"/>
    </row>
    <row r="6509" spans="1:1" x14ac:dyDescent="0.3">
      <c r="A6509" s="1"/>
    </row>
    <row r="6510" spans="1:1" x14ac:dyDescent="0.3">
      <c r="A6510" s="1"/>
    </row>
    <row r="6511" spans="1:1" x14ac:dyDescent="0.3">
      <c r="A6511" s="1"/>
    </row>
    <row r="6512" spans="1:1" x14ac:dyDescent="0.3">
      <c r="A6512" s="1"/>
    </row>
    <row r="6513" spans="1:1" x14ac:dyDescent="0.3">
      <c r="A6513" s="1"/>
    </row>
    <row r="6514" spans="1:1" x14ac:dyDescent="0.3">
      <c r="A6514" s="1"/>
    </row>
    <row r="6515" spans="1:1" x14ac:dyDescent="0.3">
      <c r="A6515" s="1"/>
    </row>
    <row r="6516" spans="1:1" x14ac:dyDescent="0.3">
      <c r="A6516" s="1"/>
    </row>
    <row r="6517" spans="1:1" x14ac:dyDescent="0.3">
      <c r="A6517" s="1"/>
    </row>
    <row r="6518" spans="1:1" x14ac:dyDescent="0.3">
      <c r="A6518" s="1"/>
    </row>
    <row r="6519" spans="1:1" x14ac:dyDescent="0.3">
      <c r="A6519" s="1"/>
    </row>
    <row r="6520" spans="1:1" x14ac:dyDescent="0.3">
      <c r="A6520" s="1"/>
    </row>
    <row r="6521" spans="1:1" x14ac:dyDescent="0.3">
      <c r="A6521" s="1"/>
    </row>
    <row r="6522" spans="1:1" x14ac:dyDescent="0.3">
      <c r="A6522" s="1"/>
    </row>
    <row r="6523" spans="1:1" x14ac:dyDescent="0.3">
      <c r="A6523" s="1"/>
    </row>
    <row r="6524" spans="1:1" x14ac:dyDescent="0.3">
      <c r="A6524" s="1"/>
    </row>
    <row r="6525" spans="1:1" x14ac:dyDescent="0.3">
      <c r="A6525" s="1"/>
    </row>
    <row r="6526" spans="1:1" x14ac:dyDescent="0.3">
      <c r="A6526" s="1"/>
    </row>
    <row r="6527" spans="1:1" x14ac:dyDescent="0.3">
      <c r="A6527" s="1"/>
    </row>
    <row r="6528" spans="1:1" x14ac:dyDescent="0.3">
      <c r="A6528" s="1"/>
    </row>
    <row r="6529" spans="1:1" x14ac:dyDescent="0.3">
      <c r="A6529" s="1"/>
    </row>
    <row r="6530" spans="1:1" x14ac:dyDescent="0.3">
      <c r="A6530" s="1"/>
    </row>
    <row r="6531" spans="1:1" x14ac:dyDescent="0.3">
      <c r="A6531" s="1"/>
    </row>
    <row r="6532" spans="1:1" x14ac:dyDescent="0.3">
      <c r="A6532" s="1"/>
    </row>
    <row r="6533" spans="1:1" x14ac:dyDescent="0.3">
      <c r="A6533" s="1"/>
    </row>
    <row r="6534" spans="1:1" x14ac:dyDescent="0.3">
      <c r="A6534" s="1"/>
    </row>
    <row r="6535" spans="1:1" x14ac:dyDescent="0.3">
      <c r="A6535" s="1"/>
    </row>
    <row r="6536" spans="1:1" x14ac:dyDescent="0.3">
      <c r="A6536" s="1"/>
    </row>
    <row r="6537" spans="1:1" x14ac:dyDescent="0.3">
      <c r="A6537" s="1"/>
    </row>
    <row r="6538" spans="1:1" x14ac:dyDescent="0.3">
      <c r="A6538" s="1"/>
    </row>
    <row r="6539" spans="1:1" x14ac:dyDescent="0.3">
      <c r="A6539" s="1"/>
    </row>
    <row r="6540" spans="1:1" x14ac:dyDescent="0.3">
      <c r="A6540" s="1"/>
    </row>
    <row r="6541" spans="1:1" x14ac:dyDescent="0.3">
      <c r="A6541" s="1"/>
    </row>
    <row r="6542" spans="1:1" x14ac:dyDescent="0.3">
      <c r="A6542" s="1"/>
    </row>
    <row r="6543" spans="1:1" x14ac:dyDescent="0.3">
      <c r="A6543" s="1"/>
    </row>
    <row r="6544" spans="1:1" x14ac:dyDescent="0.3">
      <c r="A6544" s="1"/>
    </row>
    <row r="6545" spans="1:1" x14ac:dyDescent="0.3">
      <c r="A6545" s="1"/>
    </row>
    <row r="6546" spans="1:1" x14ac:dyDescent="0.3">
      <c r="A6546" s="1"/>
    </row>
    <row r="6547" spans="1:1" x14ac:dyDescent="0.3">
      <c r="A6547" s="1"/>
    </row>
    <row r="6548" spans="1:1" x14ac:dyDescent="0.3">
      <c r="A6548" s="1"/>
    </row>
    <row r="6549" spans="1:1" x14ac:dyDescent="0.3">
      <c r="A6549" s="1"/>
    </row>
    <row r="6550" spans="1:1" x14ac:dyDescent="0.3">
      <c r="A6550" s="1"/>
    </row>
    <row r="6551" spans="1:1" x14ac:dyDescent="0.3">
      <c r="A6551" s="1"/>
    </row>
    <row r="6552" spans="1:1" x14ac:dyDescent="0.3">
      <c r="A6552" s="1"/>
    </row>
    <row r="6553" spans="1:1" x14ac:dyDescent="0.3">
      <c r="A6553" s="1"/>
    </row>
    <row r="6554" spans="1:1" x14ac:dyDescent="0.3">
      <c r="A6554" s="1"/>
    </row>
    <row r="6555" spans="1:1" x14ac:dyDescent="0.3">
      <c r="A6555" s="1"/>
    </row>
    <row r="6556" spans="1:1" x14ac:dyDescent="0.3">
      <c r="A6556" s="1"/>
    </row>
    <row r="6557" spans="1:1" x14ac:dyDescent="0.3">
      <c r="A6557" s="1"/>
    </row>
    <row r="6558" spans="1:1" x14ac:dyDescent="0.3">
      <c r="A6558" s="1"/>
    </row>
    <row r="6559" spans="1:1" x14ac:dyDescent="0.3">
      <c r="A6559" s="1"/>
    </row>
    <row r="6560" spans="1:1" x14ac:dyDescent="0.3">
      <c r="A6560" s="1"/>
    </row>
    <row r="6561" spans="1:1" x14ac:dyDescent="0.3">
      <c r="A6561" s="1"/>
    </row>
    <row r="6562" spans="1:1" x14ac:dyDescent="0.3">
      <c r="A6562" s="1"/>
    </row>
    <row r="6563" spans="1:1" x14ac:dyDescent="0.3">
      <c r="A6563" s="1"/>
    </row>
    <row r="6564" spans="1:1" x14ac:dyDescent="0.3">
      <c r="A6564" s="1"/>
    </row>
    <row r="6565" spans="1:1" x14ac:dyDescent="0.3">
      <c r="A6565" s="1"/>
    </row>
    <row r="6566" spans="1:1" x14ac:dyDescent="0.3">
      <c r="A6566" s="1"/>
    </row>
    <row r="6567" spans="1:1" x14ac:dyDescent="0.3">
      <c r="A6567" s="1"/>
    </row>
    <row r="6568" spans="1:1" x14ac:dyDescent="0.3">
      <c r="A6568" s="1"/>
    </row>
    <row r="6569" spans="1:1" x14ac:dyDescent="0.3">
      <c r="A6569" s="1"/>
    </row>
    <row r="6570" spans="1:1" x14ac:dyDescent="0.3">
      <c r="A6570" s="1"/>
    </row>
    <row r="6571" spans="1:1" x14ac:dyDescent="0.3">
      <c r="A6571" s="1"/>
    </row>
    <row r="6572" spans="1:1" x14ac:dyDescent="0.3">
      <c r="A6572" s="1"/>
    </row>
    <row r="6573" spans="1:1" x14ac:dyDescent="0.3">
      <c r="A6573" s="1"/>
    </row>
    <row r="6574" spans="1:1" x14ac:dyDescent="0.3">
      <c r="A6574" s="1"/>
    </row>
    <row r="6575" spans="1:1" x14ac:dyDescent="0.3">
      <c r="A6575" s="1"/>
    </row>
    <row r="6576" spans="1:1" x14ac:dyDescent="0.3">
      <c r="A6576" s="1"/>
    </row>
    <row r="6577" spans="1:1" x14ac:dyDescent="0.3">
      <c r="A6577" s="1"/>
    </row>
    <row r="6578" spans="1:1" x14ac:dyDescent="0.3">
      <c r="A6578" s="1"/>
    </row>
    <row r="6579" spans="1:1" x14ac:dyDescent="0.3">
      <c r="A6579" s="1"/>
    </row>
    <row r="6580" spans="1:1" x14ac:dyDescent="0.3">
      <c r="A6580" s="1"/>
    </row>
    <row r="6581" spans="1:1" x14ac:dyDescent="0.3">
      <c r="A6581" s="1"/>
    </row>
    <row r="6582" spans="1:1" x14ac:dyDescent="0.3">
      <c r="A6582" s="1"/>
    </row>
    <row r="6583" spans="1:1" x14ac:dyDescent="0.3">
      <c r="A6583" s="1"/>
    </row>
    <row r="6584" spans="1:1" x14ac:dyDescent="0.3">
      <c r="A6584" s="1"/>
    </row>
    <row r="6585" spans="1:1" x14ac:dyDescent="0.3">
      <c r="A6585" s="1"/>
    </row>
    <row r="6586" spans="1:1" x14ac:dyDescent="0.3">
      <c r="A6586" s="1"/>
    </row>
    <row r="6587" spans="1:1" x14ac:dyDescent="0.3">
      <c r="A6587" s="1"/>
    </row>
    <row r="6588" spans="1:1" x14ac:dyDescent="0.3">
      <c r="A6588" s="1"/>
    </row>
    <row r="6589" spans="1:1" x14ac:dyDescent="0.3">
      <c r="A6589" s="1"/>
    </row>
    <row r="6590" spans="1:1" x14ac:dyDescent="0.3">
      <c r="A6590" s="1"/>
    </row>
    <row r="6591" spans="1:1" x14ac:dyDescent="0.3">
      <c r="A6591" s="1"/>
    </row>
    <row r="6592" spans="1:1" x14ac:dyDescent="0.3">
      <c r="A6592" s="1"/>
    </row>
    <row r="6593" spans="1:1" x14ac:dyDescent="0.3">
      <c r="A6593" s="1"/>
    </row>
    <row r="6594" spans="1:1" x14ac:dyDescent="0.3">
      <c r="A6594" s="1"/>
    </row>
    <row r="6595" spans="1:1" x14ac:dyDescent="0.3">
      <c r="A6595" s="1"/>
    </row>
    <row r="6596" spans="1:1" x14ac:dyDescent="0.3">
      <c r="A6596" s="1"/>
    </row>
    <row r="6597" spans="1:1" x14ac:dyDescent="0.3">
      <c r="A6597" s="1"/>
    </row>
    <row r="6598" spans="1:1" x14ac:dyDescent="0.3">
      <c r="A6598" s="1"/>
    </row>
    <row r="6599" spans="1:1" x14ac:dyDescent="0.3">
      <c r="A6599" s="1"/>
    </row>
    <row r="6600" spans="1:1" x14ac:dyDescent="0.3">
      <c r="A6600" s="1"/>
    </row>
    <row r="6601" spans="1:1" x14ac:dyDescent="0.3">
      <c r="A6601" s="1"/>
    </row>
    <row r="6602" spans="1:1" x14ac:dyDescent="0.3">
      <c r="A6602" s="1"/>
    </row>
    <row r="6603" spans="1:1" x14ac:dyDescent="0.3">
      <c r="A6603" s="1"/>
    </row>
    <row r="6604" spans="1:1" x14ac:dyDescent="0.3">
      <c r="A6604" s="1"/>
    </row>
    <row r="6605" spans="1:1" x14ac:dyDescent="0.3">
      <c r="A6605" s="1"/>
    </row>
    <row r="6606" spans="1:1" x14ac:dyDescent="0.3">
      <c r="A6606" s="1"/>
    </row>
    <row r="6607" spans="1:1" x14ac:dyDescent="0.3">
      <c r="A6607" s="1"/>
    </row>
    <row r="6608" spans="1:1" x14ac:dyDescent="0.3">
      <c r="A6608" s="1"/>
    </row>
    <row r="6609" spans="1:1" x14ac:dyDescent="0.3">
      <c r="A6609" s="1"/>
    </row>
    <row r="6610" spans="1:1" x14ac:dyDescent="0.3">
      <c r="A6610" s="1"/>
    </row>
    <row r="6611" spans="1:1" x14ac:dyDescent="0.3">
      <c r="A6611" s="1"/>
    </row>
    <row r="6612" spans="1:1" x14ac:dyDescent="0.3">
      <c r="A6612" s="1"/>
    </row>
    <row r="6613" spans="1:1" x14ac:dyDescent="0.3">
      <c r="A6613" s="1"/>
    </row>
    <row r="6614" spans="1:1" x14ac:dyDescent="0.3">
      <c r="A6614" s="1"/>
    </row>
    <row r="6615" spans="1:1" x14ac:dyDescent="0.3">
      <c r="A6615" s="1"/>
    </row>
    <row r="6616" spans="1:1" x14ac:dyDescent="0.3">
      <c r="A6616" s="1"/>
    </row>
    <row r="6617" spans="1:1" x14ac:dyDescent="0.3">
      <c r="A6617" s="1"/>
    </row>
    <row r="6618" spans="1:1" x14ac:dyDescent="0.3">
      <c r="A6618" s="1"/>
    </row>
    <row r="6619" spans="1:1" x14ac:dyDescent="0.3">
      <c r="A6619" s="1"/>
    </row>
    <row r="6620" spans="1:1" x14ac:dyDescent="0.3">
      <c r="A6620" s="1"/>
    </row>
    <row r="6621" spans="1:1" x14ac:dyDescent="0.3">
      <c r="A6621" s="1"/>
    </row>
    <row r="6622" spans="1:1" x14ac:dyDescent="0.3">
      <c r="A6622" s="1"/>
    </row>
    <row r="6623" spans="1:1" x14ac:dyDescent="0.3">
      <c r="A6623" s="1"/>
    </row>
    <row r="6624" spans="1:1" x14ac:dyDescent="0.3">
      <c r="A6624" s="1"/>
    </row>
    <row r="6625" spans="1:1" x14ac:dyDescent="0.3">
      <c r="A6625" s="1"/>
    </row>
    <row r="6626" spans="1:1" x14ac:dyDescent="0.3">
      <c r="A6626" s="1"/>
    </row>
    <row r="6627" spans="1:1" x14ac:dyDescent="0.3">
      <c r="A6627" s="1"/>
    </row>
    <row r="6628" spans="1:1" x14ac:dyDescent="0.3">
      <c r="A6628" s="1"/>
    </row>
    <row r="6629" spans="1:1" x14ac:dyDescent="0.3">
      <c r="A6629" s="1"/>
    </row>
    <row r="6630" spans="1:1" x14ac:dyDescent="0.3">
      <c r="A6630" s="1"/>
    </row>
    <row r="6631" spans="1:1" x14ac:dyDescent="0.3">
      <c r="A6631" s="1"/>
    </row>
    <row r="6632" spans="1:1" x14ac:dyDescent="0.3">
      <c r="A6632" s="1"/>
    </row>
    <row r="6633" spans="1:1" x14ac:dyDescent="0.3">
      <c r="A6633" s="1"/>
    </row>
    <row r="6634" spans="1:1" x14ac:dyDescent="0.3">
      <c r="A6634" s="1"/>
    </row>
    <row r="6635" spans="1:1" x14ac:dyDescent="0.3">
      <c r="A6635" s="1"/>
    </row>
    <row r="6636" spans="1:1" x14ac:dyDescent="0.3">
      <c r="A6636" s="1"/>
    </row>
    <row r="6637" spans="1:1" x14ac:dyDescent="0.3">
      <c r="A6637" s="1"/>
    </row>
    <row r="6638" spans="1:1" x14ac:dyDescent="0.3">
      <c r="A6638" s="1"/>
    </row>
    <row r="6639" spans="1:1" x14ac:dyDescent="0.3">
      <c r="A6639" s="1"/>
    </row>
    <row r="6640" spans="1:1" x14ac:dyDescent="0.3">
      <c r="A6640" s="1"/>
    </row>
    <row r="6641" spans="1:1" x14ac:dyDescent="0.3">
      <c r="A6641" s="1"/>
    </row>
    <row r="6642" spans="1:1" x14ac:dyDescent="0.3">
      <c r="A6642" s="1"/>
    </row>
    <row r="6643" spans="1:1" x14ac:dyDescent="0.3">
      <c r="A6643" s="1"/>
    </row>
    <row r="6644" spans="1:1" x14ac:dyDescent="0.3">
      <c r="A6644" s="1"/>
    </row>
    <row r="6645" spans="1:1" x14ac:dyDescent="0.3">
      <c r="A6645" s="1"/>
    </row>
    <row r="6646" spans="1:1" x14ac:dyDescent="0.3">
      <c r="A6646" s="1"/>
    </row>
    <row r="6647" spans="1:1" x14ac:dyDescent="0.3">
      <c r="A6647" s="1"/>
    </row>
    <row r="6648" spans="1:1" x14ac:dyDescent="0.3">
      <c r="A6648" s="1"/>
    </row>
    <row r="6649" spans="1:1" x14ac:dyDescent="0.3">
      <c r="A6649" s="1"/>
    </row>
    <row r="6650" spans="1:1" x14ac:dyDescent="0.3">
      <c r="A6650" s="1"/>
    </row>
    <row r="6651" spans="1:1" x14ac:dyDescent="0.3">
      <c r="A6651" s="1"/>
    </row>
    <row r="6652" spans="1:1" x14ac:dyDescent="0.3">
      <c r="A6652" s="1"/>
    </row>
    <row r="6653" spans="1:1" x14ac:dyDescent="0.3">
      <c r="A6653" s="1"/>
    </row>
    <row r="6654" spans="1:1" x14ac:dyDescent="0.3">
      <c r="A6654" s="1"/>
    </row>
    <row r="6655" spans="1:1" x14ac:dyDescent="0.3">
      <c r="A6655" s="1"/>
    </row>
    <row r="6656" spans="1:1" x14ac:dyDescent="0.3">
      <c r="A6656" s="1"/>
    </row>
    <row r="6657" spans="1:1" x14ac:dyDescent="0.3">
      <c r="A6657" s="1"/>
    </row>
    <row r="6658" spans="1:1" x14ac:dyDescent="0.3">
      <c r="A6658" s="1"/>
    </row>
    <row r="6659" spans="1:1" x14ac:dyDescent="0.3">
      <c r="A6659" s="1"/>
    </row>
    <row r="6660" spans="1:1" x14ac:dyDescent="0.3">
      <c r="A6660" s="1"/>
    </row>
    <row r="6661" spans="1:1" x14ac:dyDescent="0.3">
      <c r="A6661" s="1"/>
    </row>
    <row r="6662" spans="1:1" x14ac:dyDescent="0.3">
      <c r="A6662" s="1"/>
    </row>
    <row r="6663" spans="1:1" x14ac:dyDescent="0.3">
      <c r="A6663" s="1"/>
    </row>
    <row r="6664" spans="1:1" x14ac:dyDescent="0.3">
      <c r="A6664" s="1"/>
    </row>
    <row r="6665" spans="1:1" x14ac:dyDescent="0.3">
      <c r="A6665" s="1"/>
    </row>
    <row r="6666" spans="1:1" x14ac:dyDescent="0.3">
      <c r="A6666" s="1"/>
    </row>
    <row r="6667" spans="1:1" x14ac:dyDescent="0.3">
      <c r="A6667" s="1"/>
    </row>
    <row r="6668" spans="1:1" x14ac:dyDescent="0.3">
      <c r="A6668" s="1"/>
    </row>
    <row r="6669" spans="1:1" x14ac:dyDescent="0.3">
      <c r="A6669" s="1"/>
    </row>
    <row r="6670" spans="1:1" x14ac:dyDescent="0.3">
      <c r="A6670" s="1"/>
    </row>
    <row r="6671" spans="1:1" x14ac:dyDescent="0.3">
      <c r="A6671" s="1"/>
    </row>
    <row r="6672" spans="1:1" x14ac:dyDescent="0.3">
      <c r="A6672" s="1"/>
    </row>
    <row r="6673" spans="1:1" x14ac:dyDescent="0.3">
      <c r="A6673" s="1"/>
    </row>
    <row r="6674" spans="1:1" x14ac:dyDescent="0.3">
      <c r="A6674" s="1"/>
    </row>
    <row r="6675" spans="1:1" x14ac:dyDescent="0.3">
      <c r="A6675" s="1"/>
    </row>
    <row r="6676" spans="1:1" x14ac:dyDescent="0.3">
      <c r="A6676" s="1"/>
    </row>
    <row r="6677" spans="1:1" x14ac:dyDescent="0.3">
      <c r="A6677" s="1"/>
    </row>
    <row r="6678" spans="1:1" x14ac:dyDescent="0.3">
      <c r="A6678" s="1"/>
    </row>
    <row r="6679" spans="1:1" x14ac:dyDescent="0.3">
      <c r="A6679" s="1"/>
    </row>
    <row r="6680" spans="1:1" x14ac:dyDescent="0.3">
      <c r="A6680" s="1"/>
    </row>
    <row r="6681" spans="1:1" x14ac:dyDescent="0.3">
      <c r="A6681" s="1"/>
    </row>
    <row r="6682" spans="1:1" x14ac:dyDescent="0.3">
      <c r="A6682" s="1"/>
    </row>
    <row r="6683" spans="1:1" x14ac:dyDescent="0.3">
      <c r="A6683" s="1"/>
    </row>
    <row r="6684" spans="1:1" x14ac:dyDescent="0.3">
      <c r="A6684" s="1"/>
    </row>
    <row r="6685" spans="1:1" x14ac:dyDescent="0.3">
      <c r="A6685" s="1"/>
    </row>
    <row r="6686" spans="1:1" x14ac:dyDescent="0.3">
      <c r="A6686" s="1"/>
    </row>
    <row r="6687" spans="1:1" x14ac:dyDescent="0.3">
      <c r="A6687" s="1"/>
    </row>
    <row r="6688" spans="1:1" x14ac:dyDescent="0.3">
      <c r="A6688" s="1"/>
    </row>
    <row r="6689" spans="1:1" x14ac:dyDescent="0.3">
      <c r="A6689" s="1"/>
    </row>
    <row r="6690" spans="1:1" x14ac:dyDescent="0.3">
      <c r="A6690" s="1"/>
    </row>
    <row r="6691" spans="1:1" x14ac:dyDescent="0.3">
      <c r="A6691" s="1"/>
    </row>
    <row r="6692" spans="1:1" x14ac:dyDescent="0.3">
      <c r="A6692" s="1"/>
    </row>
    <row r="6693" spans="1:1" x14ac:dyDescent="0.3">
      <c r="A6693" s="1"/>
    </row>
    <row r="6694" spans="1:1" x14ac:dyDescent="0.3">
      <c r="A6694" s="1"/>
    </row>
    <row r="6695" spans="1:1" x14ac:dyDescent="0.3">
      <c r="A6695" s="1"/>
    </row>
    <row r="6696" spans="1:1" x14ac:dyDescent="0.3">
      <c r="A6696" s="1"/>
    </row>
    <row r="6697" spans="1:1" x14ac:dyDescent="0.3">
      <c r="A6697" s="1"/>
    </row>
    <row r="6698" spans="1:1" x14ac:dyDescent="0.3">
      <c r="A6698" s="1"/>
    </row>
    <row r="6699" spans="1:1" x14ac:dyDescent="0.3">
      <c r="A6699" s="1"/>
    </row>
    <row r="6700" spans="1:1" x14ac:dyDescent="0.3">
      <c r="A6700" s="1"/>
    </row>
    <row r="6701" spans="1:1" x14ac:dyDescent="0.3">
      <c r="A6701" s="1"/>
    </row>
    <row r="6702" spans="1:1" x14ac:dyDescent="0.3">
      <c r="A6702" s="1"/>
    </row>
    <row r="6703" spans="1:1" x14ac:dyDescent="0.3">
      <c r="A6703" s="1"/>
    </row>
    <row r="6704" spans="1:1" x14ac:dyDescent="0.3">
      <c r="A6704" s="1"/>
    </row>
    <row r="6705" spans="1:1" x14ac:dyDescent="0.3">
      <c r="A6705" s="1"/>
    </row>
    <row r="6706" spans="1:1" x14ac:dyDescent="0.3">
      <c r="A6706" s="1"/>
    </row>
    <row r="6707" spans="1:1" x14ac:dyDescent="0.3">
      <c r="A6707" s="1"/>
    </row>
    <row r="6708" spans="1:1" x14ac:dyDescent="0.3">
      <c r="A6708" s="1"/>
    </row>
    <row r="6709" spans="1:1" x14ac:dyDescent="0.3">
      <c r="A6709" s="1"/>
    </row>
    <row r="6710" spans="1:1" x14ac:dyDescent="0.3">
      <c r="A6710" s="1"/>
    </row>
    <row r="6711" spans="1:1" x14ac:dyDescent="0.3">
      <c r="A6711" s="1"/>
    </row>
    <row r="6712" spans="1:1" x14ac:dyDescent="0.3">
      <c r="A6712" s="1"/>
    </row>
    <row r="6713" spans="1:1" x14ac:dyDescent="0.3">
      <c r="A6713" s="1"/>
    </row>
    <row r="6714" spans="1:1" x14ac:dyDescent="0.3">
      <c r="A6714" s="1"/>
    </row>
    <row r="6715" spans="1:1" x14ac:dyDescent="0.3">
      <c r="A6715" s="1"/>
    </row>
    <row r="6716" spans="1:1" x14ac:dyDescent="0.3">
      <c r="A6716" s="1"/>
    </row>
    <row r="6717" spans="1:1" x14ac:dyDescent="0.3">
      <c r="A6717" s="1"/>
    </row>
    <row r="6718" spans="1:1" x14ac:dyDescent="0.3">
      <c r="A6718" s="1"/>
    </row>
    <row r="6719" spans="1:1" x14ac:dyDescent="0.3">
      <c r="A6719" s="1"/>
    </row>
    <row r="6720" spans="1:1" x14ac:dyDescent="0.3">
      <c r="A6720" s="1"/>
    </row>
    <row r="6721" spans="1:1" x14ac:dyDescent="0.3">
      <c r="A6721" s="1"/>
    </row>
    <row r="6722" spans="1:1" x14ac:dyDescent="0.3">
      <c r="A6722" s="1"/>
    </row>
    <row r="6723" spans="1:1" x14ac:dyDescent="0.3">
      <c r="A6723" s="1"/>
    </row>
    <row r="6724" spans="1:1" x14ac:dyDescent="0.3">
      <c r="A6724" s="1"/>
    </row>
    <row r="6725" spans="1:1" x14ac:dyDescent="0.3">
      <c r="A6725" s="1"/>
    </row>
    <row r="6726" spans="1:1" x14ac:dyDescent="0.3">
      <c r="A6726" s="1"/>
    </row>
    <row r="6727" spans="1:1" x14ac:dyDescent="0.3">
      <c r="A6727" s="1"/>
    </row>
    <row r="6728" spans="1:1" x14ac:dyDescent="0.3">
      <c r="A6728" s="1"/>
    </row>
    <row r="6729" spans="1:1" x14ac:dyDescent="0.3">
      <c r="A6729" s="1"/>
    </row>
    <row r="6730" spans="1:1" x14ac:dyDescent="0.3">
      <c r="A6730" s="1"/>
    </row>
    <row r="6731" spans="1:1" x14ac:dyDescent="0.3">
      <c r="A6731" s="1"/>
    </row>
    <row r="6732" spans="1:1" x14ac:dyDescent="0.3">
      <c r="A6732" s="1"/>
    </row>
    <row r="6733" spans="1:1" x14ac:dyDescent="0.3">
      <c r="A6733" s="1"/>
    </row>
    <row r="6734" spans="1:1" x14ac:dyDescent="0.3">
      <c r="A6734" s="1"/>
    </row>
    <row r="6735" spans="1:1" x14ac:dyDescent="0.3">
      <c r="A6735" s="1"/>
    </row>
    <row r="6736" spans="1:1" x14ac:dyDescent="0.3">
      <c r="A6736" s="1"/>
    </row>
    <row r="6737" spans="1:1" x14ac:dyDescent="0.3">
      <c r="A6737" s="1"/>
    </row>
    <row r="6738" spans="1:1" x14ac:dyDescent="0.3">
      <c r="A6738" s="1"/>
    </row>
    <row r="6739" spans="1:1" x14ac:dyDescent="0.3">
      <c r="A6739" s="1"/>
    </row>
    <row r="6740" spans="1:1" x14ac:dyDescent="0.3">
      <c r="A6740" s="1"/>
    </row>
    <row r="6741" spans="1:1" x14ac:dyDescent="0.3">
      <c r="A6741" s="1"/>
    </row>
    <row r="6742" spans="1:1" x14ac:dyDescent="0.3">
      <c r="A6742" s="1"/>
    </row>
    <row r="6743" spans="1:1" x14ac:dyDescent="0.3">
      <c r="A6743" s="1"/>
    </row>
    <row r="6744" spans="1:1" x14ac:dyDescent="0.3">
      <c r="A6744" s="1"/>
    </row>
    <row r="6745" spans="1:1" x14ac:dyDescent="0.3">
      <c r="A6745" s="1"/>
    </row>
    <row r="6746" spans="1:1" x14ac:dyDescent="0.3">
      <c r="A6746" s="1"/>
    </row>
    <row r="6747" spans="1:1" x14ac:dyDescent="0.3">
      <c r="A6747" s="1"/>
    </row>
    <row r="6748" spans="1:1" x14ac:dyDescent="0.3">
      <c r="A6748" s="1"/>
    </row>
    <row r="6749" spans="1:1" x14ac:dyDescent="0.3">
      <c r="A6749" s="1"/>
    </row>
    <row r="6750" spans="1:1" x14ac:dyDescent="0.3">
      <c r="A6750" s="1"/>
    </row>
    <row r="6751" spans="1:1" x14ac:dyDescent="0.3">
      <c r="A6751" s="1"/>
    </row>
    <row r="6752" spans="1:1" x14ac:dyDescent="0.3">
      <c r="A6752" s="1"/>
    </row>
    <row r="6753" spans="1:1" x14ac:dyDescent="0.3">
      <c r="A6753" s="1"/>
    </row>
    <row r="6754" spans="1:1" x14ac:dyDescent="0.3">
      <c r="A6754" s="1"/>
    </row>
    <row r="6755" spans="1:1" x14ac:dyDescent="0.3">
      <c r="A6755" s="1"/>
    </row>
    <row r="6756" spans="1:1" x14ac:dyDescent="0.3">
      <c r="A6756" s="1"/>
    </row>
    <row r="6757" spans="1:1" x14ac:dyDescent="0.3">
      <c r="A6757" s="1"/>
    </row>
    <row r="6758" spans="1:1" x14ac:dyDescent="0.3">
      <c r="A6758" s="1"/>
    </row>
    <row r="6759" spans="1:1" x14ac:dyDescent="0.3">
      <c r="A6759" s="1"/>
    </row>
    <row r="6760" spans="1:1" x14ac:dyDescent="0.3">
      <c r="A6760" s="1"/>
    </row>
    <row r="6761" spans="1:1" x14ac:dyDescent="0.3">
      <c r="A6761" s="1"/>
    </row>
    <row r="6762" spans="1:1" x14ac:dyDescent="0.3">
      <c r="A6762" s="1"/>
    </row>
    <row r="6763" spans="1:1" x14ac:dyDescent="0.3">
      <c r="A6763" s="1"/>
    </row>
    <row r="6764" spans="1:1" x14ac:dyDescent="0.3">
      <c r="A6764" s="1"/>
    </row>
    <row r="6765" spans="1:1" x14ac:dyDescent="0.3">
      <c r="A6765" s="1"/>
    </row>
    <row r="6766" spans="1:1" x14ac:dyDescent="0.3">
      <c r="A6766" s="1"/>
    </row>
    <row r="6767" spans="1:1" x14ac:dyDescent="0.3">
      <c r="A6767" s="1"/>
    </row>
    <row r="6768" spans="1:1" x14ac:dyDescent="0.3">
      <c r="A6768" s="1"/>
    </row>
    <row r="6769" spans="1:1" x14ac:dyDescent="0.3">
      <c r="A6769" s="1"/>
    </row>
    <row r="6770" spans="1:1" x14ac:dyDescent="0.3">
      <c r="A6770" s="1"/>
    </row>
    <row r="6771" spans="1:1" x14ac:dyDescent="0.3">
      <c r="A6771" s="1"/>
    </row>
    <row r="6772" spans="1:1" x14ac:dyDescent="0.3">
      <c r="A6772" s="1"/>
    </row>
    <row r="6773" spans="1:1" x14ac:dyDescent="0.3">
      <c r="A6773" s="1"/>
    </row>
    <row r="6774" spans="1:1" x14ac:dyDescent="0.3">
      <c r="A6774" s="1"/>
    </row>
    <row r="6775" spans="1:1" x14ac:dyDescent="0.3">
      <c r="A6775" s="1"/>
    </row>
    <row r="6776" spans="1:1" x14ac:dyDescent="0.3">
      <c r="A6776" s="1"/>
    </row>
    <row r="6777" spans="1:1" x14ac:dyDescent="0.3">
      <c r="A6777" s="1"/>
    </row>
    <row r="6778" spans="1:1" x14ac:dyDescent="0.3">
      <c r="A6778" s="1"/>
    </row>
    <row r="6779" spans="1:1" x14ac:dyDescent="0.3">
      <c r="A6779" s="1"/>
    </row>
    <row r="6780" spans="1:1" x14ac:dyDescent="0.3">
      <c r="A6780" s="1"/>
    </row>
    <row r="6781" spans="1:1" x14ac:dyDescent="0.3">
      <c r="A6781" s="1"/>
    </row>
    <row r="6782" spans="1:1" x14ac:dyDescent="0.3">
      <c r="A6782" s="1"/>
    </row>
    <row r="6783" spans="1:1" x14ac:dyDescent="0.3">
      <c r="A6783" s="1"/>
    </row>
    <row r="6784" spans="1:1" x14ac:dyDescent="0.3">
      <c r="A6784" s="1"/>
    </row>
    <row r="6785" spans="1:1" x14ac:dyDescent="0.3">
      <c r="A6785" s="1"/>
    </row>
    <row r="6786" spans="1:1" x14ac:dyDescent="0.3">
      <c r="A6786" s="1"/>
    </row>
    <row r="6787" spans="1:1" x14ac:dyDescent="0.3">
      <c r="A6787" s="1"/>
    </row>
    <row r="6788" spans="1:1" x14ac:dyDescent="0.3">
      <c r="A6788" s="1"/>
    </row>
    <row r="6789" spans="1:1" x14ac:dyDescent="0.3">
      <c r="A6789" s="1"/>
    </row>
    <row r="6790" spans="1:1" x14ac:dyDescent="0.3">
      <c r="A6790" s="1"/>
    </row>
    <row r="6791" spans="1:1" x14ac:dyDescent="0.3">
      <c r="A6791" s="1"/>
    </row>
    <row r="6792" spans="1:1" x14ac:dyDescent="0.3">
      <c r="A6792" s="1"/>
    </row>
    <row r="6793" spans="1:1" x14ac:dyDescent="0.3">
      <c r="A6793" s="1"/>
    </row>
    <row r="6794" spans="1:1" x14ac:dyDescent="0.3">
      <c r="A6794" s="1"/>
    </row>
    <row r="6795" spans="1:1" x14ac:dyDescent="0.3">
      <c r="A6795" s="1"/>
    </row>
    <row r="6796" spans="1:1" x14ac:dyDescent="0.3">
      <c r="A6796" s="1"/>
    </row>
    <row r="6797" spans="1:1" x14ac:dyDescent="0.3">
      <c r="A6797" s="1"/>
    </row>
    <row r="6798" spans="1:1" x14ac:dyDescent="0.3">
      <c r="A6798" s="1"/>
    </row>
    <row r="6799" spans="1:1" x14ac:dyDescent="0.3">
      <c r="A6799" s="1"/>
    </row>
    <row r="6800" spans="1:1" x14ac:dyDescent="0.3">
      <c r="A6800" s="1"/>
    </row>
    <row r="6801" spans="1:1" x14ac:dyDescent="0.3">
      <c r="A6801" s="1"/>
    </row>
    <row r="6802" spans="1:1" x14ac:dyDescent="0.3">
      <c r="A6802" s="1"/>
    </row>
    <row r="6803" spans="1:1" x14ac:dyDescent="0.3">
      <c r="A6803" s="1"/>
    </row>
    <row r="6804" spans="1:1" x14ac:dyDescent="0.3">
      <c r="A6804" s="1"/>
    </row>
    <row r="6805" spans="1:1" x14ac:dyDescent="0.3">
      <c r="A6805" s="1"/>
    </row>
    <row r="6806" spans="1:1" x14ac:dyDescent="0.3">
      <c r="A6806" s="1"/>
    </row>
    <row r="6807" spans="1:1" x14ac:dyDescent="0.3">
      <c r="A6807" s="1"/>
    </row>
    <row r="6808" spans="1:1" x14ac:dyDescent="0.3">
      <c r="A6808" s="1"/>
    </row>
    <row r="6809" spans="1:1" x14ac:dyDescent="0.3">
      <c r="A6809" s="1"/>
    </row>
    <row r="6810" spans="1:1" x14ac:dyDescent="0.3">
      <c r="A6810" s="1"/>
    </row>
    <row r="6811" spans="1:1" x14ac:dyDescent="0.3">
      <c r="A6811" s="1"/>
    </row>
    <row r="6812" spans="1:1" x14ac:dyDescent="0.3">
      <c r="A6812" s="1"/>
    </row>
    <row r="6813" spans="1:1" x14ac:dyDescent="0.3">
      <c r="A6813" s="1"/>
    </row>
    <row r="6814" spans="1:1" x14ac:dyDescent="0.3">
      <c r="A6814" s="1"/>
    </row>
    <row r="6815" spans="1:1" x14ac:dyDescent="0.3">
      <c r="A6815" s="1"/>
    </row>
    <row r="6816" spans="1:1" x14ac:dyDescent="0.3">
      <c r="A6816" s="1"/>
    </row>
    <row r="6817" spans="1:1" x14ac:dyDescent="0.3">
      <c r="A6817" s="1"/>
    </row>
    <row r="6818" spans="1:1" x14ac:dyDescent="0.3">
      <c r="A6818" s="1"/>
    </row>
    <row r="6819" spans="1:1" x14ac:dyDescent="0.3">
      <c r="A6819" s="1"/>
    </row>
    <row r="6820" spans="1:1" x14ac:dyDescent="0.3">
      <c r="A6820" s="1"/>
    </row>
    <row r="6821" spans="1:1" x14ac:dyDescent="0.3">
      <c r="A6821" s="1"/>
    </row>
    <row r="6822" spans="1:1" x14ac:dyDescent="0.3">
      <c r="A6822" s="1"/>
    </row>
    <row r="6823" spans="1:1" x14ac:dyDescent="0.3">
      <c r="A6823" s="1"/>
    </row>
    <row r="6824" spans="1:1" x14ac:dyDescent="0.3">
      <c r="A6824" s="1"/>
    </row>
    <row r="6825" spans="1:1" x14ac:dyDescent="0.3">
      <c r="A6825" s="1"/>
    </row>
    <row r="6826" spans="1:1" x14ac:dyDescent="0.3">
      <c r="A6826" s="1"/>
    </row>
    <row r="6827" spans="1:1" x14ac:dyDescent="0.3">
      <c r="A6827" s="1"/>
    </row>
    <row r="6828" spans="1:1" x14ac:dyDescent="0.3">
      <c r="A6828" s="1"/>
    </row>
    <row r="6829" spans="1:1" x14ac:dyDescent="0.3">
      <c r="A6829" s="1"/>
    </row>
    <row r="6830" spans="1:1" x14ac:dyDescent="0.3">
      <c r="A6830" s="1"/>
    </row>
    <row r="6831" spans="1:1" x14ac:dyDescent="0.3">
      <c r="A6831" s="1"/>
    </row>
    <row r="6832" spans="1:1" x14ac:dyDescent="0.3">
      <c r="A6832" s="1"/>
    </row>
    <row r="6833" spans="1:1" x14ac:dyDescent="0.3">
      <c r="A6833" s="1"/>
    </row>
    <row r="6834" spans="1:1" x14ac:dyDescent="0.3">
      <c r="A6834" s="1"/>
    </row>
    <row r="6835" spans="1:1" x14ac:dyDescent="0.3">
      <c r="A6835" s="1"/>
    </row>
    <row r="6836" spans="1:1" x14ac:dyDescent="0.3">
      <c r="A6836" s="1"/>
    </row>
    <row r="6837" spans="1:1" x14ac:dyDescent="0.3">
      <c r="A6837" s="1"/>
    </row>
    <row r="6838" spans="1:1" x14ac:dyDescent="0.3">
      <c r="A6838" s="1"/>
    </row>
    <row r="6839" spans="1:1" x14ac:dyDescent="0.3">
      <c r="A6839" s="1"/>
    </row>
    <row r="6840" spans="1:1" x14ac:dyDescent="0.3">
      <c r="A6840" s="1"/>
    </row>
    <row r="6841" spans="1:1" x14ac:dyDescent="0.3">
      <c r="A6841" s="1"/>
    </row>
    <row r="6842" spans="1:1" x14ac:dyDescent="0.3">
      <c r="A6842" s="1"/>
    </row>
    <row r="6843" spans="1:1" x14ac:dyDescent="0.3">
      <c r="A6843" s="1"/>
    </row>
    <row r="6844" spans="1:1" x14ac:dyDescent="0.3">
      <c r="A6844" s="1"/>
    </row>
    <row r="6845" spans="1:1" x14ac:dyDescent="0.3">
      <c r="A6845" s="1"/>
    </row>
    <row r="6846" spans="1:1" x14ac:dyDescent="0.3">
      <c r="A6846" s="1"/>
    </row>
    <row r="6847" spans="1:1" x14ac:dyDescent="0.3">
      <c r="A6847" s="1"/>
    </row>
    <row r="6848" spans="1:1" x14ac:dyDescent="0.3">
      <c r="A6848" s="1"/>
    </row>
    <row r="6849" spans="1:1" x14ac:dyDescent="0.3">
      <c r="A6849" s="1"/>
    </row>
    <row r="6850" spans="1:1" x14ac:dyDescent="0.3">
      <c r="A6850" s="1"/>
    </row>
    <row r="6851" spans="1:1" x14ac:dyDescent="0.3">
      <c r="A6851" s="1"/>
    </row>
    <row r="6852" spans="1:1" x14ac:dyDescent="0.3">
      <c r="A6852" s="1"/>
    </row>
    <row r="6853" spans="1:1" x14ac:dyDescent="0.3">
      <c r="A6853" s="1"/>
    </row>
    <row r="6854" spans="1:1" x14ac:dyDescent="0.3">
      <c r="A6854" s="1"/>
    </row>
    <row r="6855" spans="1:1" x14ac:dyDescent="0.3">
      <c r="A6855" s="1"/>
    </row>
    <row r="6856" spans="1:1" x14ac:dyDescent="0.3">
      <c r="A6856" s="1"/>
    </row>
    <row r="6857" spans="1:1" x14ac:dyDescent="0.3">
      <c r="A6857" s="1"/>
    </row>
    <row r="6858" spans="1:1" x14ac:dyDescent="0.3">
      <c r="A6858" s="1"/>
    </row>
    <row r="6859" spans="1:1" x14ac:dyDescent="0.3">
      <c r="A6859" s="1"/>
    </row>
    <row r="6860" spans="1:1" x14ac:dyDescent="0.3">
      <c r="A6860" s="1"/>
    </row>
    <row r="6861" spans="1:1" x14ac:dyDescent="0.3">
      <c r="A6861" s="1"/>
    </row>
    <row r="6862" spans="1:1" x14ac:dyDescent="0.3">
      <c r="A6862" s="1"/>
    </row>
    <row r="6863" spans="1:1" x14ac:dyDescent="0.3">
      <c r="A6863" s="1"/>
    </row>
    <row r="6864" spans="1:1" x14ac:dyDescent="0.3">
      <c r="A6864" s="1"/>
    </row>
    <row r="6865" spans="1:1" x14ac:dyDescent="0.3">
      <c r="A6865" s="1"/>
    </row>
    <row r="6866" spans="1:1" x14ac:dyDescent="0.3">
      <c r="A6866" s="1"/>
    </row>
    <row r="6867" spans="1:1" x14ac:dyDescent="0.3">
      <c r="A6867" s="1"/>
    </row>
    <row r="6868" spans="1:1" x14ac:dyDescent="0.3">
      <c r="A6868" s="1"/>
    </row>
    <row r="6869" spans="1:1" x14ac:dyDescent="0.3">
      <c r="A6869" s="1"/>
    </row>
    <row r="6870" spans="1:1" x14ac:dyDescent="0.3">
      <c r="A6870" s="1"/>
    </row>
    <row r="6871" spans="1:1" x14ac:dyDescent="0.3">
      <c r="A6871" s="1"/>
    </row>
    <row r="6872" spans="1:1" x14ac:dyDescent="0.3">
      <c r="A6872" s="1"/>
    </row>
    <row r="6873" spans="1:1" x14ac:dyDescent="0.3">
      <c r="A6873" s="1"/>
    </row>
    <row r="6874" spans="1:1" x14ac:dyDescent="0.3">
      <c r="A6874" s="1"/>
    </row>
    <row r="6875" spans="1:1" x14ac:dyDescent="0.3">
      <c r="A6875" s="1"/>
    </row>
    <row r="6876" spans="1:1" x14ac:dyDescent="0.3">
      <c r="A6876" s="1"/>
    </row>
    <row r="6877" spans="1:1" x14ac:dyDescent="0.3">
      <c r="A6877" s="1"/>
    </row>
    <row r="6878" spans="1:1" x14ac:dyDescent="0.3">
      <c r="A6878" s="1"/>
    </row>
    <row r="6879" spans="1:1" x14ac:dyDescent="0.3">
      <c r="A6879" s="1"/>
    </row>
    <row r="6880" spans="1:1" x14ac:dyDescent="0.3">
      <c r="A6880" s="1"/>
    </row>
    <row r="6881" spans="1:1" x14ac:dyDescent="0.3">
      <c r="A6881" s="1"/>
    </row>
    <row r="6882" spans="1:1" x14ac:dyDescent="0.3">
      <c r="A6882" s="1"/>
    </row>
    <row r="6883" spans="1:1" x14ac:dyDescent="0.3">
      <c r="A6883" s="1"/>
    </row>
    <row r="6884" spans="1:1" x14ac:dyDescent="0.3">
      <c r="A6884" s="1"/>
    </row>
    <row r="6885" spans="1:1" x14ac:dyDescent="0.3">
      <c r="A6885" s="1"/>
    </row>
    <row r="6886" spans="1:1" x14ac:dyDescent="0.3">
      <c r="A6886" s="1"/>
    </row>
    <row r="6887" spans="1:1" x14ac:dyDescent="0.3">
      <c r="A6887" s="1"/>
    </row>
    <row r="6888" spans="1:1" x14ac:dyDescent="0.3">
      <c r="A6888" s="1"/>
    </row>
    <row r="6889" spans="1:1" x14ac:dyDescent="0.3">
      <c r="A6889" s="1"/>
    </row>
    <row r="6890" spans="1:1" x14ac:dyDescent="0.3">
      <c r="A6890" s="1"/>
    </row>
    <row r="6891" spans="1:1" x14ac:dyDescent="0.3">
      <c r="A6891" s="1"/>
    </row>
    <row r="6892" spans="1:1" x14ac:dyDescent="0.3">
      <c r="A6892" s="1"/>
    </row>
    <row r="6893" spans="1:1" x14ac:dyDescent="0.3">
      <c r="A6893" s="1"/>
    </row>
    <row r="6894" spans="1:1" x14ac:dyDescent="0.3">
      <c r="A6894" s="1"/>
    </row>
    <row r="6895" spans="1:1" x14ac:dyDescent="0.3">
      <c r="A6895" s="1"/>
    </row>
    <row r="6896" spans="1:1" x14ac:dyDescent="0.3">
      <c r="A6896" s="1"/>
    </row>
    <row r="6897" spans="1:1" x14ac:dyDescent="0.3">
      <c r="A6897" s="1"/>
    </row>
    <row r="6898" spans="1:1" x14ac:dyDescent="0.3">
      <c r="A6898" s="1"/>
    </row>
    <row r="6899" spans="1:1" x14ac:dyDescent="0.3">
      <c r="A6899" s="1"/>
    </row>
    <row r="6900" spans="1:1" x14ac:dyDescent="0.3">
      <c r="A6900" s="1"/>
    </row>
    <row r="6901" spans="1:1" x14ac:dyDescent="0.3">
      <c r="A6901" s="1"/>
    </row>
    <row r="6902" spans="1:1" x14ac:dyDescent="0.3">
      <c r="A6902" s="1"/>
    </row>
    <row r="6903" spans="1:1" x14ac:dyDescent="0.3">
      <c r="A6903" s="1"/>
    </row>
    <row r="6904" spans="1:1" x14ac:dyDescent="0.3">
      <c r="A6904" s="1"/>
    </row>
    <row r="6905" spans="1:1" x14ac:dyDescent="0.3">
      <c r="A6905" s="1"/>
    </row>
    <row r="6906" spans="1:1" x14ac:dyDescent="0.3">
      <c r="A6906" s="1"/>
    </row>
    <row r="6907" spans="1:1" x14ac:dyDescent="0.3">
      <c r="A6907" s="1"/>
    </row>
    <row r="6908" spans="1:1" x14ac:dyDescent="0.3">
      <c r="A6908" s="1"/>
    </row>
    <row r="6909" spans="1:1" x14ac:dyDescent="0.3">
      <c r="A6909" s="1"/>
    </row>
    <row r="6910" spans="1:1" x14ac:dyDescent="0.3">
      <c r="A6910" s="1"/>
    </row>
    <row r="6911" spans="1:1" x14ac:dyDescent="0.3">
      <c r="A6911" s="1"/>
    </row>
    <row r="6912" spans="1:1" x14ac:dyDescent="0.3">
      <c r="A6912" s="1"/>
    </row>
    <row r="6913" spans="1:1" x14ac:dyDescent="0.3">
      <c r="A6913" s="1"/>
    </row>
    <row r="6914" spans="1:1" x14ac:dyDescent="0.3">
      <c r="A6914" s="1"/>
    </row>
    <row r="6915" spans="1:1" x14ac:dyDescent="0.3">
      <c r="A6915" s="1"/>
    </row>
    <row r="6916" spans="1:1" x14ac:dyDescent="0.3">
      <c r="A6916" s="1"/>
    </row>
    <row r="6917" spans="1:1" x14ac:dyDescent="0.3">
      <c r="A6917" s="1"/>
    </row>
    <row r="6918" spans="1:1" x14ac:dyDescent="0.3">
      <c r="A6918" s="1"/>
    </row>
    <row r="6919" spans="1:1" x14ac:dyDescent="0.3">
      <c r="A6919" s="1"/>
    </row>
    <row r="6920" spans="1:1" x14ac:dyDescent="0.3">
      <c r="A6920" s="1"/>
    </row>
    <row r="6921" spans="1:1" x14ac:dyDescent="0.3">
      <c r="A6921" s="1"/>
    </row>
    <row r="6922" spans="1:1" x14ac:dyDescent="0.3">
      <c r="A6922" s="1"/>
    </row>
    <row r="6923" spans="1:1" x14ac:dyDescent="0.3">
      <c r="A6923" s="1"/>
    </row>
    <row r="6924" spans="1:1" x14ac:dyDescent="0.3">
      <c r="A6924" s="1"/>
    </row>
    <row r="6925" spans="1:1" x14ac:dyDescent="0.3">
      <c r="A6925" s="1"/>
    </row>
    <row r="6926" spans="1:1" x14ac:dyDescent="0.3">
      <c r="A6926" s="1"/>
    </row>
    <row r="6927" spans="1:1" x14ac:dyDescent="0.3">
      <c r="A6927" s="1"/>
    </row>
    <row r="6928" spans="1:1" x14ac:dyDescent="0.3">
      <c r="A6928" s="1"/>
    </row>
    <row r="6929" spans="1:1" x14ac:dyDescent="0.3">
      <c r="A6929" s="1"/>
    </row>
    <row r="6930" spans="1:1" x14ac:dyDescent="0.3">
      <c r="A6930" s="1"/>
    </row>
    <row r="6931" spans="1:1" x14ac:dyDescent="0.3">
      <c r="A6931" s="1"/>
    </row>
    <row r="6932" spans="1:1" x14ac:dyDescent="0.3">
      <c r="A6932" s="1"/>
    </row>
    <row r="6933" spans="1:1" x14ac:dyDescent="0.3">
      <c r="A6933" s="1"/>
    </row>
    <row r="6934" spans="1:1" x14ac:dyDescent="0.3">
      <c r="A6934" s="1"/>
    </row>
    <row r="6935" spans="1:1" x14ac:dyDescent="0.3">
      <c r="A6935" s="1"/>
    </row>
    <row r="6936" spans="1:1" x14ac:dyDescent="0.3">
      <c r="A6936" s="1"/>
    </row>
    <row r="6937" spans="1:1" x14ac:dyDescent="0.3">
      <c r="A6937" s="1"/>
    </row>
    <row r="6938" spans="1:1" x14ac:dyDescent="0.3">
      <c r="A6938" s="1"/>
    </row>
    <row r="6939" spans="1:1" x14ac:dyDescent="0.3">
      <c r="A6939" s="1"/>
    </row>
    <row r="6940" spans="1:1" x14ac:dyDescent="0.3">
      <c r="A6940" s="1"/>
    </row>
    <row r="6941" spans="1:1" x14ac:dyDescent="0.3">
      <c r="A6941" s="1"/>
    </row>
    <row r="6942" spans="1:1" x14ac:dyDescent="0.3">
      <c r="A6942" s="1"/>
    </row>
    <row r="6943" spans="1:1" x14ac:dyDescent="0.3">
      <c r="A6943" s="1"/>
    </row>
    <row r="6944" spans="1:1" x14ac:dyDescent="0.3">
      <c r="A6944" s="1"/>
    </row>
    <row r="6945" spans="1:1" x14ac:dyDescent="0.3">
      <c r="A6945" s="1"/>
    </row>
    <row r="6946" spans="1:1" x14ac:dyDescent="0.3">
      <c r="A6946" s="1"/>
    </row>
    <row r="6947" spans="1:1" x14ac:dyDescent="0.3">
      <c r="A6947" s="1"/>
    </row>
    <row r="6948" spans="1:1" x14ac:dyDescent="0.3">
      <c r="A6948" s="1"/>
    </row>
    <row r="6949" spans="1:1" x14ac:dyDescent="0.3">
      <c r="A6949" s="1"/>
    </row>
    <row r="6950" spans="1:1" x14ac:dyDescent="0.3">
      <c r="A6950" s="1"/>
    </row>
    <row r="6951" spans="1:1" x14ac:dyDescent="0.3">
      <c r="A6951" s="1"/>
    </row>
    <row r="6952" spans="1:1" x14ac:dyDescent="0.3">
      <c r="A6952" s="1"/>
    </row>
    <row r="6953" spans="1:1" x14ac:dyDescent="0.3">
      <c r="A6953" s="1"/>
    </row>
    <row r="6954" spans="1:1" x14ac:dyDescent="0.3">
      <c r="A6954" s="1"/>
    </row>
    <row r="6955" spans="1:1" x14ac:dyDescent="0.3">
      <c r="A6955" s="1"/>
    </row>
    <row r="6956" spans="1:1" x14ac:dyDescent="0.3">
      <c r="A6956" s="1"/>
    </row>
    <row r="6957" spans="1:1" x14ac:dyDescent="0.3">
      <c r="A6957" s="1"/>
    </row>
    <row r="6958" spans="1:1" x14ac:dyDescent="0.3">
      <c r="A6958" s="1"/>
    </row>
    <row r="6959" spans="1:1" x14ac:dyDescent="0.3">
      <c r="A6959" s="1"/>
    </row>
    <row r="6960" spans="1:1" x14ac:dyDescent="0.3">
      <c r="A6960" s="1"/>
    </row>
    <row r="6961" spans="1:1" x14ac:dyDescent="0.3">
      <c r="A6961" s="1"/>
    </row>
    <row r="6962" spans="1:1" x14ac:dyDescent="0.3">
      <c r="A6962" s="1"/>
    </row>
    <row r="6963" spans="1:1" x14ac:dyDescent="0.3">
      <c r="A6963" s="1"/>
    </row>
    <row r="6964" spans="1:1" x14ac:dyDescent="0.3">
      <c r="A6964" s="1"/>
    </row>
    <row r="6965" spans="1:1" x14ac:dyDescent="0.3">
      <c r="A6965" s="1"/>
    </row>
    <row r="6966" spans="1:1" x14ac:dyDescent="0.3">
      <c r="A6966" s="1"/>
    </row>
    <row r="6967" spans="1:1" x14ac:dyDescent="0.3">
      <c r="A6967" s="1"/>
    </row>
    <row r="6968" spans="1:1" x14ac:dyDescent="0.3">
      <c r="A6968" s="1"/>
    </row>
    <row r="6969" spans="1:1" x14ac:dyDescent="0.3">
      <c r="A6969" s="1"/>
    </row>
    <row r="6970" spans="1:1" x14ac:dyDescent="0.3">
      <c r="A6970" s="1"/>
    </row>
    <row r="6971" spans="1:1" x14ac:dyDescent="0.3">
      <c r="A6971" s="1"/>
    </row>
    <row r="6972" spans="1:1" x14ac:dyDescent="0.3">
      <c r="A6972" s="1"/>
    </row>
    <row r="6973" spans="1:1" x14ac:dyDescent="0.3">
      <c r="A6973" s="1"/>
    </row>
    <row r="6974" spans="1:1" x14ac:dyDescent="0.3">
      <c r="A6974" s="1"/>
    </row>
    <row r="6975" spans="1:1" x14ac:dyDescent="0.3">
      <c r="A6975" s="1"/>
    </row>
    <row r="6976" spans="1:1" x14ac:dyDescent="0.3">
      <c r="A6976" s="1"/>
    </row>
    <row r="6977" spans="1:1" x14ac:dyDescent="0.3">
      <c r="A6977" s="1"/>
    </row>
    <row r="6978" spans="1:1" x14ac:dyDescent="0.3">
      <c r="A6978" s="1"/>
    </row>
    <row r="6979" spans="1:1" x14ac:dyDescent="0.3">
      <c r="A6979" s="1"/>
    </row>
    <row r="6980" spans="1:1" x14ac:dyDescent="0.3">
      <c r="A6980" s="1"/>
    </row>
    <row r="6981" spans="1:1" x14ac:dyDescent="0.3">
      <c r="A6981" s="1"/>
    </row>
    <row r="6982" spans="1:1" x14ac:dyDescent="0.3">
      <c r="A6982" s="1"/>
    </row>
    <row r="6983" spans="1:1" x14ac:dyDescent="0.3">
      <c r="A6983" s="1"/>
    </row>
    <row r="6984" spans="1:1" x14ac:dyDescent="0.3">
      <c r="A6984" s="1"/>
    </row>
    <row r="6985" spans="1:1" x14ac:dyDescent="0.3">
      <c r="A6985" s="1"/>
    </row>
    <row r="6986" spans="1:1" x14ac:dyDescent="0.3">
      <c r="A6986" s="1"/>
    </row>
    <row r="6987" spans="1:1" x14ac:dyDescent="0.3">
      <c r="A6987" s="1"/>
    </row>
    <row r="6988" spans="1:1" x14ac:dyDescent="0.3">
      <c r="A6988" s="1"/>
    </row>
    <row r="6989" spans="1:1" x14ac:dyDescent="0.3">
      <c r="A6989" s="1"/>
    </row>
    <row r="6990" spans="1:1" x14ac:dyDescent="0.3">
      <c r="A6990" s="1"/>
    </row>
    <row r="6991" spans="1:1" x14ac:dyDescent="0.3">
      <c r="A6991" s="1"/>
    </row>
    <row r="6992" spans="1:1" x14ac:dyDescent="0.3">
      <c r="A6992" s="1"/>
    </row>
    <row r="6993" spans="1:1" x14ac:dyDescent="0.3">
      <c r="A6993" s="1"/>
    </row>
    <row r="6994" spans="1:1" x14ac:dyDescent="0.3">
      <c r="A6994" s="1"/>
    </row>
    <row r="6995" spans="1:1" x14ac:dyDescent="0.3">
      <c r="A6995" s="1"/>
    </row>
    <row r="6996" spans="1:1" x14ac:dyDescent="0.3">
      <c r="A6996" s="1"/>
    </row>
    <row r="6997" spans="1:1" x14ac:dyDescent="0.3">
      <c r="A6997" s="1"/>
    </row>
    <row r="6998" spans="1:1" x14ac:dyDescent="0.3">
      <c r="A6998" s="1"/>
    </row>
    <row r="6999" spans="1:1" x14ac:dyDescent="0.3">
      <c r="A6999" s="1"/>
    </row>
    <row r="7000" spans="1:1" x14ac:dyDescent="0.3">
      <c r="A7000" s="1"/>
    </row>
    <row r="7001" spans="1:1" x14ac:dyDescent="0.3">
      <c r="A7001" s="1"/>
    </row>
    <row r="7002" spans="1:1" x14ac:dyDescent="0.3">
      <c r="A7002" s="1"/>
    </row>
    <row r="7003" spans="1:1" x14ac:dyDescent="0.3">
      <c r="A7003" s="1"/>
    </row>
    <row r="7004" spans="1:1" x14ac:dyDescent="0.3">
      <c r="A7004" s="1"/>
    </row>
    <row r="7005" spans="1:1" x14ac:dyDescent="0.3">
      <c r="A7005" s="1"/>
    </row>
    <row r="7006" spans="1:1" x14ac:dyDescent="0.3">
      <c r="A7006" s="1"/>
    </row>
    <row r="7007" spans="1:1" x14ac:dyDescent="0.3">
      <c r="A7007" s="1"/>
    </row>
    <row r="7008" spans="1:1" x14ac:dyDescent="0.3">
      <c r="A7008" s="1"/>
    </row>
    <row r="7009" spans="1:1" x14ac:dyDescent="0.3">
      <c r="A7009" s="1"/>
    </row>
    <row r="7010" spans="1:1" x14ac:dyDescent="0.3">
      <c r="A7010" s="1"/>
    </row>
    <row r="7011" spans="1:1" x14ac:dyDescent="0.3">
      <c r="A7011" s="1"/>
    </row>
    <row r="7012" spans="1:1" x14ac:dyDescent="0.3">
      <c r="A7012" s="1"/>
    </row>
    <row r="7013" spans="1:1" x14ac:dyDescent="0.3">
      <c r="A7013" s="1"/>
    </row>
    <row r="7014" spans="1:1" x14ac:dyDescent="0.3">
      <c r="A7014" s="1"/>
    </row>
    <row r="7015" spans="1:1" x14ac:dyDescent="0.3">
      <c r="A7015" s="1"/>
    </row>
    <row r="7016" spans="1:1" x14ac:dyDescent="0.3">
      <c r="A7016" s="1"/>
    </row>
    <row r="7017" spans="1:1" x14ac:dyDescent="0.3">
      <c r="A7017" s="1"/>
    </row>
    <row r="7018" spans="1:1" x14ac:dyDescent="0.3">
      <c r="A7018" s="1"/>
    </row>
    <row r="7019" spans="1:1" x14ac:dyDescent="0.3">
      <c r="A7019" s="1"/>
    </row>
    <row r="7020" spans="1:1" x14ac:dyDescent="0.3">
      <c r="A7020" s="1"/>
    </row>
    <row r="7021" spans="1:1" x14ac:dyDescent="0.3">
      <c r="A7021" s="1"/>
    </row>
    <row r="7022" spans="1:1" x14ac:dyDescent="0.3">
      <c r="A7022" s="1"/>
    </row>
    <row r="7023" spans="1:1" x14ac:dyDescent="0.3">
      <c r="A7023" s="1"/>
    </row>
    <row r="7024" spans="1:1" x14ac:dyDescent="0.3">
      <c r="A7024" s="1"/>
    </row>
    <row r="7025" spans="1:1" x14ac:dyDescent="0.3">
      <c r="A7025" s="1"/>
    </row>
    <row r="7026" spans="1:1" x14ac:dyDescent="0.3">
      <c r="A7026" s="1"/>
    </row>
    <row r="7027" spans="1:1" x14ac:dyDescent="0.3">
      <c r="A7027" s="1"/>
    </row>
    <row r="7028" spans="1:1" x14ac:dyDescent="0.3">
      <c r="A7028" s="1"/>
    </row>
    <row r="7029" spans="1:1" x14ac:dyDescent="0.3">
      <c r="A7029" s="1"/>
    </row>
    <row r="7030" spans="1:1" x14ac:dyDescent="0.3">
      <c r="A7030" s="1"/>
    </row>
    <row r="7031" spans="1:1" x14ac:dyDescent="0.3">
      <c r="A7031" s="1"/>
    </row>
    <row r="7032" spans="1:1" x14ac:dyDescent="0.3">
      <c r="A7032" s="1"/>
    </row>
    <row r="7033" spans="1:1" x14ac:dyDescent="0.3">
      <c r="A7033" s="1"/>
    </row>
    <row r="7034" spans="1:1" x14ac:dyDescent="0.3">
      <c r="A7034" s="1"/>
    </row>
    <row r="7035" spans="1:1" x14ac:dyDescent="0.3">
      <c r="A7035" s="1"/>
    </row>
    <row r="7036" spans="1:1" x14ac:dyDescent="0.3">
      <c r="A7036" s="1"/>
    </row>
    <row r="7037" spans="1:1" x14ac:dyDescent="0.3">
      <c r="A7037" s="1"/>
    </row>
    <row r="7038" spans="1:1" x14ac:dyDescent="0.3">
      <c r="A7038" s="1"/>
    </row>
    <row r="7039" spans="1:1" x14ac:dyDescent="0.3">
      <c r="A7039" s="1"/>
    </row>
    <row r="7040" spans="1:1" x14ac:dyDescent="0.3">
      <c r="A7040" s="1"/>
    </row>
    <row r="7041" spans="1:1" x14ac:dyDescent="0.3">
      <c r="A7041" s="1"/>
    </row>
    <row r="7042" spans="1:1" x14ac:dyDescent="0.3">
      <c r="A7042" s="1"/>
    </row>
    <row r="7043" spans="1:1" x14ac:dyDescent="0.3">
      <c r="A7043" s="1"/>
    </row>
    <row r="7044" spans="1:1" x14ac:dyDescent="0.3">
      <c r="A7044" s="1"/>
    </row>
    <row r="7045" spans="1:1" x14ac:dyDescent="0.3">
      <c r="A7045" s="1"/>
    </row>
    <row r="7046" spans="1:1" x14ac:dyDescent="0.3">
      <c r="A7046" s="1"/>
    </row>
    <row r="7047" spans="1:1" x14ac:dyDescent="0.3">
      <c r="A7047" s="1"/>
    </row>
    <row r="7048" spans="1:1" x14ac:dyDescent="0.3">
      <c r="A7048" s="1"/>
    </row>
    <row r="7049" spans="1:1" x14ac:dyDescent="0.3">
      <c r="A7049" s="1"/>
    </row>
    <row r="7050" spans="1:1" x14ac:dyDescent="0.3">
      <c r="A7050" s="1"/>
    </row>
    <row r="7051" spans="1:1" x14ac:dyDescent="0.3">
      <c r="A7051" s="1"/>
    </row>
    <row r="7052" spans="1:1" x14ac:dyDescent="0.3">
      <c r="A7052" s="1"/>
    </row>
    <row r="7053" spans="1:1" x14ac:dyDescent="0.3">
      <c r="A7053" s="1"/>
    </row>
    <row r="7054" spans="1:1" x14ac:dyDescent="0.3">
      <c r="A7054" s="1"/>
    </row>
    <row r="7055" spans="1:1" x14ac:dyDescent="0.3">
      <c r="A7055" s="1"/>
    </row>
    <row r="7056" spans="1:1" x14ac:dyDescent="0.3">
      <c r="A7056" s="1"/>
    </row>
    <row r="7057" spans="1:1" x14ac:dyDescent="0.3">
      <c r="A7057" s="1"/>
    </row>
    <row r="7058" spans="1:1" x14ac:dyDescent="0.3">
      <c r="A7058" s="1"/>
    </row>
    <row r="7059" spans="1:1" x14ac:dyDescent="0.3">
      <c r="A7059" s="1"/>
    </row>
    <row r="7060" spans="1:1" x14ac:dyDescent="0.3">
      <c r="A7060" s="1"/>
    </row>
    <row r="7061" spans="1:1" x14ac:dyDescent="0.3">
      <c r="A7061" s="1"/>
    </row>
    <row r="7062" spans="1:1" x14ac:dyDescent="0.3">
      <c r="A7062" s="1"/>
    </row>
    <row r="7063" spans="1:1" x14ac:dyDescent="0.3">
      <c r="A7063" s="1"/>
    </row>
    <row r="7064" spans="1:1" x14ac:dyDescent="0.3">
      <c r="A7064" s="1"/>
    </row>
    <row r="7065" spans="1:1" x14ac:dyDescent="0.3">
      <c r="A7065" s="1"/>
    </row>
    <row r="7066" spans="1:1" x14ac:dyDescent="0.3">
      <c r="A7066" s="1"/>
    </row>
    <row r="7067" spans="1:1" x14ac:dyDescent="0.3">
      <c r="A7067" s="1"/>
    </row>
    <row r="7068" spans="1:1" x14ac:dyDescent="0.3">
      <c r="A7068" s="1"/>
    </row>
    <row r="7069" spans="1:1" x14ac:dyDescent="0.3">
      <c r="A7069" s="1"/>
    </row>
    <row r="7070" spans="1:1" x14ac:dyDescent="0.3">
      <c r="A7070" s="1"/>
    </row>
    <row r="7071" spans="1:1" x14ac:dyDescent="0.3">
      <c r="A7071" s="1"/>
    </row>
    <row r="7072" spans="1:1" x14ac:dyDescent="0.3">
      <c r="A7072" s="1"/>
    </row>
    <row r="7073" spans="1:1" x14ac:dyDescent="0.3">
      <c r="A7073" s="1"/>
    </row>
    <row r="7074" spans="1:1" x14ac:dyDescent="0.3">
      <c r="A7074" s="1"/>
    </row>
    <row r="7075" spans="1:1" x14ac:dyDescent="0.3">
      <c r="A7075" s="1"/>
    </row>
    <row r="7076" spans="1:1" x14ac:dyDescent="0.3">
      <c r="A7076" s="1"/>
    </row>
    <row r="7077" spans="1:1" x14ac:dyDescent="0.3">
      <c r="A7077" s="1"/>
    </row>
    <row r="7078" spans="1:1" x14ac:dyDescent="0.3">
      <c r="A7078" s="1"/>
    </row>
    <row r="7079" spans="1:1" x14ac:dyDescent="0.3">
      <c r="A7079" s="1"/>
    </row>
    <row r="7080" spans="1:1" x14ac:dyDescent="0.3">
      <c r="A7080" s="1"/>
    </row>
    <row r="7081" spans="1:1" x14ac:dyDescent="0.3">
      <c r="A7081" s="1"/>
    </row>
    <row r="7082" spans="1:1" x14ac:dyDescent="0.3">
      <c r="A7082" s="1"/>
    </row>
    <row r="7083" spans="1:1" x14ac:dyDescent="0.3">
      <c r="A7083" s="1"/>
    </row>
    <row r="7084" spans="1:1" x14ac:dyDescent="0.3">
      <c r="A7084" s="1"/>
    </row>
    <row r="7085" spans="1:1" x14ac:dyDescent="0.3">
      <c r="A7085" s="1"/>
    </row>
    <row r="7086" spans="1:1" x14ac:dyDescent="0.3">
      <c r="A7086" s="1"/>
    </row>
    <row r="7087" spans="1:1" x14ac:dyDescent="0.3">
      <c r="A7087" s="1"/>
    </row>
    <row r="7088" spans="1:1" x14ac:dyDescent="0.3">
      <c r="A7088" s="1"/>
    </row>
    <row r="7089" spans="1:1" x14ac:dyDescent="0.3">
      <c r="A7089" s="1"/>
    </row>
    <row r="7090" spans="1:1" x14ac:dyDescent="0.3">
      <c r="A7090" s="1"/>
    </row>
    <row r="7091" spans="1:1" x14ac:dyDescent="0.3">
      <c r="A7091" s="1"/>
    </row>
    <row r="7092" spans="1:1" x14ac:dyDescent="0.3">
      <c r="A7092" s="1"/>
    </row>
    <row r="7093" spans="1:1" x14ac:dyDescent="0.3">
      <c r="A7093" s="1"/>
    </row>
    <row r="7094" spans="1:1" x14ac:dyDescent="0.3">
      <c r="A7094" s="1"/>
    </row>
    <row r="7095" spans="1:1" x14ac:dyDescent="0.3">
      <c r="A7095" s="1"/>
    </row>
    <row r="7096" spans="1:1" x14ac:dyDescent="0.3">
      <c r="A7096" s="1"/>
    </row>
    <row r="7097" spans="1:1" x14ac:dyDescent="0.3">
      <c r="A7097" s="1"/>
    </row>
    <row r="7098" spans="1:1" x14ac:dyDescent="0.3">
      <c r="A7098" s="1"/>
    </row>
    <row r="7099" spans="1:1" x14ac:dyDescent="0.3">
      <c r="A7099" s="1"/>
    </row>
    <row r="7100" spans="1:1" x14ac:dyDescent="0.3">
      <c r="A7100" s="1"/>
    </row>
    <row r="7101" spans="1:1" x14ac:dyDescent="0.3">
      <c r="A7101" s="1"/>
    </row>
    <row r="7102" spans="1:1" x14ac:dyDescent="0.3">
      <c r="A7102" s="1"/>
    </row>
    <row r="7103" spans="1:1" x14ac:dyDescent="0.3">
      <c r="A7103" s="1"/>
    </row>
    <row r="7104" spans="1:1" x14ac:dyDescent="0.3">
      <c r="A7104" s="1"/>
    </row>
    <row r="7105" spans="1:1" x14ac:dyDescent="0.3">
      <c r="A7105" s="1"/>
    </row>
    <row r="7106" spans="1:1" x14ac:dyDescent="0.3">
      <c r="A7106" s="1"/>
    </row>
    <row r="7107" spans="1:1" x14ac:dyDescent="0.3">
      <c r="A7107" s="1"/>
    </row>
    <row r="7108" spans="1:1" x14ac:dyDescent="0.3">
      <c r="A7108" s="1"/>
    </row>
    <row r="7109" spans="1:1" x14ac:dyDescent="0.3">
      <c r="A7109" s="1"/>
    </row>
    <row r="7110" spans="1:1" x14ac:dyDescent="0.3">
      <c r="A7110" s="1"/>
    </row>
    <row r="7111" spans="1:1" x14ac:dyDescent="0.3">
      <c r="A7111" s="1"/>
    </row>
    <row r="7112" spans="1:1" x14ac:dyDescent="0.3">
      <c r="A7112" s="1"/>
    </row>
    <row r="7113" spans="1:1" x14ac:dyDescent="0.3">
      <c r="A7113" s="1"/>
    </row>
    <row r="7114" spans="1:1" x14ac:dyDescent="0.3">
      <c r="A7114" s="1"/>
    </row>
    <row r="7115" spans="1:1" x14ac:dyDescent="0.3">
      <c r="A7115" s="1"/>
    </row>
    <row r="7116" spans="1:1" x14ac:dyDescent="0.3">
      <c r="A7116" s="1"/>
    </row>
    <row r="7117" spans="1:1" x14ac:dyDescent="0.3">
      <c r="A7117" s="1"/>
    </row>
    <row r="7118" spans="1:1" x14ac:dyDescent="0.3">
      <c r="A7118" s="1"/>
    </row>
    <row r="7119" spans="1:1" x14ac:dyDescent="0.3">
      <c r="A7119" s="1"/>
    </row>
    <row r="7120" spans="1:1" x14ac:dyDescent="0.3">
      <c r="A7120" s="1"/>
    </row>
    <row r="7121" spans="1:1" x14ac:dyDescent="0.3">
      <c r="A7121" s="1"/>
    </row>
    <row r="7122" spans="1:1" x14ac:dyDescent="0.3">
      <c r="A7122" s="1"/>
    </row>
    <row r="7123" spans="1:1" x14ac:dyDescent="0.3">
      <c r="A7123" s="1"/>
    </row>
    <row r="7124" spans="1:1" x14ac:dyDescent="0.3">
      <c r="A7124" s="1"/>
    </row>
    <row r="7125" spans="1:1" x14ac:dyDescent="0.3">
      <c r="A7125" s="1"/>
    </row>
    <row r="7126" spans="1:1" x14ac:dyDescent="0.3">
      <c r="A7126" s="1"/>
    </row>
    <row r="7127" spans="1:1" x14ac:dyDescent="0.3">
      <c r="A7127" s="1"/>
    </row>
    <row r="7128" spans="1:1" x14ac:dyDescent="0.3">
      <c r="A7128" s="1"/>
    </row>
    <row r="7129" spans="1:1" x14ac:dyDescent="0.3">
      <c r="A7129" s="1"/>
    </row>
    <row r="7130" spans="1:1" x14ac:dyDescent="0.3">
      <c r="A7130" s="1"/>
    </row>
    <row r="7131" spans="1:1" x14ac:dyDescent="0.3">
      <c r="A7131" s="1"/>
    </row>
    <row r="7132" spans="1:1" x14ac:dyDescent="0.3">
      <c r="A7132" s="1"/>
    </row>
    <row r="7133" spans="1:1" x14ac:dyDescent="0.3">
      <c r="A7133" s="1"/>
    </row>
    <row r="7134" spans="1:1" x14ac:dyDescent="0.3">
      <c r="A7134" s="1"/>
    </row>
    <row r="7135" spans="1:1" x14ac:dyDescent="0.3">
      <c r="A7135" s="1"/>
    </row>
    <row r="7136" spans="1:1" x14ac:dyDescent="0.3">
      <c r="A7136" s="1"/>
    </row>
    <row r="7137" spans="1:1" x14ac:dyDescent="0.3">
      <c r="A7137" s="1"/>
    </row>
    <row r="7138" spans="1:1" x14ac:dyDescent="0.3">
      <c r="A7138" s="1"/>
    </row>
    <row r="7139" spans="1:1" x14ac:dyDescent="0.3">
      <c r="A7139" s="1"/>
    </row>
    <row r="7140" spans="1:1" x14ac:dyDescent="0.3">
      <c r="A7140" s="1"/>
    </row>
    <row r="7141" spans="1:1" x14ac:dyDescent="0.3">
      <c r="A7141" s="1"/>
    </row>
    <row r="7142" spans="1:1" x14ac:dyDescent="0.3">
      <c r="A7142" s="1"/>
    </row>
    <row r="7143" spans="1:1" x14ac:dyDescent="0.3">
      <c r="A7143" s="1"/>
    </row>
    <row r="7144" spans="1:1" x14ac:dyDescent="0.3">
      <c r="A7144" s="1"/>
    </row>
    <row r="7145" spans="1:1" x14ac:dyDescent="0.3">
      <c r="A7145" s="1"/>
    </row>
    <row r="7146" spans="1:1" x14ac:dyDescent="0.3">
      <c r="A7146" s="1"/>
    </row>
    <row r="7147" spans="1:1" x14ac:dyDescent="0.3">
      <c r="A7147" s="1"/>
    </row>
    <row r="7148" spans="1:1" x14ac:dyDescent="0.3">
      <c r="A7148" s="1"/>
    </row>
    <row r="7149" spans="1:1" x14ac:dyDescent="0.3">
      <c r="A7149" s="1"/>
    </row>
    <row r="7150" spans="1:1" x14ac:dyDescent="0.3">
      <c r="A7150" s="1"/>
    </row>
    <row r="7151" spans="1:1" x14ac:dyDescent="0.3">
      <c r="A7151" s="1"/>
    </row>
    <row r="7152" spans="1:1" x14ac:dyDescent="0.3">
      <c r="A7152" s="1"/>
    </row>
    <row r="7153" spans="1:1" x14ac:dyDescent="0.3">
      <c r="A7153" s="1"/>
    </row>
    <row r="7154" spans="1:1" x14ac:dyDescent="0.3">
      <c r="A7154" s="1"/>
    </row>
    <row r="7155" spans="1:1" x14ac:dyDescent="0.3">
      <c r="A7155" s="1"/>
    </row>
    <row r="7156" spans="1:1" x14ac:dyDescent="0.3">
      <c r="A7156" s="1"/>
    </row>
    <row r="7157" spans="1:1" x14ac:dyDescent="0.3">
      <c r="A7157" s="1"/>
    </row>
    <row r="7158" spans="1:1" x14ac:dyDescent="0.3">
      <c r="A7158" s="1"/>
    </row>
    <row r="7159" spans="1:1" x14ac:dyDescent="0.3">
      <c r="A7159" s="1"/>
    </row>
    <row r="7160" spans="1:1" x14ac:dyDescent="0.3">
      <c r="A7160" s="1"/>
    </row>
    <row r="7161" spans="1:1" x14ac:dyDescent="0.3">
      <c r="A7161" s="1"/>
    </row>
    <row r="7162" spans="1:1" x14ac:dyDescent="0.3">
      <c r="A7162" s="1"/>
    </row>
    <row r="7163" spans="1:1" x14ac:dyDescent="0.3">
      <c r="A7163" s="1"/>
    </row>
    <row r="7164" spans="1:1" x14ac:dyDescent="0.3">
      <c r="A7164" s="1"/>
    </row>
    <row r="7165" spans="1:1" x14ac:dyDescent="0.3">
      <c r="A7165" s="1"/>
    </row>
    <row r="7166" spans="1:1" x14ac:dyDescent="0.3">
      <c r="A7166" s="1"/>
    </row>
    <row r="7167" spans="1:1" x14ac:dyDescent="0.3">
      <c r="A7167" s="1"/>
    </row>
    <row r="7168" spans="1:1" x14ac:dyDescent="0.3">
      <c r="A7168" s="1"/>
    </row>
    <row r="7169" spans="1:1" x14ac:dyDescent="0.3">
      <c r="A7169" s="1"/>
    </row>
    <row r="7170" spans="1:1" x14ac:dyDescent="0.3">
      <c r="A7170" s="1"/>
    </row>
    <row r="7171" spans="1:1" x14ac:dyDescent="0.3">
      <c r="A7171" s="1"/>
    </row>
    <row r="7172" spans="1:1" x14ac:dyDescent="0.3">
      <c r="A7172" s="1"/>
    </row>
    <row r="7173" spans="1:1" x14ac:dyDescent="0.3">
      <c r="A7173" s="1"/>
    </row>
    <row r="7174" spans="1:1" x14ac:dyDescent="0.3">
      <c r="A7174" s="1"/>
    </row>
    <row r="7175" spans="1:1" x14ac:dyDescent="0.3">
      <c r="A7175" s="1"/>
    </row>
    <row r="7176" spans="1:1" x14ac:dyDescent="0.3">
      <c r="A7176" s="1"/>
    </row>
    <row r="7177" spans="1:1" x14ac:dyDescent="0.3">
      <c r="A7177" s="1"/>
    </row>
    <row r="7178" spans="1:1" x14ac:dyDescent="0.3">
      <c r="A7178" s="1"/>
    </row>
    <row r="7179" spans="1:1" x14ac:dyDescent="0.3">
      <c r="A7179" s="1"/>
    </row>
    <row r="7180" spans="1:1" x14ac:dyDescent="0.3">
      <c r="A7180" s="1"/>
    </row>
    <row r="7181" spans="1:1" x14ac:dyDescent="0.3">
      <c r="A7181" s="1"/>
    </row>
    <row r="7182" spans="1:1" x14ac:dyDescent="0.3">
      <c r="A7182" s="1"/>
    </row>
    <row r="7183" spans="1:1" x14ac:dyDescent="0.3">
      <c r="A7183" s="1"/>
    </row>
    <row r="7184" spans="1:1" x14ac:dyDescent="0.3">
      <c r="A7184" s="1"/>
    </row>
    <row r="7185" spans="1:1" x14ac:dyDescent="0.3">
      <c r="A7185" s="1"/>
    </row>
    <row r="7186" spans="1:1" x14ac:dyDescent="0.3">
      <c r="A7186" s="1"/>
    </row>
    <row r="7187" spans="1:1" x14ac:dyDescent="0.3">
      <c r="A7187" s="1"/>
    </row>
    <row r="7188" spans="1:1" x14ac:dyDescent="0.3">
      <c r="A7188" s="1"/>
    </row>
    <row r="7189" spans="1:1" x14ac:dyDescent="0.3">
      <c r="A7189" s="1"/>
    </row>
    <row r="7190" spans="1:1" x14ac:dyDescent="0.3">
      <c r="A7190" s="1"/>
    </row>
    <row r="7191" spans="1:1" x14ac:dyDescent="0.3">
      <c r="A7191" s="1"/>
    </row>
    <row r="7192" spans="1:1" x14ac:dyDescent="0.3">
      <c r="A7192" s="1"/>
    </row>
    <row r="7193" spans="1:1" x14ac:dyDescent="0.3">
      <c r="A7193" s="1"/>
    </row>
    <row r="7194" spans="1:1" x14ac:dyDescent="0.3">
      <c r="A7194" s="1"/>
    </row>
    <row r="7195" spans="1:1" x14ac:dyDescent="0.3">
      <c r="A7195" s="1"/>
    </row>
    <row r="7196" spans="1:1" x14ac:dyDescent="0.3">
      <c r="A7196" s="1"/>
    </row>
    <row r="7197" spans="1:1" x14ac:dyDescent="0.3">
      <c r="A7197" s="1"/>
    </row>
    <row r="7198" spans="1:1" x14ac:dyDescent="0.3">
      <c r="A7198" s="1"/>
    </row>
    <row r="7199" spans="1:1" x14ac:dyDescent="0.3">
      <c r="A7199" s="1"/>
    </row>
    <row r="7200" spans="1:1" x14ac:dyDescent="0.3">
      <c r="A7200" s="1"/>
    </row>
    <row r="7201" spans="1:1" x14ac:dyDescent="0.3">
      <c r="A7201" s="1"/>
    </row>
    <row r="7202" spans="1:1" x14ac:dyDescent="0.3">
      <c r="A7202" s="1"/>
    </row>
    <row r="7203" spans="1:1" x14ac:dyDescent="0.3">
      <c r="A7203" s="1"/>
    </row>
    <row r="7204" spans="1:1" x14ac:dyDescent="0.3">
      <c r="A7204" s="1"/>
    </row>
    <row r="7205" spans="1:1" x14ac:dyDescent="0.3">
      <c r="A7205" s="1"/>
    </row>
    <row r="7206" spans="1:1" x14ac:dyDescent="0.3">
      <c r="A7206" s="1"/>
    </row>
    <row r="7207" spans="1:1" x14ac:dyDescent="0.3">
      <c r="A7207" s="1"/>
    </row>
    <row r="7208" spans="1:1" x14ac:dyDescent="0.3">
      <c r="A7208" s="1"/>
    </row>
    <row r="7209" spans="1:1" x14ac:dyDescent="0.3">
      <c r="A7209" s="1"/>
    </row>
    <row r="7210" spans="1:1" x14ac:dyDescent="0.3">
      <c r="A7210" s="1"/>
    </row>
    <row r="7211" spans="1:1" x14ac:dyDescent="0.3">
      <c r="A7211" s="1"/>
    </row>
    <row r="7212" spans="1:1" x14ac:dyDescent="0.3">
      <c r="A7212" s="1"/>
    </row>
    <row r="7213" spans="1:1" x14ac:dyDescent="0.3">
      <c r="A7213" s="1"/>
    </row>
    <row r="7214" spans="1:1" x14ac:dyDescent="0.3">
      <c r="A7214" s="1"/>
    </row>
    <row r="7215" spans="1:1" x14ac:dyDescent="0.3">
      <c r="A7215" s="1"/>
    </row>
    <row r="7216" spans="1:1" x14ac:dyDescent="0.3">
      <c r="A7216" s="1"/>
    </row>
    <row r="7217" spans="1:1" x14ac:dyDescent="0.3">
      <c r="A7217" s="1"/>
    </row>
    <row r="7218" spans="1:1" x14ac:dyDescent="0.3">
      <c r="A7218" s="1"/>
    </row>
    <row r="7219" spans="1:1" x14ac:dyDescent="0.3">
      <c r="A7219" s="1"/>
    </row>
    <row r="7220" spans="1:1" x14ac:dyDescent="0.3">
      <c r="A7220" s="1"/>
    </row>
    <row r="7221" spans="1:1" x14ac:dyDescent="0.3">
      <c r="A7221" s="1"/>
    </row>
    <row r="7222" spans="1:1" x14ac:dyDescent="0.3">
      <c r="A7222" s="1"/>
    </row>
    <row r="7223" spans="1:1" x14ac:dyDescent="0.3">
      <c r="A7223" s="1"/>
    </row>
    <row r="7224" spans="1:1" x14ac:dyDescent="0.3">
      <c r="A7224" s="1"/>
    </row>
    <row r="7225" spans="1:1" x14ac:dyDescent="0.3">
      <c r="A7225" s="1"/>
    </row>
    <row r="7226" spans="1:1" x14ac:dyDescent="0.3">
      <c r="A7226" s="1"/>
    </row>
    <row r="7227" spans="1:1" x14ac:dyDescent="0.3">
      <c r="A7227" s="1"/>
    </row>
    <row r="7228" spans="1:1" x14ac:dyDescent="0.3">
      <c r="A7228" s="1"/>
    </row>
    <row r="7229" spans="1:1" x14ac:dyDescent="0.3">
      <c r="A7229" s="1"/>
    </row>
    <row r="7230" spans="1:1" x14ac:dyDescent="0.3">
      <c r="A7230" s="1"/>
    </row>
    <row r="7231" spans="1:1" x14ac:dyDescent="0.3">
      <c r="A7231" s="1"/>
    </row>
    <row r="7232" spans="1:1" x14ac:dyDescent="0.3">
      <c r="A7232" s="1"/>
    </row>
    <row r="7233" spans="1:1" x14ac:dyDescent="0.3">
      <c r="A7233" s="1"/>
    </row>
    <row r="7234" spans="1:1" x14ac:dyDescent="0.3">
      <c r="A7234" s="1"/>
    </row>
    <row r="7235" spans="1:1" x14ac:dyDescent="0.3">
      <c r="A7235" s="1"/>
    </row>
    <row r="7236" spans="1:1" x14ac:dyDescent="0.3">
      <c r="A7236" s="1"/>
    </row>
    <row r="7237" spans="1:1" x14ac:dyDescent="0.3">
      <c r="A7237" s="1"/>
    </row>
    <row r="7238" spans="1:1" x14ac:dyDescent="0.3">
      <c r="A7238" s="1"/>
    </row>
    <row r="7239" spans="1:1" x14ac:dyDescent="0.3">
      <c r="A7239" s="1"/>
    </row>
    <row r="7240" spans="1:1" x14ac:dyDescent="0.3">
      <c r="A7240" s="1"/>
    </row>
    <row r="7241" spans="1:1" x14ac:dyDescent="0.3">
      <c r="A7241" s="1"/>
    </row>
    <row r="7242" spans="1:1" x14ac:dyDescent="0.3">
      <c r="A7242" s="1"/>
    </row>
    <row r="7243" spans="1:1" x14ac:dyDescent="0.3">
      <c r="A7243" s="1"/>
    </row>
    <row r="7244" spans="1:1" x14ac:dyDescent="0.3">
      <c r="A7244" s="1"/>
    </row>
    <row r="7245" spans="1:1" x14ac:dyDescent="0.3">
      <c r="A7245" s="1"/>
    </row>
    <row r="7246" spans="1:1" x14ac:dyDescent="0.3">
      <c r="A7246" s="1"/>
    </row>
    <row r="7247" spans="1:1" x14ac:dyDescent="0.3">
      <c r="A7247" s="1"/>
    </row>
    <row r="7248" spans="1:1" x14ac:dyDescent="0.3">
      <c r="A7248" s="1"/>
    </row>
    <row r="7249" spans="1:1" x14ac:dyDescent="0.3">
      <c r="A7249" s="1"/>
    </row>
    <row r="7250" spans="1:1" x14ac:dyDescent="0.3">
      <c r="A7250" s="1"/>
    </row>
    <row r="7251" spans="1:1" x14ac:dyDescent="0.3">
      <c r="A7251" s="1"/>
    </row>
    <row r="7252" spans="1:1" x14ac:dyDescent="0.3">
      <c r="A7252" s="1"/>
    </row>
    <row r="7253" spans="1:1" x14ac:dyDescent="0.3">
      <c r="A7253" s="1"/>
    </row>
    <row r="7254" spans="1:1" x14ac:dyDescent="0.3">
      <c r="A7254" s="1"/>
    </row>
    <row r="7255" spans="1:1" x14ac:dyDescent="0.3">
      <c r="A7255" s="1"/>
    </row>
    <row r="7256" spans="1:1" x14ac:dyDescent="0.3">
      <c r="A7256" s="1"/>
    </row>
    <row r="7257" spans="1:1" x14ac:dyDescent="0.3">
      <c r="A7257" s="1"/>
    </row>
    <row r="7258" spans="1:1" x14ac:dyDescent="0.3">
      <c r="A7258" s="1"/>
    </row>
    <row r="7259" spans="1:1" x14ac:dyDescent="0.3">
      <c r="A7259" s="1"/>
    </row>
    <row r="7260" spans="1:1" x14ac:dyDescent="0.3">
      <c r="A7260" s="1"/>
    </row>
    <row r="7261" spans="1:1" x14ac:dyDescent="0.3">
      <c r="A7261" s="1"/>
    </row>
    <row r="7262" spans="1:1" x14ac:dyDescent="0.3">
      <c r="A7262" s="1"/>
    </row>
    <row r="7263" spans="1:1" x14ac:dyDescent="0.3">
      <c r="A7263" s="1"/>
    </row>
    <row r="7264" spans="1:1" x14ac:dyDescent="0.3">
      <c r="A7264" s="1"/>
    </row>
    <row r="7265" spans="1:1" x14ac:dyDescent="0.3">
      <c r="A7265" s="1"/>
    </row>
    <row r="7266" spans="1:1" x14ac:dyDescent="0.3">
      <c r="A7266" s="1"/>
    </row>
    <row r="7267" spans="1:1" x14ac:dyDescent="0.3">
      <c r="A7267" s="1"/>
    </row>
    <row r="7268" spans="1:1" x14ac:dyDescent="0.3">
      <c r="A7268" s="1"/>
    </row>
    <row r="7269" spans="1:1" x14ac:dyDescent="0.3">
      <c r="A7269" s="1"/>
    </row>
    <row r="7270" spans="1:1" x14ac:dyDescent="0.3">
      <c r="A7270" s="1"/>
    </row>
    <row r="7271" spans="1:1" x14ac:dyDescent="0.3">
      <c r="A7271" s="1"/>
    </row>
    <row r="7272" spans="1:1" x14ac:dyDescent="0.3">
      <c r="A7272" s="1"/>
    </row>
    <row r="7273" spans="1:1" x14ac:dyDescent="0.3">
      <c r="A7273" s="1"/>
    </row>
    <row r="7274" spans="1:1" x14ac:dyDescent="0.3">
      <c r="A7274" s="1"/>
    </row>
    <row r="7275" spans="1:1" x14ac:dyDescent="0.3">
      <c r="A7275" s="1"/>
    </row>
    <row r="7276" spans="1:1" x14ac:dyDescent="0.3">
      <c r="A7276" s="1"/>
    </row>
    <row r="7277" spans="1:1" x14ac:dyDescent="0.3">
      <c r="A7277" s="1"/>
    </row>
    <row r="7278" spans="1:1" x14ac:dyDescent="0.3">
      <c r="A7278" s="1"/>
    </row>
    <row r="7279" spans="1:1" x14ac:dyDescent="0.3">
      <c r="A7279" s="1"/>
    </row>
    <row r="7280" spans="1:1" x14ac:dyDescent="0.3">
      <c r="A7280" s="1"/>
    </row>
    <row r="7281" spans="1:1" x14ac:dyDescent="0.3">
      <c r="A7281" s="1"/>
    </row>
    <row r="7282" spans="1:1" x14ac:dyDescent="0.3">
      <c r="A7282" s="1"/>
    </row>
    <row r="7283" spans="1:1" x14ac:dyDescent="0.3">
      <c r="A7283" s="1"/>
    </row>
    <row r="7284" spans="1:1" x14ac:dyDescent="0.3">
      <c r="A7284" s="1"/>
    </row>
    <row r="7285" spans="1:1" x14ac:dyDescent="0.3">
      <c r="A7285" s="1"/>
    </row>
    <row r="7286" spans="1:1" x14ac:dyDescent="0.3">
      <c r="A7286" s="1"/>
    </row>
    <row r="7287" spans="1:1" x14ac:dyDescent="0.3">
      <c r="A7287" s="1"/>
    </row>
    <row r="7288" spans="1:1" x14ac:dyDescent="0.3">
      <c r="A7288" s="1"/>
    </row>
    <row r="7289" spans="1:1" x14ac:dyDescent="0.3">
      <c r="A7289" s="1"/>
    </row>
    <row r="7290" spans="1:1" x14ac:dyDescent="0.3">
      <c r="A7290" s="1"/>
    </row>
    <row r="7291" spans="1:1" x14ac:dyDescent="0.3">
      <c r="A7291" s="1"/>
    </row>
    <row r="7292" spans="1:1" x14ac:dyDescent="0.3">
      <c r="A7292" s="1"/>
    </row>
    <row r="7293" spans="1:1" x14ac:dyDescent="0.3">
      <c r="A7293" s="1"/>
    </row>
    <row r="7294" spans="1:1" x14ac:dyDescent="0.3">
      <c r="A7294" s="1"/>
    </row>
    <row r="7295" spans="1:1" x14ac:dyDescent="0.3">
      <c r="A7295" s="1"/>
    </row>
    <row r="7296" spans="1:1" x14ac:dyDescent="0.3">
      <c r="A7296" s="1"/>
    </row>
    <row r="7297" spans="1:1" x14ac:dyDescent="0.3">
      <c r="A7297" s="1"/>
    </row>
    <row r="7298" spans="1:1" x14ac:dyDescent="0.3">
      <c r="A7298" s="1"/>
    </row>
    <row r="7299" spans="1:1" x14ac:dyDescent="0.3">
      <c r="A7299" s="1"/>
    </row>
    <row r="7300" spans="1:1" x14ac:dyDescent="0.3">
      <c r="A7300" s="1"/>
    </row>
    <row r="7301" spans="1:1" x14ac:dyDescent="0.3">
      <c r="A7301" s="1"/>
    </row>
    <row r="7302" spans="1:1" x14ac:dyDescent="0.3">
      <c r="A7302" s="1"/>
    </row>
    <row r="7303" spans="1:1" x14ac:dyDescent="0.3">
      <c r="A7303" s="1"/>
    </row>
    <row r="7304" spans="1:1" x14ac:dyDescent="0.3">
      <c r="A7304" s="1"/>
    </row>
    <row r="7305" spans="1:1" x14ac:dyDescent="0.3">
      <c r="A7305" s="1"/>
    </row>
    <row r="7306" spans="1:1" x14ac:dyDescent="0.3">
      <c r="A7306" s="1"/>
    </row>
    <row r="7307" spans="1:1" x14ac:dyDescent="0.3">
      <c r="A7307" s="1"/>
    </row>
    <row r="7308" spans="1:1" x14ac:dyDescent="0.3">
      <c r="A7308" s="1"/>
    </row>
    <row r="7309" spans="1:1" x14ac:dyDescent="0.3">
      <c r="A7309" s="1"/>
    </row>
    <row r="7310" spans="1:1" x14ac:dyDescent="0.3">
      <c r="A7310" s="1"/>
    </row>
    <row r="7311" spans="1:1" x14ac:dyDescent="0.3">
      <c r="A7311" s="1"/>
    </row>
    <row r="7312" spans="1:1" x14ac:dyDescent="0.3">
      <c r="A7312" s="1"/>
    </row>
    <row r="7313" spans="1:1" x14ac:dyDescent="0.3">
      <c r="A7313" s="1"/>
    </row>
    <row r="7314" spans="1:1" x14ac:dyDescent="0.3">
      <c r="A7314" s="1"/>
    </row>
    <row r="7315" spans="1:1" x14ac:dyDescent="0.3">
      <c r="A7315" s="1"/>
    </row>
    <row r="7316" spans="1:1" x14ac:dyDescent="0.3">
      <c r="A7316" s="1"/>
    </row>
    <row r="7317" spans="1:1" x14ac:dyDescent="0.3">
      <c r="A7317" s="1"/>
    </row>
    <row r="7318" spans="1:1" x14ac:dyDescent="0.3">
      <c r="A7318" s="1"/>
    </row>
    <row r="7319" spans="1:1" x14ac:dyDescent="0.3">
      <c r="A7319" s="1"/>
    </row>
    <row r="7320" spans="1:1" x14ac:dyDescent="0.3">
      <c r="A7320" s="1"/>
    </row>
    <row r="7321" spans="1:1" x14ac:dyDescent="0.3">
      <c r="A7321" s="1"/>
    </row>
    <row r="7322" spans="1:1" x14ac:dyDescent="0.3">
      <c r="A7322" s="1"/>
    </row>
    <row r="7323" spans="1:1" x14ac:dyDescent="0.3">
      <c r="A7323" s="1"/>
    </row>
    <row r="7324" spans="1:1" x14ac:dyDescent="0.3">
      <c r="A7324" s="1"/>
    </row>
    <row r="7325" spans="1:1" x14ac:dyDescent="0.3">
      <c r="A7325" s="1"/>
    </row>
    <row r="7326" spans="1:1" x14ac:dyDescent="0.3">
      <c r="A7326" s="1"/>
    </row>
    <row r="7327" spans="1:1" x14ac:dyDescent="0.3">
      <c r="A7327" s="1"/>
    </row>
    <row r="7328" spans="1:1" x14ac:dyDescent="0.3">
      <c r="A7328" s="1"/>
    </row>
    <row r="7329" spans="1:1" x14ac:dyDescent="0.3">
      <c r="A7329" s="1"/>
    </row>
    <row r="7330" spans="1:1" x14ac:dyDescent="0.3">
      <c r="A7330" s="1"/>
    </row>
    <row r="7331" spans="1:1" x14ac:dyDescent="0.3">
      <c r="A7331" s="1"/>
    </row>
    <row r="7332" spans="1:1" x14ac:dyDescent="0.3">
      <c r="A7332" s="1"/>
    </row>
    <row r="7333" spans="1:1" x14ac:dyDescent="0.3">
      <c r="A7333" s="1"/>
    </row>
    <row r="7334" spans="1:1" x14ac:dyDescent="0.3">
      <c r="A7334" s="1"/>
    </row>
    <row r="7335" spans="1:1" x14ac:dyDescent="0.3">
      <c r="A7335" s="1"/>
    </row>
    <row r="7336" spans="1:1" x14ac:dyDescent="0.3">
      <c r="A7336" s="1"/>
    </row>
    <row r="7337" spans="1:1" x14ac:dyDescent="0.3">
      <c r="A7337" s="1"/>
    </row>
    <row r="7338" spans="1:1" x14ac:dyDescent="0.3">
      <c r="A7338" s="1"/>
    </row>
    <row r="7339" spans="1:1" x14ac:dyDescent="0.3">
      <c r="A7339" s="1"/>
    </row>
    <row r="7340" spans="1:1" x14ac:dyDescent="0.3">
      <c r="A7340" s="1"/>
    </row>
    <row r="7341" spans="1:1" x14ac:dyDescent="0.3">
      <c r="A7341" s="1"/>
    </row>
    <row r="7342" spans="1:1" x14ac:dyDescent="0.3">
      <c r="A7342" s="1"/>
    </row>
    <row r="7343" spans="1:1" x14ac:dyDescent="0.3">
      <c r="A7343" s="1"/>
    </row>
    <row r="7344" spans="1:1" x14ac:dyDescent="0.3">
      <c r="A7344" s="1"/>
    </row>
    <row r="7345" spans="1:1" x14ac:dyDescent="0.3">
      <c r="A7345" s="1"/>
    </row>
    <row r="7346" spans="1:1" x14ac:dyDescent="0.3">
      <c r="A7346" s="1"/>
    </row>
    <row r="7347" spans="1:1" x14ac:dyDescent="0.3">
      <c r="A7347" s="1"/>
    </row>
    <row r="7348" spans="1:1" x14ac:dyDescent="0.3">
      <c r="A7348" s="1"/>
    </row>
    <row r="7349" spans="1:1" x14ac:dyDescent="0.3">
      <c r="A7349" s="1"/>
    </row>
    <row r="7350" spans="1:1" x14ac:dyDescent="0.3">
      <c r="A7350" s="1"/>
    </row>
    <row r="7351" spans="1:1" x14ac:dyDescent="0.3">
      <c r="A7351" s="1"/>
    </row>
    <row r="7352" spans="1:1" x14ac:dyDescent="0.3">
      <c r="A7352" s="1"/>
    </row>
    <row r="7353" spans="1:1" x14ac:dyDescent="0.3">
      <c r="A7353" s="1"/>
    </row>
    <row r="7354" spans="1:1" x14ac:dyDescent="0.3">
      <c r="A7354" s="1"/>
    </row>
    <row r="7355" spans="1:1" x14ac:dyDescent="0.3">
      <c r="A7355" s="1"/>
    </row>
    <row r="7356" spans="1:1" x14ac:dyDescent="0.3">
      <c r="A7356" s="1"/>
    </row>
    <row r="7357" spans="1:1" x14ac:dyDescent="0.3">
      <c r="A7357" s="1"/>
    </row>
    <row r="7358" spans="1:1" x14ac:dyDescent="0.3">
      <c r="A7358" s="1"/>
    </row>
    <row r="7359" spans="1:1" x14ac:dyDescent="0.3">
      <c r="A7359" s="1"/>
    </row>
    <row r="7360" spans="1:1" x14ac:dyDescent="0.3">
      <c r="A7360" s="1"/>
    </row>
    <row r="7361" spans="1:1" x14ac:dyDescent="0.3">
      <c r="A7361" s="1"/>
    </row>
    <row r="7362" spans="1:1" x14ac:dyDescent="0.3">
      <c r="A7362" s="1"/>
    </row>
    <row r="7363" spans="1:1" x14ac:dyDescent="0.3">
      <c r="A7363" s="1"/>
    </row>
    <row r="7364" spans="1:1" x14ac:dyDescent="0.3">
      <c r="A7364" s="1"/>
    </row>
    <row r="7365" spans="1:1" x14ac:dyDescent="0.3">
      <c r="A7365" s="1"/>
    </row>
    <row r="7366" spans="1:1" x14ac:dyDescent="0.3">
      <c r="A7366" s="1"/>
    </row>
    <row r="7367" spans="1:1" x14ac:dyDescent="0.3">
      <c r="A7367" s="1"/>
    </row>
    <row r="7368" spans="1:1" x14ac:dyDescent="0.3">
      <c r="A7368" s="1"/>
    </row>
    <row r="7369" spans="1:1" x14ac:dyDescent="0.3">
      <c r="A7369" s="1"/>
    </row>
    <row r="7370" spans="1:1" x14ac:dyDescent="0.3">
      <c r="A7370" s="1"/>
    </row>
    <row r="7371" spans="1:1" x14ac:dyDescent="0.3">
      <c r="A7371" s="1"/>
    </row>
    <row r="7372" spans="1:1" x14ac:dyDescent="0.3">
      <c r="A7372" s="1"/>
    </row>
    <row r="7373" spans="1:1" x14ac:dyDescent="0.3">
      <c r="A7373" s="1"/>
    </row>
    <row r="7374" spans="1:1" x14ac:dyDescent="0.3">
      <c r="A7374" s="1"/>
    </row>
    <row r="7375" spans="1:1" x14ac:dyDescent="0.3">
      <c r="A7375" s="1"/>
    </row>
    <row r="7376" spans="1:1" x14ac:dyDescent="0.3">
      <c r="A7376" s="1"/>
    </row>
    <row r="7377" spans="1:1" x14ac:dyDescent="0.3">
      <c r="A7377" s="1"/>
    </row>
    <row r="7378" spans="1:1" x14ac:dyDescent="0.3">
      <c r="A7378" s="1"/>
    </row>
    <row r="7379" spans="1:1" x14ac:dyDescent="0.3">
      <c r="A7379" s="1"/>
    </row>
    <row r="7380" spans="1:1" x14ac:dyDescent="0.3">
      <c r="A7380" s="1"/>
    </row>
    <row r="7381" spans="1:1" x14ac:dyDescent="0.3">
      <c r="A7381" s="1"/>
    </row>
    <row r="7382" spans="1:1" x14ac:dyDescent="0.3">
      <c r="A7382" s="1"/>
    </row>
    <row r="7383" spans="1:1" x14ac:dyDescent="0.3">
      <c r="A7383" s="1"/>
    </row>
    <row r="7384" spans="1:1" x14ac:dyDescent="0.3">
      <c r="A7384" s="1"/>
    </row>
    <row r="7385" spans="1:1" x14ac:dyDescent="0.3">
      <c r="A7385" s="1"/>
    </row>
    <row r="7386" spans="1:1" x14ac:dyDescent="0.3">
      <c r="A7386" s="1"/>
    </row>
    <row r="7387" spans="1:1" x14ac:dyDescent="0.3">
      <c r="A7387" s="1"/>
    </row>
    <row r="7388" spans="1:1" x14ac:dyDescent="0.3">
      <c r="A7388" s="1"/>
    </row>
    <row r="7389" spans="1:1" x14ac:dyDescent="0.3">
      <c r="A7389" s="1"/>
    </row>
    <row r="7390" spans="1:1" x14ac:dyDescent="0.3">
      <c r="A7390" s="1"/>
    </row>
    <row r="7391" spans="1:1" x14ac:dyDescent="0.3">
      <c r="A7391" s="1"/>
    </row>
    <row r="7392" spans="1:1" x14ac:dyDescent="0.3">
      <c r="A7392" s="1"/>
    </row>
    <row r="7393" spans="1:1" x14ac:dyDescent="0.3">
      <c r="A7393" s="1"/>
    </row>
    <row r="7394" spans="1:1" x14ac:dyDescent="0.3">
      <c r="A7394" s="1"/>
    </row>
    <row r="7395" spans="1:1" x14ac:dyDescent="0.3">
      <c r="A7395" s="1"/>
    </row>
    <row r="7396" spans="1:1" x14ac:dyDescent="0.3">
      <c r="A7396" s="1"/>
    </row>
    <row r="7397" spans="1:1" x14ac:dyDescent="0.3">
      <c r="A7397" s="1"/>
    </row>
    <row r="7398" spans="1:1" x14ac:dyDescent="0.3">
      <c r="A7398" s="1"/>
    </row>
    <row r="7399" spans="1:1" x14ac:dyDescent="0.3">
      <c r="A7399" s="1"/>
    </row>
    <row r="7400" spans="1:1" x14ac:dyDescent="0.3">
      <c r="A7400" s="1"/>
    </row>
    <row r="7401" spans="1:1" x14ac:dyDescent="0.3">
      <c r="A7401" s="1"/>
    </row>
    <row r="7402" spans="1:1" x14ac:dyDescent="0.3">
      <c r="A7402" s="1"/>
    </row>
    <row r="7403" spans="1:1" x14ac:dyDescent="0.3">
      <c r="A7403" s="1"/>
    </row>
    <row r="7404" spans="1:1" x14ac:dyDescent="0.3">
      <c r="A7404" s="1"/>
    </row>
    <row r="7405" spans="1:1" x14ac:dyDescent="0.3">
      <c r="A7405" s="1"/>
    </row>
    <row r="7406" spans="1:1" x14ac:dyDescent="0.3">
      <c r="A7406" s="1"/>
    </row>
    <row r="7407" spans="1:1" x14ac:dyDescent="0.3">
      <c r="A7407" s="1"/>
    </row>
    <row r="7408" spans="1:1" x14ac:dyDescent="0.3">
      <c r="A7408" s="1"/>
    </row>
    <row r="7409" spans="1:1" x14ac:dyDescent="0.3">
      <c r="A7409" s="1"/>
    </row>
    <row r="7410" spans="1:1" x14ac:dyDescent="0.3">
      <c r="A7410" s="1"/>
    </row>
    <row r="7411" spans="1:1" x14ac:dyDescent="0.3">
      <c r="A7411" s="1"/>
    </row>
    <row r="7412" spans="1:1" x14ac:dyDescent="0.3">
      <c r="A7412" s="1"/>
    </row>
    <row r="7413" spans="1:1" x14ac:dyDescent="0.3">
      <c r="A7413" s="1"/>
    </row>
    <row r="7414" spans="1:1" x14ac:dyDescent="0.3">
      <c r="A7414" s="1"/>
    </row>
    <row r="7415" spans="1:1" x14ac:dyDescent="0.3">
      <c r="A7415" s="1"/>
    </row>
    <row r="7416" spans="1:1" x14ac:dyDescent="0.3">
      <c r="A7416" s="1"/>
    </row>
    <row r="7417" spans="1:1" x14ac:dyDescent="0.3">
      <c r="A7417" s="1"/>
    </row>
    <row r="7418" spans="1:1" x14ac:dyDescent="0.3">
      <c r="A7418" s="1"/>
    </row>
    <row r="7419" spans="1:1" x14ac:dyDescent="0.3">
      <c r="A7419" s="1"/>
    </row>
    <row r="7420" spans="1:1" x14ac:dyDescent="0.3">
      <c r="A7420" s="1"/>
    </row>
    <row r="7421" spans="1:1" x14ac:dyDescent="0.3">
      <c r="A7421" s="1"/>
    </row>
    <row r="7422" spans="1:1" x14ac:dyDescent="0.3">
      <c r="A7422" s="1"/>
    </row>
    <row r="7423" spans="1:1" x14ac:dyDescent="0.3">
      <c r="A7423" s="1"/>
    </row>
    <row r="7424" spans="1:1" x14ac:dyDescent="0.3">
      <c r="A7424" s="1"/>
    </row>
    <row r="7425" spans="1:1" x14ac:dyDescent="0.3">
      <c r="A7425" s="1"/>
    </row>
    <row r="7426" spans="1:1" x14ac:dyDescent="0.3">
      <c r="A7426" s="1"/>
    </row>
    <row r="7427" spans="1:1" x14ac:dyDescent="0.3">
      <c r="A7427" s="1"/>
    </row>
    <row r="7428" spans="1:1" x14ac:dyDescent="0.3">
      <c r="A7428" s="1"/>
    </row>
    <row r="7429" spans="1:1" x14ac:dyDescent="0.3">
      <c r="A7429" s="1"/>
    </row>
    <row r="7430" spans="1:1" x14ac:dyDescent="0.3">
      <c r="A7430" s="1"/>
    </row>
    <row r="7431" spans="1:1" x14ac:dyDescent="0.3">
      <c r="A7431" s="1"/>
    </row>
    <row r="7432" spans="1:1" x14ac:dyDescent="0.3">
      <c r="A7432" s="1"/>
    </row>
    <row r="7433" spans="1:1" x14ac:dyDescent="0.3">
      <c r="A7433" s="1"/>
    </row>
    <row r="7434" spans="1:1" x14ac:dyDescent="0.3">
      <c r="A7434" s="1"/>
    </row>
    <row r="7435" spans="1:1" x14ac:dyDescent="0.3">
      <c r="A7435" s="1"/>
    </row>
    <row r="7436" spans="1:1" x14ac:dyDescent="0.3">
      <c r="A7436" s="1"/>
    </row>
    <row r="7437" spans="1:1" x14ac:dyDescent="0.3">
      <c r="A7437" s="1"/>
    </row>
    <row r="7438" spans="1:1" x14ac:dyDescent="0.3">
      <c r="A7438" s="1"/>
    </row>
    <row r="7439" spans="1:1" x14ac:dyDescent="0.3">
      <c r="A7439" s="1"/>
    </row>
    <row r="7440" spans="1:1" x14ac:dyDescent="0.3">
      <c r="A7440" s="1"/>
    </row>
    <row r="7441" spans="1:1" x14ac:dyDescent="0.3">
      <c r="A7441" s="1"/>
    </row>
    <row r="7442" spans="1:1" x14ac:dyDescent="0.3">
      <c r="A7442" s="1"/>
    </row>
    <row r="7443" spans="1:1" x14ac:dyDescent="0.3">
      <c r="A7443" s="1"/>
    </row>
    <row r="7444" spans="1:1" x14ac:dyDescent="0.3">
      <c r="A7444" s="1"/>
    </row>
    <row r="7445" spans="1:1" x14ac:dyDescent="0.3">
      <c r="A7445" s="1"/>
    </row>
    <row r="7446" spans="1:1" x14ac:dyDescent="0.3">
      <c r="A7446" s="1"/>
    </row>
    <row r="7447" spans="1:1" x14ac:dyDescent="0.3">
      <c r="A7447" s="1"/>
    </row>
    <row r="7448" spans="1:1" x14ac:dyDescent="0.3">
      <c r="A7448" s="1"/>
    </row>
    <row r="7449" spans="1:1" x14ac:dyDescent="0.3">
      <c r="A7449" s="1"/>
    </row>
    <row r="7450" spans="1:1" x14ac:dyDescent="0.3">
      <c r="A7450" s="1"/>
    </row>
    <row r="7451" spans="1:1" x14ac:dyDescent="0.3">
      <c r="A7451" s="1"/>
    </row>
    <row r="7452" spans="1:1" x14ac:dyDescent="0.3">
      <c r="A7452" s="1"/>
    </row>
    <row r="7453" spans="1:1" x14ac:dyDescent="0.3">
      <c r="A7453" s="1"/>
    </row>
    <row r="7454" spans="1:1" x14ac:dyDescent="0.3">
      <c r="A7454" s="1"/>
    </row>
    <row r="7455" spans="1:1" x14ac:dyDescent="0.3">
      <c r="A7455" s="1"/>
    </row>
    <row r="7456" spans="1:1" x14ac:dyDescent="0.3">
      <c r="A7456" s="1"/>
    </row>
    <row r="7457" spans="1:1" x14ac:dyDescent="0.3">
      <c r="A7457" s="1"/>
    </row>
    <row r="7458" spans="1:1" x14ac:dyDescent="0.3">
      <c r="A7458" s="1"/>
    </row>
    <row r="7459" spans="1:1" x14ac:dyDescent="0.3">
      <c r="A7459" s="1"/>
    </row>
    <row r="7460" spans="1:1" x14ac:dyDescent="0.3">
      <c r="A7460" s="1"/>
    </row>
    <row r="7461" spans="1:1" x14ac:dyDescent="0.3">
      <c r="A7461" s="1"/>
    </row>
    <row r="7462" spans="1:1" x14ac:dyDescent="0.3">
      <c r="A7462" s="1"/>
    </row>
    <row r="7463" spans="1:1" x14ac:dyDescent="0.3">
      <c r="A7463" s="1"/>
    </row>
    <row r="7464" spans="1:1" x14ac:dyDescent="0.3">
      <c r="A7464" s="1"/>
    </row>
    <row r="7465" spans="1:1" x14ac:dyDescent="0.3">
      <c r="A7465" s="1"/>
    </row>
    <row r="7466" spans="1:1" x14ac:dyDescent="0.3">
      <c r="A7466" s="1"/>
    </row>
    <row r="7467" spans="1:1" x14ac:dyDescent="0.3">
      <c r="A7467" s="1"/>
    </row>
    <row r="7468" spans="1:1" x14ac:dyDescent="0.3">
      <c r="A7468" s="1"/>
    </row>
    <row r="7469" spans="1:1" x14ac:dyDescent="0.3">
      <c r="A7469" s="1"/>
    </row>
    <row r="7470" spans="1:1" x14ac:dyDescent="0.3">
      <c r="A7470" s="1"/>
    </row>
    <row r="7471" spans="1:1" x14ac:dyDescent="0.3">
      <c r="A7471" s="1"/>
    </row>
    <row r="7472" spans="1:1" x14ac:dyDescent="0.3">
      <c r="A7472" s="1"/>
    </row>
    <row r="7473" spans="1:1" x14ac:dyDescent="0.3">
      <c r="A7473" s="1"/>
    </row>
    <row r="7474" spans="1:1" x14ac:dyDescent="0.3">
      <c r="A7474" s="1"/>
    </row>
    <row r="7475" spans="1:1" x14ac:dyDescent="0.3">
      <c r="A7475" s="1"/>
    </row>
    <row r="7476" spans="1:1" x14ac:dyDescent="0.3">
      <c r="A7476" s="1"/>
    </row>
    <row r="7477" spans="1:1" x14ac:dyDescent="0.3">
      <c r="A7477" s="1"/>
    </row>
    <row r="7478" spans="1:1" x14ac:dyDescent="0.3">
      <c r="A7478" s="1"/>
    </row>
    <row r="7479" spans="1:1" x14ac:dyDescent="0.3">
      <c r="A7479" s="1"/>
    </row>
    <row r="7480" spans="1:1" x14ac:dyDescent="0.3">
      <c r="A7480" s="1"/>
    </row>
    <row r="7481" spans="1:1" x14ac:dyDescent="0.3">
      <c r="A7481" s="1"/>
    </row>
    <row r="7482" spans="1:1" x14ac:dyDescent="0.3">
      <c r="A7482" s="1"/>
    </row>
    <row r="7483" spans="1:1" x14ac:dyDescent="0.3">
      <c r="A7483" s="1"/>
    </row>
    <row r="7484" spans="1:1" x14ac:dyDescent="0.3">
      <c r="A7484" s="1"/>
    </row>
    <row r="7485" spans="1:1" x14ac:dyDescent="0.3">
      <c r="A7485" s="1"/>
    </row>
    <row r="7486" spans="1:1" x14ac:dyDescent="0.3">
      <c r="A7486" s="1"/>
    </row>
    <row r="7487" spans="1:1" x14ac:dyDescent="0.3">
      <c r="A7487" s="1"/>
    </row>
    <row r="7488" spans="1:1" x14ac:dyDescent="0.3">
      <c r="A7488" s="1"/>
    </row>
    <row r="7489" spans="1:1" x14ac:dyDescent="0.3">
      <c r="A7489" s="1"/>
    </row>
    <row r="7490" spans="1:1" x14ac:dyDescent="0.3">
      <c r="A7490" s="1"/>
    </row>
    <row r="7491" spans="1:1" x14ac:dyDescent="0.3">
      <c r="A7491" s="1"/>
    </row>
    <row r="7492" spans="1:1" x14ac:dyDescent="0.3">
      <c r="A7492" s="1"/>
    </row>
    <row r="7493" spans="1:1" x14ac:dyDescent="0.3">
      <c r="A7493" s="1"/>
    </row>
    <row r="7494" spans="1:1" x14ac:dyDescent="0.3">
      <c r="A7494" s="1"/>
    </row>
    <row r="7495" spans="1:1" x14ac:dyDescent="0.3">
      <c r="A7495" s="1"/>
    </row>
    <row r="7496" spans="1:1" x14ac:dyDescent="0.3">
      <c r="A7496" s="1"/>
    </row>
    <row r="7497" spans="1:1" x14ac:dyDescent="0.3">
      <c r="A7497" s="1"/>
    </row>
    <row r="7498" spans="1:1" x14ac:dyDescent="0.3">
      <c r="A7498" s="1"/>
    </row>
    <row r="7499" spans="1:1" x14ac:dyDescent="0.3">
      <c r="A7499" s="1"/>
    </row>
    <row r="7500" spans="1:1" x14ac:dyDescent="0.3">
      <c r="A7500" s="1"/>
    </row>
    <row r="7501" spans="1:1" x14ac:dyDescent="0.3">
      <c r="A7501" s="1"/>
    </row>
    <row r="7502" spans="1:1" x14ac:dyDescent="0.3">
      <c r="A7502" s="1"/>
    </row>
    <row r="7503" spans="1:1" x14ac:dyDescent="0.3">
      <c r="A7503" s="1"/>
    </row>
    <row r="7504" spans="1:1" x14ac:dyDescent="0.3">
      <c r="A7504" s="1"/>
    </row>
    <row r="7505" spans="1:1" x14ac:dyDescent="0.3">
      <c r="A7505" s="1"/>
    </row>
    <row r="7506" spans="1:1" x14ac:dyDescent="0.3">
      <c r="A7506" s="1"/>
    </row>
    <row r="7507" spans="1:1" x14ac:dyDescent="0.3">
      <c r="A7507" s="1"/>
    </row>
    <row r="7508" spans="1:1" x14ac:dyDescent="0.3">
      <c r="A7508" s="1"/>
    </row>
    <row r="7509" spans="1:1" x14ac:dyDescent="0.3">
      <c r="A7509" s="1"/>
    </row>
    <row r="7510" spans="1:1" x14ac:dyDescent="0.3">
      <c r="A7510" s="1"/>
    </row>
    <row r="7511" spans="1:1" x14ac:dyDescent="0.3">
      <c r="A7511" s="1"/>
    </row>
    <row r="7512" spans="1:1" x14ac:dyDescent="0.3">
      <c r="A7512" s="1"/>
    </row>
    <row r="7513" spans="1:1" x14ac:dyDescent="0.3">
      <c r="A7513" s="1"/>
    </row>
    <row r="7514" spans="1:1" x14ac:dyDescent="0.3">
      <c r="A7514" s="1"/>
    </row>
    <row r="7515" spans="1:1" x14ac:dyDescent="0.3">
      <c r="A7515" s="1"/>
    </row>
    <row r="7516" spans="1:1" x14ac:dyDescent="0.3">
      <c r="A7516" s="1"/>
    </row>
    <row r="7517" spans="1:1" x14ac:dyDescent="0.3">
      <c r="A7517" s="1"/>
    </row>
    <row r="7518" spans="1:1" x14ac:dyDescent="0.3">
      <c r="A7518" s="1"/>
    </row>
    <row r="7519" spans="1:1" x14ac:dyDescent="0.3">
      <c r="A7519" s="1"/>
    </row>
    <row r="7520" spans="1:1" x14ac:dyDescent="0.3">
      <c r="A7520" s="1"/>
    </row>
    <row r="7521" spans="1:1" x14ac:dyDescent="0.3">
      <c r="A7521" s="1"/>
    </row>
    <row r="7522" spans="1:1" x14ac:dyDescent="0.3">
      <c r="A7522" s="1"/>
    </row>
    <row r="7523" spans="1:1" x14ac:dyDescent="0.3">
      <c r="A7523" s="1"/>
    </row>
    <row r="7524" spans="1:1" x14ac:dyDescent="0.3">
      <c r="A7524" s="1"/>
    </row>
    <row r="7525" spans="1:1" x14ac:dyDescent="0.3">
      <c r="A7525" s="1"/>
    </row>
    <row r="7526" spans="1:1" x14ac:dyDescent="0.3">
      <c r="A7526" s="1"/>
    </row>
    <row r="7527" spans="1:1" x14ac:dyDescent="0.3">
      <c r="A7527" s="1"/>
    </row>
    <row r="7528" spans="1:1" x14ac:dyDescent="0.3">
      <c r="A7528" s="1"/>
    </row>
    <row r="7529" spans="1:1" x14ac:dyDescent="0.3">
      <c r="A7529" s="1"/>
    </row>
    <row r="7530" spans="1:1" x14ac:dyDescent="0.3">
      <c r="A7530" s="1"/>
    </row>
    <row r="7531" spans="1:1" x14ac:dyDescent="0.3">
      <c r="A7531" s="1"/>
    </row>
    <row r="7532" spans="1:1" x14ac:dyDescent="0.3">
      <c r="A7532" s="1"/>
    </row>
    <row r="7533" spans="1:1" x14ac:dyDescent="0.3">
      <c r="A7533" s="1"/>
    </row>
    <row r="7534" spans="1:1" x14ac:dyDescent="0.3">
      <c r="A7534" s="1"/>
    </row>
    <row r="7535" spans="1:1" x14ac:dyDescent="0.3">
      <c r="A7535" s="1"/>
    </row>
    <row r="7536" spans="1:1" x14ac:dyDescent="0.3">
      <c r="A7536" s="1"/>
    </row>
    <row r="7537" spans="1:1" x14ac:dyDescent="0.3">
      <c r="A7537" s="1"/>
    </row>
    <row r="7538" spans="1:1" x14ac:dyDescent="0.3">
      <c r="A7538" s="1"/>
    </row>
    <row r="7539" spans="1:1" x14ac:dyDescent="0.3">
      <c r="A7539" s="1"/>
    </row>
    <row r="7540" spans="1:1" x14ac:dyDescent="0.3">
      <c r="A7540" s="1"/>
    </row>
    <row r="7541" spans="1:1" x14ac:dyDescent="0.3">
      <c r="A7541" s="1"/>
    </row>
    <row r="7542" spans="1:1" x14ac:dyDescent="0.3">
      <c r="A7542" s="1"/>
    </row>
    <row r="7543" spans="1:1" x14ac:dyDescent="0.3">
      <c r="A7543" s="1"/>
    </row>
    <row r="7544" spans="1:1" x14ac:dyDescent="0.3">
      <c r="A7544" s="1"/>
    </row>
    <row r="7545" spans="1:1" x14ac:dyDescent="0.3">
      <c r="A7545" s="1"/>
    </row>
    <row r="7546" spans="1:1" x14ac:dyDescent="0.3">
      <c r="A7546" s="1"/>
    </row>
    <row r="7547" spans="1:1" x14ac:dyDescent="0.3">
      <c r="A7547" s="1"/>
    </row>
    <row r="7548" spans="1:1" x14ac:dyDescent="0.3">
      <c r="A7548" s="1"/>
    </row>
    <row r="7549" spans="1:1" x14ac:dyDescent="0.3">
      <c r="A7549" s="1"/>
    </row>
    <row r="7550" spans="1:1" x14ac:dyDescent="0.3">
      <c r="A7550" s="1"/>
    </row>
    <row r="7551" spans="1:1" x14ac:dyDescent="0.3">
      <c r="A7551" s="1"/>
    </row>
    <row r="7552" spans="1:1" x14ac:dyDescent="0.3">
      <c r="A7552" s="1"/>
    </row>
    <row r="7553" spans="1:1" x14ac:dyDescent="0.3">
      <c r="A7553" s="1"/>
    </row>
    <row r="7554" spans="1:1" x14ac:dyDescent="0.3">
      <c r="A7554" s="1"/>
    </row>
    <row r="7555" spans="1:1" x14ac:dyDescent="0.3">
      <c r="A7555" s="1"/>
    </row>
    <row r="7556" spans="1:1" x14ac:dyDescent="0.3">
      <c r="A7556" s="1"/>
    </row>
    <row r="7557" spans="1:1" x14ac:dyDescent="0.3">
      <c r="A7557" s="1"/>
    </row>
    <row r="7558" spans="1:1" x14ac:dyDescent="0.3">
      <c r="A7558" s="1"/>
    </row>
    <row r="7559" spans="1:1" x14ac:dyDescent="0.3">
      <c r="A7559" s="1"/>
    </row>
    <row r="7560" spans="1:1" x14ac:dyDescent="0.3">
      <c r="A7560" s="1"/>
    </row>
    <row r="7561" spans="1:1" x14ac:dyDescent="0.3">
      <c r="A7561" s="1"/>
    </row>
    <row r="7562" spans="1:1" x14ac:dyDescent="0.3">
      <c r="A7562" s="1"/>
    </row>
    <row r="7563" spans="1:1" x14ac:dyDescent="0.3">
      <c r="A7563" s="1"/>
    </row>
    <row r="7564" spans="1:1" x14ac:dyDescent="0.3">
      <c r="A7564" s="1"/>
    </row>
    <row r="7565" spans="1:1" x14ac:dyDescent="0.3">
      <c r="A7565" s="1"/>
    </row>
    <row r="7566" spans="1:1" x14ac:dyDescent="0.3">
      <c r="A7566" s="1"/>
    </row>
    <row r="7567" spans="1:1" x14ac:dyDescent="0.3">
      <c r="A7567" s="1"/>
    </row>
    <row r="7568" spans="1:1" x14ac:dyDescent="0.3">
      <c r="A7568" s="1"/>
    </row>
    <row r="7569" spans="1:1" x14ac:dyDescent="0.3">
      <c r="A7569" s="1"/>
    </row>
    <row r="7570" spans="1:1" x14ac:dyDescent="0.3">
      <c r="A7570" s="1"/>
    </row>
    <row r="7571" spans="1:1" x14ac:dyDescent="0.3">
      <c r="A7571" s="1"/>
    </row>
    <row r="7572" spans="1:1" x14ac:dyDescent="0.3">
      <c r="A7572" s="1"/>
    </row>
    <row r="7573" spans="1:1" x14ac:dyDescent="0.3">
      <c r="A7573" s="1"/>
    </row>
    <row r="7574" spans="1:1" x14ac:dyDescent="0.3">
      <c r="A7574" s="1"/>
    </row>
    <row r="7575" spans="1:1" x14ac:dyDescent="0.3">
      <c r="A7575" s="1"/>
    </row>
    <row r="7576" spans="1:1" x14ac:dyDescent="0.3">
      <c r="A7576" s="1"/>
    </row>
    <row r="7577" spans="1:1" x14ac:dyDescent="0.3">
      <c r="A7577" s="1"/>
    </row>
    <row r="7578" spans="1:1" x14ac:dyDescent="0.3">
      <c r="A7578" s="1"/>
    </row>
    <row r="7579" spans="1:1" x14ac:dyDescent="0.3">
      <c r="A7579" s="1"/>
    </row>
    <row r="7580" spans="1:1" x14ac:dyDescent="0.3">
      <c r="A7580" s="1"/>
    </row>
    <row r="7581" spans="1:1" x14ac:dyDescent="0.3">
      <c r="A7581" s="1"/>
    </row>
    <row r="7582" spans="1:1" x14ac:dyDescent="0.3">
      <c r="A7582" s="1"/>
    </row>
    <row r="7583" spans="1:1" x14ac:dyDescent="0.3">
      <c r="A7583" s="1"/>
    </row>
    <row r="7584" spans="1:1" x14ac:dyDescent="0.3">
      <c r="A7584" s="1"/>
    </row>
    <row r="7585" spans="1:1" x14ac:dyDescent="0.3">
      <c r="A7585" s="1"/>
    </row>
    <row r="7586" spans="1:1" x14ac:dyDescent="0.3">
      <c r="A7586" s="1"/>
    </row>
    <row r="7587" spans="1:1" x14ac:dyDescent="0.3">
      <c r="A7587" s="1"/>
    </row>
    <row r="7588" spans="1:1" x14ac:dyDescent="0.3">
      <c r="A7588" s="1"/>
    </row>
    <row r="7589" spans="1:1" x14ac:dyDescent="0.3">
      <c r="A7589" s="1"/>
    </row>
    <row r="7590" spans="1:1" x14ac:dyDescent="0.3">
      <c r="A7590" s="1"/>
    </row>
    <row r="7591" spans="1:1" x14ac:dyDescent="0.3">
      <c r="A7591" s="1"/>
    </row>
    <row r="7592" spans="1:1" x14ac:dyDescent="0.3">
      <c r="A7592" s="1"/>
    </row>
    <row r="7593" spans="1:1" x14ac:dyDescent="0.3">
      <c r="A7593" s="1"/>
    </row>
    <row r="7594" spans="1:1" x14ac:dyDescent="0.3">
      <c r="A7594" s="1"/>
    </row>
    <row r="7595" spans="1:1" x14ac:dyDescent="0.3">
      <c r="A7595" s="1"/>
    </row>
    <row r="7596" spans="1:1" x14ac:dyDescent="0.3">
      <c r="A7596" s="1"/>
    </row>
    <row r="7597" spans="1:1" x14ac:dyDescent="0.3">
      <c r="A7597" s="1"/>
    </row>
    <row r="7598" spans="1:1" x14ac:dyDescent="0.3">
      <c r="A7598" s="1"/>
    </row>
    <row r="7599" spans="1:1" x14ac:dyDescent="0.3">
      <c r="A7599" s="1"/>
    </row>
    <row r="7600" spans="1:1" x14ac:dyDescent="0.3">
      <c r="A7600" s="1"/>
    </row>
    <row r="7601" spans="1:1" x14ac:dyDescent="0.3">
      <c r="A7601" s="1"/>
    </row>
    <row r="7602" spans="1:1" x14ac:dyDescent="0.3">
      <c r="A7602" s="1"/>
    </row>
    <row r="7603" spans="1:1" x14ac:dyDescent="0.3">
      <c r="A7603" s="1"/>
    </row>
    <row r="7604" spans="1:1" x14ac:dyDescent="0.3">
      <c r="A7604" s="1"/>
    </row>
    <row r="7605" spans="1:1" x14ac:dyDescent="0.3">
      <c r="A7605" s="1"/>
    </row>
    <row r="7606" spans="1:1" x14ac:dyDescent="0.3">
      <c r="A7606" s="1"/>
    </row>
    <row r="7607" spans="1:1" x14ac:dyDescent="0.3">
      <c r="A7607" s="1"/>
    </row>
    <row r="7608" spans="1:1" x14ac:dyDescent="0.3">
      <c r="A7608" s="1"/>
    </row>
    <row r="7609" spans="1:1" x14ac:dyDescent="0.3">
      <c r="A7609" s="1"/>
    </row>
    <row r="7610" spans="1:1" x14ac:dyDescent="0.3">
      <c r="A7610" s="1"/>
    </row>
    <row r="7611" spans="1:1" x14ac:dyDescent="0.3">
      <c r="A7611" s="1"/>
    </row>
    <row r="7612" spans="1:1" x14ac:dyDescent="0.3">
      <c r="A7612" s="1"/>
    </row>
    <row r="7613" spans="1:1" x14ac:dyDescent="0.3">
      <c r="A7613" s="1"/>
    </row>
    <row r="7614" spans="1:1" x14ac:dyDescent="0.3">
      <c r="A7614" s="1"/>
    </row>
    <row r="7615" spans="1:1" x14ac:dyDescent="0.3">
      <c r="A7615" s="1"/>
    </row>
    <row r="7616" spans="1:1" x14ac:dyDescent="0.3">
      <c r="A7616" s="1"/>
    </row>
    <row r="7617" spans="1:1" x14ac:dyDescent="0.3">
      <c r="A7617" s="1"/>
    </row>
    <row r="7618" spans="1:1" x14ac:dyDescent="0.3">
      <c r="A7618" s="1"/>
    </row>
    <row r="7619" spans="1:1" x14ac:dyDescent="0.3">
      <c r="A7619" s="1"/>
    </row>
    <row r="7620" spans="1:1" x14ac:dyDescent="0.3">
      <c r="A7620" s="1"/>
    </row>
    <row r="7621" spans="1:1" x14ac:dyDescent="0.3">
      <c r="A7621" s="1"/>
    </row>
    <row r="7622" spans="1:1" x14ac:dyDescent="0.3">
      <c r="A7622" s="1"/>
    </row>
    <row r="7623" spans="1:1" x14ac:dyDescent="0.3">
      <c r="A7623" s="1"/>
    </row>
    <row r="7624" spans="1:1" x14ac:dyDescent="0.3">
      <c r="A7624" s="1"/>
    </row>
    <row r="7625" spans="1:1" x14ac:dyDescent="0.3">
      <c r="A7625" s="1"/>
    </row>
    <row r="7626" spans="1:1" x14ac:dyDescent="0.3">
      <c r="A7626" s="1"/>
    </row>
    <row r="7627" spans="1:1" x14ac:dyDescent="0.3">
      <c r="A7627" s="1"/>
    </row>
    <row r="7628" spans="1:1" x14ac:dyDescent="0.3">
      <c r="A7628" s="1"/>
    </row>
    <row r="7629" spans="1:1" x14ac:dyDescent="0.3">
      <c r="A7629" s="1"/>
    </row>
    <row r="7630" spans="1:1" x14ac:dyDescent="0.3">
      <c r="A7630" s="1"/>
    </row>
    <row r="7631" spans="1:1" x14ac:dyDescent="0.3">
      <c r="A7631" s="1"/>
    </row>
    <row r="7632" spans="1:1" x14ac:dyDescent="0.3">
      <c r="A7632" s="1"/>
    </row>
    <row r="7633" spans="1:1" x14ac:dyDescent="0.3">
      <c r="A7633" s="1"/>
    </row>
    <row r="7634" spans="1:1" x14ac:dyDescent="0.3">
      <c r="A7634" s="1"/>
    </row>
    <row r="7635" spans="1:1" x14ac:dyDescent="0.3">
      <c r="A7635" s="1"/>
    </row>
    <row r="7636" spans="1:1" x14ac:dyDescent="0.3">
      <c r="A7636" s="1"/>
    </row>
    <row r="7637" spans="1:1" x14ac:dyDescent="0.3">
      <c r="A7637" s="1"/>
    </row>
    <row r="7638" spans="1:1" x14ac:dyDescent="0.3">
      <c r="A7638" s="1"/>
    </row>
    <row r="7639" spans="1:1" x14ac:dyDescent="0.3">
      <c r="A7639" s="1"/>
    </row>
    <row r="7640" spans="1:1" x14ac:dyDescent="0.3">
      <c r="A7640" s="1"/>
    </row>
    <row r="7641" spans="1:1" x14ac:dyDescent="0.3">
      <c r="A7641" s="1"/>
    </row>
    <row r="7642" spans="1:1" x14ac:dyDescent="0.3">
      <c r="A7642" s="1"/>
    </row>
    <row r="7643" spans="1:1" x14ac:dyDescent="0.3">
      <c r="A7643" s="1"/>
    </row>
    <row r="7644" spans="1:1" x14ac:dyDescent="0.3">
      <c r="A7644" s="1"/>
    </row>
    <row r="7645" spans="1:1" x14ac:dyDescent="0.3">
      <c r="A7645" s="1"/>
    </row>
    <row r="7646" spans="1:1" x14ac:dyDescent="0.3">
      <c r="A7646" s="1"/>
    </row>
    <row r="7647" spans="1:1" x14ac:dyDescent="0.3">
      <c r="A7647" s="1"/>
    </row>
    <row r="7648" spans="1:1" x14ac:dyDescent="0.3">
      <c r="A7648" s="1"/>
    </row>
    <row r="7649" spans="1:1" x14ac:dyDescent="0.3">
      <c r="A7649" s="1"/>
    </row>
    <row r="7650" spans="1:1" x14ac:dyDescent="0.3">
      <c r="A7650" s="1"/>
    </row>
    <row r="7651" spans="1:1" x14ac:dyDescent="0.3">
      <c r="A7651" s="1"/>
    </row>
    <row r="7652" spans="1:1" x14ac:dyDescent="0.3">
      <c r="A7652" s="1"/>
    </row>
    <row r="7653" spans="1:1" x14ac:dyDescent="0.3">
      <c r="A7653" s="1"/>
    </row>
    <row r="7654" spans="1:1" x14ac:dyDescent="0.3">
      <c r="A7654" s="1"/>
    </row>
    <row r="7655" spans="1:1" x14ac:dyDescent="0.3">
      <c r="A7655" s="1"/>
    </row>
    <row r="7656" spans="1:1" x14ac:dyDescent="0.3">
      <c r="A7656" s="1"/>
    </row>
    <row r="7657" spans="1:1" x14ac:dyDescent="0.3">
      <c r="A7657" s="1"/>
    </row>
    <row r="7658" spans="1:1" x14ac:dyDescent="0.3">
      <c r="A7658" s="1"/>
    </row>
    <row r="7659" spans="1:1" x14ac:dyDescent="0.3">
      <c r="A7659" s="1"/>
    </row>
    <row r="7660" spans="1:1" x14ac:dyDescent="0.3">
      <c r="A7660" s="1"/>
    </row>
    <row r="7661" spans="1:1" x14ac:dyDescent="0.3">
      <c r="A7661" s="1"/>
    </row>
    <row r="7662" spans="1:1" x14ac:dyDescent="0.3">
      <c r="A7662" s="1"/>
    </row>
    <row r="7663" spans="1:1" x14ac:dyDescent="0.3">
      <c r="A7663" s="1"/>
    </row>
    <row r="7664" spans="1:1" x14ac:dyDescent="0.3">
      <c r="A7664" s="1"/>
    </row>
    <row r="7665" spans="1:1" x14ac:dyDescent="0.3">
      <c r="A7665" s="1"/>
    </row>
    <row r="7666" spans="1:1" x14ac:dyDescent="0.3">
      <c r="A7666" s="1"/>
    </row>
    <row r="7667" spans="1:1" x14ac:dyDescent="0.3">
      <c r="A7667" s="1"/>
    </row>
    <row r="7668" spans="1:1" x14ac:dyDescent="0.3">
      <c r="A7668" s="1"/>
    </row>
    <row r="7669" spans="1:1" x14ac:dyDescent="0.3">
      <c r="A7669" s="1"/>
    </row>
    <row r="7670" spans="1:1" x14ac:dyDescent="0.3">
      <c r="A7670" s="1"/>
    </row>
    <row r="7671" spans="1:1" x14ac:dyDescent="0.3">
      <c r="A7671" s="1"/>
    </row>
    <row r="7672" spans="1:1" x14ac:dyDescent="0.3">
      <c r="A7672" s="1"/>
    </row>
    <row r="7673" spans="1:1" x14ac:dyDescent="0.3">
      <c r="A7673" s="1"/>
    </row>
    <row r="7674" spans="1:1" x14ac:dyDescent="0.3">
      <c r="A7674" s="1"/>
    </row>
    <row r="7675" spans="1:1" x14ac:dyDescent="0.3">
      <c r="A7675" s="1"/>
    </row>
    <row r="7676" spans="1:1" x14ac:dyDescent="0.3">
      <c r="A7676" s="1"/>
    </row>
    <row r="7677" spans="1:1" x14ac:dyDescent="0.3">
      <c r="A7677" s="1"/>
    </row>
    <row r="7678" spans="1:1" x14ac:dyDescent="0.3">
      <c r="A7678" s="1"/>
    </row>
    <row r="7679" spans="1:1" x14ac:dyDescent="0.3">
      <c r="A7679" s="1"/>
    </row>
    <row r="7680" spans="1:1" x14ac:dyDescent="0.3">
      <c r="A7680" s="1"/>
    </row>
    <row r="7681" spans="1:1" x14ac:dyDescent="0.3">
      <c r="A7681" s="1"/>
    </row>
    <row r="7682" spans="1:1" x14ac:dyDescent="0.3">
      <c r="A7682" s="1"/>
    </row>
    <row r="7683" spans="1:1" x14ac:dyDescent="0.3">
      <c r="A7683" s="1"/>
    </row>
    <row r="7684" spans="1:1" x14ac:dyDescent="0.3">
      <c r="A7684" s="1"/>
    </row>
    <row r="7685" spans="1:1" x14ac:dyDescent="0.3">
      <c r="A7685" s="1"/>
    </row>
    <row r="7686" spans="1:1" x14ac:dyDescent="0.3">
      <c r="A7686" s="1"/>
    </row>
    <row r="7687" spans="1:1" x14ac:dyDescent="0.3">
      <c r="A7687" s="1"/>
    </row>
    <row r="7688" spans="1:1" x14ac:dyDescent="0.3">
      <c r="A7688" s="1"/>
    </row>
    <row r="7689" spans="1:1" x14ac:dyDescent="0.3">
      <c r="A7689" s="1"/>
    </row>
    <row r="7690" spans="1:1" x14ac:dyDescent="0.3">
      <c r="A7690" s="1"/>
    </row>
    <row r="7691" spans="1:1" x14ac:dyDescent="0.3">
      <c r="A7691" s="1"/>
    </row>
    <row r="7692" spans="1:1" x14ac:dyDescent="0.3">
      <c r="A7692" s="1"/>
    </row>
    <row r="7693" spans="1:1" x14ac:dyDescent="0.3">
      <c r="A7693" s="1"/>
    </row>
    <row r="7694" spans="1:1" x14ac:dyDescent="0.3">
      <c r="A7694" s="1"/>
    </row>
    <row r="7695" spans="1:1" x14ac:dyDescent="0.3">
      <c r="A7695" s="1"/>
    </row>
    <row r="7696" spans="1:1" x14ac:dyDescent="0.3">
      <c r="A7696" s="1"/>
    </row>
    <row r="7697" spans="1:1" x14ac:dyDescent="0.3">
      <c r="A7697" s="1"/>
    </row>
    <row r="7698" spans="1:1" x14ac:dyDescent="0.3">
      <c r="A7698" s="1"/>
    </row>
    <row r="7699" spans="1:1" x14ac:dyDescent="0.3">
      <c r="A7699" s="1"/>
    </row>
    <row r="7700" spans="1:1" x14ac:dyDescent="0.3">
      <c r="A7700" s="1"/>
    </row>
    <row r="7701" spans="1:1" x14ac:dyDescent="0.3">
      <c r="A7701" s="1"/>
    </row>
    <row r="7702" spans="1:1" x14ac:dyDescent="0.3">
      <c r="A7702" s="1"/>
    </row>
    <row r="7703" spans="1:1" x14ac:dyDescent="0.3">
      <c r="A7703" s="1"/>
    </row>
    <row r="7704" spans="1:1" x14ac:dyDescent="0.3">
      <c r="A7704" s="1"/>
    </row>
    <row r="7705" spans="1:1" x14ac:dyDescent="0.3">
      <c r="A7705" s="1"/>
    </row>
    <row r="7706" spans="1:1" x14ac:dyDescent="0.3">
      <c r="A7706" s="1"/>
    </row>
    <row r="7707" spans="1:1" x14ac:dyDescent="0.3">
      <c r="A7707" s="1"/>
    </row>
    <row r="7708" spans="1:1" x14ac:dyDescent="0.3">
      <c r="A7708" s="1"/>
    </row>
    <row r="7709" spans="1:1" x14ac:dyDescent="0.3">
      <c r="A7709" s="1"/>
    </row>
    <row r="7710" spans="1:1" x14ac:dyDescent="0.3">
      <c r="A7710" s="1"/>
    </row>
    <row r="7711" spans="1:1" x14ac:dyDescent="0.3">
      <c r="A7711" s="1"/>
    </row>
    <row r="7712" spans="1:1" x14ac:dyDescent="0.3">
      <c r="A7712" s="1"/>
    </row>
    <row r="7713" spans="1:1" x14ac:dyDescent="0.3">
      <c r="A7713" s="1"/>
    </row>
    <row r="7714" spans="1:1" x14ac:dyDescent="0.3">
      <c r="A7714" s="1"/>
    </row>
    <row r="7715" spans="1:1" x14ac:dyDescent="0.3">
      <c r="A7715" s="1"/>
    </row>
    <row r="7716" spans="1:1" x14ac:dyDescent="0.3">
      <c r="A7716" s="1"/>
    </row>
    <row r="7717" spans="1:1" x14ac:dyDescent="0.3">
      <c r="A7717" s="1"/>
    </row>
    <row r="7718" spans="1:1" x14ac:dyDescent="0.3">
      <c r="A7718" s="1"/>
    </row>
    <row r="7719" spans="1:1" x14ac:dyDescent="0.3">
      <c r="A7719" s="1"/>
    </row>
    <row r="7720" spans="1:1" x14ac:dyDescent="0.3">
      <c r="A7720" s="1"/>
    </row>
    <row r="7721" spans="1:1" x14ac:dyDescent="0.3">
      <c r="A7721" s="1"/>
    </row>
    <row r="7722" spans="1:1" x14ac:dyDescent="0.3">
      <c r="A7722" s="1"/>
    </row>
    <row r="7723" spans="1:1" x14ac:dyDescent="0.3">
      <c r="A7723" s="1"/>
    </row>
    <row r="7724" spans="1:1" x14ac:dyDescent="0.3">
      <c r="A7724" s="1"/>
    </row>
    <row r="7725" spans="1:1" x14ac:dyDescent="0.3">
      <c r="A7725" s="1"/>
    </row>
    <row r="7726" spans="1:1" x14ac:dyDescent="0.3">
      <c r="A7726" s="1"/>
    </row>
    <row r="7727" spans="1:1" x14ac:dyDescent="0.3">
      <c r="A7727" s="1"/>
    </row>
    <row r="7728" spans="1:1" x14ac:dyDescent="0.3">
      <c r="A7728" s="1"/>
    </row>
    <row r="7729" spans="1:1" x14ac:dyDescent="0.3">
      <c r="A7729" s="1"/>
    </row>
    <row r="7730" spans="1:1" x14ac:dyDescent="0.3">
      <c r="A7730" s="1"/>
    </row>
    <row r="7731" spans="1:1" x14ac:dyDescent="0.3">
      <c r="A7731" s="1"/>
    </row>
    <row r="7732" spans="1:1" x14ac:dyDescent="0.3">
      <c r="A7732" s="1"/>
    </row>
    <row r="7733" spans="1:1" x14ac:dyDescent="0.3">
      <c r="A7733" s="1"/>
    </row>
    <row r="7734" spans="1:1" x14ac:dyDescent="0.3">
      <c r="A7734" s="1"/>
    </row>
    <row r="7735" spans="1:1" x14ac:dyDescent="0.3">
      <c r="A7735" s="1"/>
    </row>
    <row r="7736" spans="1:1" x14ac:dyDescent="0.3">
      <c r="A7736" s="1"/>
    </row>
    <row r="7737" spans="1:1" x14ac:dyDescent="0.3">
      <c r="A7737" s="1"/>
    </row>
    <row r="7738" spans="1:1" x14ac:dyDescent="0.3">
      <c r="A7738" s="1"/>
    </row>
    <row r="7739" spans="1:1" x14ac:dyDescent="0.3">
      <c r="A7739" s="1"/>
    </row>
    <row r="7740" spans="1:1" x14ac:dyDescent="0.3">
      <c r="A7740" s="1"/>
    </row>
    <row r="7741" spans="1:1" x14ac:dyDescent="0.3">
      <c r="A7741" s="1"/>
    </row>
    <row r="7742" spans="1:1" x14ac:dyDescent="0.3">
      <c r="A7742" s="1"/>
    </row>
    <row r="7743" spans="1:1" x14ac:dyDescent="0.3">
      <c r="A7743" s="1"/>
    </row>
    <row r="7744" spans="1:1" x14ac:dyDescent="0.3">
      <c r="A7744" s="1"/>
    </row>
    <row r="7745" spans="1:1" x14ac:dyDescent="0.3">
      <c r="A7745" s="1"/>
    </row>
    <row r="7746" spans="1:1" x14ac:dyDescent="0.3">
      <c r="A7746" s="1"/>
    </row>
    <row r="7747" spans="1:1" x14ac:dyDescent="0.3">
      <c r="A7747" s="1"/>
    </row>
    <row r="7748" spans="1:1" x14ac:dyDescent="0.3">
      <c r="A7748" s="1"/>
    </row>
    <row r="7749" spans="1:1" x14ac:dyDescent="0.3">
      <c r="A7749" s="1"/>
    </row>
    <row r="7750" spans="1:1" x14ac:dyDescent="0.3">
      <c r="A7750" s="1"/>
    </row>
    <row r="7751" spans="1:1" x14ac:dyDescent="0.3">
      <c r="A7751" s="1"/>
    </row>
    <row r="7752" spans="1:1" x14ac:dyDescent="0.3">
      <c r="A7752" s="1"/>
    </row>
    <row r="7753" spans="1:1" x14ac:dyDescent="0.3">
      <c r="A7753" s="1"/>
    </row>
    <row r="7754" spans="1:1" x14ac:dyDescent="0.3">
      <c r="A7754" s="1"/>
    </row>
    <row r="7755" spans="1:1" x14ac:dyDescent="0.3">
      <c r="A7755" s="1"/>
    </row>
    <row r="7756" spans="1:1" x14ac:dyDescent="0.3">
      <c r="A7756" s="1"/>
    </row>
    <row r="7757" spans="1:1" x14ac:dyDescent="0.3">
      <c r="A7757" s="1"/>
    </row>
    <row r="7758" spans="1:1" x14ac:dyDescent="0.3">
      <c r="A7758" s="1"/>
    </row>
    <row r="7759" spans="1:1" x14ac:dyDescent="0.3">
      <c r="A7759" s="1"/>
    </row>
    <row r="7760" spans="1:1" x14ac:dyDescent="0.3">
      <c r="A7760" s="1"/>
    </row>
    <row r="7761" spans="1:1" x14ac:dyDescent="0.3">
      <c r="A7761" s="1"/>
    </row>
    <row r="7762" spans="1:1" x14ac:dyDescent="0.3">
      <c r="A7762" s="1"/>
    </row>
    <row r="7763" spans="1:1" x14ac:dyDescent="0.3">
      <c r="A7763" s="1"/>
    </row>
    <row r="7764" spans="1:1" x14ac:dyDescent="0.3">
      <c r="A7764" s="1"/>
    </row>
    <row r="7765" spans="1:1" x14ac:dyDescent="0.3">
      <c r="A7765" s="1"/>
    </row>
    <row r="7766" spans="1:1" x14ac:dyDescent="0.3">
      <c r="A7766" s="1"/>
    </row>
    <row r="7767" spans="1:1" x14ac:dyDescent="0.3">
      <c r="A7767" s="1"/>
    </row>
    <row r="7768" spans="1:1" x14ac:dyDescent="0.3">
      <c r="A7768" s="1"/>
    </row>
    <row r="7769" spans="1:1" x14ac:dyDescent="0.3">
      <c r="A7769" s="1"/>
    </row>
    <row r="7770" spans="1:1" x14ac:dyDescent="0.3">
      <c r="A7770" s="1"/>
    </row>
    <row r="7771" spans="1:1" x14ac:dyDescent="0.3">
      <c r="A7771" s="1"/>
    </row>
    <row r="7772" spans="1:1" x14ac:dyDescent="0.3">
      <c r="A7772" s="1"/>
    </row>
    <row r="7773" spans="1:1" x14ac:dyDescent="0.3">
      <c r="A7773" s="1"/>
    </row>
    <row r="7774" spans="1:1" x14ac:dyDescent="0.3">
      <c r="A7774" s="1"/>
    </row>
    <row r="7775" spans="1:1" x14ac:dyDescent="0.3">
      <c r="A7775" s="1"/>
    </row>
    <row r="7776" spans="1:1" x14ac:dyDescent="0.3">
      <c r="A7776" s="1"/>
    </row>
    <row r="7777" spans="1:1" x14ac:dyDescent="0.3">
      <c r="A7777" s="1"/>
    </row>
    <row r="7778" spans="1:1" x14ac:dyDescent="0.3">
      <c r="A7778" s="1"/>
    </row>
    <row r="7779" spans="1:1" x14ac:dyDescent="0.3">
      <c r="A7779" s="1"/>
    </row>
    <row r="7780" spans="1:1" x14ac:dyDescent="0.3">
      <c r="A7780" s="1"/>
    </row>
    <row r="7781" spans="1:1" x14ac:dyDescent="0.3">
      <c r="A7781" s="1"/>
    </row>
    <row r="7782" spans="1:1" x14ac:dyDescent="0.3">
      <c r="A7782" s="1"/>
    </row>
    <row r="7783" spans="1:1" x14ac:dyDescent="0.3">
      <c r="A7783" s="1"/>
    </row>
    <row r="7784" spans="1:1" x14ac:dyDescent="0.3">
      <c r="A7784" s="1"/>
    </row>
    <row r="7785" spans="1:1" x14ac:dyDescent="0.3">
      <c r="A7785" s="1"/>
    </row>
    <row r="7786" spans="1:1" x14ac:dyDescent="0.3">
      <c r="A7786" s="1"/>
    </row>
    <row r="7787" spans="1:1" x14ac:dyDescent="0.3">
      <c r="A7787" s="1"/>
    </row>
    <row r="7788" spans="1:1" x14ac:dyDescent="0.3">
      <c r="A7788" s="1"/>
    </row>
    <row r="7789" spans="1:1" x14ac:dyDescent="0.3">
      <c r="A7789" s="1"/>
    </row>
    <row r="7790" spans="1:1" x14ac:dyDescent="0.3">
      <c r="A7790" s="1"/>
    </row>
    <row r="7791" spans="1:1" x14ac:dyDescent="0.3">
      <c r="A7791" s="1"/>
    </row>
    <row r="7792" spans="1:1" x14ac:dyDescent="0.3">
      <c r="A7792" s="1"/>
    </row>
    <row r="7793" spans="1:1" x14ac:dyDescent="0.3">
      <c r="A7793" s="1"/>
    </row>
    <row r="7794" spans="1:1" x14ac:dyDescent="0.3">
      <c r="A7794" s="1"/>
    </row>
    <row r="7795" spans="1:1" x14ac:dyDescent="0.3">
      <c r="A7795" s="1"/>
    </row>
    <row r="7796" spans="1:1" x14ac:dyDescent="0.3">
      <c r="A7796" s="1"/>
    </row>
    <row r="7797" spans="1:1" x14ac:dyDescent="0.3">
      <c r="A7797" s="1"/>
    </row>
    <row r="7798" spans="1:1" x14ac:dyDescent="0.3">
      <c r="A7798" s="1"/>
    </row>
    <row r="7799" spans="1:1" x14ac:dyDescent="0.3">
      <c r="A7799" s="1"/>
    </row>
    <row r="7800" spans="1:1" x14ac:dyDescent="0.3">
      <c r="A7800" s="1"/>
    </row>
    <row r="7801" spans="1:1" x14ac:dyDescent="0.3">
      <c r="A7801" s="1"/>
    </row>
    <row r="7802" spans="1:1" x14ac:dyDescent="0.3">
      <c r="A7802" s="1"/>
    </row>
    <row r="7803" spans="1:1" x14ac:dyDescent="0.3">
      <c r="A7803" s="1"/>
    </row>
    <row r="7804" spans="1:1" x14ac:dyDescent="0.3">
      <c r="A7804" s="1"/>
    </row>
    <row r="7805" spans="1:1" x14ac:dyDescent="0.3">
      <c r="A7805" s="1"/>
    </row>
    <row r="7806" spans="1:1" x14ac:dyDescent="0.3">
      <c r="A7806" s="1"/>
    </row>
    <row r="7807" spans="1:1" x14ac:dyDescent="0.3">
      <c r="A7807" s="1"/>
    </row>
    <row r="7808" spans="1:1" x14ac:dyDescent="0.3">
      <c r="A7808" s="1"/>
    </row>
    <row r="7809" spans="1:1" x14ac:dyDescent="0.3">
      <c r="A7809" s="1"/>
    </row>
    <row r="7810" spans="1:1" x14ac:dyDescent="0.3">
      <c r="A7810" s="1"/>
    </row>
    <row r="7811" spans="1:1" x14ac:dyDescent="0.3">
      <c r="A7811" s="1"/>
    </row>
    <row r="7812" spans="1:1" x14ac:dyDescent="0.3">
      <c r="A7812" s="1"/>
    </row>
    <row r="7813" spans="1:1" x14ac:dyDescent="0.3">
      <c r="A7813" s="1"/>
    </row>
    <row r="7814" spans="1:1" x14ac:dyDescent="0.3">
      <c r="A7814" s="1"/>
    </row>
    <row r="7815" spans="1:1" x14ac:dyDescent="0.3">
      <c r="A7815" s="1"/>
    </row>
    <row r="7816" spans="1:1" x14ac:dyDescent="0.3">
      <c r="A7816" s="1"/>
    </row>
    <row r="7817" spans="1:1" x14ac:dyDescent="0.3">
      <c r="A7817" s="1"/>
    </row>
    <row r="7818" spans="1:1" x14ac:dyDescent="0.3">
      <c r="A7818" s="1"/>
    </row>
    <row r="7819" spans="1:1" x14ac:dyDescent="0.3">
      <c r="A7819" s="1"/>
    </row>
    <row r="7820" spans="1:1" x14ac:dyDescent="0.3">
      <c r="A7820" s="1"/>
    </row>
    <row r="7821" spans="1:1" x14ac:dyDescent="0.3">
      <c r="A7821" s="1"/>
    </row>
    <row r="7822" spans="1:1" x14ac:dyDescent="0.3">
      <c r="A7822" s="1"/>
    </row>
    <row r="7823" spans="1:1" x14ac:dyDescent="0.3">
      <c r="A7823" s="1"/>
    </row>
    <row r="7824" spans="1:1" x14ac:dyDescent="0.3">
      <c r="A7824" s="1"/>
    </row>
    <row r="7825" spans="1:1" x14ac:dyDescent="0.3">
      <c r="A7825" s="1"/>
    </row>
    <row r="7826" spans="1:1" x14ac:dyDescent="0.3">
      <c r="A7826" s="1"/>
    </row>
    <row r="7827" spans="1:1" x14ac:dyDescent="0.3">
      <c r="A7827" s="1"/>
    </row>
    <row r="7828" spans="1:1" x14ac:dyDescent="0.3">
      <c r="A7828" s="1"/>
    </row>
    <row r="7829" spans="1:1" x14ac:dyDescent="0.3">
      <c r="A7829" s="1"/>
    </row>
    <row r="7830" spans="1:1" x14ac:dyDescent="0.3">
      <c r="A7830" s="1"/>
    </row>
    <row r="7831" spans="1:1" x14ac:dyDescent="0.3">
      <c r="A7831" s="1"/>
    </row>
    <row r="7832" spans="1:1" x14ac:dyDescent="0.3">
      <c r="A7832" s="1"/>
    </row>
    <row r="7833" spans="1:1" x14ac:dyDescent="0.3">
      <c r="A7833" s="1"/>
    </row>
    <row r="7834" spans="1:1" x14ac:dyDescent="0.3">
      <c r="A7834" s="1"/>
    </row>
    <row r="7835" spans="1:1" x14ac:dyDescent="0.3">
      <c r="A7835" s="1"/>
    </row>
    <row r="7836" spans="1:1" x14ac:dyDescent="0.3">
      <c r="A7836" s="1"/>
    </row>
    <row r="7837" spans="1:1" x14ac:dyDescent="0.3">
      <c r="A7837" s="1"/>
    </row>
    <row r="7838" spans="1:1" x14ac:dyDescent="0.3">
      <c r="A7838" s="1"/>
    </row>
    <row r="7839" spans="1:1" x14ac:dyDescent="0.3">
      <c r="A7839" s="1"/>
    </row>
    <row r="7840" spans="1:1" x14ac:dyDescent="0.3">
      <c r="A7840" s="1"/>
    </row>
    <row r="7841" spans="1:1" x14ac:dyDescent="0.3">
      <c r="A7841" s="1"/>
    </row>
    <row r="7842" spans="1:1" x14ac:dyDescent="0.3">
      <c r="A7842" s="1"/>
    </row>
    <row r="7843" spans="1:1" x14ac:dyDescent="0.3">
      <c r="A7843" s="1"/>
    </row>
    <row r="7844" spans="1:1" x14ac:dyDescent="0.3">
      <c r="A7844" s="1"/>
    </row>
    <row r="7845" spans="1:1" x14ac:dyDescent="0.3">
      <c r="A7845" s="1"/>
    </row>
    <row r="7846" spans="1:1" x14ac:dyDescent="0.3">
      <c r="A7846" s="1"/>
    </row>
    <row r="7847" spans="1:1" x14ac:dyDescent="0.3">
      <c r="A7847" s="1"/>
    </row>
    <row r="7848" spans="1:1" x14ac:dyDescent="0.3">
      <c r="A7848" s="1"/>
    </row>
    <row r="7849" spans="1:1" x14ac:dyDescent="0.3">
      <c r="A7849" s="1"/>
    </row>
    <row r="7850" spans="1:1" x14ac:dyDescent="0.3">
      <c r="A7850" s="1"/>
    </row>
    <row r="7851" spans="1:1" x14ac:dyDescent="0.3">
      <c r="A7851" s="1"/>
    </row>
    <row r="7852" spans="1:1" x14ac:dyDescent="0.3">
      <c r="A7852" s="1"/>
    </row>
    <row r="7853" spans="1:1" x14ac:dyDescent="0.3">
      <c r="A7853" s="1"/>
    </row>
    <row r="7854" spans="1:1" x14ac:dyDescent="0.3">
      <c r="A7854" s="1"/>
    </row>
    <row r="7855" spans="1:1" x14ac:dyDescent="0.3">
      <c r="A7855" s="1"/>
    </row>
    <row r="7856" spans="1:1" x14ac:dyDescent="0.3">
      <c r="A7856" s="1"/>
    </row>
    <row r="7857" spans="1:1" x14ac:dyDescent="0.3">
      <c r="A7857" s="1"/>
    </row>
    <row r="7858" spans="1:1" x14ac:dyDescent="0.3">
      <c r="A7858" s="1"/>
    </row>
    <row r="7859" spans="1:1" x14ac:dyDescent="0.3">
      <c r="A7859" s="1"/>
    </row>
    <row r="7860" spans="1:1" x14ac:dyDescent="0.3">
      <c r="A7860" s="1"/>
    </row>
    <row r="7861" spans="1:1" x14ac:dyDescent="0.3">
      <c r="A7861" s="1"/>
    </row>
    <row r="7862" spans="1:1" x14ac:dyDescent="0.3">
      <c r="A7862" s="1"/>
    </row>
    <row r="7863" spans="1:1" x14ac:dyDescent="0.3">
      <c r="A7863" s="1"/>
    </row>
    <row r="7864" spans="1:1" x14ac:dyDescent="0.3">
      <c r="A7864" s="1"/>
    </row>
    <row r="7865" spans="1:1" x14ac:dyDescent="0.3">
      <c r="A7865" s="1"/>
    </row>
    <row r="7866" spans="1:1" x14ac:dyDescent="0.3">
      <c r="A7866" s="1"/>
    </row>
    <row r="7867" spans="1:1" x14ac:dyDescent="0.3">
      <c r="A7867" s="1"/>
    </row>
    <row r="7868" spans="1:1" x14ac:dyDescent="0.3">
      <c r="A7868" s="1"/>
    </row>
    <row r="7869" spans="1:1" x14ac:dyDescent="0.3">
      <c r="A7869" s="1"/>
    </row>
    <row r="7870" spans="1:1" x14ac:dyDescent="0.3">
      <c r="A7870" s="1"/>
    </row>
    <row r="7871" spans="1:1" x14ac:dyDescent="0.3">
      <c r="A7871" s="1"/>
    </row>
    <row r="7872" spans="1:1" x14ac:dyDescent="0.3">
      <c r="A7872" s="1"/>
    </row>
    <row r="7873" spans="1:1" x14ac:dyDescent="0.3">
      <c r="A7873" s="1"/>
    </row>
    <row r="7874" spans="1:1" x14ac:dyDescent="0.3">
      <c r="A7874" s="1"/>
    </row>
    <row r="7875" spans="1:1" x14ac:dyDescent="0.3">
      <c r="A7875" s="1"/>
    </row>
    <row r="7876" spans="1:1" x14ac:dyDescent="0.3">
      <c r="A7876" s="1"/>
    </row>
    <row r="7877" spans="1:1" x14ac:dyDescent="0.3">
      <c r="A7877" s="1"/>
    </row>
    <row r="7878" spans="1:1" x14ac:dyDescent="0.3">
      <c r="A7878" s="1"/>
    </row>
    <row r="7879" spans="1:1" x14ac:dyDescent="0.3">
      <c r="A7879" s="1"/>
    </row>
    <row r="7880" spans="1:1" x14ac:dyDescent="0.3">
      <c r="A7880" s="1"/>
    </row>
    <row r="7881" spans="1:1" x14ac:dyDescent="0.3">
      <c r="A7881" s="1"/>
    </row>
    <row r="7882" spans="1:1" x14ac:dyDescent="0.3">
      <c r="A7882" s="1"/>
    </row>
    <row r="7883" spans="1:1" x14ac:dyDescent="0.3">
      <c r="A7883" s="1"/>
    </row>
    <row r="7884" spans="1:1" x14ac:dyDescent="0.3">
      <c r="A7884" s="1"/>
    </row>
    <row r="7885" spans="1:1" x14ac:dyDescent="0.3">
      <c r="A7885" s="1"/>
    </row>
    <row r="7886" spans="1:1" x14ac:dyDescent="0.3">
      <c r="A7886" s="1"/>
    </row>
    <row r="7887" spans="1:1" x14ac:dyDescent="0.3">
      <c r="A7887" s="1"/>
    </row>
    <row r="7888" spans="1:1" x14ac:dyDescent="0.3">
      <c r="A7888" s="1"/>
    </row>
    <row r="7889" spans="1:1" x14ac:dyDescent="0.3">
      <c r="A7889" s="1"/>
    </row>
    <row r="7890" spans="1:1" x14ac:dyDescent="0.3">
      <c r="A7890" s="1"/>
    </row>
    <row r="7891" spans="1:1" x14ac:dyDescent="0.3">
      <c r="A7891" s="1"/>
    </row>
    <row r="7892" spans="1:1" x14ac:dyDescent="0.3">
      <c r="A7892" s="1"/>
    </row>
    <row r="7893" spans="1:1" x14ac:dyDescent="0.3">
      <c r="A7893" s="1"/>
    </row>
    <row r="7894" spans="1:1" x14ac:dyDescent="0.3">
      <c r="A7894" s="1"/>
    </row>
    <row r="7895" spans="1:1" x14ac:dyDescent="0.3">
      <c r="A7895" s="1"/>
    </row>
    <row r="7896" spans="1:1" x14ac:dyDescent="0.3">
      <c r="A7896" s="1"/>
    </row>
    <row r="7897" spans="1:1" x14ac:dyDescent="0.3">
      <c r="A7897" s="1"/>
    </row>
    <row r="7898" spans="1:1" x14ac:dyDescent="0.3">
      <c r="A7898" s="1"/>
    </row>
    <row r="7899" spans="1:1" x14ac:dyDescent="0.3">
      <c r="A7899" s="1"/>
    </row>
    <row r="7900" spans="1:1" x14ac:dyDescent="0.3">
      <c r="A7900" s="1"/>
    </row>
    <row r="7901" spans="1:1" x14ac:dyDescent="0.3">
      <c r="A7901" s="1"/>
    </row>
    <row r="7902" spans="1:1" x14ac:dyDescent="0.3">
      <c r="A7902" s="1"/>
    </row>
    <row r="7903" spans="1:1" x14ac:dyDescent="0.3">
      <c r="A7903" s="1"/>
    </row>
    <row r="7904" spans="1:1" x14ac:dyDescent="0.3">
      <c r="A7904" s="1"/>
    </row>
    <row r="7905" spans="1:1" x14ac:dyDescent="0.3">
      <c r="A7905" s="1"/>
    </row>
    <row r="7906" spans="1:1" x14ac:dyDescent="0.3">
      <c r="A7906" s="1"/>
    </row>
    <row r="7907" spans="1:1" x14ac:dyDescent="0.3">
      <c r="A7907" s="1"/>
    </row>
    <row r="7908" spans="1:1" x14ac:dyDescent="0.3">
      <c r="A7908" s="1"/>
    </row>
    <row r="7909" spans="1:1" x14ac:dyDescent="0.3">
      <c r="A7909" s="1"/>
    </row>
    <row r="7910" spans="1:1" x14ac:dyDescent="0.3">
      <c r="A7910" s="1"/>
    </row>
    <row r="7911" spans="1:1" x14ac:dyDescent="0.3">
      <c r="A7911" s="1"/>
    </row>
    <row r="7912" spans="1:1" x14ac:dyDescent="0.3">
      <c r="A7912" s="1"/>
    </row>
    <row r="7913" spans="1:1" x14ac:dyDescent="0.3">
      <c r="A7913" s="1"/>
    </row>
    <row r="7914" spans="1:1" x14ac:dyDescent="0.3">
      <c r="A7914" s="1"/>
    </row>
    <row r="7915" spans="1:1" x14ac:dyDescent="0.3">
      <c r="A7915" s="1"/>
    </row>
    <row r="7916" spans="1:1" x14ac:dyDescent="0.3">
      <c r="A7916" s="1"/>
    </row>
    <row r="7917" spans="1:1" x14ac:dyDescent="0.3">
      <c r="A7917" s="1"/>
    </row>
    <row r="7918" spans="1:1" x14ac:dyDescent="0.3">
      <c r="A7918" s="1"/>
    </row>
    <row r="7919" spans="1:1" x14ac:dyDescent="0.3">
      <c r="A7919" s="1"/>
    </row>
    <row r="7920" spans="1:1" x14ac:dyDescent="0.3">
      <c r="A7920" s="1"/>
    </row>
    <row r="7921" spans="1:1" x14ac:dyDescent="0.3">
      <c r="A7921" s="1"/>
    </row>
    <row r="7922" spans="1:1" x14ac:dyDescent="0.3">
      <c r="A7922" s="1"/>
    </row>
    <row r="7923" spans="1:1" x14ac:dyDescent="0.3">
      <c r="A7923" s="1"/>
    </row>
    <row r="7924" spans="1:1" x14ac:dyDescent="0.3">
      <c r="A7924" s="1"/>
    </row>
    <row r="7925" spans="1:1" x14ac:dyDescent="0.3">
      <c r="A7925" s="1"/>
    </row>
    <row r="7926" spans="1:1" x14ac:dyDescent="0.3">
      <c r="A7926" s="1"/>
    </row>
    <row r="7927" spans="1:1" x14ac:dyDescent="0.3">
      <c r="A7927" s="1"/>
    </row>
    <row r="7928" spans="1:1" x14ac:dyDescent="0.3">
      <c r="A7928" s="1"/>
    </row>
    <row r="7929" spans="1:1" x14ac:dyDescent="0.3">
      <c r="A7929" s="1"/>
    </row>
    <row r="7930" spans="1:1" x14ac:dyDescent="0.3">
      <c r="A7930" s="1"/>
    </row>
    <row r="7931" spans="1:1" x14ac:dyDescent="0.3">
      <c r="A7931" s="1"/>
    </row>
    <row r="7932" spans="1:1" x14ac:dyDescent="0.3">
      <c r="A7932" s="1"/>
    </row>
    <row r="7933" spans="1:1" x14ac:dyDescent="0.3">
      <c r="A7933" s="1"/>
    </row>
    <row r="7934" spans="1:1" x14ac:dyDescent="0.3">
      <c r="A7934" s="1"/>
    </row>
    <row r="7935" spans="1:1" x14ac:dyDescent="0.3">
      <c r="A7935" s="1"/>
    </row>
    <row r="7936" spans="1:1" x14ac:dyDescent="0.3">
      <c r="A7936" s="1"/>
    </row>
    <row r="7937" spans="1:1" x14ac:dyDescent="0.3">
      <c r="A7937" s="1"/>
    </row>
    <row r="7938" spans="1:1" x14ac:dyDescent="0.3">
      <c r="A7938" s="1"/>
    </row>
    <row r="7939" spans="1:1" x14ac:dyDescent="0.3">
      <c r="A7939" s="1"/>
    </row>
    <row r="7940" spans="1:1" x14ac:dyDescent="0.3">
      <c r="A7940" s="1"/>
    </row>
    <row r="7941" spans="1:1" x14ac:dyDescent="0.3">
      <c r="A7941" s="1"/>
    </row>
    <row r="7942" spans="1:1" x14ac:dyDescent="0.3">
      <c r="A7942" s="1"/>
    </row>
    <row r="7943" spans="1:1" x14ac:dyDescent="0.3">
      <c r="A7943" s="1"/>
    </row>
    <row r="7944" spans="1:1" x14ac:dyDescent="0.3">
      <c r="A7944" s="1"/>
    </row>
    <row r="7945" spans="1:1" x14ac:dyDescent="0.3">
      <c r="A7945" s="1"/>
    </row>
    <row r="7946" spans="1:1" x14ac:dyDescent="0.3">
      <c r="A7946" s="1"/>
    </row>
    <row r="7947" spans="1:1" x14ac:dyDescent="0.3">
      <c r="A7947" s="1"/>
    </row>
    <row r="7948" spans="1:1" x14ac:dyDescent="0.3">
      <c r="A7948" s="1"/>
    </row>
    <row r="7949" spans="1:1" x14ac:dyDescent="0.3">
      <c r="A7949" s="1"/>
    </row>
    <row r="7950" spans="1:1" x14ac:dyDescent="0.3">
      <c r="A7950" s="1"/>
    </row>
    <row r="7951" spans="1:1" x14ac:dyDescent="0.3">
      <c r="A7951" s="1"/>
    </row>
    <row r="7952" spans="1:1" x14ac:dyDescent="0.3">
      <c r="A7952" s="1"/>
    </row>
    <row r="7953" spans="1:1" x14ac:dyDescent="0.3">
      <c r="A7953" s="1"/>
    </row>
    <row r="7954" spans="1:1" x14ac:dyDescent="0.3">
      <c r="A7954" s="1"/>
    </row>
    <row r="7955" spans="1:1" x14ac:dyDescent="0.3">
      <c r="A7955" s="1"/>
    </row>
    <row r="7956" spans="1:1" x14ac:dyDescent="0.3">
      <c r="A7956" s="1"/>
    </row>
    <row r="7957" spans="1:1" x14ac:dyDescent="0.3">
      <c r="A7957" s="1"/>
    </row>
    <row r="7958" spans="1:1" x14ac:dyDescent="0.3">
      <c r="A7958" s="1"/>
    </row>
    <row r="7959" spans="1:1" x14ac:dyDescent="0.3">
      <c r="A7959" s="1"/>
    </row>
    <row r="7960" spans="1:1" x14ac:dyDescent="0.3">
      <c r="A7960" s="1"/>
    </row>
    <row r="7961" spans="1:1" x14ac:dyDescent="0.3">
      <c r="A7961" s="1"/>
    </row>
    <row r="7962" spans="1:1" x14ac:dyDescent="0.3">
      <c r="A7962" s="1"/>
    </row>
    <row r="7963" spans="1:1" x14ac:dyDescent="0.3">
      <c r="A7963" s="1"/>
    </row>
    <row r="7964" spans="1:1" x14ac:dyDescent="0.3">
      <c r="A7964" s="1"/>
    </row>
    <row r="7965" spans="1:1" x14ac:dyDescent="0.3">
      <c r="A7965" s="1"/>
    </row>
    <row r="7966" spans="1:1" x14ac:dyDescent="0.3">
      <c r="A7966" s="1"/>
    </row>
    <row r="7967" spans="1:1" x14ac:dyDescent="0.3">
      <c r="A7967" s="1"/>
    </row>
    <row r="7968" spans="1:1" x14ac:dyDescent="0.3">
      <c r="A7968" s="1"/>
    </row>
    <row r="7969" spans="1:1" x14ac:dyDescent="0.3">
      <c r="A7969" s="1"/>
    </row>
    <row r="7970" spans="1:1" x14ac:dyDescent="0.3">
      <c r="A7970" s="1"/>
    </row>
    <row r="7971" spans="1:1" x14ac:dyDescent="0.3">
      <c r="A7971" s="1"/>
    </row>
    <row r="7972" spans="1:1" x14ac:dyDescent="0.3">
      <c r="A7972" s="1"/>
    </row>
    <row r="7973" spans="1:1" x14ac:dyDescent="0.3">
      <c r="A7973" s="1"/>
    </row>
    <row r="7974" spans="1:1" x14ac:dyDescent="0.3">
      <c r="A7974" s="1"/>
    </row>
    <row r="7975" spans="1:1" x14ac:dyDescent="0.3">
      <c r="A7975" s="1"/>
    </row>
    <row r="7976" spans="1:1" x14ac:dyDescent="0.3">
      <c r="A7976" s="1"/>
    </row>
    <row r="7977" spans="1:1" x14ac:dyDescent="0.3">
      <c r="A7977" s="1"/>
    </row>
    <row r="7978" spans="1:1" x14ac:dyDescent="0.3">
      <c r="A7978" s="1"/>
    </row>
    <row r="7979" spans="1:1" x14ac:dyDescent="0.3">
      <c r="A7979" s="1"/>
    </row>
    <row r="7980" spans="1:1" x14ac:dyDescent="0.3">
      <c r="A7980" s="1"/>
    </row>
    <row r="7981" spans="1:1" x14ac:dyDescent="0.3">
      <c r="A7981" s="1"/>
    </row>
    <row r="7982" spans="1:1" x14ac:dyDescent="0.3">
      <c r="A7982" s="1"/>
    </row>
    <row r="7983" spans="1:1" x14ac:dyDescent="0.3">
      <c r="A7983" s="1"/>
    </row>
    <row r="7984" spans="1:1" x14ac:dyDescent="0.3">
      <c r="A7984" s="1"/>
    </row>
    <row r="7985" spans="1:1" x14ac:dyDescent="0.3">
      <c r="A7985" s="1"/>
    </row>
    <row r="7986" spans="1:1" x14ac:dyDescent="0.3">
      <c r="A7986" s="1"/>
    </row>
    <row r="7987" spans="1:1" x14ac:dyDescent="0.3">
      <c r="A7987" s="1"/>
    </row>
    <row r="7988" spans="1:1" x14ac:dyDescent="0.3">
      <c r="A7988" s="1"/>
    </row>
    <row r="7989" spans="1:1" x14ac:dyDescent="0.3">
      <c r="A7989" s="1"/>
    </row>
    <row r="7990" spans="1:1" x14ac:dyDescent="0.3">
      <c r="A7990" s="1"/>
    </row>
    <row r="7991" spans="1:1" x14ac:dyDescent="0.3">
      <c r="A7991" s="1"/>
    </row>
    <row r="7992" spans="1:1" x14ac:dyDescent="0.3">
      <c r="A7992" s="1"/>
    </row>
    <row r="7993" spans="1:1" x14ac:dyDescent="0.3">
      <c r="A7993" s="1"/>
    </row>
    <row r="7994" spans="1:1" x14ac:dyDescent="0.3">
      <c r="A7994" s="1"/>
    </row>
    <row r="7995" spans="1:1" x14ac:dyDescent="0.3">
      <c r="A7995" s="1"/>
    </row>
    <row r="7996" spans="1:1" x14ac:dyDescent="0.3">
      <c r="A7996" s="1"/>
    </row>
    <row r="7997" spans="1:1" x14ac:dyDescent="0.3">
      <c r="A7997" s="1"/>
    </row>
    <row r="7998" spans="1:1" x14ac:dyDescent="0.3">
      <c r="A7998" s="1"/>
    </row>
    <row r="7999" spans="1:1" x14ac:dyDescent="0.3">
      <c r="A7999" s="1"/>
    </row>
    <row r="8000" spans="1:1" x14ac:dyDescent="0.3">
      <c r="A8000" s="1"/>
    </row>
    <row r="8001" spans="1:1" x14ac:dyDescent="0.3">
      <c r="A8001" s="1"/>
    </row>
    <row r="8002" spans="1:1" x14ac:dyDescent="0.3">
      <c r="A8002" s="1"/>
    </row>
    <row r="8003" spans="1:1" x14ac:dyDescent="0.3">
      <c r="A8003" s="1"/>
    </row>
    <row r="8004" spans="1:1" x14ac:dyDescent="0.3">
      <c r="A8004" s="1"/>
    </row>
    <row r="8005" spans="1:1" x14ac:dyDescent="0.3">
      <c r="A8005" s="1"/>
    </row>
    <row r="8006" spans="1:1" x14ac:dyDescent="0.3">
      <c r="A8006" s="1"/>
    </row>
    <row r="8007" spans="1:1" x14ac:dyDescent="0.3">
      <c r="A8007" s="1"/>
    </row>
    <row r="8008" spans="1:1" x14ac:dyDescent="0.3">
      <c r="A8008" s="1"/>
    </row>
    <row r="8009" spans="1:1" x14ac:dyDescent="0.3">
      <c r="A8009" s="1"/>
    </row>
    <row r="8010" spans="1:1" x14ac:dyDescent="0.3">
      <c r="A8010" s="1"/>
    </row>
    <row r="8011" spans="1:1" x14ac:dyDescent="0.3">
      <c r="A8011" s="1"/>
    </row>
    <row r="8012" spans="1:1" x14ac:dyDescent="0.3">
      <c r="A8012" s="1"/>
    </row>
    <row r="8013" spans="1:1" x14ac:dyDescent="0.3">
      <c r="A8013" s="1"/>
    </row>
    <row r="8014" spans="1:1" x14ac:dyDescent="0.3">
      <c r="A8014" s="1"/>
    </row>
    <row r="8015" spans="1:1" x14ac:dyDescent="0.3">
      <c r="A8015" s="1"/>
    </row>
    <row r="8016" spans="1:1" x14ac:dyDescent="0.3">
      <c r="A8016" s="1"/>
    </row>
    <row r="8017" spans="1:1" x14ac:dyDescent="0.3">
      <c r="A8017" s="1"/>
    </row>
    <row r="8018" spans="1:1" x14ac:dyDescent="0.3">
      <c r="A8018" s="1"/>
    </row>
    <row r="8019" spans="1:1" x14ac:dyDescent="0.3">
      <c r="A8019" s="1"/>
    </row>
    <row r="8020" spans="1:1" x14ac:dyDescent="0.3">
      <c r="A8020" s="1"/>
    </row>
    <row r="8021" spans="1:1" x14ac:dyDescent="0.3">
      <c r="A8021" s="1"/>
    </row>
    <row r="8022" spans="1:1" x14ac:dyDescent="0.3">
      <c r="A8022" s="1"/>
    </row>
    <row r="8023" spans="1:1" x14ac:dyDescent="0.3">
      <c r="A8023" s="1"/>
    </row>
    <row r="8024" spans="1:1" x14ac:dyDescent="0.3">
      <c r="A8024" s="1"/>
    </row>
    <row r="8025" spans="1:1" x14ac:dyDescent="0.3">
      <c r="A8025" s="1"/>
    </row>
    <row r="8026" spans="1:1" x14ac:dyDescent="0.3">
      <c r="A8026" s="1"/>
    </row>
    <row r="8027" spans="1:1" x14ac:dyDescent="0.3">
      <c r="A8027" s="1"/>
    </row>
    <row r="8028" spans="1:1" x14ac:dyDescent="0.3">
      <c r="A8028" s="1"/>
    </row>
    <row r="8029" spans="1:1" x14ac:dyDescent="0.3">
      <c r="A8029" s="1"/>
    </row>
    <row r="8030" spans="1:1" x14ac:dyDescent="0.3">
      <c r="A8030" s="1"/>
    </row>
    <row r="8031" spans="1:1" x14ac:dyDescent="0.3">
      <c r="A8031" s="1"/>
    </row>
    <row r="8032" spans="1:1" x14ac:dyDescent="0.3">
      <c r="A8032" s="1"/>
    </row>
    <row r="8033" spans="1:1" x14ac:dyDescent="0.3">
      <c r="A8033" s="1"/>
    </row>
    <row r="8034" spans="1:1" x14ac:dyDescent="0.3">
      <c r="A8034" s="1"/>
    </row>
    <row r="8035" spans="1:1" x14ac:dyDescent="0.3">
      <c r="A8035" s="1"/>
    </row>
    <row r="8036" spans="1:1" x14ac:dyDescent="0.3">
      <c r="A8036" s="1"/>
    </row>
    <row r="8037" spans="1:1" x14ac:dyDescent="0.3">
      <c r="A8037" s="1"/>
    </row>
    <row r="8038" spans="1:1" x14ac:dyDescent="0.3">
      <c r="A8038" s="1"/>
    </row>
    <row r="8039" spans="1:1" x14ac:dyDescent="0.3">
      <c r="A8039" s="1"/>
    </row>
    <row r="8040" spans="1:1" x14ac:dyDescent="0.3">
      <c r="A8040" s="1"/>
    </row>
    <row r="8041" spans="1:1" x14ac:dyDescent="0.3">
      <c r="A8041" s="1"/>
    </row>
    <row r="8042" spans="1:1" x14ac:dyDescent="0.3">
      <c r="A8042" s="1"/>
    </row>
    <row r="8043" spans="1:1" x14ac:dyDescent="0.3">
      <c r="A8043" s="1"/>
    </row>
    <row r="8044" spans="1:1" x14ac:dyDescent="0.3">
      <c r="A8044" s="1"/>
    </row>
    <row r="8045" spans="1:1" x14ac:dyDescent="0.3">
      <c r="A8045" s="1"/>
    </row>
    <row r="8046" spans="1:1" x14ac:dyDescent="0.3">
      <c r="A8046" s="1"/>
    </row>
    <row r="8047" spans="1:1" x14ac:dyDescent="0.3">
      <c r="A8047" s="1"/>
    </row>
    <row r="8048" spans="1:1" x14ac:dyDescent="0.3">
      <c r="A8048" s="1"/>
    </row>
    <row r="8049" spans="1:1" x14ac:dyDescent="0.3">
      <c r="A8049" s="1"/>
    </row>
    <row r="8050" spans="1:1" x14ac:dyDescent="0.3">
      <c r="A8050" s="1"/>
    </row>
    <row r="8051" spans="1:1" x14ac:dyDescent="0.3">
      <c r="A8051" s="1"/>
    </row>
    <row r="8052" spans="1:1" x14ac:dyDescent="0.3">
      <c r="A8052" s="1"/>
    </row>
    <row r="8053" spans="1:1" x14ac:dyDescent="0.3">
      <c r="A8053" s="1"/>
    </row>
    <row r="8054" spans="1:1" x14ac:dyDescent="0.3">
      <c r="A8054" s="1"/>
    </row>
    <row r="8055" spans="1:1" x14ac:dyDescent="0.3">
      <c r="A8055" s="1"/>
    </row>
    <row r="8056" spans="1:1" x14ac:dyDescent="0.3">
      <c r="A8056" s="1"/>
    </row>
    <row r="8057" spans="1:1" x14ac:dyDescent="0.3">
      <c r="A8057" s="1"/>
    </row>
    <row r="8058" spans="1:1" x14ac:dyDescent="0.3">
      <c r="A8058" s="1"/>
    </row>
    <row r="8059" spans="1:1" x14ac:dyDescent="0.3">
      <c r="A8059" s="1"/>
    </row>
    <row r="8060" spans="1:1" x14ac:dyDescent="0.3">
      <c r="A8060" s="1"/>
    </row>
    <row r="8061" spans="1:1" x14ac:dyDescent="0.3">
      <c r="A8061" s="1"/>
    </row>
    <row r="8062" spans="1:1" x14ac:dyDescent="0.3">
      <c r="A8062" s="1"/>
    </row>
    <row r="8063" spans="1:1" x14ac:dyDescent="0.3">
      <c r="A8063" s="1"/>
    </row>
    <row r="8064" spans="1:1" x14ac:dyDescent="0.3">
      <c r="A8064" s="1"/>
    </row>
    <row r="8065" spans="1:1" x14ac:dyDescent="0.3">
      <c r="A8065" s="1"/>
    </row>
    <row r="8066" spans="1:1" x14ac:dyDescent="0.3">
      <c r="A8066" s="1"/>
    </row>
    <row r="8067" spans="1:1" x14ac:dyDescent="0.3">
      <c r="A8067" s="1"/>
    </row>
    <row r="8068" spans="1:1" x14ac:dyDescent="0.3">
      <c r="A8068" s="1"/>
    </row>
    <row r="8069" spans="1:1" x14ac:dyDescent="0.3">
      <c r="A8069" s="1"/>
    </row>
    <row r="8070" spans="1:1" x14ac:dyDescent="0.3">
      <c r="A8070" s="1"/>
    </row>
    <row r="8071" spans="1:1" x14ac:dyDescent="0.3">
      <c r="A8071" s="1"/>
    </row>
    <row r="8072" spans="1:1" x14ac:dyDescent="0.3">
      <c r="A8072" s="1"/>
    </row>
    <row r="8073" spans="1:1" x14ac:dyDescent="0.3">
      <c r="A8073" s="1"/>
    </row>
    <row r="8074" spans="1:1" x14ac:dyDescent="0.3">
      <c r="A8074" s="1"/>
    </row>
    <row r="8075" spans="1:1" x14ac:dyDescent="0.3">
      <c r="A8075" s="1"/>
    </row>
    <row r="8076" spans="1:1" x14ac:dyDescent="0.3">
      <c r="A8076" s="1"/>
    </row>
    <row r="8077" spans="1:1" x14ac:dyDescent="0.3">
      <c r="A8077" s="1"/>
    </row>
    <row r="8078" spans="1:1" x14ac:dyDescent="0.3">
      <c r="A8078" s="1"/>
    </row>
    <row r="8079" spans="1:1" x14ac:dyDescent="0.3">
      <c r="A8079" s="1"/>
    </row>
    <row r="8080" spans="1:1" x14ac:dyDescent="0.3">
      <c r="A8080" s="1"/>
    </row>
    <row r="8081" spans="1:1" x14ac:dyDescent="0.3">
      <c r="A8081" s="1"/>
    </row>
    <row r="8082" spans="1:1" x14ac:dyDescent="0.3">
      <c r="A8082" s="1"/>
    </row>
    <row r="8083" spans="1:1" x14ac:dyDescent="0.3">
      <c r="A8083" s="1"/>
    </row>
    <row r="8084" spans="1:1" x14ac:dyDescent="0.3">
      <c r="A8084" s="1"/>
    </row>
    <row r="8085" spans="1:1" x14ac:dyDescent="0.3">
      <c r="A8085" s="1"/>
    </row>
    <row r="8086" spans="1:1" x14ac:dyDescent="0.3">
      <c r="A8086" s="1"/>
    </row>
    <row r="8087" spans="1:1" x14ac:dyDescent="0.3">
      <c r="A8087" s="1"/>
    </row>
    <row r="8088" spans="1:1" x14ac:dyDescent="0.3">
      <c r="A8088" s="1"/>
    </row>
    <row r="8089" spans="1:1" x14ac:dyDescent="0.3">
      <c r="A8089" s="1"/>
    </row>
    <row r="8090" spans="1:1" x14ac:dyDescent="0.3">
      <c r="A8090" s="1"/>
    </row>
    <row r="8091" spans="1:1" x14ac:dyDescent="0.3">
      <c r="A8091" s="1"/>
    </row>
    <row r="8092" spans="1:1" x14ac:dyDescent="0.3">
      <c r="A8092" s="1"/>
    </row>
    <row r="8093" spans="1:1" x14ac:dyDescent="0.3">
      <c r="A8093" s="1"/>
    </row>
    <row r="8094" spans="1:1" x14ac:dyDescent="0.3">
      <c r="A8094" s="1"/>
    </row>
    <row r="8095" spans="1:1" x14ac:dyDescent="0.3">
      <c r="A8095" s="1"/>
    </row>
    <row r="8096" spans="1:1" x14ac:dyDescent="0.3">
      <c r="A8096" s="1"/>
    </row>
    <row r="8097" spans="1:1" x14ac:dyDescent="0.3">
      <c r="A8097" s="1"/>
    </row>
    <row r="8098" spans="1:1" x14ac:dyDescent="0.3">
      <c r="A8098" s="1"/>
    </row>
    <row r="8099" spans="1:1" x14ac:dyDescent="0.3">
      <c r="A8099" s="1"/>
    </row>
    <row r="8100" spans="1:1" x14ac:dyDescent="0.3">
      <c r="A8100" s="1"/>
    </row>
    <row r="8101" spans="1:1" x14ac:dyDescent="0.3">
      <c r="A8101" s="1"/>
    </row>
    <row r="8102" spans="1:1" x14ac:dyDescent="0.3">
      <c r="A8102" s="1"/>
    </row>
    <row r="8103" spans="1:1" x14ac:dyDescent="0.3">
      <c r="A8103" s="1"/>
    </row>
    <row r="8104" spans="1:1" x14ac:dyDescent="0.3">
      <c r="A8104" s="1"/>
    </row>
    <row r="8105" spans="1:1" x14ac:dyDescent="0.3">
      <c r="A8105" s="1"/>
    </row>
    <row r="8106" spans="1:1" x14ac:dyDescent="0.3">
      <c r="A8106" s="1"/>
    </row>
    <row r="8107" spans="1:1" x14ac:dyDescent="0.3">
      <c r="A8107" s="1"/>
    </row>
    <row r="8108" spans="1:1" x14ac:dyDescent="0.3">
      <c r="A8108" s="1"/>
    </row>
    <row r="8109" spans="1:1" x14ac:dyDescent="0.3">
      <c r="A8109" s="1"/>
    </row>
    <row r="8110" spans="1:1" x14ac:dyDescent="0.3">
      <c r="A8110" s="1"/>
    </row>
    <row r="8111" spans="1:1" x14ac:dyDescent="0.3">
      <c r="A8111" s="1"/>
    </row>
    <row r="8112" spans="1:1" x14ac:dyDescent="0.3">
      <c r="A8112" s="1"/>
    </row>
    <row r="8113" spans="1:1" x14ac:dyDescent="0.3">
      <c r="A8113" s="1"/>
    </row>
    <row r="8114" spans="1:1" x14ac:dyDescent="0.3">
      <c r="A8114" s="1"/>
    </row>
    <row r="8115" spans="1:1" x14ac:dyDescent="0.3">
      <c r="A8115" s="1"/>
    </row>
    <row r="8116" spans="1:1" x14ac:dyDescent="0.3">
      <c r="A8116" s="1"/>
    </row>
    <row r="8117" spans="1:1" x14ac:dyDescent="0.3">
      <c r="A8117" s="1"/>
    </row>
    <row r="8118" spans="1:1" x14ac:dyDescent="0.3">
      <c r="A8118" s="1"/>
    </row>
    <row r="8119" spans="1:1" x14ac:dyDescent="0.3">
      <c r="A8119" s="1"/>
    </row>
    <row r="8120" spans="1:1" x14ac:dyDescent="0.3">
      <c r="A8120" s="1"/>
    </row>
    <row r="8121" spans="1:1" x14ac:dyDescent="0.3">
      <c r="A8121" s="1"/>
    </row>
    <row r="8122" spans="1:1" x14ac:dyDescent="0.3">
      <c r="A8122" s="1"/>
    </row>
    <row r="8123" spans="1:1" x14ac:dyDescent="0.3">
      <c r="A8123" s="1"/>
    </row>
    <row r="8124" spans="1:1" x14ac:dyDescent="0.3">
      <c r="A8124" s="1"/>
    </row>
    <row r="8125" spans="1:1" x14ac:dyDescent="0.3">
      <c r="A8125" s="1"/>
    </row>
    <row r="8126" spans="1:1" x14ac:dyDescent="0.3">
      <c r="A8126" s="1"/>
    </row>
    <row r="8127" spans="1:1" x14ac:dyDescent="0.3">
      <c r="A8127" s="1"/>
    </row>
    <row r="8128" spans="1:1" x14ac:dyDescent="0.3">
      <c r="A8128" s="1"/>
    </row>
    <row r="8129" spans="1:1" x14ac:dyDescent="0.3">
      <c r="A8129" s="1"/>
    </row>
    <row r="8130" spans="1:1" x14ac:dyDescent="0.3">
      <c r="A8130" s="1"/>
    </row>
    <row r="8131" spans="1:1" x14ac:dyDescent="0.3">
      <c r="A8131" s="1"/>
    </row>
    <row r="8132" spans="1:1" x14ac:dyDescent="0.3">
      <c r="A8132" s="1"/>
    </row>
    <row r="8133" spans="1:1" x14ac:dyDescent="0.3">
      <c r="A8133" s="1"/>
    </row>
    <row r="8134" spans="1:1" x14ac:dyDescent="0.3">
      <c r="A8134" s="1"/>
    </row>
    <row r="8135" spans="1:1" x14ac:dyDescent="0.3">
      <c r="A8135" s="1"/>
    </row>
    <row r="8136" spans="1:1" x14ac:dyDescent="0.3">
      <c r="A8136" s="1"/>
    </row>
    <row r="8137" spans="1:1" x14ac:dyDescent="0.3">
      <c r="A8137" s="1"/>
    </row>
    <row r="8138" spans="1:1" x14ac:dyDescent="0.3">
      <c r="A8138" s="1"/>
    </row>
    <row r="8139" spans="1:1" x14ac:dyDescent="0.3">
      <c r="A8139" s="1"/>
    </row>
    <row r="8140" spans="1:1" x14ac:dyDescent="0.3">
      <c r="A8140" s="1"/>
    </row>
    <row r="8141" spans="1:1" x14ac:dyDescent="0.3">
      <c r="A8141" s="1"/>
    </row>
    <row r="8142" spans="1:1" x14ac:dyDescent="0.3">
      <c r="A8142" s="1"/>
    </row>
    <row r="8143" spans="1:1" x14ac:dyDescent="0.3">
      <c r="A8143" s="1"/>
    </row>
    <row r="8144" spans="1:1" x14ac:dyDescent="0.3">
      <c r="A8144" s="1"/>
    </row>
    <row r="8145" spans="1:1" x14ac:dyDescent="0.3">
      <c r="A8145" s="1"/>
    </row>
    <row r="8146" spans="1:1" x14ac:dyDescent="0.3">
      <c r="A8146" s="1"/>
    </row>
    <row r="8147" spans="1:1" x14ac:dyDescent="0.3">
      <c r="A8147" s="1"/>
    </row>
    <row r="8148" spans="1:1" x14ac:dyDescent="0.3">
      <c r="A8148" s="1"/>
    </row>
    <row r="8149" spans="1:1" x14ac:dyDescent="0.3">
      <c r="A8149" s="1"/>
    </row>
    <row r="8150" spans="1:1" x14ac:dyDescent="0.3">
      <c r="A8150" s="1"/>
    </row>
    <row r="8151" spans="1:1" x14ac:dyDescent="0.3">
      <c r="A8151" s="1"/>
    </row>
    <row r="8152" spans="1:1" x14ac:dyDescent="0.3">
      <c r="A8152" s="1"/>
    </row>
    <row r="8153" spans="1:1" x14ac:dyDescent="0.3">
      <c r="A8153" s="1"/>
    </row>
    <row r="8154" spans="1:1" x14ac:dyDescent="0.3">
      <c r="A8154" s="1"/>
    </row>
    <row r="8155" spans="1:1" x14ac:dyDescent="0.3">
      <c r="A8155" s="1"/>
    </row>
    <row r="8156" spans="1:1" x14ac:dyDescent="0.3">
      <c r="A8156" s="1"/>
    </row>
    <row r="8157" spans="1:1" x14ac:dyDescent="0.3">
      <c r="A8157" s="1"/>
    </row>
    <row r="8158" spans="1:1" x14ac:dyDescent="0.3">
      <c r="A8158" s="1"/>
    </row>
    <row r="8159" spans="1:1" x14ac:dyDescent="0.3">
      <c r="A8159" s="1"/>
    </row>
    <row r="8160" spans="1:1" x14ac:dyDescent="0.3">
      <c r="A8160" s="1"/>
    </row>
    <row r="8161" spans="1:1" x14ac:dyDescent="0.3">
      <c r="A8161" s="1"/>
    </row>
    <row r="8162" spans="1:1" x14ac:dyDescent="0.3">
      <c r="A8162" s="1"/>
    </row>
    <row r="8163" spans="1:1" x14ac:dyDescent="0.3">
      <c r="A8163" s="1"/>
    </row>
    <row r="8164" spans="1:1" x14ac:dyDescent="0.3">
      <c r="A8164" s="1"/>
    </row>
    <row r="8165" spans="1:1" x14ac:dyDescent="0.3">
      <c r="A8165" s="1"/>
    </row>
    <row r="8166" spans="1:1" x14ac:dyDescent="0.3">
      <c r="A8166" s="1"/>
    </row>
    <row r="8167" spans="1:1" x14ac:dyDescent="0.3">
      <c r="A8167" s="1"/>
    </row>
    <row r="8168" spans="1:1" x14ac:dyDescent="0.3">
      <c r="A8168" s="1"/>
    </row>
    <row r="8169" spans="1:1" x14ac:dyDescent="0.3">
      <c r="A8169" s="1"/>
    </row>
    <row r="8170" spans="1:1" x14ac:dyDescent="0.3">
      <c r="A8170" s="1"/>
    </row>
    <row r="8171" spans="1:1" x14ac:dyDescent="0.3">
      <c r="A8171" s="1"/>
    </row>
    <row r="8172" spans="1:1" x14ac:dyDescent="0.3">
      <c r="A8172" s="1"/>
    </row>
    <row r="8173" spans="1:1" x14ac:dyDescent="0.3">
      <c r="A8173" s="1"/>
    </row>
    <row r="8174" spans="1:1" x14ac:dyDescent="0.3">
      <c r="A8174" s="1"/>
    </row>
    <row r="8175" spans="1:1" x14ac:dyDescent="0.3">
      <c r="A8175" s="1"/>
    </row>
    <row r="8176" spans="1:1" x14ac:dyDescent="0.3">
      <c r="A8176" s="1"/>
    </row>
    <row r="8177" spans="1:1" x14ac:dyDescent="0.3">
      <c r="A8177" s="1"/>
    </row>
    <row r="8178" spans="1:1" x14ac:dyDescent="0.3">
      <c r="A8178" s="1"/>
    </row>
    <row r="8179" spans="1:1" x14ac:dyDescent="0.3">
      <c r="A8179" s="1"/>
    </row>
    <row r="8180" spans="1:1" x14ac:dyDescent="0.3">
      <c r="A8180" s="1"/>
    </row>
    <row r="8181" spans="1:1" x14ac:dyDescent="0.3">
      <c r="A8181" s="1"/>
    </row>
    <row r="8182" spans="1:1" x14ac:dyDescent="0.3">
      <c r="A8182" s="1"/>
    </row>
    <row r="8183" spans="1:1" x14ac:dyDescent="0.3">
      <c r="A8183" s="1"/>
    </row>
    <row r="8184" spans="1:1" x14ac:dyDescent="0.3">
      <c r="A8184" s="1"/>
    </row>
    <row r="8185" spans="1:1" x14ac:dyDescent="0.3">
      <c r="A8185" s="1"/>
    </row>
    <row r="8186" spans="1:1" x14ac:dyDescent="0.3">
      <c r="A8186" s="1"/>
    </row>
    <row r="8187" spans="1:1" x14ac:dyDescent="0.3">
      <c r="A8187" s="1"/>
    </row>
    <row r="8188" spans="1:1" x14ac:dyDescent="0.3">
      <c r="A8188" s="1"/>
    </row>
    <row r="8189" spans="1:1" x14ac:dyDescent="0.3">
      <c r="A8189" s="1"/>
    </row>
    <row r="8190" spans="1:1" x14ac:dyDescent="0.3">
      <c r="A8190" s="1"/>
    </row>
    <row r="8191" spans="1:1" x14ac:dyDescent="0.3">
      <c r="A8191" s="1"/>
    </row>
    <row r="8192" spans="1:1" x14ac:dyDescent="0.3">
      <c r="A8192" s="1"/>
    </row>
    <row r="8193" spans="1:1" x14ac:dyDescent="0.3">
      <c r="A8193" s="1"/>
    </row>
    <row r="8194" spans="1:1" x14ac:dyDescent="0.3">
      <c r="A8194" s="1"/>
    </row>
    <row r="8195" spans="1:1" x14ac:dyDescent="0.3">
      <c r="A8195" s="1"/>
    </row>
    <row r="8196" spans="1:1" x14ac:dyDescent="0.3">
      <c r="A8196" s="1"/>
    </row>
    <row r="8197" spans="1:1" x14ac:dyDescent="0.3">
      <c r="A8197" s="1"/>
    </row>
    <row r="8198" spans="1:1" x14ac:dyDescent="0.3">
      <c r="A8198" s="1"/>
    </row>
    <row r="8199" spans="1:1" x14ac:dyDescent="0.3">
      <c r="A8199" s="1"/>
    </row>
    <row r="8200" spans="1:1" x14ac:dyDescent="0.3">
      <c r="A8200" s="1"/>
    </row>
    <row r="8201" spans="1:1" x14ac:dyDescent="0.3">
      <c r="A8201" s="1"/>
    </row>
    <row r="8202" spans="1:1" x14ac:dyDescent="0.3">
      <c r="A8202" s="1"/>
    </row>
    <row r="8203" spans="1:1" x14ac:dyDescent="0.3">
      <c r="A8203" s="1"/>
    </row>
    <row r="8204" spans="1:1" x14ac:dyDescent="0.3">
      <c r="A8204" s="1"/>
    </row>
    <row r="8205" spans="1:1" x14ac:dyDescent="0.3">
      <c r="A8205" s="1"/>
    </row>
    <row r="8206" spans="1:1" x14ac:dyDescent="0.3">
      <c r="A8206" s="1"/>
    </row>
    <row r="8207" spans="1:1" x14ac:dyDescent="0.3">
      <c r="A8207" s="1"/>
    </row>
    <row r="8208" spans="1:1" x14ac:dyDescent="0.3">
      <c r="A8208" s="1"/>
    </row>
    <row r="8209" spans="1:1" x14ac:dyDescent="0.3">
      <c r="A8209" s="1"/>
    </row>
    <row r="8210" spans="1:1" x14ac:dyDescent="0.3">
      <c r="A8210" s="1"/>
    </row>
    <row r="8211" spans="1:1" x14ac:dyDescent="0.3">
      <c r="A8211" s="1"/>
    </row>
    <row r="8212" spans="1:1" x14ac:dyDescent="0.3">
      <c r="A8212" s="1"/>
    </row>
    <row r="8213" spans="1:1" x14ac:dyDescent="0.3">
      <c r="A8213" s="1"/>
    </row>
    <row r="8214" spans="1:1" x14ac:dyDescent="0.3">
      <c r="A8214" s="1"/>
    </row>
    <row r="8215" spans="1:1" x14ac:dyDescent="0.3">
      <c r="A8215" s="1"/>
    </row>
    <row r="8216" spans="1:1" x14ac:dyDescent="0.3">
      <c r="A8216" s="1"/>
    </row>
    <row r="8217" spans="1:1" x14ac:dyDescent="0.3">
      <c r="A8217" s="1"/>
    </row>
    <row r="8218" spans="1:1" x14ac:dyDescent="0.3">
      <c r="A8218" s="1"/>
    </row>
    <row r="8219" spans="1:1" x14ac:dyDescent="0.3">
      <c r="A8219" s="1"/>
    </row>
    <row r="8220" spans="1:1" x14ac:dyDescent="0.3">
      <c r="A8220" s="1"/>
    </row>
    <row r="8221" spans="1:1" x14ac:dyDescent="0.3">
      <c r="A8221" s="1"/>
    </row>
    <row r="8222" spans="1:1" x14ac:dyDescent="0.3">
      <c r="A8222" s="1"/>
    </row>
    <row r="8223" spans="1:1" x14ac:dyDescent="0.3">
      <c r="A8223" s="1"/>
    </row>
    <row r="8224" spans="1:1" x14ac:dyDescent="0.3">
      <c r="A8224" s="1"/>
    </row>
    <row r="8225" spans="1:1" x14ac:dyDescent="0.3">
      <c r="A8225" s="1"/>
    </row>
    <row r="8226" spans="1:1" x14ac:dyDescent="0.3">
      <c r="A8226" s="1"/>
    </row>
    <row r="8227" spans="1:1" x14ac:dyDescent="0.3">
      <c r="A8227" s="1"/>
    </row>
    <row r="8228" spans="1:1" x14ac:dyDescent="0.3">
      <c r="A8228" s="1"/>
    </row>
    <row r="8229" spans="1:1" x14ac:dyDescent="0.3">
      <c r="A8229" s="1"/>
    </row>
    <row r="8230" spans="1:1" x14ac:dyDescent="0.3">
      <c r="A8230" s="1"/>
    </row>
    <row r="8231" spans="1:1" x14ac:dyDescent="0.3">
      <c r="A8231" s="1"/>
    </row>
    <row r="8232" spans="1:1" x14ac:dyDescent="0.3">
      <c r="A8232" s="1"/>
    </row>
    <row r="8233" spans="1:1" x14ac:dyDescent="0.3">
      <c r="A8233" s="1"/>
    </row>
    <row r="8234" spans="1:1" x14ac:dyDescent="0.3">
      <c r="A8234" s="1"/>
    </row>
    <row r="8235" spans="1:1" x14ac:dyDescent="0.3">
      <c r="A8235" s="1"/>
    </row>
    <row r="8236" spans="1:1" x14ac:dyDescent="0.3">
      <c r="A8236" s="1"/>
    </row>
    <row r="8237" spans="1:1" x14ac:dyDescent="0.3">
      <c r="A8237" s="1"/>
    </row>
    <row r="8238" spans="1:1" x14ac:dyDescent="0.3">
      <c r="A8238" s="1"/>
    </row>
    <row r="8239" spans="1:1" x14ac:dyDescent="0.3">
      <c r="A8239" s="1"/>
    </row>
    <row r="8240" spans="1:1" x14ac:dyDescent="0.3">
      <c r="A8240" s="1"/>
    </row>
    <row r="8241" spans="1:1" x14ac:dyDescent="0.3">
      <c r="A8241" s="1"/>
    </row>
    <row r="8242" spans="1:1" x14ac:dyDescent="0.3">
      <c r="A8242" s="1"/>
    </row>
    <row r="8243" spans="1:1" x14ac:dyDescent="0.3">
      <c r="A8243" s="1"/>
    </row>
    <row r="8244" spans="1:1" x14ac:dyDescent="0.3">
      <c r="A8244" s="1"/>
    </row>
    <row r="8245" spans="1:1" x14ac:dyDescent="0.3">
      <c r="A8245" s="1"/>
    </row>
    <row r="8246" spans="1:1" x14ac:dyDescent="0.3">
      <c r="A8246" s="1"/>
    </row>
    <row r="8247" spans="1:1" x14ac:dyDescent="0.3">
      <c r="A8247" s="1"/>
    </row>
    <row r="8248" spans="1:1" x14ac:dyDescent="0.3">
      <c r="A8248" s="1"/>
    </row>
    <row r="8249" spans="1:1" x14ac:dyDescent="0.3">
      <c r="A8249" s="1"/>
    </row>
    <row r="8250" spans="1:1" x14ac:dyDescent="0.3">
      <c r="A8250" s="1"/>
    </row>
    <row r="8251" spans="1:1" x14ac:dyDescent="0.3">
      <c r="A8251" s="1"/>
    </row>
    <row r="8252" spans="1:1" x14ac:dyDescent="0.3">
      <c r="A8252" s="1"/>
    </row>
    <row r="8253" spans="1:1" x14ac:dyDescent="0.3">
      <c r="A8253" s="1"/>
    </row>
    <row r="8254" spans="1:1" x14ac:dyDescent="0.3">
      <c r="A8254" s="1"/>
    </row>
    <row r="8255" spans="1:1" x14ac:dyDescent="0.3">
      <c r="A8255" s="1"/>
    </row>
    <row r="8256" spans="1:1" x14ac:dyDescent="0.3">
      <c r="A8256" s="1"/>
    </row>
    <row r="8257" spans="1:1" x14ac:dyDescent="0.3">
      <c r="A8257" s="1"/>
    </row>
    <row r="8258" spans="1:1" x14ac:dyDescent="0.3">
      <c r="A8258" s="1"/>
    </row>
    <row r="8259" spans="1:1" x14ac:dyDescent="0.3">
      <c r="A8259" s="1"/>
    </row>
    <row r="8260" spans="1:1" x14ac:dyDescent="0.3">
      <c r="A8260" s="1"/>
    </row>
    <row r="8261" spans="1:1" x14ac:dyDescent="0.3">
      <c r="A8261" s="1"/>
    </row>
    <row r="8262" spans="1:1" x14ac:dyDescent="0.3">
      <c r="A8262" s="1"/>
    </row>
    <row r="8263" spans="1:1" x14ac:dyDescent="0.3">
      <c r="A8263" s="1"/>
    </row>
    <row r="8264" spans="1:1" x14ac:dyDescent="0.3">
      <c r="A8264" s="1"/>
    </row>
    <row r="8265" spans="1:1" x14ac:dyDescent="0.3">
      <c r="A8265" s="1"/>
    </row>
    <row r="8266" spans="1:1" x14ac:dyDescent="0.3">
      <c r="A8266" s="1"/>
    </row>
    <row r="8267" spans="1:1" x14ac:dyDescent="0.3">
      <c r="A8267" s="1"/>
    </row>
    <row r="8268" spans="1:1" x14ac:dyDescent="0.3">
      <c r="A8268" s="1"/>
    </row>
    <row r="8269" spans="1:1" x14ac:dyDescent="0.3">
      <c r="A8269" s="1"/>
    </row>
    <row r="8270" spans="1:1" x14ac:dyDescent="0.3">
      <c r="A8270" s="1"/>
    </row>
    <row r="8271" spans="1:1" x14ac:dyDescent="0.3">
      <c r="A8271" s="1"/>
    </row>
    <row r="8272" spans="1:1" x14ac:dyDescent="0.3">
      <c r="A8272" s="1"/>
    </row>
    <row r="8273" spans="1:1" x14ac:dyDescent="0.3">
      <c r="A8273" s="1"/>
    </row>
    <row r="8274" spans="1:1" x14ac:dyDescent="0.3">
      <c r="A8274" s="1"/>
    </row>
    <row r="8275" spans="1:1" x14ac:dyDescent="0.3">
      <c r="A8275" s="1"/>
    </row>
    <row r="8276" spans="1:1" x14ac:dyDescent="0.3">
      <c r="A8276" s="1"/>
    </row>
    <row r="8277" spans="1:1" x14ac:dyDescent="0.3">
      <c r="A8277" s="1"/>
    </row>
    <row r="8278" spans="1:1" x14ac:dyDescent="0.3">
      <c r="A8278" s="1"/>
    </row>
    <row r="8279" spans="1:1" x14ac:dyDescent="0.3">
      <c r="A8279" s="1"/>
    </row>
    <row r="8280" spans="1:1" x14ac:dyDescent="0.3">
      <c r="A8280" s="1"/>
    </row>
    <row r="8281" spans="1:1" x14ac:dyDescent="0.3">
      <c r="A8281" s="1"/>
    </row>
    <row r="8282" spans="1:1" x14ac:dyDescent="0.3">
      <c r="A8282" s="1"/>
    </row>
    <row r="8283" spans="1:1" x14ac:dyDescent="0.3">
      <c r="A8283" s="1"/>
    </row>
    <row r="8284" spans="1:1" x14ac:dyDescent="0.3">
      <c r="A8284" s="1"/>
    </row>
    <row r="8285" spans="1:1" x14ac:dyDescent="0.3">
      <c r="A8285" s="1"/>
    </row>
    <row r="8286" spans="1:1" x14ac:dyDescent="0.3">
      <c r="A8286" s="1"/>
    </row>
    <row r="8287" spans="1:1" x14ac:dyDescent="0.3">
      <c r="A8287" s="1"/>
    </row>
    <row r="8288" spans="1:1" x14ac:dyDescent="0.3">
      <c r="A8288" s="1"/>
    </row>
    <row r="8289" spans="1:1" x14ac:dyDescent="0.3">
      <c r="A8289" s="1"/>
    </row>
    <row r="8290" spans="1:1" x14ac:dyDescent="0.3">
      <c r="A8290" s="1"/>
    </row>
    <row r="8291" spans="1:1" x14ac:dyDescent="0.3">
      <c r="A8291" s="1"/>
    </row>
    <row r="8292" spans="1:1" x14ac:dyDescent="0.3">
      <c r="A8292" s="1"/>
    </row>
    <row r="8293" spans="1:1" x14ac:dyDescent="0.3">
      <c r="A8293" s="1"/>
    </row>
    <row r="8294" spans="1:1" x14ac:dyDescent="0.3">
      <c r="A8294" s="1"/>
    </row>
    <row r="8295" spans="1:1" x14ac:dyDescent="0.3">
      <c r="A8295" s="1"/>
    </row>
    <row r="8296" spans="1:1" x14ac:dyDescent="0.3">
      <c r="A8296" s="1"/>
    </row>
    <row r="8297" spans="1:1" x14ac:dyDescent="0.3">
      <c r="A8297" s="1"/>
    </row>
    <row r="8298" spans="1:1" x14ac:dyDescent="0.3">
      <c r="A8298" s="1"/>
    </row>
    <row r="8299" spans="1:1" x14ac:dyDescent="0.3">
      <c r="A8299" s="1"/>
    </row>
    <row r="8300" spans="1:1" x14ac:dyDescent="0.3">
      <c r="A8300" s="1"/>
    </row>
    <row r="8301" spans="1:1" x14ac:dyDescent="0.3">
      <c r="A8301" s="1"/>
    </row>
    <row r="8302" spans="1:1" x14ac:dyDescent="0.3">
      <c r="A8302" s="1"/>
    </row>
    <row r="8303" spans="1:1" x14ac:dyDescent="0.3">
      <c r="A8303" s="1"/>
    </row>
    <row r="8304" spans="1:1" x14ac:dyDescent="0.3">
      <c r="A8304" s="1"/>
    </row>
    <row r="8305" spans="1:1" x14ac:dyDescent="0.3">
      <c r="A8305" s="1"/>
    </row>
    <row r="8306" spans="1:1" x14ac:dyDescent="0.3">
      <c r="A8306" s="1"/>
    </row>
    <row r="8307" spans="1:1" x14ac:dyDescent="0.3">
      <c r="A8307" s="1"/>
    </row>
    <row r="8308" spans="1:1" x14ac:dyDescent="0.3">
      <c r="A8308" s="1"/>
    </row>
    <row r="8309" spans="1:1" x14ac:dyDescent="0.3">
      <c r="A8309" s="1"/>
    </row>
    <row r="8310" spans="1:1" x14ac:dyDescent="0.3">
      <c r="A8310" s="1"/>
    </row>
    <row r="8311" spans="1:1" x14ac:dyDescent="0.3">
      <c r="A8311" s="1"/>
    </row>
    <row r="8312" spans="1:1" x14ac:dyDescent="0.3">
      <c r="A8312" s="1"/>
    </row>
    <row r="8313" spans="1:1" x14ac:dyDescent="0.3">
      <c r="A8313" s="1"/>
    </row>
    <row r="8314" spans="1:1" x14ac:dyDescent="0.3">
      <c r="A8314" s="1"/>
    </row>
    <row r="8315" spans="1:1" x14ac:dyDescent="0.3">
      <c r="A8315" s="1"/>
    </row>
    <row r="8316" spans="1:1" x14ac:dyDescent="0.3">
      <c r="A8316" s="1"/>
    </row>
    <row r="8317" spans="1:1" x14ac:dyDescent="0.3">
      <c r="A8317" s="1"/>
    </row>
    <row r="8318" spans="1:1" x14ac:dyDescent="0.3">
      <c r="A8318" s="1"/>
    </row>
    <row r="8319" spans="1:1" x14ac:dyDescent="0.3">
      <c r="A8319" s="1"/>
    </row>
    <row r="8320" spans="1:1" x14ac:dyDescent="0.3">
      <c r="A8320" s="1"/>
    </row>
    <row r="8321" spans="1:1" x14ac:dyDescent="0.3">
      <c r="A8321" s="1"/>
    </row>
    <row r="8322" spans="1:1" x14ac:dyDescent="0.3">
      <c r="A8322" s="1"/>
    </row>
    <row r="8323" spans="1:1" x14ac:dyDescent="0.3">
      <c r="A8323" s="1"/>
    </row>
    <row r="8324" spans="1:1" x14ac:dyDescent="0.3">
      <c r="A8324" s="1"/>
    </row>
    <row r="8325" spans="1:1" x14ac:dyDescent="0.3">
      <c r="A8325" s="1"/>
    </row>
    <row r="8326" spans="1:1" x14ac:dyDescent="0.3">
      <c r="A8326" s="1"/>
    </row>
    <row r="8327" spans="1:1" x14ac:dyDescent="0.3">
      <c r="A8327" s="1"/>
    </row>
    <row r="8328" spans="1:1" x14ac:dyDescent="0.3">
      <c r="A8328" s="1"/>
    </row>
    <row r="8329" spans="1:1" x14ac:dyDescent="0.3">
      <c r="A8329" s="1"/>
    </row>
    <row r="8330" spans="1:1" x14ac:dyDescent="0.3">
      <c r="A8330" s="1"/>
    </row>
    <row r="8331" spans="1:1" x14ac:dyDescent="0.3">
      <c r="A8331" s="1"/>
    </row>
    <row r="8332" spans="1:1" x14ac:dyDescent="0.3">
      <c r="A8332" s="1"/>
    </row>
    <row r="8333" spans="1:1" x14ac:dyDescent="0.3">
      <c r="A8333" s="1"/>
    </row>
    <row r="8334" spans="1:1" x14ac:dyDescent="0.3">
      <c r="A8334" s="1"/>
    </row>
    <row r="8335" spans="1:1" x14ac:dyDescent="0.3">
      <c r="A8335" s="1"/>
    </row>
    <row r="8336" spans="1:1" x14ac:dyDescent="0.3">
      <c r="A8336" s="1"/>
    </row>
    <row r="8337" spans="1:1" x14ac:dyDescent="0.3">
      <c r="A8337" s="1"/>
    </row>
    <row r="8338" spans="1:1" x14ac:dyDescent="0.3">
      <c r="A8338" s="1"/>
    </row>
    <row r="8339" spans="1:1" x14ac:dyDescent="0.3">
      <c r="A8339" s="1"/>
    </row>
    <row r="8340" spans="1:1" x14ac:dyDescent="0.3">
      <c r="A8340" s="1"/>
    </row>
    <row r="8341" spans="1:1" x14ac:dyDescent="0.3">
      <c r="A8341" s="1"/>
    </row>
    <row r="8342" spans="1:1" x14ac:dyDescent="0.3">
      <c r="A8342" s="1"/>
    </row>
    <row r="8343" spans="1:1" x14ac:dyDescent="0.3">
      <c r="A8343" s="1"/>
    </row>
    <row r="8344" spans="1:1" x14ac:dyDescent="0.3">
      <c r="A8344" s="1"/>
    </row>
    <row r="8345" spans="1:1" x14ac:dyDescent="0.3">
      <c r="A8345" s="1"/>
    </row>
    <row r="8346" spans="1:1" x14ac:dyDescent="0.3">
      <c r="A8346" s="1"/>
    </row>
    <row r="8347" spans="1:1" x14ac:dyDescent="0.3">
      <c r="A8347" s="1"/>
    </row>
    <row r="8348" spans="1:1" x14ac:dyDescent="0.3">
      <c r="A8348" s="1"/>
    </row>
    <row r="8349" spans="1:1" x14ac:dyDescent="0.3">
      <c r="A8349" s="1"/>
    </row>
    <row r="8350" spans="1:1" x14ac:dyDescent="0.3">
      <c r="A8350" s="1"/>
    </row>
    <row r="8351" spans="1:1" x14ac:dyDescent="0.3">
      <c r="A8351" s="1"/>
    </row>
    <row r="8352" spans="1:1" x14ac:dyDescent="0.3">
      <c r="A8352" s="1"/>
    </row>
    <row r="8353" spans="1:1" x14ac:dyDescent="0.3">
      <c r="A8353" s="1"/>
    </row>
    <row r="8354" spans="1:1" x14ac:dyDescent="0.3">
      <c r="A8354" s="1"/>
    </row>
    <row r="8355" spans="1:1" x14ac:dyDescent="0.3">
      <c r="A8355" s="1"/>
    </row>
    <row r="8356" spans="1:1" x14ac:dyDescent="0.3">
      <c r="A8356" s="1"/>
    </row>
    <row r="8357" spans="1:1" x14ac:dyDescent="0.3">
      <c r="A8357" s="1"/>
    </row>
    <row r="8358" spans="1:1" x14ac:dyDescent="0.3">
      <c r="A8358" s="1"/>
    </row>
    <row r="8359" spans="1:1" x14ac:dyDescent="0.3">
      <c r="A8359" s="1"/>
    </row>
    <row r="8360" spans="1:1" x14ac:dyDescent="0.3">
      <c r="A8360" s="1"/>
    </row>
    <row r="8361" spans="1:1" x14ac:dyDescent="0.3">
      <c r="A8361" s="1"/>
    </row>
    <row r="8362" spans="1:1" x14ac:dyDescent="0.3">
      <c r="A8362" s="1"/>
    </row>
    <row r="8363" spans="1:1" x14ac:dyDescent="0.3">
      <c r="A8363" s="1"/>
    </row>
    <row r="8364" spans="1:1" x14ac:dyDescent="0.3">
      <c r="A8364" s="1"/>
    </row>
    <row r="8365" spans="1:1" x14ac:dyDescent="0.3">
      <c r="A8365" s="1"/>
    </row>
    <row r="8366" spans="1:1" x14ac:dyDescent="0.3">
      <c r="A8366" s="1"/>
    </row>
    <row r="8367" spans="1:1" x14ac:dyDescent="0.3">
      <c r="A8367" s="1"/>
    </row>
    <row r="8368" spans="1:1" x14ac:dyDescent="0.3">
      <c r="A8368" s="1"/>
    </row>
    <row r="8369" spans="1:1" x14ac:dyDescent="0.3">
      <c r="A8369" s="1"/>
    </row>
    <row r="8370" spans="1:1" x14ac:dyDescent="0.3">
      <c r="A8370" s="1"/>
    </row>
    <row r="8371" spans="1:1" x14ac:dyDescent="0.3">
      <c r="A8371" s="1"/>
    </row>
    <row r="8372" spans="1:1" x14ac:dyDescent="0.3">
      <c r="A8372" s="1"/>
    </row>
    <row r="8373" spans="1:1" x14ac:dyDescent="0.3">
      <c r="A8373" s="1"/>
    </row>
    <row r="8374" spans="1:1" x14ac:dyDescent="0.3">
      <c r="A8374" s="1"/>
    </row>
    <row r="8375" spans="1:1" x14ac:dyDescent="0.3">
      <c r="A8375" s="1"/>
    </row>
    <row r="8376" spans="1:1" x14ac:dyDescent="0.3">
      <c r="A8376" s="1"/>
    </row>
    <row r="8377" spans="1:1" x14ac:dyDescent="0.3">
      <c r="A8377" s="1"/>
    </row>
    <row r="8378" spans="1:1" x14ac:dyDescent="0.3">
      <c r="A8378" s="1"/>
    </row>
    <row r="8379" spans="1:1" x14ac:dyDescent="0.3">
      <c r="A8379" s="1"/>
    </row>
    <row r="8380" spans="1:1" x14ac:dyDescent="0.3">
      <c r="A8380" s="1"/>
    </row>
    <row r="8381" spans="1:1" x14ac:dyDescent="0.3">
      <c r="A8381" s="1"/>
    </row>
    <row r="8382" spans="1:1" x14ac:dyDescent="0.3">
      <c r="A8382" s="1"/>
    </row>
    <row r="8383" spans="1:1" x14ac:dyDescent="0.3">
      <c r="A8383" s="1"/>
    </row>
    <row r="8384" spans="1:1" x14ac:dyDescent="0.3">
      <c r="A8384" s="1"/>
    </row>
    <row r="8385" spans="1:1" x14ac:dyDescent="0.3">
      <c r="A8385" s="1"/>
    </row>
    <row r="8386" spans="1:1" x14ac:dyDescent="0.3">
      <c r="A8386" s="1"/>
    </row>
    <row r="8387" spans="1:1" x14ac:dyDescent="0.3">
      <c r="A8387" s="1"/>
    </row>
    <row r="8388" spans="1:1" x14ac:dyDescent="0.3">
      <c r="A8388" s="1"/>
    </row>
    <row r="8389" spans="1:1" x14ac:dyDescent="0.3">
      <c r="A8389" s="1"/>
    </row>
    <row r="8390" spans="1:1" x14ac:dyDescent="0.3">
      <c r="A8390" s="1"/>
    </row>
    <row r="8391" spans="1:1" x14ac:dyDescent="0.3">
      <c r="A8391" s="1"/>
    </row>
    <row r="8392" spans="1:1" x14ac:dyDescent="0.3">
      <c r="A8392" s="1"/>
    </row>
    <row r="8393" spans="1:1" x14ac:dyDescent="0.3">
      <c r="A8393" s="1"/>
    </row>
    <row r="8394" spans="1:1" x14ac:dyDescent="0.3">
      <c r="A8394" s="1"/>
    </row>
    <row r="8395" spans="1:1" x14ac:dyDescent="0.3">
      <c r="A8395" s="1"/>
    </row>
    <row r="8396" spans="1:1" x14ac:dyDescent="0.3">
      <c r="A8396" s="1"/>
    </row>
    <row r="8397" spans="1:1" x14ac:dyDescent="0.3">
      <c r="A8397" s="1"/>
    </row>
    <row r="8398" spans="1:1" x14ac:dyDescent="0.3">
      <c r="A8398" s="1"/>
    </row>
    <row r="8399" spans="1:1" x14ac:dyDescent="0.3">
      <c r="A8399" s="1"/>
    </row>
    <row r="8400" spans="1:1" x14ac:dyDescent="0.3">
      <c r="A8400" s="1"/>
    </row>
    <row r="8401" spans="1:1" x14ac:dyDescent="0.3">
      <c r="A8401" s="1"/>
    </row>
    <row r="8402" spans="1:1" x14ac:dyDescent="0.3">
      <c r="A8402" s="1"/>
    </row>
    <row r="8403" spans="1:1" x14ac:dyDescent="0.3">
      <c r="A8403" s="1"/>
    </row>
    <row r="8404" spans="1:1" x14ac:dyDescent="0.3">
      <c r="A8404" s="1"/>
    </row>
    <row r="8405" spans="1:1" x14ac:dyDescent="0.3">
      <c r="A8405" s="1"/>
    </row>
    <row r="8406" spans="1:1" x14ac:dyDescent="0.3">
      <c r="A8406" s="1"/>
    </row>
    <row r="8407" spans="1:1" x14ac:dyDescent="0.3">
      <c r="A8407" s="1"/>
    </row>
    <row r="8408" spans="1:1" x14ac:dyDescent="0.3">
      <c r="A8408" s="1"/>
    </row>
    <row r="8409" spans="1:1" x14ac:dyDescent="0.3">
      <c r="A8409" s="1"/>
    </row>
    <row r="8410" spans="1:1" x14ac:dyDescent="0.3">
      <c r="A8410" s="1"/>
    </row>
    <row r="8411" spans="1:1" x14ac:dyDescent="0.3">
      <c r="A8411" s="1"/>
    </row>
    <row r="8412" spans="1:1" x14ac:dyDescent="0.3">
      <c r="A8412" s="1"/>
    </row>
    <row r="8413" spans="1:1" x14ac:dyDescent="0.3">
      <c r="A8413" s="1"/>
    </row>
    <row r="8414" spans="1:1" x14ac:dyDescent="0.3">
      <c r="A8414" s="1"/>
    </row>
    <row r="8415" spans="1:1" x14ac:dyDescent="0.3">
      <c r="A8415" s="1"/>
    </row>
    <row r="8416" spans="1:1" x14ac:dyDescent="0.3">
      <c r="A8416" s="1"/>
    </row>
    <row r="8417" spans="1:1" x14ac:dyDescent="0.3">
      <c r="A8417" s="1"/>
    </row>
    <row r="8418" spans="1:1" x14ac:dyDescent="0.3">
      <c r="A8418" s="1"/>
    </row>
    <row r="8419" spans="1:1" x14ac:dyDescent="0.3">
      <c r="A8419" s="1"/>
    </row>
    <row r="8420" spans="1:1" x14ac:dyDescent="0.3">
      <c r="A8420" s="1"/>
    </row>
    <row r="8421" spans="1:1" x14ac:dyDescent="0.3">
      <c r="A8421" s="1"/>
    </row>
    <row r="8422" spans="1:1" x14ac:dyDescent="0.3">
      <c r="A8422" s="1"/>
    </row>
    <row r="8423" spans="1:1" x14ac:dyDescent="0.3">
      <c r="A8423" s="1"/>
    </row>
    <row r="8424" spans="1:1" x14ac:dyDescent="0.3">
      <c r="A8424" s="1"/>
    </row>
    <row r="8425" spans="1:1" x14ac:dyDescent="0.3">
      <c r="A8425" s="1"/>
    </row>
    <row r="8426" spans="1:1" x14ac:dyDescent="0.3">
      <c r="A8426" s="1"/>
    </row>
    <row r="8427" spans="1:1" x14ac:dyDescent="0.3">
      <c r="A8427" s="1"/>
    </row>
    <row r="8428" spans="1:1" x14ac:dyDescent="0.3">
      <c r="A8428" s="1"/>
    </row>
    <row r="8429" spans="1:1" x14ac:dyDescent="0.3">
      <c r="A8429" s="1"/>
    </row>
    <row r="8430" spans="1:1" x14ac:dyDescent="0.3">
      <c r="A8430" s="1"/>
    </row>
    <row r="8431" spans="1:1" x14ac:dyDescent="0.3">
      <c r="A8431" s="1"/>
    </row>
    <row r="8432" spans="1:1" x14ac:dyDescent="0.3">
      <c r="A8432" s="1"/>
    </row>
    <row r="8433" spans="1:1" x14ac:dyDescent="0.3">
      <c r="A8433" s="1"/>
    </row>
    <row r="8434" spans="1:1" x14ac:dyDescent="0.3">
      <c r="A8434" s="1"/>
    </row>
    <row r="8435" spans="1:1" x14ac:dyDescent="0.3">
      <c r="A8435" s="1"/>
    </row>
    <row r="8436" spans="1:1" x14ac:dyDescent="0.3">
      <c r="A8436" s="1"/>
    </row>
    <row r="8437" spans="1:1" x14ac:dyDescent="0.3">
      <c r="A8437" s="1"/>
    </row>
    <row r="8438" spans="1:1" x14ac:dyDescent="0.3">
      <c r="A8438" s="1"/>
    </row>
    <row r="8439" spans="1:1" x14ac:dyDescent="0.3">
      <c r="A8439" s="1"/>
    </row>
    <row r="8440" spans="1:1" x14ac:dyDescent="0.3">
      <c r="A8440" s="1"/>
    </row>
    <row r="8441" spans="1:1" x14ac:dyDescent="0.3">
      <c r="A8441" s="1"/>
    </row>
    <row r="8442" spans="1:1" x14ac:dyDescent="0.3">
      <c r="A8442" s="1"/>
    </row>
    <row r="8443" spans="1:1" x14ac:dyDescent="0.3">
      <c r="A8443" s="1"/>
    </row>
    <row r="8444" spans="1:1" x14ac:dyDescent="0.3">
      <c r="A8444" s="1"/>
    </row>
    <row r="8445" spans="1:1" x14ac:dyDescent="0.3">
      <c r="A8445" s="1"/>
    </row>
    <row r="8446" spans="1:1" x14ac:dyDescent="0.3">
      <c r="A8446" s="1"/>
    </row>
    <row r="8447" spans="1:1" x14ac:dyDescent="0.3">
      <c r="A8447" s="1"/>
    </row>
    <row r="8448" spans="1:1" x14ac:dyDescent="0.3">
      <c r="A8448" s="1"/>
    </row>
    <row r="8449" spans="1:1" x14ac:dyDescent="0.3">
      <c r="A8449" s="1"/>
    </row>
    <row r="8450" spans="1:1" x14ac:dyDescent="0.3">
      <c r="A8450" s="1"/>
    </row>
    <row r="8451" spans="1:1" x14ac:dyDescent="0.3">
      <c r="A8451" s="1"/>
    </row>
    <row r="8452" spans="1:1" x14ac:dyDescent="0.3">
      <c r="A8452" s="1"/>
    </row>
    <row r="8453" spans="1:1" x14ac:dyDescent="0.3">
      <c r="A8453" s="1"/>
    </row>
    <row r="8454" spans="1:1" x14ac:dyDescent="0.3">
      <c r="A8454" s="1"/>
    </row>
    <row r="8455" spans="1:1" x14ac:dyDescent="0.3">
      <c r="A8455" s="1"/>
    </row>
    <row r="8456" spans="1:1" x14ac:dyDescent="0.3">
      <c r="A8456" s="1"/>
    </row>
    <row r="8457" spans="1:1" x14ac:dyDescent="0.3">
      <c r="A8457" s="1"/>
    </row>
    <row r="8458" spans="1:1" x14ac:dyDescent="0.3">
      <c r="A8458" s="1"/>
    </row>
    <row r="8459" spans="1:1" x14ac:dyDescent="0.3">
      <c r="A8459" s="1"/>
    </row>
    <row r="8460" spans="1:1" x14ac:dyDescent="0.3">
      <c r="A8460" s="1"/>
    </row>
    <row r="8461" spans="1:1" x14ac:dyDescent="0.3">
      <c r="A8461" s="1"/>
    </row>
    <row r="8462" spans="1:1" x14ac:dyDescent="0.3">
      <c r="A8462" s="1"/>
    </row>
    <row r="8463" spans="1:1" x14ac:dyDescent="0.3">
      <c r="A8463" s="1"/>
    </row>
    <row r="8464" spans="1:1" x14ac:dyDescent="0.3">
      <c r="A8464" s="1"/>
    </row>
    <row r="8465" spans="1:1" x14ac:dyDescent="0.3">
      <c r="A8465" s="1"/>
    </row>
    <row r="8466" spans="1:1" x14ac:dyDescent="0.3">
      <c r="A8466" s="1"/>
    </row>
    <row r="8467" spans="1:1" x14ac:dyDescent="0.3">
      <c r="A8467" s="1"/>
    </row>
    <row r="8468" spans="1:1" x14ac:dyDescent="0.3">
      <c r="A8468" s="1"/>
    </row>
    <row r="8469" spans="1:1" x14ac:dyDescent="0.3">
      <c r="A8469" s="1"/>
    </row>
    <row r="8470" spans="1:1" x14ac:dyDescent="0.3">
      <c r="A8470" s="1"/>
    </row>
    <row r="8471" spans="1:1" x14ac:dyDescent="0.3">
      <c r="A8471" s="1"/>
    </row>
    <row r="8472" spans="1:1" x14ac:dyDescent="0.3">
      <c r="A8472" s="1"/>
    </row>
    <row r="8473" spans="1:1" x14ac:dyDescent="0.3">
      <c r="A8473" s="1"/>
    </row>
    <row r="8474" spans="1:1" x14ac:dyDescent="0.3">
      <c r="A8474" s="1"/>
    </row>
    <row r="8475" spans="1:1" x14ac:dyDescent="0.3">
      <c r="A8475" s="1"/>
    </row>
    <row r="8476" spans="1:1" x14ac:dyDescent="0.3">
      <c r="A8476" s="1"/>
    </row>
    <row r="8477" spans="1:1" x14ac:dyDescent="0.3">
      <c r="A8477" s="1"/>
    </row>
    <row r="8478" spans="1:1" x14ac:dyDescent="0.3">
      <c r="A8478" s="1"/>
    </row>
    <row r="8479" spans="1:1" x14ac:dyDescent="0.3">
      <c r="A8479" s="1"/>
    </row>
    <row r="8480" spans="1:1" x14ac:dyDescent="0.3">
      <c r="A8480" s="1"/>
    </row>
    <row r="8481" spans="1:1" x14ac:dyDescent="0.3">
      <c r="A8481" s="1"/>
    </row>
    <row r="8482" spans="1:1" x14ac:dyDescent="0.3">
      <c r="A8482" s="1"/>
    </row>
    <row r="8483" spans="1:1" x14ac:dyDescent="0.3">
      <c r="A8483" s="1"/>
    </row>
    <row r="8484" spans="1:1" x14ac:dyDescent="0.3">
      <c r="A8484" s="1"/>
    </row>
    <row r="8485" spans="1:1" x14ac:dyDescent="0.3">
      <c r="A8485" s="1"/>
    </row>
    <row r="8486" spans="1:1" x14ac:dyDescent="0.3">
      <c r="A8486" s="1"/>
    </row>
    <row r="8487" spans="1:1" x14ac:dyDescent="0.3">
      <c r="A8487" s="1"/>
    </row>
    <row r="8488" spans="1:1" x14ac:dyDescent="0.3">
      <c r="A8488" s="1"/>
    </row>
    <row r="8489" spans="1:1" x14ac:dyDescent="0.3">
      <c r="A8489" s="1"/>
    </row>
    <row r="8490" spans="1:1" x14ac:dyDescent="0.3">
      <c r="A8490" s="1"/>
    </row>
    <row r="8491" spans="1:1" x14ac:dyDescent="0.3">
      <c r="A8491" s="1"/>
    </row>
    <row r="8492" spans="1:1" x14ac:dyDescent="0.3">
      <c r="A8492" s="1"/>
    </row>
    <row r="8493" spans="1:1" x14ac:dyDescent="0.3">
      <c r="A8493" s="1"/>
    </row>
    <row r="8494" spans="1:1" x14ac:dyDescent="0.3">
      <c r="A8494" s="1"/>
    </row>
    <row r="8495" spans="1:1" x14ac:dyDescent="0.3">
      <c r="A8495" s="1"/>
    </row>
    <row r="8496" spans="1:1" x14ac:dyDescent="0.3">
      <c r="A8496" s="1"/>
    </row>
    <row r="8497" spans="1:1" x14ac:dyDescent="0.3">
      <c r="A8497" s="1"/>
    </row>
    <row r="8498" spans="1:1" x14ac:dyDescent="0.3">
      <c r="A8498" s="1"/>
    </row>
    <row r="8499" spans="1:1" x14ac:dyDescent="0.3">
      <c r="A8499" s="1"/>
    </row>
    <row r="8500" spans="1:1" x14ac:dyDescent="0.3">
      <c r="A8500" s="1"/>
    </row>
    <row r="8501" spans="1:1" x14ac:dyDescent="0.3">
      <c r="A8501" s="1"/>
    </row>
    <row r="8502" spans="1:1" x14ac:dyDescent="0.3">
      <c r="A8502" s="1"/>
    </row>
    <row r="8503" spans="1:1" x14ac:dyDescent="0.3">
      <c r="A8503" s="1"/>
    </row>
    <row r="8504" spans="1:1" x14ac:dyDescent="0.3">
      <c r="A8504" s="1"/>
    </row>
    <row r="8505" spans="1:1" x14ac:dyDescent="0.3">
      <c r="A8505" s="1"/>
    </row>
    <row r="8506" spans="1:1" x14ac:dyDescent="0.3">
      <c r="A8506" s="1"/>
    </row>
    <row r="8507" spans="1:1" x14ac:dyDescent="0.3">
      <c r="A8507" s="1"/>
    </row>
    <row r="8508" spans="1:1" x14ac:dyDescent="0.3">
      <c r="A8508" s="1"/>
    </row>
    <row r="8509" spans="1:1" x14ac:dyDescent="0.3">
      <c r="A8509" s="1"/>
    </row>
    <row r="8510" spans="1:1" x14ac:dyDescent="0.3">
      <c r="A8510" s="1"/>
    </row>
    <row r="8511" spans="1:1" x14ac:dyDescent="0.3">
      <c r="A8511" s="1"/>
    </row>
    <row r="8512" spans="1:1" x14ac:dyDescent="0.3">
      <c r="A8512" s="1"/>
    </row>
    <row r="8513" spans="1:1" x14ac:dyDescent="0.3">
      <c r="A8513" s="1"/>
    </row>
    <row r="8514" spans="1:1" x14ac:dyDescent="0.3">
      <c r="A8514" s="1"/>
    </row>
    <row r="8515" spans="1:1" x14ac:dyDescent="0.3">
      <c r="A8515" s="1"/>
    </row>
    <row r="8516" spans="1:1" x14ac:dyDescent="0.3">
      <c r="A8516" s="1"/>
    </row>
    <row r="8517" spans="1:1" x14ac:dyDescent="0.3">
      <c r="A8517" s="1"/>
    </row>
    <row r="8518" spans="1:1" x14ac:dyDescent="0.3">
      <c r="A8518" s="1"/>
    </row>
    <row r="8519" spans="1:1" x14ac:dyDescent="0.3">
      <c r="A8519" s="1"/>
    </row>
    <row r="8520" spans="1:1" x14ac:dyDescent="0.3">
      <c r="A8520" s="1"/>
    </row>
    <row r="8521" spans="1:1" x14ac:dyDescent="0.3">
      <c r="A8521" s="1"/>
    </row>
    <row r="8522" spans="1:1" x14ac:dyDescent="0.3">
      <c r="A8522" s="1"/>
    </row>
    <row r="8523" spans="1:1" x14ac:dyDescent="0.3">
      <c r="A8523" s="1"/>
    </row>
    <row r="8524" spans="1:1" x14ac:dyDescent="0.3">
      <c r="A8524" s="1"/>
    </row>
    <row r="8525" spans="1:1" x14ac:dyDescent="0.3">
      <c r="A8525" s="1"/>
    </row>
    <row r="8526" spans="1:1" x14ac:dyDescent="0.3">
      <c r="A8526" s="1"/>
    </row>
    <row r="8527" spans="1:1" x14ac:dyDescent="0.3">
      <c r="A8527" s="1"/>
    </row>
    <row r="8528" spans="1:1" x14ac:dyDescent="0.3">
      <c r="A8528" s="1"/>
    </row>
    <row r="8529" spans="1:1" x14ac:dyDescent="0.3">
      <c r="A8529" s="1"/>
    </row>
    <row r="8530" spans="1:1" x14ac:dyDescent="0.3">
      <c r="A8530" s="1"/>
    </row>
    <row r="8531" spans="1:1" x14ac:dyDescent="0.3">
      <c r="A8531" s="1"/>
    </row>
    <row r="8532" spans="1:1" x14ac:dyDescent="0.3">
      <c r="A8532" s="1"/>
    </row>
    <row r="8533" spans="1:1" x14ac:dyDescent="0.3">
      <c r="A8533" s="1"/>
    </row>
    <row r="8534" spans="1:1" x14ac:dyDescent="0.3">
      <c r="A8534" s="1"/>
    </row>
    <row r="8535" spans="1:1" x14ac:dyDescent="0.3">
      <c r="A8535" s="1"/>
    </row>
    <row r="8536" spans="1:1" x14ac:dyDescent="0.3">
      <c r="A8536" s="1"/>
    </row>
    <row r="8537" spans="1:1" x14ac:dyDescent="0.3">
      <c r="A8537" s="1"/>
    </row>
    <row r="8538" spans="1:1" x14ac:dyDescent="0.3">
      <c r="A8538" s="1"/>
    </row>
    <row r="8539" spans="1:1" x14ac:dyDescent="0.3">
      <c r="A8539" s="1"/>
    </row>
    <row r="8540" spans="1:1" x14ac:dyDescent="0.3">
      <c r="A8540" s="1"/>
    </row>
    <row r="8541" spans="1:1" x14ac:dyDescent="0.3">
      <c r="A8541" s="1"/>
    </row>
    <row r="8542" spans="1:1" x14ac:dyDescent="0.3">
      <c r="A8542" s="1"/>
    </row>
    <row r="8543" spans="1:1" x14ac:dyDescent="0.3">
      <c r="A8543" s="1"/>
    </row>
    <row r="8544" spans="1:1" x14ac:dyDescent="0.3">
      <c r="A8544" s="1"/>
    </row>
    <row r="8545" spans="1:1" x14ac:dyDescent="0.3">
      <c r="A8545" s="1"/>
    </row>
    <row r="8546" spans="1:1" x14ac:dyDescent="0.3">
      <c r="A8546" s="1"/>
    </row>
    <row r="8547" spans="1:1" x14ac:dyDescent="0.3">
      <c r="A8547" s="1"/>
    </row>
    <row r="8548" spans="1:1" x14ac:dyDescent="0.3">
      <c r="A8548" s="1"/>
    </row>
    <row r="8549" spans="1:1" x14ac:dyDescent="0.3">
      <c r="A8549" s="1"/>
    </row>
    <row r="8550" spans="1:1" x14ac:dyDescent="0.3">
      <c r="A8550" s="1"/>
    </row>
    <row r="8551" spans="1:1" x14ac:dyDescent="0.3">
      <c r="A8551" s="1"/>
    </row>
    <row r="8552" spans="1:1" x14ac:dyDescent="0.3">
      <c r="A8552" s="1"/>
    </row>
    <row r="8553" spans="1:1" x14ac:dyDescent="0.3">
      <c r="A8553" s="1"/>
    </row>
    <row r="8554" spans="1:1" x14ac:dyDescent="0.3">
      <c r="A8554" s="1"/>
    </row>
    <row r="8555" spans="1:1" x14ac:dyDescent="0.3">
      <c r="A8555" s="1"/>
    </row>
    <row r="8556" spans="1:1" x14ac:dyDescent="0.3">
      <c r="A8556" s="1"/>
    </row>
    <row r="8557" spans="1:1" x14ac:dyDescent="0.3">
      <c r="A8557" s="1"/>
    </row>
    <row r="8558" spans="1:1" x14ac:dyDescent="0.3">
      <c r="A8558" s="1"/>
    </row>
    <row r="8559" spans="1:1" x14ac:dyDescent="0.3">
      <c r="A8559" s="1"/>
    </row>
    <row r="8560" spans="1:1" x14ac:dyDescent="0.3">
      <c r="A8560" s="1"/>
    </row>
    <row r="8561" spans="1:1" x14ac:dyDescent="0.3">
      <c r="A8561" s="1"/>
    </row>
    <row r="8562" spans="1:1" x14ac:dyDescent="0.3">
      <c r="A8562" s="1"/>
    </row>
    <row r="8563" spans="1:1" x14ac:dyDescent="0.3">
      <c r="A8563" s="1"/>
    </row>
    <row r="8564" spans="1:1" x14ac:dyDescent="0.3">
      <c r="A8564" s="1"/>
    </row>
    <row r="8565" spans="1:1" x14ac:dyDescent="0.3">
      <c r="A8565" s="1"/>
    </row>
    <row r="8566" spans="1:1" x14ac:dyDescent="0.3">
      <c r="A8566" s="1"/>
    </row>
    <row r="8567" spans="1:1" x14ac:dyDescent="0.3">
      <c r="A8567" s="1"/>
    </row>
    <row r="8568" spans="1:1" x14ac:dyDescent="0.3">
      <c r="A8568" s="1"/>
    </row>
    <row r="8569" spans="1:1" x14ac:dyDescent="0.3">
      <c r="A8569" s="1"/>
    </row>
    <row r="8570" spans="1:1" x14ac:dyDescent="0.3">
      <c r="A8570" s="1"/>
    </row>
    <row r="8571" spans="1:1" x14ac:dyDescent="0.3">
      <c r="A8571" s="1"/>
    </row>
    <row r="8572" spans="1:1" x14ac:dyDescent="0.3">
      <c r="A8572" s="1"/>
    </row>
    <row r="8573" spans="1:1" x14ac:dyDescent="0.3">
      <c r="A8573" s="1"/>
    </row>
    <row r="8574" spans="1:1" x14ac:dyDescent="0.3">
      <c r="A8574" s="1"/>
    </row>
    <row r="8575" spans="1:1" x14ac:dyDescent="0.3">
      <c r="A8575" s="1"/>
    </row>
    <row r="8576" spans="1:1" x14ac:dyDescent="0.3">
      <c r="A8576" s="1"/>
    </row>
    <row r="8577" spans="1:1" x14ac:dyDescent="0.3">
      <c r="A8577" s="1"/>
    </row>
    <row r="8578" spans="1:1" x14ac:dyDescent="0.3">
      <c r="A8578" s="1"/>
    </row>
    <row r="8579" spans="1:1" x14ac:dyDescent="0.3">
      <c r="A8579" s="1"/>
    </row>
    <row r="8580" spans="1:1" x14ac:dyDescent="0.3">
      <c r="A8580" s="1"/>
    </row>
    <row r="8581" spans="1:1" x14ac:dyDescent="0.3">
      <c r="A8581" s="1"/>
    </row>
    <row r="8582" spans="1:1" x14ac:dyDescent="0.3">
      <c r="A8582" s="1"/>
    </row>
    <row r="8583" spans="1:1" x14ac:dyDescent="0.3">
      <c r="A8583" s="1"/>
    </row>
    <row r="8584" spans="1:1" x14ac:dyDescent="0.3">
      <c r="A8584" s="1"/>
    </row>
    <row r="8585" spans="1:1" x14ac:dyDescent="0.3">
      <c r="A8585" s="1"/>
    </row>
    <row r="8586" spans="1:1" x14ac:dyDescent="0.3">
      <c r="A8586" s="1"/>
    </row>
    <row r="8587" spans="1:1" x14ac:dyDescent="0.3">
      <c r="A8587" s="1"/>
    </row>
    <row r="8588" spans="1:1" x14ac:dyDescent="0.3">
      <c r="A8588" s="1"/>
    </row>
    <row r="8589" spans="1:1" x14ac:dyDescent="0.3">
      <c r="A8589" s="1"/>
    </row>
    <row r="8590" spans="1:1" x14ac:dyDescent="0.3">
      <c r="A8590" s="1"/>
    </row>
    <row r="8591" spans="1:1" x14ac:dyDescent="0.3">
      <c r="A8591" s="1"/>
    </row>
    <row r="8592" spans="1:1" x14ac:dyDescent="0.3">
      <c r="A8592" s="1"/>
    </row>
    <row r="8593" spans="1:1" x14ac:dyDescent="0.3">
      <c r="A8593" s="1"/>
    </row>
    <row r="8594" spans="1:1" x14ac:dyDescent="0.3">
      <c r="A8594" s="1"/>
    </row>
    <row r="8595" spans="1:1" x14ac:dyDescent="0.3">
      <c r="A8595" s="1"/>
    </row>
    <row r="8596" spans="1:1" x14ac:dyDescent="0.3">
      <c r="A8596" s="1"/>
    </row>
    <row r="8597" spans="1:1" x14ac:dyDescent="0.3">
      <c r="A8597" s="1"/>
    </row>
    <row r="8598" spans="1:1" x14ac:dyDescent="0.3">
      <c r="A8598" s="1"/>
    </row>
    <row r="8599" spans="1:1" x14ac:dyDescent="0.3">
      <c r="A8599" s="1"/>
    </row>
    <row r="8600" spans="1:1" x14ac:dyDescent="0.3">
      <c r="A8600" s="1"/>
    </row>
    <row r="8601" spans="1:1" x14ac:dyDescent="0.3">
      <c r="A8601" s="1"/>
    </row>
    <row r="8602" spans="1:1" x14ac:dyDescent="0.3">
      <c r="A8602" s="1"/>
    </row>
    <row r="8603" spans="1:1" x14ac:dyDescent="0.3">
      <c r="A8603" s="1"/>
    </row>
    <row r="8604" spans="1:1" x14ac:dyDescent="0.3">
      <c r="A8604" s="1"/>
    </row>
    <row r="8605" spans="1:1" x14ac:dyDescent="0.3">
      <c r="A8605" s="1"/>
    </row>
    <row r="8606" spans="1:1" x14ac:dyDescent="0.3">
      <c r="A8606" s="1"/>
    </row>
    <row r="8607" spans="1:1" x14ac:dyDescent="0.3">
      <c r="A8607" s="1"/>
    </row>
    <row r="8608" spans="1:1" x14ac:dyDescent="0.3">
      <c r="A8608" s="1"/>
    </row>
    <row r="8609" spans="1:1" x14ac:dyDescent="0.3">
      <c r="A8609" s="1"/>
    </row>
    <row r="8610" spans="1:1" x14ac:dyDescent="0.3">
      <c r="A8610" s="1"/>
    </row>
    <row r="8611" spans="1:1" x14ac:dyDescent="0.3">
      <c r="A8611" s="1"/>
    </row>
    <row r="8612" spans="1:1" x14ac:dyDescent="0.3">
      <c r="A8612" s="1"/>
    </row>
    <row r="8613" spans="1:1" x14ac:dyDescent="0.3">
      <c r="A8613" s="1"/>
    </row>
    <row r="8614" spans="1:1" x14ac:dyDescent="0.3">
      <c r="A8614" s="1"/>
    </row>
    <row r="8615" spans="1:1" x14ac:dyDescent="0.3">
      <c r="A8615" s="1"/>
    </row>
    <row r="8616" spans="1:1" x14ac:dyDescent="0.3">
      <c r="A8616" s="1"/>
    </row>
    <row r="8617" spans="1:1" x14ac:dyDescent="0.3">
      <c r="A8617" s="1"/>
    </row>
    <row r="8618" spans="1:1" x14ac:dyDescent="0.3">
      <c r="A8618" s="1"/>
    </row>
    <row r="8619" spans="1:1" x14ac:dyDescent="0.3">
      <c r="A8619" s="1"/>
    </row>
    <row r="8620" spans="1:1" x14ac:dyDescent="0.3">
      <c r="A8620" s="1"/>
    </row>
    <row r="8621" spans="1:1" x14ac:dyDescent="0.3">
      <c r="A8621" s="1"/>
    </row>
    <row r="8622" spans="1:1" x14ac:dyDescent="0.3">
      <c r="A8622" s="1"/>
    </row>
    <row r="8623" spans="1:1" x14ac:dyDescent="0.3">
      <c r="A8623" s="1"/>
    </row>
    <row r="8624" spans="1:1" x14ac:dyDescent="0.3">
      <c r="A8624" s="1"/>
    </row>
    <row r="8625" spans="1:1" x14ac:dyDescent="0.3">
      <c r="A8625" s="1"/>
    </row>
    <row r="8626" spans="1:1" x14ac:dyDescent="0.3">
      <c r="A8626" s="1"/>
    </row>
    <row r="8627" spans="1:1" x14ac:dyDescent="0.3">
      <c r="A8627" s="1"/>
    </row>
    <row r="8628" spans="1:1" x14ac:dyDescent="0.3">
      <c r="A8628" s="1"/>
    </row>
    <row r="8629" spans="1:1" x14ac:dyDescent="0.3">
      <c r="A8629" s="1"/>
    </row>
    <row r="8630" spans="1:1" x14ac:dyDescent="0.3">
      <c r="A8630" s="1"/>
    </row>
    <row r="8631" spans="1:1" x14ac:dyDescent="0.3">
      <c r="A8631" s="1"/>
    </row>
    <row r="8632" spans="1:1" x14ac:dyDescent="0.3">
      <c r="A8632" s="1"/>
    </row>
    <row r="8633" spans="1:1" x14ac:dyDescent="0.3">
      <c r="A8633" s="1"/>
    </row>
    <row r="8634" spans="1:1" x14ac:dyDescent="0.3">
      <c r="A8634" s="1"/>
    </row>
    <row r="8635" spans="1:1" x14ac:dyDescent="0.3">
      <c r="A8635" s="1"/>
    </row>
    <row r="8636" spans="1:1" x14ac:dyDescent="0.3">
      <c r="A8636" s="1"/>
    </row>
    <row r="8637" spans="1:1" x14ac:dyDescent="0.3">
      <c r="A8637" s="1"/>
    </row>
    <row r="8638" spans="1:1" x14ac:dyDescent="0.3">
      <c r="A8638" s="1"/>
    </row>
    <row r="8639" spans="1:1" x14ac:dyDescent="0.3">
      <c r="A8639" s="1"/>
    </row>
    <row r="8640" spans="1:1" x14ac:dyDescent="0.3">
      <c r="A8640" s="1"/>
    </row>
    <row r="8641" spans="1:1" x14ac:dyDescent="0.3">
      <c r="A8641" s="1"/>
    </row>
    <row r="8642" spans="1:1" x14ac:dyDescent="0.3">
      <c r="A8642" s="1"/>
    </row>
    <row r="8643" spans="1:1" x14ac:dyDescent="0.3">
      <c r="A8643" s="1"/>
    </row>
    <row r="8644" spans="1:1" x14ac:dyDescent="0.3">
      <c r="A8644" s="1"/>
    </row>
    <row r="8645" spans="1:1" x14ac:dyDescent="0.3">
      <c r="A8645" s="1"/>
    </row>
    <row r="8646" spans="1:1" x14ac:dyDescent="0.3">
      <c r="A8646" s="1"/>
    </row>
    <row r="8647" spans="1:1" x14ac:dyDescent="0.3">
      <c r="A8647" s="1"/>
    </row>
    <row r="8648" spans="1:1" x14ac:dyDescent="0.3">
      <c r="A8648" s="1"/>
    </row>
    <row r="8649" spans="1:1" x14ac:dyDescent="0.3">
      <c r="A8649" s="1"/>
    </row>
    <row r="8650" spans="1:1" x14ac:dyDescent="0.3">
      <c r="A8650" s="1"/>
    </row>
    <row r="8651" spans="1:1" x14ac:dyDescent="0.3">
      <c r="A8651" s="1"/>
    </row>
    <row r="8652" spans="1:1" x14ac:dyDescent="0.3">
      <c r="A8652" s="1"/>
    </row>
    <row r="8653" spans="1:1" x14ac:dyDescent="0.3">
      <c r="A8653" s="1"/>
    </row>
    <row r="8654" spans="1:1" x14ac:dyDescent="0.3">
      <c r="A8654" s="1"/>
    </row>
    <row r="8655" spans="1:1" x14ac:dyDescent="0.3">
      <c r="A8655" s="1"/>
    </row>
    <row r="8656" spans="1:1" x14ac:dyDescent="0.3">
      <c r="A8656" s="1"/>
    </row>
    <row r="8657" spans="1:1" x14ac:dyDescent="0.3">
      <c r="A8657" s="1"/>
    </row>
    <row r="8658" spans="1:1" x14ac:dyDescent="0.3">
      <c r="A8658" s="1"/>
    </row>
    <row r="8659" spans="1:1" x14ac:dyDescent="0.3">
      <c r="A8659" s="1"/>
    </row>
    <row r="8660" spans="1:1" x14ac:dyDescent="0.3">
      <c r="A8660" s="1"/>
    </row>
    <row r="8661" spans="1:1" x14ac:dyDescent="0.3">
      <c r="A8661" s="1"/>
    </row>
    <row r="8662" spans="1:1" x14ac:dyDescent="0.3">
      <c r="A8662" s="1"/>
    </row>
    <row r="8663" spans="1:1" x14ac:dyDescent="0.3">
      <c r="A8663" s="1"/>
    </row>
    <row r="8664" spans="1:1" x14ac:dyDescent="0.3">
      <c r="A8664" s="1"/>
    </row>
    <row r="8665" spans="1:1" x14ac:dyDescent="0.3">
      <c r="A8665" s="1"/>
    </row>
    <row r="8666" spans="1:1" x14ac:dyDescent="0.3">
      <c r="A8666" s="1"/>
    </row>
    <row r="8667" spans="1:1" x14ac:dyDescent="0.3">
      <c r="A8667" s="1"/>
    </row>
    <row r="8668" spans="1:1" x14ac:dyDescent="0.3">
      <c r="A8668" s="1"/>
    </row>
    <row r="8669" spans="1:1" x14ac:dyDescent="0.3">
      <c r="A8669" s="1"/>
    </row>
    <row r="8670" spans="1:1" x14ac:dyDescent="0.3">
      <c r="A8670" s="1"/>
    </row>
    <row r="8671" spans="1:1" x14ac:dyDescent="0.3">
      <c r="A8671" s="1"/>
    </row>
    <row r="8672" spans="1:1" x14ac:dyDescent="0.3">
      <c r="A8672" s="1"/>
    </row>
    <row r="8673" spans="1:1" x14ac:dyDescent="0.3">
      <c r="A8673" s="1"/>
    </row>
    <row r="8674" spans="1:1" x14ac:dyDescent="0.3">
      <c r="A8674" s="1"/>
    </row>
    <row r="8675" spans="1:1" x14ac:dyDescent="0.3">
      <c r="A8675" s="1"/>
    </row>
    <row r="8676" spans="1:1" x14ac:dyDescent="0.3">
      <c r="A8676" s="1"/>
    </row>
    <row r="8677" spans="1:1" x14ac:dyDescent="0.3">
      <c r="A8677" s="1"/>
    </row>
    <row r="8678" spans="1:1" x14ac:dyDescent="0.3">
      <c r="A8678" s="1"/>
    </row>
    <row r="8679" spans="1:1" x14ac:dyDescent="0.3">
      <c r="A8679" s="1"/>
    </row>
    <row r="8680" spans="1:1" x14ac:dyDescent="0.3">
      <c r="A8680" s="1"/>
    </row>
    <row r="8681" spans="1:1" x14ac:dyDescent="0.3">
      <c r="A8681" s="1"/>
    </row>
    <row r="8682" spans="1:1" x14ac:dyDescent="0.3">
      <c r="A8682" s="1"/>
    </row>
    <row r="8683" spans="1:1" x14ac:dyDescent="0.3">
      <c r="A8683" s="1"/>
    </row>
    <row r="8684" spans="1:1" x14ac:dyDescent="0.3">
      <c r="A8684" s="1"/>
    </row>
    <row r="8685" spans="1:1" x14ac:dyDescent="0.3">
      <c r="A8685" s="1"/>
    </row>
    <row r="8686" spans="1:1" x14ac:dyDescent="0.3">
      <c r="A8686" s="1"/>
    </row>
    <row r="8687" spans="1:1" x14ac:dyDescent="0.3">
      <c r="A8687" s="1"/>
    </row>
    <row r="8688" spans="1:1" x14ac:dyDescent="0.3">
      <c r="A8688" s="1"/>
    </row>
    <row r="8689" spans="1:1" x14ac:dyDescent="0.3">
      <c r="A8689" s="1"/>
    </row>
    <row r="8690" spans="1:1" x14ac:dyDescent="0.3">
      <c r="A8690" s="1"/>
    </row>
    <row r="8691" spans="1:1" x14ac:dyDescent="0.3">
      <c r="A8691" s="1"/>
    </row>
    <row r="8692" spans="1:1" x14ac:dyDescent="0.3">
      <c r="A8692" s="1"/>
    </row>
    <row r="8693" spans="1:1" x14ac:dyDescent="0.3">
      <c r="A8693" s="1"/>
    </row>
    <row r="8694" spans="1:1" x14ac:dyDescent="0.3">
      <c r="A8694" s="1"/>
    </row>
    <row r="8695" spans="1:1" x14ac:dyDescent="0.3">
      <c r="A8695" s="1"/>
    </row>
    <row r="8696" spans="1:1" x14ac:dyDescent="0.3">
      <c r="A8696" s="1"/>
    </row>
    <row r="8697" spans="1:1" x14ac:dyDescent="0.3">
      <c r="A8697" s="1"/>
    </row>
    <row r="8698" spans="1:1" x14ac:dyDescent="0.3">
      <c r="A8698" s="1"/>
    </row>
    <row r="8699" spans="1:1" x14ac:dyDescent="0.3">
      <c r="A8699" s="1"/>
    </row>
    <row r="8700" spans="1:1" x14ac:dyDescent="0.3">
      <c r="A8700" s="1"/>
    </row>
    <row r="8701" spans="1:1" x14ac:dyDescent="0.3">
      <c r="A8701" s="1"/>
    </row>
    <row r="8702" spans="1:1" x14ac:dyDescent="0.3">
      <c r="A8702" s="1"/>
    </row>
    <row r="8703" spans="1:1" x14ac:dyDescent="0.3">
      <c r="A8703" s="1"/>
    </row>
    <row r="8704" spans="1:1" x14ac:dyDescent="0.3">
      <c r="A8704" s="1"/>
    </row>
    <row r="8705" spans="1:1" x14ac:dyDescent="0.3">
      <c r="A8705" s="1"/>
    </row>
    <row r="8706" spans="1:1" x14ac:dyDescent="0.3">
      <c r="A8706" s="1"/>
    </row>
    <row r="8707" spans="1:1" x14ac:dyDescent="0.3">
      <c r="A8707" s="1"/>
    </row>
    <row r="8708" spans="1:1" x14ac:dyDescent="0.3">
      <c r="A8708" s="1"/>
    </row>
    <row r="8709" spans="1:1" x14ac:dyDescent="0.3">
      <c r="A8709" s="1"/>
    </row>
    <row r="8710" spans="1:1" x14ac:dyDescent="0.3">
      <c r="A8710" s="1"/>
    </row>
    <row r="8711" spans="1:1" x14ac:dyDescent="0.3">
      <c r="A8711" s="1"/>
    </row>
    <row r="8712" spans="1:1" x14ac:dyDescent="0.3">
      <c r="A8712" s="1"/>
    </row>
    <row r="8713" spans="1:1" x14ac:dyDescent="0.3">
      <c r="A8713" s="1"/>
    </row>
    <row r="8714" spans="1:1" x14ac:dyDescent="0.3">
      <c r="A8714" s="1"/>
    </row>
    <row r="8715" spans="1:1" x14ac:dyDescent="0.3">
      <c r="A8715" s="1"/>
    </row>
    <row r="8716" spans="1:1" x14ac:dyDescent="0.3">
      <c r="A8716" s="1"/>
    </row>
    <row r="8717" spans="1:1" x14ac:dyDescent="0.3">
      <c r="A8717" s="1"/>
    </row>
    <row r="8718" spans="1:1" x14ac:dyDescent="0.3">
      <c r="A8718" s="1"/>
    </row>
    <row r="8719" spans="1:1" x14ac:dyDescent="0.3">
      <c r="A8719" s="1"/>
    </row>
    <row r="8720" spans="1:1" x14ac:dyDescent="0.3">
      <c r="A8720" s="1"/>
    </row>
    <row r="8721" spans="1:1" x14ac:dyDescent="0.3">
      <c r="A8721" s="1"/>
    </row>
    <row r="8722" spans="1:1" x14ac:dyDescent="0.3">
      <c r="A8722" s="1"/>
    </row>
    <row r="8723" spans="1:1" x14ac:dyDescent="0.3">
      <c r="A8723" s="1"/>
    </row>
    <row r="8724" spans="1:1" x14ac:dyDescent="0.3">
      <c r="A8724" s="1"/>
    </row>
    <row r="8725" spans="1:1" x14ac:dyDescent="0.3">
      <c r="A8725" s="1"/>
    </row>
    <row r="8726" spans="1:1" x14ac:dyDescent="0.3">
      <c r="A8726" s="1"/>
    </row>
    <row r="8727" spans="1:1" x14ac:dyDescent="0.3">
      <c r="A8727" s="1"/>
    </row>
    <row r="8728" spans="1:1" x14ac:dyDescent="0.3">
      <c r="A8728" s="1"/>
    </row>
    <row r="8729" spans="1:1" x14ac:dyDescent="0.3">
      <c r="A8729" s="1"/>
    </row>
    <row r="8730" spans="1:1" x14ac:dyDescent="0.3">
      <c r="A8730" s="1"/>
    </row>
    <row r="8731" spans="1:1" x14ac:dyDescent="0.3">
      <c r="A8731" s="1"/>
    </row>
    <row r="8732" spans="1:1" x14ac:dyDescent="0.3">
      <c r="A8732" s="1"/>
    </row>
    <row r="8733" spans="1:1" x14ac:dyDescent="0.3">
      <c r="A8733" s="1"/>
    </row>
    <row r="8734" spans="1:1" x14ac:dyDescent="0.3">
      <c r="A8734" s="1"/>
    </row>
    <row r="8735" spans="1:1" x14ac:dyDescent="0.3">
      <c r="A8735" s="1"/>
    </row>
    <row r="8736" spans="1:1" x14ac:dyDescent="0.3">
      <c r="A8736" s="1"/>
    </row>
    <row r="8737" spans="1:1" x14ac:dyDescent="0.3">
      <c r="A8737" s="1"/>
    </row>
    <row r="8738" spans="1:1" x14ac:dyDescent="0.3">
      <c r="A8738" s="1"/>
    </row>
    <row r="8739" spans="1:1" x14ac:dyDescent="0.3">
      <c r="A8739" s="1"/>
    </row>
    <row r="8740" spans="1:1" x14ac:dyDescent="0.3">
      <c r="A8740" s="1"/>
    </row>
    <row r="8741" spans="1:1" x14ac:dyDescent="0.3">
      <c r="A8741" s="1"/>
    </row>
    <row r="8742" spans="1:1" x14ac:dyDescent="0.3">
      <c r="A8742" s="1"/>
    </row>
    <row r="8743" spans="1:1" x14ac:dyDescent="0.3">
      <c r="A8743" s="1"/>
    </row>
    <row r="8744" spans="1:1" x14ac:dyDescent="0.3">
      <c r="A8744" s="1"/>
    </row>
    <row r="8745" spans="1:1" x14ac:dyDescent="0.3">
      <c r="A8745" s="1"/>
    </row>
    <row r="8746" spans="1:1" x14ac:dyDescent="0.3">
      <c r="A8746" s="1"/>
    </row>
    <row r="8747" spans="1:1" x14ac:dyDescent="0.3">
      <c r="A8747" s="1"/>
    </row>
    <row r="8748" spans="1:1" x14ac:dyDescent="0.3">
      <c r="A8748" s="1"/>
    </row>
    <row r="8749" spans="1:1" x14ac:dyDescent="0.3">
      <c r="A8749" s="1"/>
    </row>
    <row r="8750" spans="1:1" x14ac:dyDescent="0.3">
      <c r="A8750" s="1"/>
    </row>
    <row r="8751" spans="1:1" x14ac:dyDescent="0.3">
      <c r="A8751" s="1"/>
    </row>
    <row r="8752" spans="1:1" x14ac:dyDescent="0.3">
      <c r="A8752" s="1"/>
    </row>
    <row r="8753" spans="1:1" x14ac:dyDescent="0.3">
      <c r="A8753" s="1"/>
    </row>
    <row r="8754" spans="1:1" x14ac:dyDescent="0.3">
      <c r="A8754" s="1"/>
    </row>
    <row r="8755" spans="1:1" x14ac:dyDescent="0.3">
      <c r="A8755" s="1"/>
    </row>
    <row r="8756" spans="1:1" x14ac:dyDescent="0.3">
      <c r="A8756" s="1"/>
    </row>
    <row r="8757" spans="1:1" x14ac:dyDescent="0.3">
      <c r="A8757" s="1"/>
    </row>
    <row r="8758" spans="1:1" x14ac:dyDescent="0.3">
      <c r="A8758" s="1"/>
    </row>
    <row r="8759" spans="1:1" x14ac:dyDescent="0.3">
      <c r="A8759" s="1"/>
    </row>
    <row r="8760" spans="1:1" x14ac:dyDescent="0.3">
      <c r="A8760" s="1"/>
    </row>
    <row r="8761" spans="1:1" x14ac:dyDescent="0.3">
      <c r="A8761" s="1"/>
    </row>
    <row r="8762" spans="1:1" x14ac:dyDescent="0.3">
      <c r="A8762" s="1"/>
    </row>
    <row r="8763" spans="1:1" x14ac:dyDescent="0.3">
      <c r="A8763" s="1"/>
    </row>
    <row r="8764" spans="1:1" x14ac:dyDescent="0.3">
      <c r="A8764" s="1"/>
    </row>
    <row r="8765" spans="1:1" x14ac:dyDescent="0.3">
      <c r="A8765" s="1"/>
    </row>
    <row r="8766" spans="1:1" x14ac:dyDescent="0.3">
      <c r="A8766" s="1"/>
    </row>
    <row r="8767" spans="1:1" x14ac:dyDescent="0.3">
      <c r="A8767" s="1"/>
    </row>
    <row r="8768" spans="1:1" x14ac:dyDescent="0.3">
      <c r="A8768" s="1"/>
    </row>
    <row r="8769" spans="1:1" x14ac:dyDescent="0.3">
      <c r="A8769" s="1"/>
    </row>
    <row r="8770" spans="1:1" x14ac:dyDescent="0.3">
      <c r="A8770" s="1"/>
    </row>
    <row r="8771" spans="1:1" x14ac:dyDescent="0.3">
      <c r="A8771" s="1"/>
    </row>
    <row r="8772" spans="1:1" x14ac:dyDescent="0.3">
      <c r="A8772" s="1"/>
    </row>
    <row r="8773" spans="1:1" x14ac:dyDescent="0.3">
      <c r="A8773" s="1"/>
    </row>
    <row r="8774" spans="1:1" x14ac:dyDescent="0.3">
      <c r="A8774" s="1"/>
    </row>
    <row r="8775" spans="1:1" x14ac:dyDescent="0.3">
      <c r="A8775" s="1"/>
    </row>
    <row r="8776" spans="1:1" x14ac:dyDescent="0.3">
      <c r="A8776" s="1"/>
    </row>
    <row r="8777" spans="1:1" x14ac:dyDescent="0.3">
      <c r="A8777" s="1"/>
    </row>
    <row r="8778" spans="1:1" x14ac:dyDescent="0.3">
      <c r="A8778" s="1"/>
    </row>
    <row r="8779" spans="1:1" x14ac:dyDescent="0.3">
      <c r="A8779" s="1"/>
    </row>
    <row r="8780" spans="1:1" x14ac:dyDescent="0.3">
      <c r="A8780" s="1"/>
    </row>
    <row r="8781" spans="1:1" x14ac:dyDescent="0.3">
      <c r="A8781" s="1"/>
    </row>
    <row r="8782" spans="1:1" x14ac:dyDescent="0.3">
      <c r="A8782" s="1"/>
    </row>
    <row r="8783" spans="1:1" x14ac:dyDescent="0.3">
      <c r="A8783" s="1"/>
    </row>
    <row r="8784" spans="1:1" x14ac:dyDescent="0.3">
      <c r="A8784" s="1"/>
    </row>
    <row r="8785" spans="1:1" x14ac:dyDescent="0.3">
      <c r="A8785" s="1"/>
    </row>
    <row r="8786" spans="1:1" x14ac:dyDescent="0.3">
      <c r="A8786" s="1"/>
    </row>
    <row r="8787" spans="1:1" x14ac:dyDescent="0.3">
      <c r="A8787" s="1"/>
    </row>
    <row r="8788" spans="1:1" x14ac:dyDescent="0.3">
      <c r="A8788" s="1"/>
    </row>
    <row r="8789" spans="1:1" x14ac:dyDescent="0.3">
      <c r="A8789" s="1"/>
    </row>
    <row r="8790" spans="1:1" x14ac:dyDescent="0.3">
      <c r="A8790" s="1"/>
    </row>
    <row r="8791" spans="1:1" x14ac:dyDescent="0.3">
      <c r="A8791" s="1"/>
    </row>
    <row r="8792" spans="1:1" x14ac:dyDescent="0.3">
      <c r="A8792" s="1"/>
    </row>
    <row r="8793" spans="1:1" x14ac:dyDescent="0.3">
      <c r="A8793" s="1"/>
    </row>
    <row r="8794" spans="1:1" x14ac:dyDescent="0.3">
      <c r="A8794" s="1"/>
    </row>
    <row r="8795" spans="1:1" x14ac:dyDescent="0.3">
      <c r="A8795" s="1"/>
    </row>
    <row r="8796" spans="1:1" x14ac:dyDescent="0.3">
      <c r="A8796" s="1"/>
    </row>
    <row r="8797" spans="1:1" x14ac:dyDescent="0.3">
      <c r="A8797" s="1"/>
    </row>
    <row r="8798" spans="1:1" x14ac:dyDescent="0.3">
      <c r="A8798" s="1"/>
    </row>
    <row r="8799" spans="1:1" x14ac:dyDescent="0.3">
      <c r="A8799" s="1"/>
    </row>
    <row r="8800" spans="1:1" x14ac:dyDescent="0.3">
      <c r="A8800" s="1"/>
    </row>
    <row r="8801" spans="1:1" x14ac:dyDescent="0.3">
      <c r="A8801" s="1"/>
    </row>
    <row r="8802" spans="1:1" x14ac:dyDescent="0.3">
      <c r="A8802" s="1"/>
    </row>
    <row r="8803" spans="1:1" x14ac:dyDescent="0.3">
      <c r="A8803" s="1"/>
    </row>
    <row r="8804" spans="1:1" x14ac:dyDescent="0.3">
      <c r="A8804" s="1"/>
    </row>
    <row r="8805" spans="1:1" x14ac:dyDescent="0.3">
      <c r="A8805" s="1"/>
    </row>
    <row r="8806" spans="1:1" x14ac:dyDescent="0.3">
      <c r="A8806" s="1"/>
    </row>
    <row r="8807" spans="1:1" x14ac:dyDescent="0.3">
      <c r="A8807" s="1"/>
    </row>
    <row r="8808" spans="1:1" x14ac:dyDescent="0.3">
      <c r="A8808" s="1"/>
    </row>
    <row r="8809" spans="1:1" x14ac:dyDescent="0.3">
      <c r="A8809" s="1"/>
    </row>
    <row r="8810" spans="1:1" x14ac:dyDescent="0.3">
      <c r="A8810" s="1"/>
    </row>
    <row r="8811" spans="1:1" x14ac:dyDescent="0.3">
      <c r="A8811" s="1"/>
    </row>
    <row r="8812" spans="1:1" x14ac:dyDescent="0.3">
      <c r="A8812" s="1"/>
    </row>
    <row r="8813" spans="1:1" x14ac:dyDescent="0.3">
      <c r="A8813" s="1"/>
    </row>
    <row r="8814" spans="1:1" x14ac:dyDescent="0.3">
      <c r="A8814" s="1"/>
    </row>
    <row r="8815" spans="1:1" x14ac:dyDescent="0.3">
      <c r="A8815" s="1"/>
    </row>
    <row r="8816" spans="1:1" x14ac:dyDescent="0.3">
      <c r="A8816" s="1"/>
    </row>
    <row r="8817" spans="1:1" x14ac:dyDescent="0.3">
      <c r="A8817" s="1"/>
    </row>
    <row r="8818" spans="1:1" x14ac:dyDescent="0.3">
      <c r="A8818" s="1"/>
    </row>
    <row r="8819" spans="1:1" x14ac:dyDescent="0.3">
      <c r="A8819" s="1"/>
    </row>
    <row r="8820" spans="1:1" x14ac:dyDescent="0.3">
      <c r="A8820" s="1"/>
    </row>
    <row r="8821" spans="1:1" x14ac:dyDescent="0.3">
      <c r="A8821" s="1"/>
    </row>
    <row r="8822" spans="1:1" x14ac:dyDescent="0.3">
      <c r="A8822" s="1"/>
    </row>
    <row r="8823" spans="1:1" x14ac:dyDescent="0.3">
      <c r="A8823" s="1"/>
    </row>
    <row r="8824" spans="1:1" x14ac:dyDescent="0.3">
      <c r="A8824" s="1"/>
    </row>
    <row r="8825" spans="1:1" x14ac:dyDescent="0.3">
      <c r="A8825" s="1"/>
    </row>
    <row r="8826" spans="1:1" x14ac:dyDescent="0.3">
      <c r="A8826" s="1"/>
    </row>
    <row r="8827" spans="1:1" x14ac:dyDescent="0.3">
      <c r="A8827" s="1"/>
    </row>
    <row r="8828" spans="1:1" x14ac:dyDescent="0.3">
      <c r="A8828" s="1"/>
    </row>
    <row r="8829" spans="1:1" x14ac:dyDescent="0.3">
      <c r="A8829" s="1"/>
    </row>
    <row r="8830" spans="1:1" x14ac:dyDescent="0.3">
      <c r="A8830" s="1"/>
    </row>
    <row r="8831" spans="1:1" x14ac:dyDescent="0.3">
      <c r="A8831" s="1"/>
    </row>
    <row r="8832" spans="1:1" x14ac:dyDescent="0.3">
      <c r="A8832" s="1"/>
    </row>
    <row r="8833" spans="1:1" x14ac:dyDescent="0.3">
      <c r="A8833" s="1"/>
    </row>
    <row r="8834" spans="1:1" x14ac:dyDescent="0.3">
      <c r="A8834" s="1"/>
    </row>
    <row r="8835" spans="1:1" x14ac:dyDescent="0.3">
      <c r="A8835" s="1"/>
    </row>
    <row r="8836" spans="1:1" x14ac:dyDescent="0.3">
      <c r="A8836" s="1"/>
    </row>
    <row r="8837" spans="1:1" x14ac:dyDescent="0.3">
      <c r="A8837" s="1"/>
    </row>
    <row r="8838" spans="1:1" x14ac:dyDescent="0.3">
      <c r="A8838" s="1"/>
    </row>
    <row r="8839" spans="1:1" x14ac:dyDescent="0.3">
      <c r="A8839" s="1"/>
    </row>
    <row r="8840" spans="1:1" x14ac:dyDescent="0.3">
      <c r="A8840" s="1"/>
    </row>
    <row r="8841" spans="1:1" x14ac:dyDescent="0.3">
      <c r="A8841" s="1"/>
    </row>
    <row r="8842" spans="1:1" x14ac:dyDescent="0.3">
      <c r="A8842" s="1"/>
    </row>
    <row r="8843" spans="1:1" x14ac:dyDescent="0.3">
      <c r="A8843" s="1"/>
    </row>
    <row r="8844" spans="1:1" x14ac:dyDescent="0.3">
      <c r="A8844" s="1"/>
    </row>
    <row r="8845" spans="1:1" x14ac:dyDescent="0.3">
      <c r="A8845" s="1"/>
    </row>
    <row r="8846" spans="1:1" x14ac:dyDescent="0.3">
      <c r="A8846" s="1"/>
    </row>
    <row r="8847" spans="1:1" x14ac:dyDescent="0.3">
      <c r="A8847" s="1"/>
    </row>
    <row r="8848" spans="1:1" x14ac:dyDescent="0.3">
      <c r="A8848" s="1"/>
    </row>
    <row r="8849" spans="1:1" x14ac:dyDescent="0.3">
      <c r="A8849" s="1"/>
    </row>
    <row r="8850" spans="1:1" x14ac:dyDescent="0.3">
      <c r="A8850" s="1"/>
    </row>
    <row r="8851" spans="1:1" x14ac:dyDescent="0.3">
      <c r="A8851" s="1"/>
    </row>
    <row r="8852" spans="1:1" x14ac:dyDescent="0.3">
      <c r="A8852" s="1"/>
    </row>
    <row r="8853" spans="1:1" x14ac:dyDescent="0.3">
      <c r="A8853" s="1"/>
    </row>
    <row r="8854" spans="1:1" x14ac:dyDescent="0.3">
      <c r="A8854" s="1"/>
    </row>
    <row r="8855" spans="1:1" x14ac:dyDescent="0.3">
      <c r="A8855" s="1"/>
    </row>
    <row r="8856" spans="1:1" x14ac:dyDescent="0.3">
      <c r="A8856" s="1"/>
    </row>
    <row r="8857" spans="1:1" x14ac:dyDescent="0.3">
      <c r="A8857" s="1"/>
    </row>
    <row r="8858" spans="1:1" x14ac:dyDescent="0.3">
      <c r="A8858" s="1"/>
    </row>
    <row r="8859" spans="1:1" x14ac:dyDescent="0.3">
      <c r="A8859" s="1"/>
    </row>
    <row r="8860" spans="1:1" x14ac:dyDescent="0.3">
      <c r="A8860" s="1"/>
    </row>
    <row r="8861" spans="1:1" x14ac:dyDescent="0.3">
      <c r="A8861" s="1"/>
    </row>
    <row r="8862" spans="1:1" x14ac:dyDescent="0.3">
      <c r="A8862" s="1"/>
    </row>
    <row r="8863" spans="1:1" x14ac:dyDescent="0.3">
      <c r="A8863" s="1"/>
    </row>
    <row r="8864" spans="1:1" x14ac:dyDescent="0.3">
      <c r="A8864" s="1"/>
    </row>
    <row r="8865" spans="1:1" x14ac:dyDescent="0.3">
      <c r="A8865" s="1"/>
    </row>
    <row r="8866" spans="1:1" x14ac:dyDescent="0.3">
      <c r="A8866" s="1"/>
    </row>
    <row r="8867" spans="1:1" x14ac:dyDescent="0.3">
      <c r="A8867" s="1"/>
    </row>
    <row r="8868" spans="1:1" x14ac:dyDescent="0.3">
      <c r="A8868" s="1"/>
    </row>
    <row r="8869" spans="1:1" x14ac:dyDescent="0.3">
      <c r="A8869" s="1"/>
    </row>
    <row r="8870" spans="1:1" x14ac:dyDescent="0.3">
      <c r="A8870" s="1"/>
    </row>
    <row r="8871" spans="1:1" x14ac:dyDescent="0.3">
      <c r="A8871" s="1"/>
    </row>
    <row r="8872" spans="1:1" x14ac:dyDescent="0.3">
      <c r="A8872" s="1"/>
    </row>
    <row r="8873" spans="1:1" x14ac:dyDescent="0.3">
      <c r="A8873" s="1"/>
    </row>
    <row r="8874" spans="1:1" x14ac:dyDescent="0.3">
      <c r="A8874" s="1"/>
    </row>
    <row r="8875" spans="1:1" x14ac:dyDescent="0.3">
      <c r="A8875" s="1"/>
    </row>
    <row r="8876" spans="1:1" x14ac:dyDescent="0.3">
      <c r="A8876" s="1"/>
    </row>
    <row r="8877" spans="1:1" x14ac:dyDescent="0.3">
      <c r="A8877" s="1"/>
    </row>
    <row r="8878" spans="1:1" x14ac:dyDescent="0.3">
      <c r="A8878" s="1"/>
    </row>
    <row r="8879" spans="1:1" x14ac:dyDescent="0.3">
      <c r="A8879" s="1"/>
    </row>
    <row r="8880" spans="1:1" x14ac:dyDescent="0.3">
      <c r="A8880" s="1"/>
    </row>
    <row r="8881" spans="1:1" x14ac:dyDescent="0.3">
      <c r="A8881" s="1"/>
    </row>
    <row r="8882" spans="1:1" x14ac:dyDescent="0.3">
      <c r="A8882" s="1"/>
    </row>
    <row r="8883" spans="1:1" x14ac:dyDescent="0.3">
      <c r="A8883" s="1"/>
    </row>
    <row r="8884" spans="1:1" x14ac:dyDescent="0.3">
      <c r="A8884" s="1"/>
    </row>
    <row r="8885" spans="1:1" x14ac:dyDescent="0.3">
      <c r="A8885" s="1"/>
    </row>
    <row r="8886" spans="1:1" x14ac:dyDescent="0.3">
      <c r="A8886" s="1"/>
    </row>
    <row r="8887" spans="1:1" x14ac:dyDescent="0.3">
      <c r="A8887" s="1"/>
    </row>
    <row r="8888" spans="1:1" x14ac:dyDescent="0.3">
      <c r="A8888" s="1"/>
    </row>
    <row r="8889" spans="1:1" x14ac:dyDescent="0.3">
      <c r="A8889" s="1"/>
    </row>
    <row r="8890" spans="1:1" x14ac:dyDescent="0.3">
      <c r="A8890" s="1"/>
    </row>
    <row r="8891" spans="1:1" x14ac:dyDescent="0.3">
      <c r="A8891" s="1"/>
    </row>
    <row r="8892" spans="1:1" x14ac:dyDescent="0.3">
      <c r="A8892" s="1"/>
    </row>
    <row r="8893" spans="1:1" x14ac:dyDescent="0.3">
      <c r="A8893" s="1"/>
    </row>
    <row r="8894" spans="1:1" x14ac:dyDescent="0.3">
      <c r="A8894" s="1"/>
    </row>
    <row r="8895" spans="1:1" x14ac:dyDescent="0.3">
      <c r="A8895" s="1"/>
    </row>
    <row r="8896" spans="1:1" x14ac:dyDescent="0.3">
      <c r="A8896" s="1"/>
    </row>
    <row r="8897" spans="1:1" x14ac:dyDescent="0.3">
      <c r="A8897" s="1"/>
    </row>
    <row r="8898" spans="1:1" x14ac:dyDescent="0.3">
      <c r="A8898" s="1"/>
    </row>
    <row r="8899" spans="1:1" x14ac:dyDescent="0.3">
      <c r="A8899" s="1"/>
    </row>
    <row r="8900" spans="1:1" x14ac:dyDescent="0.3">
      <c r="A8900" s="1"/>
    </row>
    <row r="8901" spans="1:1" x14ac:dyDescent="0.3">
      <c r="A8901" s="1"/>
    </row>
    <row r="8902" spans="1:1" x14ac:dyDescent="0.3">
      <c r="A8902" s="1"/>
    </row>
    <row r="8903" spans="1:1" x14ac:dyDescent="0.3">
      <c r="A8903" s="1"/>
    </row>
    <row r="8904" spans="1:1" x14ac:dyDescent="0.3">
      <c r="A8904" s="1"/>
    </row>
    <row r="8905" spans="1:1" x14ac:dyDescent="0.3">
      <c r="A8905" s="1"/>
    </row>
    <row r="8906" spans="1:1" x14ac:dyDescent="0.3">
      <c r="A8906" s="1"/>
    </row>
    <row r="8907" spans="1:1" x14ac:dyDescent="0.3">
      <c r="A8907" s="1"/>
    </row>
    <row r="8908" spans="1:1" x14ac:dyDescent="0.3">
      <c r="A8908" s="1"/>
    </row>
    <row r="8909" spans="1:1" x14ac:dyDescent="0.3">
      <c r="A8909" s="1"/>
    </row>
    <row r="8910" spans="1:1" x14ac:dyDescent="0.3">
      <c r="A8910" s="1"/>
    </row>
    <row r="8911" spans="1:1" x14ac:dyDescent="0.3">
      <c r="A8911" s="1"/>
    </row>
    <row r="8912" spans="1:1" x14ac:dyDescent="0.3">
      <c r="A8912" s="1"/>
    </row>
    <row r="8913" spans="1:1" x14ac:dyDescent="0.3">
      <c r="A8913" s="1"/>
    </row>
    <row r="8914" spans="1:1" x14ac:dyDescent="0.3">
      <c r="A8914" s="1"/>
    </row>
    <row r="8915" spans="1:1" x14ac:dyDescent="0.3">
      <c r="A8915" s="1"/>
    </row>
    <row r="8916" spans="1:1" x14ac:dyDescent="0.3">
      <c r="A8916" s="1"/>
    </row>
    <row r="8917" spans="1:1" x14ac:dyDescent="0.3">
      <c r="A8917" s="1"/>
    </row>
    <row r="8918" spans="1:1" x14ac:dyDescent="0.3">
      <c r="A8918" s="1"/>
    </row>
    <row r="8919" spans="1:1" x14ac:dyDescent="0.3">
      <c r="A8919" s="1"/>
    </row>
    <row r="8920" spans="1:1" x14ac:dyDescent="0.3">
      <c r="A8920" s="1"/>
    </row>
    <row r="8921" spans="1:1" x14ac:dyDescent="0.3">
      <c r="A8921" s="1"/>
    </row>
    <row r="8922" spans="1:1" x14ac:dyDescent="0.3">
      <c r="A8922" s="1"/>
    </row>
    <row r="8923" spans="1:1" x14ac:dyDescent="0.3">
      <c r="A8923" s="1"/>
    </row>
    <row r="8924" spans="1:1" x14ac:dyDescent="0.3">
      <c r="A8924" s="1"/>
    </row>
    <row r="8925" spans="1:1" x14ac:dyDescent="0.3">
      <c r="A8925" s="1"/>
    </row>
    <row r="8926" spans="1:1" x14ac:dyDescent="0.3">
      <c r="A8926" s="1"/>
    </row>
    <row r="8927" spans="1:1" x14ac:dyDescent="0.3">
      <c r="A8927" s="1"/>
    </row>
    <row r="8928" spans="1:1" x14ac:dyDescent="0.3">
      <c r="A8928" s="1"/>
    </row>
    <row r="8929" spans="1:1" x14ac:dyDescent="0.3">
      <c r="A8929" s="1"/>
    </row>
    <row r="8930" spans="1:1" x14ac:dyDescent="0.3">
      <c r="A8930" s="1"/>
    </row>
    <row r="8931" spans="1:1" x14ac:dyDescent="0.3">
      <c r="A8931" s="1"/>
    </row>
    <row r="8932" spans="1:1" x14ac:dyDescent="0.3">
      <c r="A8932" s="1"/>
    </row>
    <row r="8933" spans="1:1" x14ac:dyDescent="0.3">
      <c r="A8933" s="1"/>
    </row>
    <row r="8934" spans="1:1" x14ac:dyDescent="0.3">
      <c r="A8934" s="1"/>
    </row>
    <row r="8935" spans="1:1" x14ac:dyDescent="0.3">
      <c r="A8935" s="1"/>
    </row>
    <row r="8936" spans="1:1" x14ac:dyDescent="0.3">
      <c r="A8936" s="1"/>
    </row>
    <row r="8937" spans="1:1" x14ac:dyDescent="0.3">
      <c r="A8937" s="1"/>
    </row>
    <row r="8938" spans="1:1" x14ac:dyDescent="0.3">
      <c r="A8938" s="1"/>
    </row>
    <row r="8939" spans="1:1" x14ac:dyDescent="0.3">
      <c r="A8939" s="1"/>
    </row>
    <row r="8940" spans="1:1" x14ac:dyDescent="0.3">
      <c r="A8940" s="1"/>
    </row>
    <row r="8941" spans="1:1" x14ac:dyDescent="0.3">
      <c r="A8941" s="1"/>
    </row>
    <row r="8942" spans="1:1" x14ac:dyDescent="0.3">
      <c r="A8942" s="1"/>
    </row>
    <row r="8943" spans="1:1" x14ac:dyDescent="0.3">
      <c r="A8943" s="1"/>
    </row>
    <row r="8944" spans="1:1" x14ac:dyDescent="0.3">
      <c r="A8944" s="1"/>
    </row>
    <row r="8945" spans="1:1" x14ac:dyDescent="0.3">
      <c r="A8945" s="1"/>
    </row>
    <row r="8946" spans="1:1" x14ac:dyDescent="0.3">
      <c r="A8946" s="1"/>
    </row>
    <row r="8947" spans="1:1" x14ac:dyDescent="0.3">
      <c r="A8947" s="1"/>
    </row>
    <row r="8948" spans="1:1" x14ac:dyDescent="0.3">
      <c r="A8948" s="1"/>
    </row>
    <row r="8949" spans="1:1" x14ac:dyDescent="0.3">
      <c r="A8949" s="1"/>
    </row>
    <row r="8950" spans="1:1" x14ac:dyDescent="0.3">
      <c r="A8950" s="1"/>
    </row>
    <row r="8951" spans="1:1" x14ac:dyDescent="0.3">
      <c r="A8951" s="1"/>
    </row>
    <row r="8952" spans="1:1" x14ac:dyDescent="0.3">
      <c r="A8952" s="1"/>
    </row>
    <row r="8953" spans="1:1" x14ac:dyDescent="0.3">
      <c r="A8953" s="1"/>
    </row>
    <row r="8954" spans="1:1" x14ac:dyDescent="0.3">
      <c r="A8954" s="1"/>
    </row>
    <row r="8955" spans="1:1" x14ac:dyDescent="0.3">
      <c r="A8955" s="1"/>
    </row>
    <row r="8956" spans="1:1" x14ac:dyDescent="0.3">
      <c r="A8956" s="1"/>
    </row>
    <row r="8957" spans="1:1" x14ac:dyDescent="0.3">
      <c r="A8957" s="1"/>
    </row>
    <row r="8958" spans="1:1" x14ac:dyDescent="0.3">
      <c r="A8958" s="1"/>
    </row>
    <row r="8959" spans="1:1" x14ac:dyDescent="0.3">
      <c r="A8959" s="1"/>
    </row>
    <row r="8960" spans="1:1" x14ac:dyDescent="0.3">
      <c r="A8960" s="1"/>
    </row>
    <row r="8961" spans="1:1" x14ac:dyDescent="0.3">
      <c r="A8961" s="1"/>
    </row>
    <row r="8962" spans="1:1" x14ac:dyDescent="0.3">
      <c r="A8962" s="1"/>
    </row>
    <row r="8963" spans="1:1" x14ac:dyDescent="0.3">
      <c r="A8963" s="1"/>
    </row>
    <row r="8964" spans="1:1" x14ac:dyDescent="0.3">
      <c r="A8964" s="1"/>
    </row>
    <row r="8965" spans="1:1" x14ac:dyDescent="0.3">
      <c r="A8965" s="1"/>
    </row>
    <row r="8966" spans="1:1" x14ac:dyDescent="0.3">
      <c r="A8966" s="1"/>
    </row>
    <row r="8967" spans="1:1" x14ac:dyDescent="0.3">
      <c r="A8967" s="1"/>
    </row>
    <row r="8968" spans="1:1" x14ac:dyDescent="0.3">
      <c r="A8968" s="1"/>
    </row>
    <row r="8969" spans="1:1" x14ac:dyDescent="0.3">
      <c r="A8969" s="1"/>
    </row>
    <row r="8970" spans="1:1" x14ac:dyDescent="0.3">
      <c r="A8970" s="1"/>
    </row>
    <row r="8971" spans="1:1" x14ac:dyDescent="0.3">
      <c r="A8971" s="1"/>
    </row>
    <row r="8972" spans="1:1" x14ac:dyDescent="0.3">
      <c r="A8972" s="1"/>
    </row>
    <row r="8973" spans="1:1" x14ac:dyDescent="0.3">
      <c r="A8973" s="1"/>
    </row>
    <row r="8974" spans="1:1" x14ac:dyDescent="0.3">
      <c r="A8974" s="1"/>
    </row>
    <row r="8975" spans="1:1" x14ac:dyDescent="0.3">
      <c r="A8975" s="1"/>
    </row>
    <row r="8976" spans="1:1" x14ac:dyDescent="0.3">
      <c r="A8976" s="1"/>
    </row>
    <row r="8977" spans="1:1" x14ac:dyDescent="0.3">
      <c r="A8977" s="1"/>
    </row>
    <row r="8978" spans="1:1" x14ac:dyDescent="0.3">
      <c r="A8978" s="1"/>
    </row>
    <row r="8979" spans="1:1" x14ac:dyDescent="0.3">
      <c r="A8979" s="1"/>
    </row>
    <row r="8980" spans="1:1" x14ac:dyDescent="0.3">
      <c r="A8980" s="1"/>
    </row>
    <row r="8981" spans="1:1" x14ac:dyDescent="0.3">
      <c r="A8981" s="1"/>
    </row>
    <row r="8982" spans="1:1" x14ac:dyDescent="0.3">
      <c r="A8982" s="1"/>
    </row>
    <row r="8983" spans="1:1" x14ac:dyDescent="0.3">
      <c r="A8983" s="1"/>
    </row>
    <row r="8984" spans="1:1" x14ac:dyDescent="0.3">
      <c r="A8984" s="1"/>
    </row>
    <row r="8985" spans="1:1" x14ac:dyDescent="0.3">
      <c r="A8985" s="1"/>
    </row>
    <row r="8986" spans="1:1" x14ac:dyDescent="0.3">
      <c r="A8986" s="1"/>
    </row>
    <row r="8987" spans="1:1" x14ac:dyDescent="0.3">
      <c r="A8987" s="1"/>
    </row>
    <row r="8988" spans="1:1" x14ac:dyDescent="0.3">
      <c r="A8988" s="1"/>
    </row>
    <row r="8989" spans="1:1" x14ac:dyDescent="0.3">
      <c r="A8989" s="1"/>
    </row>
    <row r="8990" spans="1:1" x14ac:dyDescent="0.3">
      <c r="A8990" s="1"/>
    </row>
    <row r="8991" spans="1:1" x14ac:dyDescent="0.3">
      <c r="A8991" s="1"/>
    </row>
    <row r="8992" spans="1:1" x14ac:dyDescent="0.3">
      <c r="A8992" s="1"/>
    </row>
    <row r="8993" spans="1:1" x14ac:dyDescent="0.3">
      <c r="A8993" s="1"/>
    </row>
    <row r="8994" spans="1:1" x14ac:dyDescent="0.3">
      <c r="A8994" s="1"/>
    </row>
    <row r="8995" spans="1:1" x14ac:dyDescent="0.3">
      <c r="A8995" s="1"/>
    </row>
    <row r="8996" spans="1:1" x14ac:dyDescent="0.3">
      <c r="A8996" s="1"/>
    </row>
    <row r="8997" spans="1:1" x14ac:dyDescent="0.3">
      <c r="A8997" s="1"/>
    </row>
    <row r="8998" spans="1:1" x14ac:dyDescent="0.3">
      <c r="A8998" s="1"/>
    </row>
    <row r="8999" spans="1:1" x14ac:dyDescent="0.3">
      <c r="A8999" s="1"/>
    </row>
    <row r="9000" spans="1:1" x14ac:dyDescent="0.3">
      <c r="A9000" s="1"/>
    </row>
    <row r="9001" spans="1:1" x14ac:dyDescent="0.3">
      <c r="A9001" s="1"/>
    </row>
    <row r="9002" spans="1:1" x14ac:dyDescent="0.3">
      <c r="A9002" s="1"/>
    </row>
    <row r="9003" spans="1:1" x14ac:dyDescent="0.3">
      <c r="A9003" s="1"/>
    </row>
    <row r="9004" spans="1:1" x14ac:dyDescent="0.3">
      <c r="A9004" s="1"/>
    </row>
    <row r="9005" spans="1:1" x14ac:dyDescent="0.3">
      <c r="A9005" s="1"/>
    </row>
    <row r="9006" spans="1:1" x14ac:dyDescent="0.3">
      <c r="A9006" s="1"/>
    </row>
    <row r="9007" spans="1:1" x14ac:dyDescent="0.3">
      <c r="A9007" s="1"/>
    </row>
    <row r="9008" spans="1:1" x14ac:dyDescent="0.3">
      <c r="A9008" s="1"/>
    </row>
    <row r="9009" spans="1:1" x14ac:dyDescent="0.3">
      <c r="A9009" s="1"/>
    </row>
    <row r="9010" spans="1:1" x14ac:dyDescent="0.3">
      <c r="A9010" s="1"/>
    </row>
    <row r="9011" spans="1:1" x14ac:dyDescent="0.3">
      <c r="A9011" s="1"/>
    </row>
    <row r="9012" spans="1:1" x14ac:dyDescent="0.3">
      <c r="A9012" s="1"/>
    </row>
    <row r="9013" spans="1:1" x14ac:dyDescent="0.3">
      <c r="A9013" s="1"/>
    </row>
    <row r="9014" spans="1:1" x14ac:dyDescent="0.3">
      <c r="A9014" s="1"/>
    </row>
    <row r="9015" spans="1:1" x14ac:dyDescent="0.3">
      <c r="A9015" s="1"/>
    </row>
    <row r="9016" spans="1:1" x14ac:dyDescent="0.3">
      <c r="A9016" s="1"/>
    </row>
    <row r="9017" spans="1:1" x14ac:dyDescent="0.3">
      <c r="A9017" s="1"/>
    </row>
    <row r="9018" spans="1:1" x14ac:dyDescent="0.3">
      <c r="A9018" s="1"/>
    </row>
    <row r="9019" spans="1:1" x14ac:dyDescent="0.3">
      <c r="A9019" s="1"/>
    </row>
    <row r="9020" spans="1:1" x14ac:dyDescent="0.3">
      <c r="A9020" s="1"/>
    </row>
    <row r="9021" spans="1:1" x14ac:dyDescent="0.3">
      <c r="A9021" s="1"/>
    </row>
    <row r="9022" spans="1:1" x14ac:dyDescent="0.3">
      <c r="A9022" s="1"/>
    </row>
    <row r="9023" spans="1:1" x14ac:dyDescent="0.3">
      <c r="A9023" s="1"/>
    </row>
    <row r="9024" spans="1:1" x14ac:dyDescent="0.3">
      <c r="A9024" s="1"/>
    </row>
    <row r="9025" spans="1:1" x14ac:dyDescent="0.3">
      <c r="A9025" s="1"/>
    </row>
    <row r="9026" spans="1:1" x14ac:dyDescent="0.3">
      <c r="A9026" s="1"/>
    </row>
    <row r="9027" spans="1:1" x14ac:dyDescent="0.3">
      <c r="A9027" s="1"/>
    </row>
    <row r="9028" spans="1:1" x14ac:dyDescent="0.3">
      <c r="A9028" s="1"/>
    </row>
    <row r="9029" spans="1:1" x14ac:dyDescent="0.3">
      <c r="A9029" s="1"/>
    </row>
    <row r="9030" spans="1:1" x14ac:dyDescent="0.3">
      <c r="A9030" s="1"/>
    </row>
    <row r="9031" spans="1:1" x14ac:dyDescent="0.3">
      <c r="A9031" s="1"/>
    </row>
    <row r="9032" spans="1:1" x14ac:dyDescent="0.3">
      <c r="A9032" s="1"/>
    </row>
    <row r="9033" spans="1:1" x14ac:dyDescent="0.3">
      <c r="A9033" s="1"/>
    </row>
    <row r="9034" spans="1:1" x14ac:dyDescent="0.3">
      <c r="A9034" s="1"/>
    </row>
    <row r="9035" spans="1:1" x14ac:dyDescent="0.3">
      <c r="A9035" s="1"/>
    </row>
    <row r="9036" spans="1:1" x14ac:dyDescent="0.3">
      <c r="A9036" s="1"/>
    </row>
    <row r="9037" spans="1:1" x14ac:dyDescent="0.3">
      <c r="A9037" s="1"/>
    </row>
    <row r="9038" spans="1:1" x14ac:dyDescent="0.3">
      <c r="A9038" s="1"/>
    </row>
    <row r="9039" spans="1:1" x14ac:dyDescent="0.3">
      <c r="A9039" s="1"/>
    </row>
    <row r="9040" spans="1:1" x14ac:dyDescent="0.3">
      <c r="A9040" s="1"/>
    </row>
    <row r="9041" spans="1:1" x14ac:dyDescent="0.3">
      <c r="A9041" s="1"/>
    </row>
    <row r="9042" spans="1:1" x14ac:dyDescent="0.3">
      <c r="A9042" s="1"/>
    </row>
    <row r="9043" spans="1:1" x14ac:dyDescent="0.3">
      <c r="A9043" s="1"/>
    </row>
    <row r="9044" spans="1:1" x14ac:dyDescent="0.3">
      <c r="A9044" s="1"/>
    </row>
    <row r="9045" spans="1:1" x14ac:dyDescent="0.3">
      <c r="A9045" s="1"/>
    </row>
    <row r="9046" spans="1:1" x14ac:dyDescent="0.3">
      <c r="A9046" s="1"/>
    </row>
    <row r="9047" spans="1:1" x14ac:dyDescent="0.3">
      <c r="A9047" s="1"/>
    </row>
    <row r="9048" spans="1:1" x14ac:dyDescent="0.3">
      <c r="A9048" s="1"/>
    </row>
    <row r="9049" spans="1:1" x14ac:dyDescent="0.3">
      <c r="A9049" s="1"/>
    </row>
    <row r="9050" spans="1:1" x14ac:dyDescent="0.3">
      <c r="A9050" s="1"/>
    </row>
    <row r="9051" spans="1:1" x14ac:dyDescent="0.3">
      <c r="A9051" s="1"/>
    </row>
    <row r="9052" spans="1:1" x14ac:dyDescent="0.3">
      <c r="A9052" s="1"/>
    </row>
    <row r="9053" spans="1:1" x14ac:dyDescent="0.3">
      <c r="A9053" s="1"/>
    </row>
    <row r="9054" spans="1:1" x14ac:dyDescent="0.3">
      <c r="A9054" s="1"/>
    </row>
    <row r="9055" spans="1:1" x14ac:dyDescent="0.3">
      <c r="A9055" s="1"/>
    </row>
    <row r="9056" spans="1:1" x14ac:dyDescent="0.3">
      <c r="A9056" s="1"/>
    </row>
    <row r="9057" spans="1:1" x14ac:dyDescent="0.3">
      <c r="A9057" s="1"/>
    </row>
    <row r="9058" spans="1:1" x14ac:dyDescent="0.3">
      <c r="A9058" s="1"/>
    </row>
    <row r="9059" spans="1:1" x14ac:dyDescent="0.3">
      <c r="A9059" s="1"/>
    </row>
    <row r="9060" spans="1:1" x14ac:dyDescent="0.3">
      <c r="A9060" s="1"/>
    </row>
    <row r="9061" spans="1:1" x14ac:dyDescent="0.3">
      <c r="A9061" s="1"/>
    </row>
    <row r="9062" spans="1:1" x14ac:dyDescent="0.3">
      <c r="A9062" s="1"/>
    </row>
    <row r="9063" spans="1:1" x14ac:dyDescent="0.3">
      <c r="A9063" s="1"/>
    </row>
    <row r="9064" spans="1:1" x14ac:dyDescent="0.3">
      <c r="A9064" s="1"/>
    </row>
    <row r="9065" spans="1:1" x14ac:dyDescent="0.3">
      <c r="A9065" s="1"/>
    </row>
    <row r="9066" spans="1:1" x14ac:dyDescent="0.3">
      <c r="A9066" s="1"/>
    </row>
    <row r="9067" spans="1:1" x14ac:dyDescent="0.3">
      <c r="A9067" s="1"/>
    </row>
    <row r="9068" spans="1:1" x14ac:dyDescent="0.3">
      <c r="A9068" s="1"/>
    </row>
    <row r="9069" spans="1:1" x14ac:dyDescent="0.3">
      <c r="A9069" s="1"/>
    </row>
    <row r="9070" spans="1:1" x14ac:dyDescent="0.3">
      <c r="A9070" s="1"/>
    </row>
    <row r="9071" spans="1:1" x14ac:dyDescent="0.3">
      <c r="A9071" s="1"/>
    </row>
    <row r="9072" spans="1:1" x14ac:dyDescent="0.3">
      <c r="A9072" s="1"/>
    </row>
    <row r="9073" spans="1:1" x14ac:dyDescent="0.3">
      <c r="A9073" s="1"/>
    </row>
    <row r="9074" spans="1:1" x14ac:dyDescent="0.3">
      <c r="A9074" s="1"/>
    </row>
    <row r="9075" spans="1:1" x14ac:dyDescent="0.3">
      <c r="A9075" s="1"/>
    </row>
    <row r="9076" spans="1:1" x14ac:dyDescent="0.3">
      <c r="A9076" s="1"/>
    </row>
    <row r="9077" spans="1:1" x14ac:dyDescent="0.3">
      <c r="A9077" s="1"/>
    </row>
    <row r="9078" spans="1:1" x14ac:dyDescent="0.3">
      <c r="A9078" s="1"/>
    </row>
    <row r="9079" spans="1:1" x14ac:dyDescent="0.3">
      <c r="A9079" s="1"/>
    </row>
    <row r="9080" spans="1:1" x14ac:dyDescent="0.3">
      <c r="A9080" s="1"/>
    </row>
    <row r="9081" spans="1:1" x14ac:dyDescent="0.3">
      <c r="A9081" s="1"/>
    </row>
    <row r="9082" spans="1:1" x14ac:dyDescent="0.3">
      <c r="A9082" s="1"/>
    </row>
    <row r="9083" spans="1:1" x14ac:dyDescent="0.3">
      <c r="A9083" s="1"/>
    </row>
    <row r="9084" spans="1:1" x14ac:dyDescent="0.3">
      <c r="A9084" s="1"/>
    </row>
    <row r="9085" spans="1:1" x14ac:dyDescent="0.3">
      <c r="A9085" s="1"/>
    </row>
    <row r="9086" spans="1:1" x14ac:dyDescent="0.3">
      <c r="A9086" s="1"/>
    </row>
    <row r="9087" spans="1:1" x14ac:dyDescent="0.3">
      <c r="A9087" s="1"/>
    </row>
    <row r="9088" spans="1:1" x14ac:dyDescent="0.3">
      <c r="A9088" s="1"/>
    </row>
    <row r="9089" spans="1:1" x14ac:dyDescent="0.3">
      <c r="A9089" s="1"/>
    </row>
    <row r="9090" spans="1:1" x14ac:dyDescent="0.3">
      <c r="A9090" s="1"/>
    </row>
    <row r="9091" spans="1:1" x14ac:dyDescent="0.3">
      <c r="A9091" s="1"/>
    </row>
    <row r="9092" spans="1:1" x14ac:dyDescent="0.3">
      <c r="A9092" s="1"/>
    </row>
    <row r="9093" spans="1:1" x14ac:dyDescent="0.3">
      <c r="A9093" s="1"/>
    </row>
    <row r="9094" spans="1:1" x14ac:dyDescent="0.3">
      <c r="A9094" s="1"/>
    </row>
    <row r="9095" spans="1:1" x14ac:dyDescent="0.3">
      <c r="A9095" s="1"/>
    </row>
    <row r="9096" spans="1:1" x14ac:dyDescent="0.3">
      <c r="A9096" s="1"/>
    </row>
    <row r="9097" spans="1:1" x14ac:dyDescent="0.3">
      <c r="A9097" s="1"/>
    </row>
    <row r="9098" spans="1:1" x14ac:dyDescent="0.3">
      <c r="A9098" s="1"/>
    </row>
    <row r="9099" spans="1:1" x14ac:dyDescent="0.3">
      <c r="A9099" s="1"/>
    </row>
    <row r="9100" spans="1:1" x14ac:dyDescent="0.3">
      <c r="A9100" s="1"/>
    </row>
    <row r="9101" spans="1:1" x14ac:dyDescent="0.3">
      <c r="A9101" s="1"/>
    </row>
    <row r="9102" spans="1:1" x14ac:dyDescent="0.3">
      <c r="A9102" s="1"/>
    </row>
    <row r="9103" spans="1:1" x14ac:dyDescent="0.3">
      <c r="A9103" s="1"/>
    </row>
    <row r="9104" spans="1:1" x14ac:dyDescent="0.3">
      <c r="A9104" s="1"/>
    </row>
    <row r="9105" spans="1:1" x14ac:dyDescent="0.3">
      <c r="A9105" s="1"/>
    </row>
    <row r="9106" spans="1:1" x14ac:dyDescent="0.3">
      <c r="A9106" s="1"/>
    </row>
    <row r="9107" spans="1:1" x14ac:dyDescent="0.3">
      <c r="A9107" s="1"/>
    </row>
    <row r="9108" spans="1:1" x14ac:dyDescent="0.3">
      <c r="A9108" s="1"/>
    </row>
    <row r="9109" spans="1:1" x14ac:dyDescent="0.3">
      <c r="A9109" s="1"/>
    </row>
    <row r="9110" spans="1:1" x14ac:dyDescent="0.3">
      <c r="A9110" s="1"/>
    </row>
    <row r="9111" spans="1:1" x14ac:dyDescent="0.3">
      <c r="A9111" s="1"/>
    </row>
    <row r="9112" spans="1:1" x14ac:dyDescent="0.3">
      <c r="A9112" s="1"/>
    </row>
    <row r="9113" spans="1:1" x14ac:dyDescent="0.3">
      <c r="A9113" s="1"/>
    </row>
    <row r="9114" spans="1:1" x14ac:dyDescent="0.3">
      <c r="A9114" s="1"/>
    </row>
    <row r="9115" spans="1:1" x14ac:dyDescent="0.3">
      <c r="A9115" s="1"/>
    </row>
    <row r="9116" spans="1:1" x14ac:dyDescent="0.3">
      <c r="A9116" s="1"/>
    </row>
    <row r="9117" spans="1:1" x14ac:dyDescent="0.3">
      <c r="A9117" s="1"/>
    </row>
    <row r="9118" spans="1:1" x14ac:dyDescent="0.3">
      <c r="A9118" s="1"/>
    </row>
    <row r="9119" spans="1:1" x14ac:dyDescent="0.3">
      <c r="A9119" s="1"/>
    </row>
    <row r="9120" spans="1:1" x14ac:dyDescent="0.3">
      <c r="A9120" s="1"/>
    </row>
    <row r="9121" spans="1:1" x14ac:dyDescent="0.3">
      <c r="A9121" s="1"/>
    </row>
    <row r="9122" spans="1:1" x14ac:dyDescent="0.3">
      <c r="A9122" s="1"/>
    </row>
    <row r="9123" spans="1:1" x14ac:dyDescent="0.3">
      <c r="A9123" s="1"/>
    </row>
    <row r="9124" spans="1:1" x14ac:dyDescent="0.3">
      <c r="A9124" s="1"/>
    </row>
    <row r="9125" spans="1:1" x14ac:dyDescent="0.3">
      <c r="A9125" s="1"/>
    </row>
    <row r="9126" spans="1:1" x14ac:dyDescent="0.3">
      <c r="A9126" s="1"/>
    </row>
    <row r="9127" spans="1:1" x14ac:dyDescent="0.3">
      <c r="A9127" s="1"/>
    </row>
    <row r="9128" spans="1:1" x14ac:dyDescent="0.3">
      <c r="A9128" s="1"/>
    </row>
    <row r="9129" spans="1:1" x14ac:dyDescent="0.3">
      <c r="A9129" s="1"/>
    </row>
    <row r="9130" spans="1:1" x14ac:dyDescent="0.3">
      <c r="A9130" s="1"/>
    </row>
    <row r="9131" spans="1:1" x14ac:dyDescent="0.3">
      <c r="A9131" s="1"/>
    </row>
    <row r="9132" spans="1:1" x14ac:dyDescent="0.3">
      <c r="A9132" s="1"/>
    </row>
    <row r="9133" spans="1:1" x14ac:dyDescent="0.3">
      <c r="A9133" s="1"/>
    </row>
    <row r="9134" spans="1:1" x14ac:dyDescent="0.3">
      <c r="A9134" s="1"/>
    </row>
    <row r="9135" spans="1:1" x14ac:dyDescent="0.3">
      <c r="A9135" s="1"/>
    </row>
    <row r="9136" spans="1:1" x14ac:dyDescent="0.3">
      <c r="A9136" s="1"/>
    </row>
    <row r="9137" spans="1:1" x14ac:dyDescent="0.3">
      <c r="A9137" s="1"/>
    </row>
    <row r="9138" spans="1:1" x14ac:dyDescent="0.3">
      <c r="A9138" s="1"/>
    </row>
    <row r="9139" spans="1:1" x14ac:dyDescent="0.3">
      <c r="A9139" s="1"/>
    </row>
    <row r="9140" spans="1:1" x14ac:dyDescent="0.3">
      <c r="A9140" s="1"/>
    </row>
    <row r="9141" spans="1:1" x14ac:dyDescent="0.3">
      <c r="A9141" s="1"/>
    </row>
    <row r="9142" spans="1:1" x14ac:dyDescent="0.3">
      <c r="A9142" s="1"/>
    </row>
    <row r="9143" spans="1:1" x14ac:dyDescent="0.3">
      <c r="A9143" s="1"/>
    </row>
    <row r="9144" spans="1:1" x14ac:dyDescent="0.3">
      <c r="A9144" s="1"/>
    </row>
    <row r="9145" spans="1:1" x14ac:dyDescent="0.3">
      <c r="A9145" s="1"/>
    </row>
    <row r="9146" spans="1:1" x14ac:dyDescent="0.3">
      <c r="A9146" s="1"/>
    </row>
    <row r="9147" spans="1:1" x14ac:dyDescent="0.3">
      <c r="A9147" s="1"/>
    </row>
    <row r="9148" spans="1:1" x14ac:dyDescent="0.3">
      <c r="A9148" s="1"/>
    </row>
    <row r="9149" spans="1:1" x14ac:dyDescent="0.3">
      <c r="A9149" s="1"/>
    </row>
    <row r="9150" spans="1:1" x14ac:dyDescent="0.3">
      <c r="A9150" s="1"/>
    </row>
    <row r="9151" spans="1:1" x14ac:dyDescent="0.3">
      <c r="A9151" s="1"/>
    </row>
    <row r="9152" spans="1:1" x14ac:dyDescent="0.3">
      <c r="A9152" s="1"/>
    </row>
    <row r="9153" spans="1:1" x14ac:dyDescent="0.3">
      <c r="A9153" s="1"/>
    </row>
    <row r="9154" spans="1:1" x14ac:dyDescent="0.3">
      <c r="A9154" s="1"/>
    </row>
    <row r="9155" spans="1:1" x14ac:dyDescent="0.3">
      <c r="A9155" s="1"/>
    </row>
    <row r="9156" spans="1:1" x14ac:dyDescent="0.3">
      <c r="A9156" s="1"/>
    </row>
    <row r="9157" spans="1:1" x14ac:dyDescent="0.3">
      <c r="A9157" s="1"/>
    </row>
    <row r="9158" spans="1:1" x14ac:dyDescent="0.3">
      <c r="A9158" s="1"/>
    </row>
    <row r="9159" spans="1:1" x14ac:dyDescent="0.3">
      <c r="A9159" s="1"/>
    </row>
    <row r="9160" spans="1:1" x14ac:dyDescent="0.3">
      <c r="A9160" s="1"/>
    </row>
    <row r="9161" spans="1:1" x14ac:dyDescent="0.3">
      <c r="A9161" s="1"/>
    </row>
    <row r="9162" spans="1:1" x14ac:dyDescent="0.3">
      <c r="A9162" s="1"/>
    </row>
    <row r="9163" spans="1:1" x14ac:dyDescent="0.3">
      <c r="A9163" s="1"/>
    </row>
    <row r="9164" spans="1:1" x14ac:dyDescent="0.3">
      <c r="A9164" s="1"/>
    </row>
    <row r="9165" spans="1:1" x14ac:dyDescent="0.3">
      <c r="A9165" s="1"/>
    </row>
    <row r="9166" spans="1:1" x14ac:dyDescent="0.3">
      <c r="A9166" s="1"/>
    </row>
    <row r="9167" spans="1:1" x14ac:dyDescent="0.3">
      <c r="A9167" s="1"/>
    </row>
    <row r="9168" spans="1:1" x14ac:dyDescent="0.3">
      <c r="A9168" s="1"/>
    </row>
    <row r="9169" spans="1:1" x14ac:dyDescent="0.3">
      <c r="A9169" s="1"/>
    </row>
    <row r="9170" spans="1:1" x14ac:dyDescent="0.3">
      <c r="A9170" s="1"/>
    </row>
    <row r="9171" spans="1:1" x14ac:dyDescent="0.3">
      <c r="A9171" s="1"/>
    </row>
    <row r="9172" spans="1:1" x14ac:dyDescent="0.3">
      <c r="A9172" s="1"/>
    </row>
    <row r="9173" spans="1:1" x14ac:dyDescent="0.3">
      <c r="A9173" s="1"/>
    </row>
    <row r="9174" spans="1:1" x14ac:dyDescent="0.3">
      <c r="A9174" s="1"/>
    </row>
    <row r="9175" spans="1:1" x14ac:dyDescent="0.3">
      <c r="A9175" s="1"/>
    </row>
    <row r="9176" spans="1:1" x14ac:dyDescent="0.3">
      <c r="A9176" s="1"/>
    </row>
    <row r="9177" spans="1:1" x14ac:dyDescent="0.3">
      <c r="A9177" s="1"/>
    </row>
    <row r="9178" spans="1:1" x14ac:dyDescent="0.3">
      <c r="A9178" s="1"/>
    </row>
    <row r="9179" spans="1:1" x14ac:dyDescent="0.3">
      <c r="A9179" s="1"/>
    </row>
    <row r="9180" spans="1:1" x14ac:dyDescent="0.3">
      <c r="A9180" s="1"/>
    </row>
    <row r="9181" spans="1:1" x14ac:dyDescent="0.3">
      <c r="A9181" s="1"/>
    </row>
    <row r="9182" spans="1:1" x14ac:dyDescent="0.3">
      <c r="A9182" s="1"/>
    </row>
    <row r="9183" spans="1:1" x14ac:dyDescent="0.3">
      <c r="A9183" s="1"/>
    </row>
    <row r="9184" spans="1:1" x14ac:dyDescent="0.3">
      <c r="A9184" s="1"/>
    </row>
    <row r="9185" spans="1:1" x14ac:dyDescent="0.3">
      <c r="A9185" s="1"/>
    </row>
    <row r="9186" spans="1:1" x14ac:dyDescent="0.3">
      <c r="A9186" s="1"/>
    </row>
    <row r="9187" spans="1:1" x14ac:dyDescent="0.3">
      <c r="A9187" s="1"/>
    </row>
    <row r="9188" spans="1:1" x14ac:dyDescent="0.3">
      <c r="A9188" s="1"/>
    </row>
    <row r="9189" spans="1:1" x14ac:dyDescent="0.3">
      <c r="A9189" s="1"/>
    </row>
    <row r="9190" spans="1:1" x14ac:dyDescent="0.3">
      <c r="A9190" s="1"/>
    </row>
    <row r="9191" spans="1:1" x14ac:dyDescent="0.3">
      <c r="A9191" s="1"/>
    </row>
    <row r="9192" spans="1:1" x14ac:dyDescent="0.3">
      <c r="A9192" s="1"/>
    </row>
    <row r="9193" spans="1:1" x14ac:dyDescent="0.3">
      <c r="A9193" s="1"/>
    </row>
    <row r="9194" spans="1:1" x14ac:dyDescent="0.3">
      <c r="A9194" s="1"/>
    </row>
    <row r="9195" spans="1:1" x14ac:dyDescent="0.3">
      <c r="A9195" s="1"/>
    </row>
    <row r="9196" spans="1:1" x14ac:dyDescent="0.3">
      <c r="A9196" s="1"/>
    </row>
    <row r="9197" spans="1:1" x14ac:dyDescent="0.3">
      <c r="A9197" s="1"/>
    </row>
    <row r="9198" spans="1:1" x14ac:dyDescent="0.3">
      <c r="A9198" s="1"/>
    </row>
    <row r="9199" spans="1:1" x14ac:dyDescent="0.3">
      <c r="A9199" s="1"/>
    </row>
    <row r="9200" spans="1:1" x14ac:dyDescent="0.3">
      <c r="A9200" s="1"/>
    </row>
    <row r="9201" spans="1:1" x14ac:dyDescent="0.3">
      <c r="A9201" s="1"/>
    </row>
    <row r="9202" spans="1:1" x14ac:dyDescent="0.3">
      <c r="A9202" s="1"/>
    </row>
    <row r="9203" spans="1:1" x14ac:dyDescent="0.3">
      <c r="A9203" s="1"/>
    </row>
    <row r="9204" spans="1:1" x14ac:dyDescent="0.3">
      <c r="A9204" s="1"/>
    </row>
    <row r="9205" spans="1:1" x14ac:dyDescent="0.3">
      <c r="A9205" s="1"/>
    </row>
    <row r="9206" spans="1:1" x14ac:dyDescent="0.3">
      <c r="A9206" s="1"/>
    </row>
    <row r="9207" spans="1:1" x14ac:dyDescent="0.3">
      <c r="A9207" s="1"/>
    </row>
    <row r="9208" spans="1:1" x14ac:dyDescent="0.3">
      <c r="A9208" s="1"/>
    </row>
    <row r="9209" spans="1:1" x14ac:dyDescent="0.3">
      <c r="A9209" s="1"/>
    </row>
    <row r="9210" spans="1:1" x14ac:dyDescent="0.3">
      <c r="A9210" s="1"/>
    </row>
    <row r="9211" spans="1:1" x14ac:dyDescent="0.3">
      <c r="A9211" s="1"/>
    </row>
    <row r="9212" spans="1:1" x14ac:dyDescent="0.3">
      <c r="A9212" s="1"/>
    </row>
    <row r="9213" spans="1:1" x14ac:dyDescent="0.3">
      <c r="A9213" s="1"/>
    </row>
    <row r="9214" spans="1:1" x14ac:dyDescent="0.3">
      <c r="A9214" s="1"/>
    </row>
    <row r="9215" spans="1:1" x14ac:dyDescent="0.3">
      <c r="A9215" s="1"/>
    </row>
    <row r="9216" spans="1:1" x14ac:dyDescent="0.3">
      <c r="A9216" s="1"/>
    </row>
    <row r="9217" spans="1:1" x14ac:dyDescent="0.3">
      <c r="A9217" s="1"/>
    </row>
    <row r="9218" spans="1:1" x14ac:dyDescent="0.3">
      <c r="A9218" s="1"/>
    </row>
    <row r="9219" spans="1:1" x14ac:dyDescent="0.3">
      <c r="A9219" s="1"/>
    </row>
    <row r="9220" spans="1:1" x14ac:dyDescent="0.3">
      <c r="A9220" s="1"/>
    </row>
    <row r="9221" spans="1:1" x14ac:dyDescent="0.3">
      <c r="A9221" s="1"/>
    </row>
    <row r="9222" spans="1:1" x14ac:dyDescent="0.3">
      <c r="A9222" s="1"/>
    </row>
    <row r="9223" spans="1:1" x14ac:dyDescent="0.3">
      <c r="A9223" s="1"/>
    </row>
    <row r="9224" spans="1:1" x14ac:dyDescent="0.3">
      <c r="A9224" s="1"/>
    </row>
    <row r="9225" spans="1:1" x14ac:dyDescent="0.3">
      <c r="A9225" s="1"/>
    </row>
    <row r="9226" spans="1:1" x14ac:dyDescent="0.3">
      <c r="A9226" s="1"/>
    </row>
    <row r="9227" spans="1:1" x14ac:dyDescent="0.3">
      <c r="A9227" s="1"/>
    </row>
    <row r="9228" spans="1:1" x14ac:dyDescent="0.3">
      <c r="A9228" s="1"/>
    </row>
    <row r="9229" spans="1:1" x14ac:dyDescent="0.3">
      <c r="A9229" s="1"/>
    </row>
    <row r="9230" spans="1:1" x14ac:dyDescent="0.3">
      <c r="A9230" s="1"/>
    </row>
    <row r="9231" spans="1:1" x14ac:dyDescent="0.3">
      <c r="A9231" s="1"/>
    </row>
    <row r="9232" spans="1:1" x14ac:dyDescent="0.3">
      <c r="A9232" s="1"/>
    </row>
    <row r="9233" spans="1:1" x14ac:dyDescent="0.3">
      <c r="A9233" s="1"/>
    </row>
    <row r="9234" spans="1:1" x14ac:dyDescent="0.3">
      <c r="A9234" s="1"/>
    </row>
    <row r="9235" spans="1:1" x14ac:dyDescent="0.3">
      <c r="A9235" s="1"/>
    </row>
    <row r="9236" spans="1:1" x14ac:dyDescent="0.3">
      <c r="A9236" s="1"/>
    </row>
    <row r="9237" spans="1:1" x14ac:dyDescent="0.3">
      <c r="A9237" s="1"/>
    </row>
    <row r="9238" spans="1:1" x14ac:dyDescent="0.3">
      <c r="A9238" s="1"/>
    </row>
    <row r="9239" spans="1:1" x14ac:dyDescent="0.3">
      <c r="A9239" s="1"/>
    </row>
    <row r="9240" spans="1:1" x14ac:dyDescent="0.3">
      <c r="A9240" s="1"/>
    </row>
    <row r="9241" spans="1:1" x14ac:dyDescent="0.3">
      <c r="A9241" s="1"/>
    </row>
    <row r="9242" spans="1:1" x14ac:dyDescent="0.3">
      <c r="A9242" s="1"/>
    </row>
    <row r="9243" spans="1:1" x14ac:dyDescent="0.3">
      <c r="A9243" s="1"/>
    </row>
    <row r="9244" spans="1:1" x14ac:dyDescent="0.3">
      <c r="A9244" s="1"/>
    </row>
    <row r="9245" spans="1:1" x14ac:dyDescent="0.3">
      <c r="A9245" s="1"/>
    </row>
    <row r="9246" spans="1:1" x14ac:dyDescent="0.3">
      <c r="A9246" s="1"/>
    </row>
    <row r="9247" spans="1:1" x14ac:dyDescent="0.3">
      <c r="A9247" s="1"/>
    </row>
    <row r="9248" spans="1:1" x14ac:dyDescent="0.3">
      <c r="A9248" s="1"/>
    </row>
    <row r="9249" spans="1:1" x14ac:dyDescent="0.3">
      <c r="A9249" s="1"/>
    </row>
    <row r="9250" spans="1:1" x14ac:dyDescent="0.3">
      <c r="A9250" s="1"/>
    </row>
    <row r="9251" spans="1:1" x14ac:dyDescent="0.3">
      <c r="A9251" s="1"/>
    </row>
    <row r="9252" spans="1:1" x14ac:dyDescent="0.3">
      <c r="A9252" s="1"/>
    </row>
    <row r="9253" spans="1:1" x14ac:dyDescent="0.3">
      <c r="A9253" s="1"/>
    </row>
    <row r="9254" spans="1:1" x14ac:dyDescent="0.3">
      <c r="A9254" s="1"/>
    </row>
    <row r="9255" spans="1:1" x14ac:dyDescent="0.3">
      <c r="A9255" s="1"/>
    </row>
    <row r="9256" spans="1:1" x14ac:dyDescent="0.3">
      <c r="A9256" s="1"/>
    </row>
    <row r="9257" spans="1:1" x14ac:dyDescent="0.3">
      <c r="A9257" s="1"/>
    </row>
    <row r="9258" spans="1:1" x14ac:dyDescent="0.3">
      <c r="A9258" s="1"/>
    </row>
    <row r="9259" spans="1:1" x14ac:dyDescent="0.3">
      <c r="A9259" s="1"/>
    </row>
    <row r="9260" spans="1:1" x14ac:dyDescent="0.3">
      <c r="A9260" s="1"/>
    </row>
    <row r="9261" spans="1:1" x14ac:dyDescent="0.3">
      <c r="A9261" s="1"/>
    </row>
    <row r="9262" spans="1:1" x14ac:dyDescent="0.3">
      <c r="A9262" s="1"/>
    </row>
    <row r="9263" spans="1:1" x14ac:dyDescent="0.3">
      <c r="A9263" s="1"/>
    </row>
    <row r="9264" spans="1:1" x14ac:dyDescent="0.3">
      <c r="A9264" s="1"/>
    </row>
    <row r="9265" spans="1:1" x14ac:dyDescent="0.3">
      <c r="A9265" s="1"/>
    </row>
    <row r="9266" spans="1:1" x14ac:dyDescent="0.3">
      <c r="A9266" s="1"/>
    </row>
    <row r="9267" spans="1:1" x14ac:dyDescent="0.3">
      <c r="A9267" s="1"/>
    </row>
    <row r="9268" spans="1:1" x14ac:dyDescent="0.3">
      <c r="A9268" s="1"/>
    </row>
    <row r="9269" spans="1:1" x14ac:dyDescent="0.3">
      <c r="A9269" s="1"/>
    </row>
    <row r="9270" spans="1:1" x14ac:dyDescent="0.3">
      <c r="A9270" s="1"/>
    </row>
    <row r="9271" spans="1:1" x14ac:dyDescent="0.3">
      <c r="A9271" s="1"/>
    </row>
    <row r="9272" spans="1:1" x14ac:dyDescent="0.3">
      <c r="A9272" s="1"/>
    </row>
    <row r="9273" spans="1:1" x14ac:dyDescent="0.3">
      <c r="A9273" s="1"/>
    </row>
    <row r="9274" spans="1:1" x14ac:dyDescent="0.3">
      <c r="A9274" s="1"/>
    </row>
    <row r="9275" spans="1:1" x14ac:dyDescent="0.3">
      <c r="A9275" s="1"/>
    </row>
    <row r="9276" spans="1:1" x14ac:dyDescent="0.3">
      <c r="A9276" s="1"/>
    </row>
    <row r="9277" spans="1:1" x14ac:dyDescent="0.3">
      <c r="A9277" s="1"/>
    </row>
    <row r="9278" spans="1:1" x14ac:dyDescent="0.3">
      <c r="A9278" s="1"/>
    </row>
    <row r="9279" spans="1:1" x14ac:dyDescent="0.3">
      <c r="A9279" s="1"/>
    </row>
    <row r="9280" spans="1:1" x14ac:dyDescent="0.3">
      <c r="A9280" s="1"/>
    </row>
    <row r="9281" spans="1:1" x14ac:dyDescent="0.3">
      <c r="A9281" s="1"/>
    </row>
    <row r="9282" spans="1:1" x14ac:dyDescent="0.3">
      <c r="A9282" s="1"/>
    </row>
    <row r="9283" spans="1:1" x14ac:dyDescent="0.3">
      <c r="A9283" s="1"/>
    </row>
    <row r="9284" spans="1:1" x14ac:dyDescent="0.3">
      <c r="A9284" s="1"/>
    </row>
    <row r="9285" spans="1:1" x14ac:dyDescent="0.3">
      <c r="A9285" s="1"/>
    </row>
    <row r="9286" spans="1:1" x14ac:dyDescent="0.3">
      <c r="A9286" s="1"/>
    </row>
    <row r="9287" spans="1:1" x14ac:dyDescent="0.3">
      <c r="A9287" s="1"/>
    </row>
    <row r="9288" spans="1:1" x14ac:dyDescent="0.3">
      <c r="A9288" s="1"/>
    </row>
    <row r="9289" spans="1:1" x14ac:dyDescent="0.3">
      <c r="A9289" s="1"/>
    </row>
    <row r="9290" spans="1:1" x14ac:dyDescent="0.3">
      <c r="A9290" s="1"/>
    </row>
    <row r="9291" spans="1:1" x14ac:dyDescent="0.3">
      <c r="A9291" s="1"/>
    </row>
    <row r="9292" spans="1:1" x14ac:dyDescent="0.3">
      <c r="A9292" s="1"/>
    </row>
    <row r="9293" spans="1:1" x14ac:dyDescent="0.3">
      <c r="A9293" s="1"/>
    </row>
    <row r="9294" spans="1:1" x14ac:dyDescent="0.3">
      <c r="A9294" s="1"/>
    </row>
    <row r="9295" spans="1:1" x14ac:dyDescent="0.3">
      <c r="A9295" s="1"/>
    </row>
    <row r="9296" spans="1:1" x14ac:dyDescent="0.3">
      <c r="A9296" s="1"/>
    </row>
    <row r="9297" spans="1:1" x14ac:dyDescent="0.3">
      <c r="A9297" s="1"/>
    </row>
    <row r="9298" spans="1:1" x14ac:dyDescent="0.3">
      <c r="A9298" s="1"/>
    </row>
    <row r="9299" spans="1:1" x14ac:dyDescent="0.3">
      <c r="A9299" s="1"/>
    </row>
    <row r="9300" spans="1:1" x14ac:dyDescent="0.3">
      <c r="A9300" s="1"/>
    </row>
    <row r="9301" spans="1:1" x14ac:dyDescent="0.3">
      <c r="A9301" s="1"/>
    </row>
    <row r="9302" spans="1:1" x14ac:dyDescent="0.3">
      <c r="A9302" s="1"/>
    </row>
    <row r="9303" spans="1:1" x14ac:dyDescent="0.3">
      <c r="A9303" s="1"/>
    </row>
    <row r="9304" spans="1:1" x14ac:dyDescent="0.3">
      <c r="A9304" s="1"/>
    </row>
    <row r="9305" spans="1:1" x14ac:dyDescent="0.3">
      <c r="A9305" s="1"/>
    </row>
    <row r="9306" spans="1:1" x14ac:dyDescent="0.3">
      <c r="A9306" s="1"/>
    </row>
    <row r="9307" spans="1:1" x14ac:dyDescent="0.3">
      <c r="A9307" s="1"/>
    </row>
    <row r="9308" spans="1:1" x14ac:dyDescent="0.3">
      <c r="A9308" s="1"/>
    </row>
    <row r="9309" spans="1:1" x14ac:dyDescent="0.3">
      <c r="A9309" s="1"/>
    </row>
    <row r="9310" spans="1:1" x14ac:dyDescent="0.3">
      <c r="A9310" s="1"/>
    </row>
    <row r="9311" spans="1:1" x14ac:dyDescent="0.3">
      <c r="A9311" s="1"/>
    </row>
    <row r="9312" spans="1:1" x14ac:dyDescent="0.3">
      <c r="A9312" s="1"/>
    </row>
    <row r="9313" spans="1:1" x14ac:dyDescent="0.3">
      <c r="A9313" s="1"/>
    </row>
    <row r="9314" spans="1:1" x14ac:dyDescent="0.3">
      <c r="A9314" s="1"/>
    </row>
    <row r="9315" spans="1:1" x14ac:dyDescent="0.3">
      <c r="A9315" s="1"/>
    </row>
    <row r="9316" spans="1:1" x14ac:dyDescent="0.3">
      <c r="A9316" s="1"/>
    </row>
    <row r="9317" spans="1:1" x14ac:dyDescent="0.3">
      <c r="A9317" s="1"/>
    </row>
    <row r="9318" spans="1:1" x14ac:dyDescent="0.3">
      <c r="A9318" s="1"/>
    </row>
    <row r="9319" spans="1:1" x14ac:dyDescent="0.3">
      <c r="A9319" s="1"/>
    </row>
    <row r="9320" spans="1:1" x14ac:dyDescent="0.3">
      <c r="A9320" s="1"/>
    </row>
    <row r="9321" spans="1:1" x14ac:dyDescent="0.3">
      <c r="A9321" s="1"/>
    </row>
    <row r="9322" spans="1:1" x14ac:dyDescent="0.3">
      <c r="A9322" s="1"/>
    </row>
    <row r="9323" spans="1:1" x14ac:dyDescent="0.3">
      <c r="A9323" s="1"/>
    </row>
    <row r="9324" spans="1:1" x14ac:dyDescent="0.3">
      <c r="A9324" s="1"/>
    </row>
    <row r="9325" spans="1:1" x14ac:dyDescent="0.3">
      <c r="A9325" s="1"/>
    </row>
    <row r="9326" spans="1:1" x14ac:dyDescent="0.3">
      <c r="A9326" s="1"/>
    </row>
    <row r="9327" spans="1:1" x14ac:dyDescent="0.3">
      <c r="A9327" s="1"/>
    </row>
    <row r="9328" spans="1:1" x14ac:dyDescent="0.3">
      <c r="A9328" s="1"/>
    </row>
    <row r="9329" spans="1:1" x14ac:dyDescent="0.3">
      <c r="A9329" s="1"/>
    </row>
    <row r="9330" spans="1:1" x14ac:dyDescent="0.3">
      <c r="A9330" s="1"/>
    </row>
    <row r="9331" spans="1:1" x14ac:dyDescent="0.3">
      <c r="A9331" s="1"/>
    </row>
    <row r="9332" spans="1:1" x14ac:dyDescent="0.3">
      <c r="A9332" s="1"/>
    </row>
    <row r="9333" spans="1:1" x14ac:dyDescent="0.3">
      <c r="A9333" s="1"/>
    </row>
    <row r="9334" spans="1:1" x14ac:dyDescent="0.3">
      <c r="A9334" s="1"/>
    </row>
    <row r="9335" spans="1:1" x14ac:dyDescent="0.3">
      <c r="A9335" s="1"/>
    </row>
    <row r="9336" spans="1:1" x14ac:dyDescent="0.3">
      <c r="A9336" s="1"/>
    </row>
    <row r="9337" spans="1:1" x14ac:dyDescent="0.3">
      <c r="A9337" s="1"/>
    </row>
    <row r="9338" spans="1:1" x14ac:dyDescent="0.3">
      <c r="A9338" s="1"/>
    </row>
    <row r="9339" spans="1:1" x14ac:dyDescent="0.3">
      <c r="A9339" s="1"/>
    </row>
    <row r="9340" spans="1:1" x14ac:dyDescent="0.3">
      <c r="A9340" s="1"/>
    </row>
    <row r="9341" spans="1:1" x14ac:dyDescent="0.3">
      <c r="A9341" s="1"/>
    </row>
    <row r="9342" spans="1:1" x14ac:dyDescent="0.3">
      <c r="A9342" s="1"/>
    </row>
    <row r="9343" spans="1:1" x14ac:dyDescent="0.3">
      <c r="A9343" s="1"/>
    </row>
    <row r="9344" spans="1:1" x14ac:dyDescent="0.3">
      <c r="A9344" s="1"/>
    </row>
    <row r="9345" spans="1:1" x14ac:dyDescent="0.3">
      <c r="A9345" s="1"/>
    </row>
    <row r="9346" spans="1:1" x14ac:dyDescent="0.3">
      <c r="A9346" s="1"/>
    </row>
    <row r="9347" spans="1:1" x14ac:dyDescent="0.3">
      <c r="A9347" s="1"/>
    </row>
    <row r="9348" spans="1:1" x14ac:dyDescent="0.3">
      <c r="A9348" s="1"/>
    </row>
    <row r="9349" spans="1:1" x14ac:dyDescent="0.3">
      <c r="A9349" s="1"/>
    </row>
    <row r="9350" spans="1:1" x14ac:dyDescent="0.3">
      <c r="A9350" s="1"/>
    </row>
    <row r="9351" spans="1:1" x14ac:dyDescent="0.3">
      <c r="A9351" s="1"/>
    </row>
    <row r="9352" spans="1:1" x14ac:dyDescent="0.3">
      <c r="A9352" s="1"/>
    </row>
    <row r="9353" spans="1:1" x14ac:dyDescent="0.3">
      <c r="A9353" s="1"/>
    </row>
    <row r="9354" spans="1:1" x14ac:dyDescent="0.3">
      <c r="A9354" s="1"/>
    </row>
    <row r="9355" spans="1:1" x14ac:dyDescent="0.3">
      <c r="A9355" s="1"/>
    </row>
    <row r="9356" spans="1:1" x14ac:dyDescent="0.3">
      <c r="A9356" s="1"/>
    </row>
    <row r="9357" spans="1:1" x14ac:dyDescent="0.3">
      <c r="A9357" s="1"/>
    </row>
    <row r="9358" spans="1:1" x14ac:dyDescent="0.3">
      <c r="A9358" s="1"/>
    </row>
    <row r="9359" spans="1:1" x14ac:dyDescent="0.3">
      <c r="A9359" s="1"/>
    </row>
    <row r="9360" spans="1:1" x14ac:dyDescent="0.3">
      <c r="A9360" s="1"/>
    </row>
    <row r="9361" spans="1:1" x14ac:dyDescent="0.3">
      <c r="A9361" s="1"/>
    </row>
    <row r="9362" spans="1:1" x14ac:dyDescent="0.3">
      <c r="A9362" s="1"/>
    </row>
    <row r="9363" spans="1:1" x14ac:dyDescent="0.3">
      <c r="A9363" s="1"/>
    </row>
    <row r="9364" spans="1:1" x14ac:dyDescent="0.3">
      <c r="A9364" s="1"/>
    </row>
    <row r="9365" spans="1:1" x14ac:dyDescent="0.3">
      <c r="A9365" s="1"/>
    </row>
    <row r="9366" spans="1:1" x14ac:dyDescent="0.3">
      <c r="A9366" s="1"/>
    </row>
    <row r="9367" spans="1:1" x14ac:dyDescent="0.3">
      <c r="A9367" s="1"/>
    </row>
    <row r="9368" spans="1:1" x14ac:dyDescent="0.3">
      <c r="A9368" s="1"/>
    </row>
    <row r="9369" spans="1:1" x14ac:dyDescent="0.3">
      <c r="A9369" s="1"/>
    </row>
    <row r="9370" spans="1:1" x14ac:dyDescent="0.3">
      <c r="A9370" s="1"/>
    </row>
    <row r="9371" spans="1:1" x14ac:dyDescent="0.3">
      <c r="A9371" s="1"/>
    </row>
    <row r="9372" spans="1:1" x14ac:dyDescent="0.3">
      <c r="A9372" s="1"/>
    </row>
    <row r="9373" spans="1:1" x14ac:dyDescent="0.3">
      <c r="A9373" s="1"/>
    </row>
    <row r="9374" spans="1:1" x14ac:dyDescent="0.3">
      <c r="A9374" s="1"/>
    </row>
    <row r="9375" spans="1:1" x14ac:dyDescent="0.3">
      <c r="A9375" s="1"/>
    </row>
    <row r="9376" spans="1:1" x14ac:dyDescent="0.3">
      <c r="A9376" s="1"/>
    </row>
    <row r="9377" spans="1:1" x14ac:dyDescent="0.3">
      <c r="A9377" s="1"/>
    </row>
    <row r="9378" spans="1:1" x14ac:dyDescent="0.3">
      <c r="A9378" s="1"/>
    </row>
    <row r="9379" spans="1:1" x14ac:dyDescent="0.3">
      <c r="A9379" s="1"/>
    </row>
    <row r="9380" spans="1:1" x14ac:dyDescent="0.3">
      <c r="A9380" s="1"/>
    </row>
    <row r="9381" spans="1:1" x14ac:dyDescent="0.3">
      <c r="A9381" s="1"/>
    </row>
    <row r="9382" spans="1:1" x14ac:dyDescent="0.3">
      <c r="A9382" s="1"/>
    </row>
    <row r="9383" spans="1:1" x14ac:dyDescent="0.3">
      <c r="A9383" s="1"/>
    </row>
    <row r="9384" spans="1:1" x14ac:dyDescent="0.3">
      <c r="A9384" s="1"/>
    </row>
    <row r="9385" spans="1:1" x14ac:dyDescent="0.3">
      <c r="A9385" s="1"/>
    </row>
    <row r="9386" spans="1:1" x14ac:dyDescent="0.3">
      <c r="A9386" s="1"/>
    </row>
    <row r="9387" spans="1:1" x14ac:dyDescent="0.3">
      <c r="A9387" s="1"/>
    </row>
    <row r="9388" spans="1:1" x14ac:dyDescent="0.3">
      <c r="A9388" s="1"/>
    </row>
    <row r="9389" spans="1:1" x14ac:dyDescent="0.3">
      <c r="A9389" s="1"/>
    </row>
    <row r="9390" spans="1:1" x14ac:dyDescent="0.3">
      <c r="A9390" s="1"/>
    </row>
    <row r="9391" spans="1:1" x14ac:dyDescent="0.3">
      <c r="A9391" s="1"/>
    </row>
    <row r="9392" spans="1:1" x14ac:dyDescent="0.3">
      <c r="A9392" s="1"/>
    </row>
    <row r="9393" spans="1:1" x14ac:dyDescent="0.3">
      <c r="A9393" s="1"/>
    </row>
    <row r="9394" spans="1:1" x14ac:dyDescent="0.3">
      <c r="A9394" s="1"/>
    </row>
    <row r="9395" spans="1:1" x14ac:dyDescent="0.3">
      <c r="A9395" s="1"/>
    </row>
    <row r="9396" spans="1:1" x14ac:dyDescent="0.3">
      <c r="A9396" s="1"/>
    </row>
    <row r="9397" spans="1:1" x14ac:dyDescent="0.3">
      <c r="A9397" s="1"/>
    </row>
    <row r="9398" spans="1:1" x14ac:dyDescent="0.3">
      <c r="A9398" s="1"/>
    </row>
    <row r="9399" spans="1:1" x14ac:dyDescent="0.3">
      <c r="A9399" s="1"/>
    </row>
    <row r="9400" spans="1:1" x14ac:dyDescent="0.3">
      <c r="A9400" s="1"/>
    </row>
    <row r="9401" spans="1:1" x14ac:dyDescent="0.3">
      <c r="A9401" s="1"/>
    </row>
    <row r="9402" spans="1:1" x14ac:dyDescent="0.3">
      <c r="A9402" s="1"/>
    </row>
    <row r="9403" spans="1:1" x14ac:dyDescent="0.3">
      <c r="A9403" s="1"/>
    </row>
    <row r="9404" spans="1:1" x14ac:dyDescent="0.3">
      <c r="A9404" s="1"/>
    </row>
    <row r="9405" spans="1:1" x14ac:dyDescent="0.3">
      <c r="A9405" s="1"/>
    </row>
    <row r="9406" spans="1:1" x14ac:dyDescent="0.3">
      <c r="A9406" s="1"/>
    </row>
    <row r="9407" spans="1:1" x14ac:dyDescent="0.3">
      <c r="A9407" s="1"/>
    </row>
    <row r="9408" spans="1:1" x14ac:dyDescent="0.3">
      <c r="A9408" s="1"/>
    </row>
    <row r="9409" spans="1:1" x14ac:dyDescent="0.3">
      <c r="A9409" s="1"/>
    </row>
    <row r="9410" spans="1:1" x14ac:dyDescent="0.3">
      <c r="A9410" s="1"/>
    </row>
    <row r="9411" spans="1:1" x14ac:dyDescent="0.3">
      <c r="A9411" s="1"/>
    </row>
    <row r="9412" spans="1:1" x14ac:dyDescent="0.3">
      <c r="A9412" s="1"/>
    </row>
    <row r="9413" spans="1:1" x14ac:dyDescent="0.3">
      <c r="A9413" s="1"/>
    </row>
    <row r="9414" spans="1:1" x14ac:dyDescent="0.3">
      <c r="A9414" s="1"/>
    </row>
    <row r="9415" spans="1:1" x14ac:dyDescent="0.3">
      <c r="A9415" s="1"/>
    </row>
    <row r="9416" spans="1:1" x14ac:dyDescent="0.3">
      <c r="A9416" s="1"/>
    </row>
    <row r="9417" spans="1:1" x14ac:dyDescent="0.3">
      <c r="A9417" s="1"/>
    </row>
    <row r="9418" spans="1:1" x14ac:dyDescent="0.3">
      <c r="A9418" s="1"/>
    </row>
    <row r="9419" spans="1:1" x14ac:dyDescent="0.3">
      <c r="A9419" s="1"/>
    </row>
    <row r="9420" spans="1:1" x14ac:dyDescent="0.3">
      <c r="A9420" s="1"/>
    </row>
    <row r="9421" spans="1:1" x14ac:dyDescent="0.3">
      <c r="A9421" s="1"/>
    </row>
    <row r="9422" spans="1:1" x14ac:dyDescent="0.3">
      <c r="A9422" s="1"/>
    </row>
    <row r="9423" spans="1:1" x14ac:dyDescent="0.3">
      <c r="A9423" s="1"/>
    </row>
    <row r="9424" spans="1:1" x14ac:dyDescent="0.3">
      <c r="A9424" s="1"/>
    </row>
    <row r="9425" spans="1:1" x14ac:dyDescent="0.3">
      <c r="A9425" s="1"/>
    </row>
    <row r="9426" spans="1:1" x14ac:dyDescent="0.3">
      <c r="A9426" s="1"/>
    </row>
    <row r="9427" spans="1:1" x14ac:dyDescent="0.3">
      <c r="A9427" s="1"/>
    </row>
    <row r="9428" spans="1:1" x14ac:dyDescent="0.3">
      <c r="A9428" s="1"/>
    </row>
    <row r="9429" spans="1:1" x14ac:dyDescent="0.3">
      <c r="A9429" s="1"/>
    </row>
    <row r="9430" spans="1:1" x14ac:dyDescent="0.3">
      <c r="A9430" s="1"/>
    </row>
    <row r="9431" spans="1:1" x14ac:dyDescent="0.3">
      <c r="A9431" s="1"/>
    </row>
    <row r="9432" spans="1:1" x14ac:dyDescent="0.3">
      <c r="A9432" s="1"/>
    </row>
    <row r="9433" spans="1:1" x14ac:dyDescent="0.3">
      <c r="A9433" s="1"/>
    </row>
    <row r="9434" spans="1:1" x14ac:dyDescent="0.3">
      <c r="A9434" s="1"/>
    </row>
    <row r="9435" spans="1:1" x14ac:dyDescent="0.3">
      <c r="A9435" s="1"/>
    </row>
    <row r="9436" spans="1:1" x14ac:dyDescent="0.3">
      <c r="A9436" s="1"/>
    </row>
    <row r="9437" spans="1:1" x14ac:dyDescent="0.3">
      <c r="A9437" s="1"/>
    </row>
    <row r="9438" spans="1:1" x14ac:dyDescent="0.3">
      <c r="A9438" s="1"/>
    </row>
    <row r="9439" spans="1:1" x14ac:dyDescent="0.3">
      <c r="A9439" s="1"/>
    </row>
    <row r="9440" spans="1:1" x14ac:dyDescent="0.3">
      <c r="A9440" s="1"/>
    </row>
    <row r="9441" spans="1:1" x14ac:dyDescent="0.3">
      <c r="A9441" s="1"/>
    </row>
    <row r="9442" spans="1:1" x14ac:dyDescent="0.3">
      <c r="A9442" s="1"/>
    </row>
    <row r="9443" spans="1:1" x14ac:dyDescent="0.3">
      <c r="A9443" s="1"/>
    </row>
    <row r="9444" spans="1:1" x14ac:dyDescent="0.3">
      <c r="A9444" s="1"/>
    </row>
    <row r="9445" spans="1:1" x14ac:dyDescent="0.3">
      <c r="A9445" s="1"/>
    </row>
    <row r="9446" spans="1:1" x14ac:dyDescent="0.3">
      <c r="A9446" s="1"/>
    </row>
    <row r="9447" spans="1:1" x14ac:dyDescent="0.3">
      <c r="A9447" s="1"/>
    </row>
    <row r="9448" spans="1:1" x14ac:dyDescent="0.3">
      <c r="A9448" s="1"/>
    </row>
    <row r="9449" spans="1:1" x14ac:dyDescent="0.3">
      <c r="A9449" s="1"/>
    </row>
    <row r="9450" spans="1:1" x14ac:dyDescent="0.3">
      <c r="A9450" s="1"/>
    </row>
    <row r="9451" spans="1:1" x14ac:dyDescent="0.3">
      <c r="A9451" s="1"/>
    </row>
    <row r="9452" spans="1:1" x14ac:dyDescent="0.3">
      <c r="A9452" s="1"/>
    </row>
    <row r="9453" spans="1:1" x14ac:dyDescent="0.3">
      <c r="A9453" s="1"/>
    </row>
    <row r="9454" spans="1:1" x14ac:dyDescent="0.3">
      <c r="A9454" s="1"/>
    </row>
    <row r="9455" spans="1:1" x14ac:dyDescent="0.3">
      <c r="A9455" s="1"/>
    </row>
    <row r="9456" spans="1:1" x14ac:dyDescent="0.3">
      <c r="A9456" s="1"/>
    </row>
    <row r="9457" spans="1:1" x14ac:dyDescent="0.3">
      <c r="A9457" s="1"/>
    </row>
    <row r="9458" spans="1:1" x14ac:dyDescent="0.3">
      <c r="A9458" s="1"/>
    </row>
    <row r="9459" spans="1:1" x14ac:dyDescent="0.3">
      <c r="A9459" s="1"/>
    </row>
    <row r="9460" spans="1:1" x14ac:dyDescent="0.3">
      <c r="A9460" s="1"/>
    </row>
    <row r="9461" spans="1:1" x14ac:dyDescent="0.3">
      <c r="A9461" s="1"/>
    </row>
    <row r="9462" spans="1:1" x14ac:dyDescent="0.3">
      <c r="A9462" s="1"/>
    </row>
    <row r="9463" spans="1:1" x14ac:dyDescent="0.3">
      <c r="A9463" s="1"/>
    </row>
    <row r="9464" spans="1:1" x14ac:dyDescent="0.3">
      <c r="A9464" s="1"/>
    </row>
    <row r="9465" spans="1:1" x14ac:dyDescent="0.3">
      <c r="A9465" s="1"/>
    </row>
    <row r="9466" spans="1:1" x14ac:dyDescent="0.3">
      <c r="A9466" s="1"/>
    </row>
    <row r="9467" spans="1:1" x14ac:dyDescent="0.3">
      <c r="A9467" s="1"/>
    </row>
    <row r="9468" spans="1:1" x14ac:dyDescent="0.3">
      <c r="A9468" s="1"/>
    </row>
    <row r="9469" spans="1:1" x14ac:dyDescent="0.3">
      <c r="A9469" s="1"/>
    </row>
    <row r="9470" spans="1:1" x14ac:dyDescent="0.3">
      <c r="A9470" s="1"/>
    </row>
    <row r="9471" spans="1:1" x14ac:dyDescent="0.3">
      <c r="A9471" s="1"/>
    </row>
    <row r="9472" spans="1:1" x14ac:dyDescent="0.3">
      <c r="A9472" s="1"/>
    </row>
    <row r="9473" spans="1:1" x14ac:dyDescent="0.3">
      <c r="A9473" s="1"/>
    </row>
    <row r="9474" spans="1:1" x14ac:dyDescent="0.3">
      <c r="A9474" s="1"/>
    </row>
    <row r="9475" spans="1:1" x14ac:dyDescent="0.3">
      <c r="A9475" s="1"/>
    </row>
    <row r="9476" spans="1:1" x14ac:dyDescent="0.3">
      <c r="A9476" s="1"/>
    </row>
    <row r="9477" spans="1:1" x14ac:dyDescent="0.3">
      <c r="A9477" s="1"/>
    </row>
    <row r="9478" spans="1:1" x14ac:dyDescent="0.3">
      <c r="A9478" s="1"/>
    </row>
    <row r="9479" spans="1:1" x14ac:dyDescent="0.3">
      <c r="A9479" s="1"/>
    </row>
    <row r="9480" spans="1:1" x14ac:dyDescent="0.3">
      <c r="A9480" s="1"/>
    </row>
    <row r="9481" spans="1:1" x14ac:dyDescent="0.3">
      <c r="A9481" s="1"/>
    </row>
    <row r="9482" spans="1:1" x14ac:dyDescent="0.3">
      <c r="A9482" s="1"/>
    </row>
    <row r="9483" spans="1:1" x14ac:dyDescent="0.3">
      <c r="A9483" s="1"/>
    </row>
    <row r="9484" spans="1:1" x14ac:dyDescent="0.3">
      <c r="A9484" s="1"/>
    </row>
    <row r="9485" spans="1:1" x14ac:dyDescent="0.3">
      <c r="A9485" s="1"/>
    </row>
    <row r="9486" spans="1:1" x14ac:dyDescent="0.3">
      <c r="A9486" s="1"/>
    </row>
    <row r="9487" spans="1:1" x14ac:dyDescent="0.3">
      <c r="A9487" s="1"/>
    </row>
    <row r="9488" spans="1:1" x14ac:dyDescent="0.3">
      <c r="A9488" s="1"/>
    </row>
    <row r="9489" spans="1:1" x14ac:dyDescent="0.3">
      <c r="A9489" s="1"/>
    </row>
    <row r="9490" spans="1:1" x14ac:dyDescent="0.3">
      <c r="A9490" s="1"/>
    </row>
    <row r="9491" spans="1:1" x14ac:dyDescent="0.3">
      <c r="A9491" s="1"/>
    </row>
    <row r="9492" spans="1:1" x14ac:dyDescent="0.3">
      <c r="A9492" s="1"/>
    </row>
    <row r="9493" spans="1:1" x14ac:dyDescent="0.3">
      <c r="A9493" s="1"/>
    </row>
    <row r="9494" spans="1:1" x14ac:dyDescent="0.3">
      <c r="A9494" s="1"/>
    </row>
    <row r="9495" spans="1:1" x14ac:dyDescent="0.3">
      <c r="A9495" s="1"/>
    </row>
    <row r="9496" spans="1:1" x14ac:dyDescent="0.3">
      <c r="A9496" s="1"/>
    </row>
    <row r="9497" spans="1:1" x14ac:dyDescent="0.3">
      <c r="A9497" s="1"/>
    </row>
    <row r="9498" spans="1:1" x14ac:dyDescent="0.3">
      <c r="A9498" s="1"/>
    </row>
    <row r="9499" spans="1:1" x14ac:dyDescent="0.3">
      <c r="A9499" s="1"/>
    </row>
    <row r="9500" spans="1:1" x14ac:dyDescent="0.3">
      <c r="A9500" s="1"/>
    </row>
    <row r="9501" spans="1:1" x14ac:dyDescent="0.3">
      <c r="A9501" s="1"/>
    </row>
    <row r="9502" spans="1:1" x14ac:dyDescent="0.3">
      <c r="A9502" s="1"/>
    </row>
    <row r="9503" spans="1:1" x14ac:dyDescent="0.3">
      <c r="A9503" s="1"/>
    </row>
    <row r="9504" spans="1:1" x14ac:dyDescent="0.3">
      <c r="A9504" s="1"/>
    </row>
    <row r="9505" spans="1:1" x14ac:dyDescent="0.3">
      <c r="A9505" s="1"/>
    </row>
    <row r="9506" spans="1:1" x14ac:dyDescent="0.3">
      <c r="A9506" s="1"/>
    </row>
    <row r="9507" spans="1:1" x14ac:dyDescent="0.3">
      <c r="A9507" s="1"/>
    </row>
    <row r="9508" spans="1:1" x14ac:dyDescent="0.3">
      <c r="A9508" s="1"/>
    </row>
    <row r="9509" spans="1:1" x14ac:dyDescent="0.3">
      <c r="A9509" s="1"/>
    </row>
    <row r="9510" spans="1:1" x14ac:dyDescent="0.3">
      <c r="A9510" s="1"/>
    </row>
    <row r="9511" spans="1:1" x14ac:dyDescent="0.3">
      <c r="A9511" s="1"/>
    </row>
    <row r="9512" spans="1:1" x14ac:dyDescent="0.3">
      <c r="A9512" s="1"/>
    </row>
    <row r="9513" spans="1:1" x14ac:dyDescent="0.3">
      <c r="A9513" s="1"/>
    </row>
    <row r="9514" spans="1:1" x14ac:dyDescent="0.3">
      <c r="A9514" s="1"/>
    </row>
    <row r="9515" spans="1:1" x14ac:dyDescent="0.3">
      <c r="A9515" s="1"/>
    </row>
    <row r="9516" spans="1:1" x14ac:dyDescent="0.3">
      <c r="A9516" s="1"/>
    </row>
    <row r="9517" spans="1:1" x14ac:dyDescent="0.3">
      <c r="A9517" s="1"/>
    </row>
    <row r="9518" spans="1:1" x14ac:dyDescent="0.3">
      <c r="A9518" s="1"/>
    </row>
    <row r="9519" spans="1:1" x14ac:dyDescent="0.3">
      <c r="A9519" s="1"/>
    </row>
    <row r="9520" spans="1:1" x14ac:dyDescent="0.3">
      <c r="A9520" s="1"/>
    </row>
    <row r="9521" spans="1:1" x14ac:dyDescent="0.3">
      <c r="A9521" s="1"/>
    </row>
    <row r="9522" spans="1:1" x14ac:dyDescent="0.3">
      <c r="A9522" s="1"/>
    </row>
    <row r="9523" spans="1:1" x14ac:dyDescent="0.3">
      <c r="A9523" s="1"/>
    </row>
    <row r="9524" spans="1:1" x14ac:dyDescent="0.3">
      <c r="A9524" s="1"/>
    </row>
    <row r="9525" spans="1:1" x14ac:dyDescent="0.3">
      <c r="A9525" s="1"/>
    </row>
    <row r="9526" spans="1:1" x14ac:dyDescent="0.3">
      <c r="A9526" s="1"/>
    </row>
    <row r="9527" spans="1:1" x14ac:dyDescent="0.3">
      <c r="A9527" s="1"/>
    </row>
    <row r="9528" spans="1:1" x14ac:dyDescent="0.3">
      <c r="A9528" s="1"/>
    </row>
    <row r="9529" spans="1:1" x14ac:dyDescent="0.3">
      <c r="A9529" s="1"/>
    </row>
    <row r="9530" spans="1:1" x14ac:dyDescent="0.3">
      <c r="A9530" s="1"/>
    </row>
    <row r="9531" spans="1:1" x14ac:dyDescent="0.3">
      <c r="A9531" s="1"/>
    </row>
    <row r="9532" spans="1:1" x14ac:dyDescent="0.3">
      <c r="A9532" s="1"/>
    </row>
    <row r="9533" spans="1:1" x14ac:dyDescent="0.3">
      <c r="A9533" s="1"/>
    </row>
    <row r="9534" spans="1:1" x14ac:dyDescent="0.3">
      <c r="A9534" s="1"/>
    </row>
    <row r="9535" spans="1:1" x14ac:dyDescent="0.3">
      <c r="A9535" s="1"/>
    </row>
    <row r="9536" spans="1:1" x14ac:dyDescent="0.3">
      <c r="A9536" s="1"/>
    </row>
    <row r="9537" spans="1:1" x14ac:dyDescent="0.3">
      <c r="A9537" s="1"/>
    </row>
    <row r="9538" spans="1:1" x14ac:dyDescent="0.3">
      <c r="A9538" s="1"/>
    </row>
    <row r="9539" spans="1:1" x14ac:dyDescent="0.3">
      <c r="A9539" s="1"/>
    </row>
    <row r="9540" spans="1:1" x14ac:dyDescent="0.3">
      <c r="A9540" s="1"/>
    </row>
    <row r="9541" spans="1:1" x14ac:dyDescent="0.3">
      <c r="A9541" s="1"/>
    </row>
    <row r="9542" spans="1:1" x14ac:dyDescent="0.3">
      <c r="A9542" s="1"/>
    </row>
    <row r="9543" spans="1:1" x14ac:dyDescent="0.3">
      <c r="A9543" s="1"/>
    </row>
    <row r="9544" spans="1:1" x14ac:dyDescent="0.3">
      <c r="A9544" s="1"/>
    </row>
    <row r="9545" spans="1:1" x14ac:dyDescent="0.3">
      <c r="A9545" s="1"/>
    </row>
    <row r="9546" spans="1:1" x14ac:dyDescent="0.3">
      <c r="A9546" s="1"/>
    </row>
    <row r="9547" spans="1:1" x14ac:dyDescent="0.3">
      <c r="A9547" s="1"/>
    </row>
    <row r="9548" spans="1:1" x14ac:dyDescent="0.3">
      <c r="A9548" s="1"/>
    </row>
    <row r="9549" spans="1:1" x14ac:dyDescent="0.3">
      <c r="A9549" s="1"/>
    </row>
    <row r="9550" spans="1:1" x14ac:dyDescent="0.3">
      <c r="A9550" s="1"/>
    </row>
    <row r="9551" spans="1:1" x14ac:dyDescent="0.3">
      <c r="A9551" s="1"/>
    </row>
    <row r="9552" spans="1:1" x14ac:dyDescent="0.3">
      <c r="A9552" s="1"/>
    </row>
    <row r="9553" spans="1:1" x14ac:dyDescent="0.3">
      <c r="A9553" s="1"/>
    </row>
    <row r="9554" spans="1:1" x14ac:dyDescent="0.3">
      <c r="A9554" s="1"/>
    </row>
    <row r="9555" spans="1:1" x14ac:dyDescent="0.3">
      <c r="A9555" s="1"/>
    </row>
    <row r="9556" spans="1:1" x14ac:dyDescent="0.3">
      <c r="A9556" s="1"/>
    </row>
    <row r="9557" spans="1:1" x14ac:dyDescent="0.3">
      <c r="A9557" s="1"/>
    </row>
    <row r="9558" spans="1:1" x14ac:dyDescent="0.3">
      <c r="A9558" s="1"/>
    </row>
    <row r="9559" spans="1:1" x14ac:dyDescent="0.3">
      <c r="A9559" s="1"/>
    </row>
    <row r="9560" spans="1:1" x14ac:dyDescent="0.3">
      <c r="A9560" s="1"/>
    </row>
    <row r="9561" spans="1:1" x14ac:dyDescent="0.3">
      <c r="A9561" s="1"/>
    </row>
    <row r="9562" spans="1:1" x14ac:dyDescent="0.3">
      <c r="A9562" s="1"/>
    </row>
    <row r="9563" spans="1:1" x14ac:dyDescent="0.3">
      <c r="A9563" s="1"/>
    </row>
    <row r="9564" spans="1:1" x14ac:dyDescent="0.3">
      <c r="A9564" s="1"/>
    </row>
    <row r="9565" spans="1:1" x14ac:dyDescent="0.3">
      <c r="A9565" s="1"/>
    </row>
    <row r="9566" spans="1:1" x14ac:dyDescent="0.3">
      <c r="A9566" s="1"/>
    </row>
    <row r="9567" spans="1:1" x14ac:dyDescent="0.3">
      <c r="A9567" s="1"/>
    </row>
    <row r="9568" spans="1:1" x14ac:dyDescent="0.3">
      <c r="A9568" s="1"/>
    </row>
    <row r="9569" spans="1:1" x14ac:dyDescent="0.3">
      <c r="A9569" s="1"/>
    </row>
    <row r="9570" spans="1:1" x14ac:dyDescent="0.3">
      <c r="A9570" s="1"/>
    </row>
    <row r="9571" spans="1:1" x14ac:dyDescent="0.3">
      <c r="A9571" s="1"/>
    </row>
    <row r="9572" spans="1:1" x14ac:dyDescent="0.3">
      <c r="A9572" s="1"/>
    </row>
    <row r="9573" spans="1:1" x14ac:dyDescent="0.3">
      <c r="A9573" s="1"/>
    </row>
    <row r="9574" spans="1:1" x14ac:dyDescent="0.3">
      <c r="A9574" s="1"/>
    </row>
    <row r="9575" spans="1:1" x14ac:dyDescent="0.3">
      <c r="A9575" s="1"/>
    </row>
    <row r="9576" spans="1:1" x14ac:dyDescent="0.3">
      <c r="A9576" s="1"/>
    </row>
    <row r="9577" spans="1:1" x14ac:dyDescent="0.3">
      <c r="A9577" s="1"/>
    </row>
    <row r="9578" spans="1:1" x14ac:dyDescent="0.3">
      <c r="A9578" s="1"/>
    </row>
    <row r="9579" spans="1:1" x14ac:dyDescent="0.3">
      <c r="A9579" s="1"/>
    </row>
    <row r="9580" spans="1:1" x14ac:dyDescent="0.3">
      <c r="A9580" s="1"/>
    </row>
    <row r="9581" spans="1:1" x14ac:dyDescent="0.3">
      <c r="A9581" s="1"/>
    </row>
    <row r="9582" spans="1:1" x14ac:dyDescent="0.3">
      <c r="A9582" s="1"/>
    </row>
    <row r="9583" spans="1:1" x14ac:dyDescent="0.3">
      <c r="A9583" s="1"/>
    </row>
    <row r="9584" spans="1:1" x14ac:dyDescent="0.3">
      <c r="A9584" s="1"/>
    </row>
    <row r="9585" spans="1:1" x14ac:dyDescent="0.3">
      <c r="A9585" s="1"/>
    </row>
    <row r="9586" spans="1:1" x14ac:dyDescent="0.3">
      <c r="A9586" s="1"/>
    </row>
    <row r="9587" spans="1:1" x14ac:dyDescent="0.3">
      <c r="A9587" s="1"/>
    </row>
    <row r="9588" spans="1:1" x14ac:dyDescent="0.3">
      <c r="A9588" s="1"/>
    </row>
    <row r="9589" spans="1:1" x14ac:dyDescent="0.3">
      <c r="A9589" s="1"/>
    </row>
    <row r="9590" spans="1:1" x14ac:dyDescent="0.3">
      <c r="A9590" s="1"/>
    </row>
    <row r="9591" spans="1:1" x14ac:dyDescent="0.3">
      <c r="A9591" s="1"/>
    </row>
    <row r="9592" spans="1:1" x14ac:dyDescent="0.3">
      <c r="A9592" s="1"/>
    </row>
    <row r="9593" spans="1:1" x14ac:dyDescent="0.3">
      <c r="A9593" s="1"/>
    </row>
    <row r="9594" spans="1:1" x14ac:dyDescent="0.3">
      <c r="A9594" s="1"/>
    </row>
    <row r="9595" spans="1:1" x14ac:dyDescent="0.3">
      <c r="A9595" s="1"/>
    </row>
    <row r="9596" spans="1:1" x14ac:dyDescent="0.3">
      <c r="A9596" s="1"/>
    </row>
    <row r="9597" spans="1:1" x14ac:dyDescent="0.3">
      <c r="A9597" s="1"/>
    </row>
    <row r="9598" spans="1:1" x14ac:dyDescent="0.3">
      <c r="A9598" s="1"/>
    </row>
    <row r="9599" spans="1:1" x14ac:dyDescent="0.3">
      <c r="A9599" s="1"/>
    </row>
    <row r="9600" spans="1:1" x14ac:dyDescent="0.3">
      <c r="A9600" s="1"/>
    </row>
    <row r="9601" spans="1:1" x14ac:dyDescent="0.3">
      <c r="A9601" s="1"/>
    </row>
    <row r="9602" spans="1:1" x14ac:dyDescent="0.3">
      <c r="A9602" s="1"/>
    </row>
    <row r="9603" spans="1:1" x14ac:dyDescent="0.3">
      <c r="A9603" s="1"/>
    </row>
    <row r="9604" spans="1:1" x14ac:dyDescent="0.3">
      <c r="A9604" s="1"/>
    </row>
    <row r="9605" spans="1:1" x14ac:dyDescent="0.3">
      <c r="A9605" s="1"/>
    </row>
    <row r="9606" spans="1:1" x14ac:dyDescent="0.3">
      <c r="A9606" s="1"/>
    </row>
    <row r="9607" spans="1:1" x14ac:dyDescent="0.3">
      <c r="A9607" s="1"/>
    </row>
    <row r="9608" spans="1:1" x14ac:dyDescent="0.3">
      <c r="A9608" s="1"/>
    </row>
    <row r="9609" spans="1:1" x14ac:dyDescent="0.3">
      <c r="A9609" s="1"/>
    </row>
    <row r="9610" spans="1:1" x14ac:dyDescent="0.3">
      <c r="A9610" s="1"/>
    </row>
    <row r="9611" spans="1:1" x14ac:dyDescent="0.3">
      <c r="A9611" s="1"/>
    </row>
    <row r="9612" spans="1:1" x14ac:dyDescent="0.3">
      <c r="A9612" s="1"/>
    </row>
    <row r="9613" spans="1:1" x14ac:dyDescent="0.3">
      <c r="A9613" s="1"/>
    </row>
    <row r="9614" spans="1:1" x14ac:dyDescent="0.3">
      <c r="A9614" s="1"/>
    </row>
    <row r="9615" spans="1:1" x14ac:dyDescent="0.3">
      <c r="A9615" s="1"/>
    </row>
    <row r="9616" spans="1:1" x14ac:dyDescent="0.3">
      <c r="A9616" s="1"/>
    </row>
    <row r="9617" spans="1:1" x14ac:dyDescent="0.3">
      <c r="A9617" s="1"/>
    </row>
    <row r="9618" spans="1:1" x14ac:dyDescent="0.3">
      <c r="A9618" s="1"/>
    </row>
    <row r="9619" spans="1:1" x14ac:dyDescent="0.3">
      <c r="A9619" s="1"/>
    </row>
    <row r="9620" spans="1:1" x14ac:dyDescent="0.3">
      <c r="A9620" s="1"/>
    </row>
    <row r="9621" spans="1:1" x14ac:dyDescent="0.3">
      <c r="A9621" s="1"/>
    </row>
    <row r="9622" spans="1:1" x14ac:dyDescent="0.3">
      <c r="A9622" s="1"/>
    </row>
    <row r="9623" spans="1:1" x14ac:dyDescent="0.3">
      <c r="A9623" s="1"/>
    </row>
    <row r="9624" spans="1:1" x14ac:dyDescent="0.3">
      <c r="A9624" s="1"/>
    </row>
    <row r="9625" spans="1:1" x14ac:dyDescent="0.3">
      <c r="A9625" s="1"/>
    </row>
    <row r="9626" spans="1:1" x14ac:dyDescent="0.3">
      <c r="A9626" s="1"/>
    </row>
    <row r="9627" spans="1:1" x14ac:dyDescent="0.3">
      <c r="A9627" s="1"/>
    </row>
    <row r="9628" spans="1:1" x14ac:dyDescent="0.3">
      <c r="A9628" s="1"/>
    </row>
    <row r="9629" spans="1:1" x14ac:dyDescent="0.3">
      <c r="A9629" s="1"/>
    </row>
    <row r="9630" spans="1:1" x14ac:dyDescent="0.3">
      <c r="A9630" s="1"/>
    </row>
    <row r="9631" spans="1:1" x14ac:dyDescent="0.3">
      <c r="A9631" s="1"/>
    </row>
    <row r="9632" spans="1:1" x14ac:dyDescent="0.3">
      <c r="A9632" s="1"/>
    </row>
    <row r="9633" spans="1:1" x14ac:dyDescent="0.3">
      <c r="A9633" s="1"/>
    </row>
    <row r="9634" spans="1:1" x14ac:dyDescent="0.3">
      <c r="A9634" s="1"/>
    </row>
    <row r="9635" spans="1:1" x14ac:dyDescent="0.3">
      <c r="A9635" s="1"/>
    </row>
    <row r="9636" spans="1:1" x14ac:dyDescent="0.3">
      <c r="A9636" s="1"/>
    </row>
    <row r="9637" spans="1:1" x14ac:dyDescent="0.3">
      <c r="A9637" s="1"/>
    </row>
    <row r="9638" spans="1:1" x14ac:dyDescent="0.3">
      <c r="A9638" s="1"/>
    </row>
    <row r="9639" spans="1:1" x14ac:dyDescent="0.3">
      <c r="A9639" s="1"/>
    </row>
    <row r="9640" spans="1:1" x14ac:dyDescent="0.3">
      <c r="A9640" s="1"/>
    </row>
    <row r="9641" spans="1:1" x14ac:dyDescent="0.3">
      <c r="A9641" s="1"/>
    </row>
    <row r="9642" spans="1:1" x14ac:dyDescent="0.3">
      <c r="A9642" s="1"/>
    </row>
    <row r="9643" spans="1:1" x14ac:dyDescent="0.3">
      <c r="A9643" s="1"/>
    </row>
    <row r="9644" spans="1:1" x14ac:dyDescent="0.3">
      <c r="A9644" s="1"/>
    </row>
    <row r="9645" spans="1:1" x14ac:dyDescent="0.3">
      <c r="A9645" s="1"/>
    </row>
    <row r="9646" spans="1:1" x14ac:dyDescent="0.3">
      <c r="A9646" s="1"/>
    </row>
    <row r="9647" spans="1:1" x14ac:dyDescent="0.3">
      <c r="A9647" s="1"/>
    </row>
    <row r="9648" spans="1:1" x14ac:dyDescent="0.3">
      <c r="A9648" s="1"/>
    </row>
    <row r="9649" spans="1:1" x14ac:dyDescent="0.3">
      <c r="A9649" s="1"/>
    </row>
    <row r="9650" spans="1:1" x14ac:dyDescent="0.3">
      <c r="A9650" s="1"/>
    </row>
    <row r="9651" spans="1:1" x14ac:dyDescent="0.3">
      <c r="A9651" s="1"/>
    </row>
    <row r="9652" spans="1:1" x14ac:dyDescent="0.3">
      <c r="A9652" s="1"/>
    </row>
    <row r="9653" spans="1:1" x14ac:dyDescent="0.3">
      <c r="A9653" s="1"/>
    </row>
    <row r="9654" spans="1:1" x14ac:dyDescent="0.3">
      <c r="A9654" s="1"/>
    </row>
    <row r="9655" spans="1:1" x14ac:dyDescent="0.3">
      <c r="A9655" s="1"/>
    </row>
    <row r="9656" spans="1:1" x14ac:dyDescent="0.3">
      <c r="A9656" s="1"/>
    </row>
    <row r="9657" spans="1:1" x14ac:dyDescent="0.3">
      <c r="A9657" s="1"/>
    </row>
    <row r="9658" spans="1:1" x14ac:dyDescent="0.3">
      <c r="A9658" s="1"/>
    </row>
    <row r="9659" spans="1:1" x14ac:dyDescent="0.3">
      <c r="A9659" s="1"/>
    </row>
    <row r="9660" spans="1:1" x14ac:dyDescent="0.3">
      <c r="A9660" s="1"/>
    </row>
    <row r="9661" spans="1:1" x14ac:dyDescent="0.3">
      <c r="A9661" s="1"/>
    </row>
    <row r="9662" spans="1:1" x14ac:dyDescent="0.3">
      <c r="A9662" s="1"/>
    </row>
    <row r="9663" spans="1:1" x14ac:dyDescent="0.3">
      <c r="A9663" s="1"/>
    </row>
    <row r="9664" spans="1:1" x14ac:dyDescent="0.3">
      <c r="A9664" s="1"/>
    </row>
    <row r="9665" spans="1:1" x14ac:dyDescent="0.3">
      <c r="A9665" s="1"/>
    </row>
    <row r="9666" spans="1:1" x14ac:dyDescent="0.3">
      <c r="A9666" s="1"/>
    </row>
    <row r="9667" spans="1:1" x14ac:dyDescent="0.3">
      <c r="A9667" s="1"/>
    </row>
    <row r="9668" spans="1:1" x14ac:dyDescent="0.3">
      <c r="A9668" s="1"/>
    </row>
    <row r="9669" spans="1:1" x14ac:dyDescent="0.3">
      <c r="A9669" s="1"/>
    </row>
    <row r="9670" spans="1:1" x14ac:dyDescent="0.3">
      <c r="A9670" s="1"/>
    </row>
    <row r="9671" spans="1:1" x14ac:dyDescent="0.3">
      <c r="A9671" s="1"/>
    </row>
    <row r="9672" spans="1:1" x14ac:dyDescent="0.3">
      <c r="A9672" s="1"/>
    </row>
    <row r="9673" spans="1:1" x14ac:dyDescent="0.3">
      <c r="A9673" s="1"/>
    </row>
    <row r="9674" spans="1:1" x14ac:dyDescent="0.3">
      <c r="A9674" s="1"/>
    </row>
    <row r="9675" spans="1:1" x14ac:dyDescent="0.3">
      <c r="A9675" s="1"/>
    </row>
    <row r="9676" spans="1:1" x14ac:dyDescent="0.3">
      <c r="A9676" s="1"/>
    </row>
    <row r="9677" spans="1:1" x14ac:dyDescent="0.3">
      <c r="A9677" s="1"/>
    </row>
    <row r="9678" spans="1:1" x14ac:dyDescent="0.3">
      <c r="A9678" s="1"/>
    </row>
    <row r="9679" spans="1:1" x14ac:dyDescent="0.3">
      <c r="A9679" s="1"/>
    </row>
    <row r="9680" spans="1:1" x14ac:dyDescent="0.3">
      <c r="A9680" s="1"/>
    </row>
    <row r="9681" spans="1:1" x14ac:dyDescent="0.3">
      <c r="A9681" s="1"/>
    </row>
    <row r="9682" spans="1:1" x14ac:dyDescent="0.3">
      <c r="A9682" s="1"/>
    </row>
    <row r="9683" spans="1:1" x14ac:dyDescent="0.3">
      <c r="A9683" s="1"/>
    </row>
    <row r="9684" spans="1:1" x14ac:dyDescent="0.3">
      <c r="A9684" s="1"/>
    </row>
    <row r="9685" spans="1:1" x14ac:dyDescent="0.3">
      <c r="A9685" s="1"/>
    </row>
    <row r="9686" spans="1:1" x14ac:dyDescent="0.3">
      <c r="A9686" s="1"/>
    </row>
    <row r="9687" spans="1:1" x14ac:dyDescent="0.3">
      <c r="A9687" s="1"/>
    </row>
    <row r="9688" spans="1:1" x14ac:dyDescent="0.3">
      <c r="A9688" s="1"/>
    </row>
    <row r="9689" spans="1:1" x14ac:dyDescent="0.3">
      <c r="A9689" s="1"/>
    </row>
    <row r="9690" spans="1:1" x14ac:dyDescent="0.3">
      <c r="A9690" s="1"/>
    </row>
    <row r="9691" spans="1:1" x14ac:dyDescent="0.3">
      <c r="A9691" s="1"/>
    </row>
    <row r="9692" spans="1:1" x14ac:dyDescent="0.3">
      <c r="A9692" s="1"/>
    </row>
    <row r="9693" spans="1:1" x14ac:dyDescent="0.3">
      <c r="A9693" s="1"/>
    </row>
    <row r="9694" spans="1:1" x14ac:dyDescent="0.3">
      <c r="A9694" s="1"/>
    </row>
    <row r="9695" spans="1:1" x14ac:dyDescent="0.3">
      <c r="A9695" s="1"/>
    </row>
    <row r="9696" spans="1:1" x14ac:dyDescent="0.3">
      <c r="A9696" s="1"/>
    </row>
    <row r="9697" spans="1:1" x14ac:dyDescent="0.3">
      <c r="A9697" s="1"/>
    </row>
    <row r="9698" spans="1:1" x14ac:dyDescent="0.3">
      <c r="A9698" s="1"/>
    </row>
    <row r="9699" spans="1:1" x14ac:dyDescent="0.3">
      <c r="A9699" s="1"/>
    </row>
    <row r="9700" spans="1:1" x14ac:dyDescent="0.3">
      <c r="A9700" s="1"/>
    </row>
    <row r="9701" spans="1:1" x14ac:dyDescent="0.3">
      <c r="A9701" s="1"/>
    </row>
    <row r="9702" spans="1:1" x14ac:dyDescent="0.3">
      <c r="A9702" s="1"/>
    </row>
    <row r="9703" spans="1:1" x14ac:dyDescent="0.3">
      <c r="A9703" s="1"/>
    </row>
    <row r="9704" spans="1:1" x14ac:dyDescent="0.3">
      <c r="A9704" s="1"/>
    </row>
    <row r="9705" spans="1:1" x14ac:dyDescent="0.3">
      <c r="A9705" s="1"/>
    </row>
    <row r="9706" spans="1:1" x14ac:dyDescent="0.3">
      <c r="A9706" s="1"/>
    </row>
    <row r="9707" spans="1:1" x14ac:dyDescent="0.3">
      <c r="A9707" s="1"/>
    </row>
    <row r="9708" spans="1:1" x14ac:dyDescent="0.3">
      <c r="A9708" s="1"/>
    </row>
    <row r="9709" spans="1:1" x14ac:dyDescent="0.3">
      <c r="A9709" s="1"/>
    </row>
    <row r="9710" spans="1:1" x14ac:dyDescent="0.3">
      <c r="A9710" s="1"/>
    </row>
    <row r="9711" spans="1:1" x14ac:dyDescent="0.3">
      <c r="A9711" s="1"/>
    </row>
    <row r="9712" spans="1:1" x14ac:dyDescent="0.3">
      <c r="A9712" s="1"/>
    </row>
    <row r="9713" spans="1:1" x14ac:dyDescent="0.3">
      <c r="A9713" s="1"/>
    </row>
    <row r="9714" spans="1:1" x14ac:dyDescent="0.3">
      <c r="A9714" s="1"/>
    </row>
    <row r="9715" spans="1:1" x14ac:dyDescent="0.3">
      <c r="A9715" s="1"/>
    </row>
    <row r="9716" spans="1:1" x14ac:dyDescent="0.3">
      <c r="A9716" s="1"/>
    </row>
    <row r="9717" spans="1:1" x14ac:dyDescent="0.3">
      <c r="A9717" s="1"/>
    </row>
    <row r="9718" spans="1:1" x14ac:dyDescent="0.3">
      <c r="A9718" s="1"/>
    </row>
    <row r="9719" spans="1:1" x14ac:dyDescent="0.3">
      <c r="A9719" s="1"/>
    </row>
    <row r="9720" spans="1:1" x14ac:dyDescent="0.3">
      <c r="A9720" s="1"/>
    </row>
    <row r="9721" spans="1:1" x14ac:dyDescent="0.3">
      <c r="A9721" s="1"/>
    </row>
    <row r="9722" spans="1:1" x14ac:dyDescent="0.3">
      <c r="A9722" s="1"/>
    </row>
    <row r="9723" spans="1:1" x14ac:dyDescent="0.3">
      <c r="A9723" s="1"/>
    </row>
    <row r="9724" spans="1:1" x14ac:dyDescent="0.3">
      <c r="A9724" s="1"/>
    </row>
    <row r="9725" spans="1:1" x14ac:dyDescent="0.3">
      <c r="A9725" s="1"/>
    </row>
    <row r="9726" spans="1:1" x14ac:dyDescent="0.3">
      <c r="A9726" s="1"/>
    </row>
    <row r="9727" spans="1:1" x14ac:dyDescent="0.3">
      <c r="A9727" s="1"/>
    </row>
    <row r="9728" spans="1:1" x14ac:dyDescent="0.3">
      <c r="A9728" s="1"/>
    </row>
    <row r="9729" spans="1:1" x14ac:dyDescent="0.3">
      <c r="A9729" s="1"/>
    </row>
    <row r="9730" spans="1:1" x14ac:dyDescent="0.3">
      <c r="A9730" s="1"/>
    </row>
    <row r="9731" spans="1:1" x14ac:dyDescent="0.3">
      <c r="A9731" s="1"/>
    </row>
    <row r="9732" spans="1:1" x14ac:dyDescent="0.3">
      <c r="A9732" s="1"/>
    </row>
    <row r="9733" spans="1:1" x14ac:dyDescent="0.3">
      <c r="A9733" s="1"/>
    </row>
    <row r="9734" spans="1:1" x14ac:dyDescent="0.3">
      <c r="A9734" s="1"/>
    </row>
    <row r="9735" spans="1:1" x14ac:dyDescent="0.3">
      <c r="A9735" s="1"/>
    </row>
    <row r="9736" spans="1:1" x14ac:dyDescent="0.3">
      <c r="A9736" s="1"/>
    </row>
    <row r="9737" spans="1:1" x14ac:dyDescent="0.3">
      <c r="A9737" s="1"/>
    </row>
    <row r="9738" spans="1:1" x14ac:dyDescent="0.3">
      <c r="A9738" s="1"/>
    </row>
    <row r="9739" spans="1:1" x14ac:dyDescent="0.3">
      <c r="A9739" s="1"/>
    </row>
    <row r="9740" spans="1:1" x14ac:dyDescent="0.3">
      <c r="A9740" s="1"/>
    </row>
    <row r="9741" spans="1:1" x14ac:dyDescent="0.3">
      <c r="A9741" s="1"/>
    </row>
    <row r="9742" spans="1:1" x14ac:dyDescent="0.3">
      <c r="A9742" s="1"/>
    </row>
    <row r="9743" spans="1:1" x14ac:dyDescent="0.3">
      <c r="A9743" s="1"/>
    </row>
    <row r="9744" spans="1:1" x14ac:dyDescent="0.3">
      <c r="A9744" s="1"/>
    </row>
    <row r="9745" spans="1:1" x14ac:dyDescent="0.3">
      <c r="A9745" s="1"/>
    </row>
    <row r="9746" spans="1:1" x14ac:dyDescent="0.3">
      <c r="A9746" s="1"/>
    </row>
    <row r="9747" spans="1:1" x14ac:dyDescent="0.3">
      <c r="A9747" s="1"/>
    </row>
    <row r="9748" spans="1:1" x14ac:dyDescent="0.3">
      <c r="A9748" s="1"/>
    </row>
    <row r="9749" spans="1:1" x14ac:dyDescent="0.3">
      <c r="A9749" s="1"/>
    </row>
    <row r="9750" spans="1:1" x14ac:dyDescent="0.3">
      <c r="A9750" s="1"/>
    </row>
    <row r="9751" spans="1:1" x14ac:dyDescent="0.3">
      <c r="A9751" s="1"/>
    </row>
    <row r="9752" spans="1:1" x14ac:dyDescent="0.3">
      <c r="A9752" s="1"/>
    </row>
    <row r="9753" spans="1:1" x14ac:dyDescent="0.3">
      <c r="A9753" s="1"/>
    </row>
    <row r="9754" spans="1:1" x14ac:dyDescent="0.3">
      <c r="A9754" s="1"/>
    </row>
    <row r="9755" spans="1:1" x14ac:dyDescent="0.3">
      <c r="A9755" s="1"/>
    </row>
    <row r="9756" spans="1:1" x14ac:dyDescent="0.3">
      <c r="A9756" s="1"/>
    </row>
    <row r="9757" spans="1:1" x14ac:dyDescent="0.3">
      <c r="A9757" s="1"/>
    </row>
    <row r="9758" spans="1:1" x14ac:dyDescent="0.3">
      <c r="A9758" s="1"/>
    </row>
    <row r="9759" spans="1:1" x14ac:dyDescent="0.3">
      <c r="A9759" s="1"/>
    </row>
    <row r="9760" spans="1:1" x14ac:dyDescent="0.3">
      <c r="A9760" s="1"/>
    </row>
    <row r="9761" spans="1:1" x14ac:dyDescent="0.3">
      <c r="A9761" s="1"/>
    </row>
    <row r="9762" spans="1:1" x14ac:dyDescent="0.3">
      <c r="A9762" s="1"/>
    </row>
    <row r="9763" spans="1:1" x14ac:dyDescent="0.3">
      <c r="A9763" s="1"/>
    </row>
    <row r="9764" spans="1:1" x14ac:dyDescent="0.3">
      <c r="A9764" s="1"/>
    </row>
    <row r="9765" spans="1:1" x14ac:dyDescent="0.3">
      <c r="A9765" s="1"/>
    </row>
    <row r="9766" spans="1:1" x14ac:dyDescent="0.3">
      <c r="A9766" s="1"/>
    </row>
    <row r="9767" spans="1:1" x14ac:dyDescent="0.3">
      <c r="A9767" s="1"/>
    </row>
    <row r="9768" spans="1:1" x14ac:dyDescent="0.3">
      <c r="A9768" s="1"/>
    </row>
    <row r="9769" spans="1:1" x14ac:dyDescent="0.3">
      <c r="A9769" s="1"/>
    </row>
    <row r="9770" spans="1:1" x14ac:dyDescent="0.3">
      <c r="A9770" s="1"/>
    </row>
    <row r="9771" spans="1:1" x14ac:dyDescent="0.3">
      <c r="A9771" s="1"/>
    </row>
    <row r="9772" spans="1:1" x14ac:dyDescent="0.3">
      <c r="A9772" s="1"/>
    </row>
    <row r="9773" spans="1:1" x14ac:dyDescent="0.3">
      <c r="A9773" s="1"/>
    </row>
    <row r="9774" spans="1:1" x14ac:dyDescent="0.3">
      <c r="A9774" s="1"/>
    </row>
    <row r="9775" spans="1:1" x14ac:dyDescent="0.3">
      <c r="A9775" s="1"/>
    </row>
    <row r="9776" spans="1:1" x14ac:dyDescent="0.3">
      <c r="A9776" s="1"/>
    </row>
    <row r="9777" spans="1:1" x14ac:dyDescent="0.3">
      <c r="A9777" s="1"/>
    </row>
    <row r="9778" spans="1:1" x14ac:dyDescent="0.3">
      <c r="A9778" s="1"/>
    </row>
    <row r="9779" spans="1:1" x14ac:dyDescent="0.3">
      <c r="A9779" s="1"/>
    </row>
    <row r="9780" spans="1:1" x14ac:dyDescent="0.3">
      <c r="A9780" s="1"/>
    </row>
    <row r="9781" spans="1:1" x14ac:dyDescent="0.3">
      <c r="A9781" s="1"/>
    </row>
    <row r="9782" spans="1:1" x14ac:dyDescent="0.3">
      <c r="A9782" s="1"/>
    </row>
    <row r="9783" spans="1:1" x14ac:dyDescent="0.3">
      <c r="A9783" s="1"/>
    </row>
    <row r="9784" spans="1:1" x14ac:dyDescent="0.3">
      <c r="A9784" s="1"/>
    </row>
    <row r="9785" spans="1:1" x14ac:dyDescent="0.3">
      <c r="A9785" s="1"/>
    </row>
    <row r="9786" spans="1:1" x14ac:dyDescent="0.3">
      <c r="A9786" s="1"/>
    </row>
    <row r="9787" spans="1:1" x14ac:dyDescent="0.3">
      <c r="A9787" s="1"/>
    </row>
    <row r="9788" spans="1:1" x14ac:dyDescent="0.3">
      <c r="A9788" s="1"/>
    </row>
    <row r="9789" spans="1:1" x14ac:dyDescent="0.3">
      <c r="A9789" s="1"/>
    </row>
    <row r="9790" spans="1:1" x14ac:dyDescent="0.3">
      <c r="A9790" s="1"/>
    </row>
    <row r="9791" spans="1:1" x14ac:dyDescent="0.3">
      <c r="A9791" s="1"/>
    </row>
    <row r="9792" spans="1:1" x14ac:dyDescent="0.3">
      <c r="A9792" s="1"/>
    </row>
    <row r="9793" spans="1:1" x14ac:dyDescent="0.3">
      <c r="A9793" s="1"/>
    </row>
    <row r="9794" spans="1:1" x14ac:dyDescent="0.3">
      <c r="A9794" s="1"/>
    </row>
    <row r="9795" spans="1:1" x14ac:dyDescent="0.3">
      <c r="A9795" s="1"/>
    </row>
    <row r="9796" spans="1:1" x14ac:dyDescent="0.3">
      <c r="A9796" s="1"/>
    </row>
    <row r="9797" spans="1:1" x14ac:dyDescent="0.3">
      <c r="A9797" s="1"/>
    </row>
    <row r="9798" spans="1:1" x14ac:dyDescent="0.3">
      <c r="A9798" s="1"/>
    </row>
    <row r="9799" spans="1:1" x14ac:dyDescent="0.3">
      <c r="A9799" s="1"/>
    </row>
    <row r="9800" spans="1:1" x14ac:dyDescent="0.3">
      <c r="A9800" s="1"/>
    </row>
    <row r="9801" spans="1:1" x14ac:dyDescent="0.3">
      <c r="A9801" s="1"/>
    </row>
    <row r="9802" spans="1:1" x14ac:dyDescent="0.3">
      <c r="A9802" s="1"/>
    </row>
  </sheetData>
  <pageMargins left="0.7" right="0.7" top="0.75" bottom="0.75" header="0.3" footer="0.3"/>
  <pageSetup orientation="portrait" r:id="rId3"/>
  <tableParts count="2">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83"/>
  <sheetViews>
    <sheetView workbookViewId="0">
      <selection activeCell="B2" sqref="B2:B25"/>
    </sheetView>
  </sheetViews>
  <sheetFormatPr defaultRowHeight="14.4" x14ac:dyDescent="0.3"/>
  <cols>
    <col min="1" max="1" width="16.109375" style="9" customWidth="1"/>
    <col min="2" max="2" width="12.6640625" customWidth="1"/>
    <col min="3" max="3" width="16.109375" style="9" customWidth="1"/>
    <col min="4" max="4" width="21.5546875" customWidth="1"/>
    <col min="5" max="5" width="14.109375" style="9" customWidth="1"/>
    <col min="6" max="6" width="15.44140625" customWidth="1"/>
    <col min="7" max="7" width="14.109375" customWidth="1"/>
    <col min="8" max="8" width="25.109375" style="9" customWidth="1"/>
    <col min="9" max="9" width="15.5546875" hidden="1" customWidth="1"/>
    <col min="10" max="10" width="10.5546875" customWidth="1"/>
    <col min="12" max="12" width="17.44140625" style="9" customWidth="1"/>
    <col min="13" max="13" width="80.88671875" style="9" customWidth="1"/>
    <col min="14" max="14" width="14" hidden="1" customWidth="1"/>
    <col min="15" max="15" width="25.109375" bestFit="1" customWidth="1"/>
    <col min="16" max="16" width="24.6640625" bestFit="1" customWidth="1"/>
    <col min="17" max="17" width="25" bestFit="1" customWidth="1"/>
    <col min="18" max="18" width="37.88671875" bestFit="1" customWidth="1"/>
    <col min="19" max="19" width="38.5546875" bestFit="1" customWidth="1"/>
    <col min="20" max="20" width="39.109375" bestFit="1" customWidth="1"/>
    <col min="21" max="21" width="16" bestFit="1" customWidth="1"/>
    <col min="23" max="23" width="10" bestFit="1" customWidth="1"/>
    <col min="24" max="24" width="20.44140625" bestFit="1" customWidth="1"/>
    <col min="25" max="25" width="18.109375" bestFit="1" customWidth="1"/>
    <col min="26" max="26" width="81.109375" bestFit="1" customWidth="1"/>
    <col min="27" max="27" width="15.44140625" bestFit="1" customWidth="1"/>
    <col min="28" max="28" width="19.6640625" bestFit="1" customWidth="1"/>
    <col min="29" max="29" width="17.5546875" bestFit="1" customWidth="1"/>
    <col min="30" max="30" width="46.6640625" bestFit="1" customWidth="1"/>
    <col min="31" max="31" width="48.33203125" bestFit="1" customWidth="1"/>
    <col min="32" max="32" width="25" customWidth="1"/>
    <col min="34" max="34" width="25" bestFit="1" customWidth="1"/>
    <col min="35" max="35" width="14" bestFit="1" customWidth="1"/>
  </cols>
  <sheetData>
    <row r="1" spans="1:13" x14ac:dyDescent="0.3">
      <c r="A1" s="9" t="s">
        <v>152</v>
      </c>
      <c r="B1" t="s">
        <v>1</v>
      </c>
      <c r="C1" s="9" t="s">
        <v>142</v>
      </c>
      <c r="D1" t="s">
        <v>151</v>
      </c>
      <c r="E1" s="9" t="s">
        <v>3</v>
      </c>
      <c r="F1" t="s">
        <v>0</v>
      </c>
      <c r="G1" t="s">
        <v>150</v>
      </c>
      <c r="H1" t="s">
        <v>149</v>
      </c>
      <c r="I1" t="s">
        <v>148</v>
      </c>
      <c r="J1" t="s">
        <v>147</v>
      </c>
      <c r="L1"/>
      <c r="M1"/>
    </row>
    <row r="2" spans="1:13" x14ac:dyDescent="0.3">
      <c r="A2" s="9">
        <v>85</v>
      </c>
      <c r="B2">
        <v>6522</v>
      </c>
      <c r="C2" s="9">
        <v>14700</v>
      </c>
      <c r="D2" t="s">
        <v>144</v>
      </c>
      <c r="E2" s="9">
        <v>0</v>
      </c>
      <c r="F2" s="1">
        <v>43812.615856481483</v>
      </c>
      <c r="G2">
        <v>0</v>
      </c>
      <c r="H2" s="1"/>
      <c r="I2" s="1" t="s">
        <v>467</v>
      </c>
      <c r="J2" s="1" t="s">
        <v>145</v>
      </c>
      <c r="L2"/>
      <c r="M2">
        <f>3134/60/24</f>
        <v>2.1763888888888889</v>
      </c>
    </row>
    <row r="3" spans="1:13" x14ac:dyDescent="0.3">
      <c r="A3" s="9">
        <v>85</v>
      </c>
      <c r="B3">
        <v>12072</v>
      </c>
      <c r="C3" s="9">
        <v>14700</v>
      </c>
      <c r="D3" t="s">
        <v>144</v>
      </c>
      <c r="E3" s="9">
        <v>0</v>
      </c>
      <c r="F3" s="1">
        <v>43812.61582175926</v>
      </c>
      <c r="G3">
        <v>0</v>
      </c>
      <c r="H3" s="1"/>
      <c r="I3" s="1" t="s">
        <v>468</v>
      </c>
      <c r="J3" s="1" t="s">
        <v>145</v>
      </c>
      <c r="L3"/>
      <c r="M3"/>
    </row>
    <row r="4" spans="1:13" x14ac:dyDescent="0.3">
      <c r="A4" s="9">
        <v>85</v>
      </c>
      <c r="B4">
        <v>11060</v>
      </c>
      <c r="C4" s="9">
        <v>14700</v>
      </c>
      <c r="D4" t="s">
        <v>144</v>
      </c>
      <c r="E4" s="9">
        <v>0</v>
      </c>
      <c r="F4" s="1">
        <v>43812.615787037037</v>
      </c>
      <c r="G4">
        <v>0</v>
      </c>
      <c r="H4" s="1"/>
      <c r="I4" s="1" t="s">
        <v>469</v>
      </c>
      <c r="J4" s="1" t="s">
        <v>145</v>
      </c>
      <c r="L4"/>
      <c r="M4"/>
    </row>
    <row r="5" spans="1:13" x14ac:dyDescent="0.3">
      <c r="A5" s="9">
        <v>85</v>
      </c>
      <c r="B5">
        <v>18012</v>
      </c>
      <c r="C5" s="9">
        <v>14700</v>
      </c>
      <c r="D5" t="s">
        <v>144</v>
      </c>
      <c r="E5" s="9">
        <v>0</v>
      </c>
      <c r="F5" s="1">
        <v>43812.615763888891</v>
      </c>
      <c r="G5">
        <v>0</v>
      </c>
      <c r="H5" s="1"/>
      <c r="I5" s="1" t="s">
        <v>470</v>
      </c>
      <c r="J5" s="1" t="s">
        <v>145</v>
      </c>
      <c r="L5"/>
      <c r="M5"/>
    </row>
    <row r="6" spans="1:13" x14ac:dyDescent="0.3">
      <c r="A6" s="9">
        <v>85</v>
      </c>
      <c r="B6">
        <v>11892</v>
      </c>
      <c r="C6" s="9">
        <v>14700</v>
      </c>
      <c r="D6" t="s">
        <v>144</v>
      </c>
      <c r="E6" s="9">
        <v>0</v>
      </c>
      <c r="F6" s="1">
        <v>43812.615729166668</v>
      </c>
      <c r="G6">
        <v>0</v>
      </c>
      <c r="H6" s="1"/>
      <c r="I6" s="1" t="s">
        <v>471</v>
      </c>
      <c r="J6" s="1" t="s">
        <v>145</v>
      </c>
      <c r="L6"/>
      <c r="M6"/>
    </row>
    <row r="7" spans="1:13" x14ac:dyDescent="0.3">
      <c r="A7" s="9">
        <v>85</v>
      </c>
      <c r="B7">
        <v>16924</v>
      </c>
      <c r="C7" s="9">
        <v>14700</v>
      </c>
      <c r="D7" t="s">
        <v>144</v>
      </c>
      <c r="E7" s="9">
        <v>0</v>
      </c>
      <c r="F7" s="1">
        <v>43812.615694444445</v>
      </c>
      <c r="G7">
        <v>0</v>
      </c>
      <c r="H7" s="1"/>
      <c r="I7" s="1" t="s">
        <v>472</v>
      </c>
      <c r="J7" s="1" t="s">
        <v>145</v>
      </c>
      <c r="L7"/>
      <c r="M7"/>
    </row>
    <row r="8" spans="1:13" x14ac:dyDescent="0.3">
      <c r="A8" s="9">
        <v>85</v>
      </c>
      <c r="B8">
        <v>1060</v>
      </c>
      <c r="C8" s="9">
        <v>14700</v>
      </c>
      <c r="D8" t="s">
        <v>144</v>
      </c>
      <c r="E8" s="9">
        <v>0</v>
      </c>
      <c r="F8" s="1">
        <v>43812.615671296298</v>
      </c>
      <c r="G8">
        <v>0</v>
      </c>
      <c r="H8" s="1"/>
      <c r="I8" s="1" t="s">
        <v>473</v>
      </c>
      <c r="J8" s="1" t="s">
        <v>145</v>
      </c>
      <c r="L8"/>
      <c r="M8"/>
    </row>
    <row r="9" spans="1:13" x14ac:dyDescent="0.3">
      <c r="A9" s="9">
        <v>85</v>
      </c>
      <c r="B9">
        <v>17620</v>
      </c>
      <c r="C9" s="9">
        <v>14700</v>
      </c>
      <c r="D9" t="s">
        <v>144</v>
      </c>
      <c r="E9" s="9">
        <v>0</v>
      </c>
      <c r="F9" s="1">
        <v>43812.615636574075</v>
      </c>
      <c r="G9">
        <v>0</v>
      </c>
      <c r="H9" s="1"/>
      <c r="I9" s="1" t="s">
        <v>474</v>
      </c>
      <c r="J9" s="1" t="s">
        <v>145</v>
      </c>
      <c r="L9"/>
      <c r="M9"/>
    </row>
    <row r="10" spans="1:13" x14ac:dyDescent="0.3">
      <c r="A10" s="9">
        <v>85</v>
      </c>
      <c r="B10">
        <v>12095</v>
      </c>
      <c r="C10" s="9">
        <v>14700</v>
      </c>
      <c r="D10" t="s">
        <v>144</v>
      </c>
      <c r="E10" s="9">
        <v>0</v>
      </c>
      <c r="F10" s="1">
        <v>43812.615601851852</v>
      </c>
      <c r="G10">
        <v>0</v>
      </c>
      <c r="H10" s="1"/>
      <c r="I10" s="1" t="s">
        <v>475</v>
      </c>
      <c r="J10" s="1" t="s">
        <v>145</v>
      </c>
      <c r="L10"/>
      <c r="M10"/>
    </row>
    <row r="11" spans="1:13" x14ac:dyDescent="0.3">
      <c r="A11" s="9">
        <v>85</v>
      </c>
      <c r="B11">
        <v>10979</v>
      </c>
      <c r="C11" s="9">
        <v>14700</v>
      </c>
      <c r="D11" t="s">
        <v>144</v>
      </c>
      <c r="E11" s="9">
        <v>0</v>
      </c>
      <c r="F11" s="1">
        <v>43812.615578703706</v>
      </c>
      <c r="G11">
        <v>0</v>
      </c>
      <c r="H11" s="1"/>
      <c r="I11" s="1" t="s">
        <v>476</v>
      </c>
      <c r="J11" s="1" t="s">
        <v>145</v>
      </c>
      <c r="L11"/>
      <c r="M11"/>
    </row>
    <row r="12" spans="1:13" x14ac:dyDescent="0.3">
      <c r="A12" s="9">
        <v>85</v>
      </c>
      <c r="B12">
        <v>1579</v>
      </c>
      <c r="C12" s="9">
        <v>14700</v>
      </c>
      <c r="D12" t="s">
        <v>144</v>
      </c>
      <c r="E12" s="9">
        <v>0</v>
      </c>
      <c r="F12" s="1">
        <v>43812.615543981483</v>
      </c>
      <c r="G12">
        <v>0</v>
      </c>
      <c r="H12" s="1"/>
      <c r="I12" s="1" t="s">
        <v>477</v>
      </c>
      <c r="J12" s="1" t="s">
        <v>145</v>
      </c>
      <c r="L12"/>
      <c r="M12"/>
    </row>
    <row r="13" spans="1:13" x14ac:dyDescent="0.3">
      <c r="A13" s="9">
        <v>85</v>
      </c>
      <c r="B13">
        <v>19719</v>
      </c>
      <c r="C13" s="9">
        <v>14700</v>
      </c>
      <c r="D13" t="s">
        <v>144</v>
      </c>
      <c r="E13" s="9">
        <v>0</v>
      </c>
      <c r="F13" s="1">
        <v>43812.615520833337</v>
      </c>
      <c r="G13">
        <v>0</v>
      </c>
      <c r="H13" s="1"/>
      <c r="I13" s="1" t="s">
        <v>478</v>
      </c>
      <c r="J13" s="1" t="s">
        <v>145</v>
      </c>
      <c r="L13"/>
      <c r="M13"/>
    </row>
    <row r="14" spans="1:13" x14ac:dyDescent="0.3">
      <c r="A14" s="9">
        <v>85</v>
      </c>
      <c r="B14">
        <v>15252</v>
      </c>
      <c r="C14" s="9">
        <v>14700</v>
      </c>
      <c r="D14" t="s">
        <v>144</v>
      </c>
      <c r="E14" s="9">
        <v>0</v>
      </c>
      <c r="F14" s="1">
        <v>43812.615486111114</v>
      </c>
      <c r="G14">
        <v>0</v>
      </c>
      <c r="H14" s="1"/>
      <c r="I14" s="1" t="s">
        <v>479</v>
      </c>
      <c r="J14" s="1" t="s">
        <v>145</v>
      </c>
      <c r="L14"/>
      <c r="M14"/>
    </row>
    <row r="15" spans="1:13" x14ac:dyDescent="0.3">
      <c r="A15" s="9">
        <v>85</v>
      </c>
      <c r="B15">
        <v>12468</v>
      </c>
      <c r="C15" s="9">
        <v>14700</v>
      </c>
      <c r="D15" t="s">
        <v>144</v>
      </c>
      <c r="E15" s="9">
        <v>0</v>
      </c>
      <c r="F15" s="1">
        <v>43812.615451388891</v>
      </c>
      <c r="G15">
        <v>0</v>
      </c>
      <c r="H15" s="1"/>
      <c r="I15" s="1" t="s">
        <v>480</v>
      </c>
      <c r="J15" s="1" t="s">
        <v>145</v>
      </c>
      <c r="L15"/>
      <c r="M15"/>
    </row>
    <row r="16" spans="1:13" x14ac:dyDescent="0.3">
      <c r="A16" s="9">
        <v>85</v>
      </c>
      <c r="B16">
        <v>9860</v>
      </c>
      <c r="C16" s="9">
        <v>14700</v>
      </c>
      <c r="D16" t="s">
        <v>144</v>
      </c>
      <c r="E16" s="9">
        <v>0</v>
      </c>
      <c r="F16" s="1">
        <v>43812.615416666667</v>
      </c>
      <c r="G16">
        <v>0</v>
      </c>
      <c r="H16" s="1"/>
      <c r="I16" s="1" t="s">
        <v>481</v>
      </c>
      <c r="J16" s="1" t="s">
        <v>325</v>
      </c>
      <c r="L16"/>
      <c r="M16"/>
    </row>
    <row r="17" spans="1:13" x14ac:dyDescent="0.3">
      <c r="A17" s="9">
        <v>85</v>
      </c>
      <c r="B17">
        <v>16176</v>
      </c>
      <c r="C17" s="9">
        <v>14700</v>
      </c>
      <c r="D17" t="s">
        <v>144</v>
      </c>
      <c r="E17" s="9">
        <v>0</v>
      </c>
      <c r="F17" s="1">
        <v>43812.615381944444</v>
      </c>
      <c r="G17">
        <v>0</v>
      </c>
      <c r="H17" s="1"/>
      <c r="I17" s="1" t="s">
        <v>482</v>
      </c>
      <c r="J17" s="1" t="s">
        <v>145</v>
      </c>
      <c r="L17"/>
      <c r="M17"/>
    </row>
    <row r="18" spans="1:13" x14ac:dyDescent="0.3">
      <c r="A18" s="9">
        <v>85</v>
      </c>
      <c r="B18">
        <v>7636</v>
      </c>
      <c r="C18" s="9">
        <v>14700</v>
      </c>
      <c r="D18" t="s">
        <v>144</v>
      </c>
      <c r="E18" s="9">
        <v>0</v>
      </c>
      <c r="F18" s="1">
        <v>43812.615347222221</v>
      </c>
      <c r="G18">
        <v>0</v>
      </c>
      <c r="H18" s="1"/>
      <c r="I18" s="1" t="s">
        <v>483</v>
      </c>
      <c r="J18" s="1" t="s">
        <v>145</v>
      </c>
      <c r="L18"/>
      <c r="M18"/>
    </row>
    <row r="19" spans="1:13" x14ac:dyDescent="0.3">
      <c r="A19" s="9">
        <v>85</v>
      </c>
      <c r="B19">
        <v>12980</v>
      </c>
      <c r="C19" s="9">
        <v>14700</v>
      </c>
      <c r="D19" t="s">
        <v>144</v>
      </c>
      <c r="E19" s="9">
        <v>0</v>
      </c>
      <c r="F19" s="1">
        <v>43812.615324074075</v>
      </c>
      <c r="G19">
        <v>0</v>
      </c>
      <c r="H19" s="1"/>
      <c r="I19" s="1" t="s">
        <v>484</v>
      </c>
      <c r="J19" s="1" t="s">
        <v>145</v>
      </c>
      <c r="L19"/>
      <c r="M19"/>
    </row>
    <row r="20" spans="1:13" x14ac:dyDescent="0.3">
      <c r="A20" s="9">
        <v>85</v>
      </c>
      <c r="B20">
        <v>20419</v>
      </c>
      <c r="C20" s="9">
        <v>14700</v>
      </c>
      <c r="D20" t="s">
        <v>144</v>
      </c>
      <c r="E20" s="9">
        <v>0</v>
      </c>
      <c r="F20" s="1">
        <v>43812.615289351852</v>
      </c>
      <c r="G20">
        <v>0</v>
      </c>
      <c r="H20" s="1"/>
      <c r="I20" s="1" t="s">
        <v>485</v>
      </c>
      <c r="J20" s="1" t="s">
        <v>145</v>
      </c>
      <c r="L20"/>
      <c r="M20"/>
    </row>
    <row r="21" spans="1:13" x14ac:dyDescent="0.3">
      <c r="A21" s="9">
        <v>85</v>
      </c>
      <c r="B21">
        <v>16772</v>
      </c>
      <c r="C21" s="9">
        <v>14700</v>
      </c>
      <c r="D21" t="s">
        <v>144</v>
      </c>
      <c r="E21" s="9">
        <v>0</v>
      </c>
      <c r="F21" s="1">
        <v>43812.615254629629</v>
      </c>
      <c r="G21">
        <v>0</v>
      </c>
      <c r="H21" s="1"/>
      <c r="I21" s="1" t="s">
        <v>486</v>
      </c>
      <c r="J21" s="1" t="s">
        <v>145</v>
      </c>
      <c r="L21"/>
      <c r="M21"/>
    </row>
    <row r="22" spans="1:13" x14ac:dyDescent="0.3">
      <c r="A22" s="9">
        <v>85</v>
      </c>
      <c r="B22">
        <v>16199</v>
      </c>
      <c r="C22" s="9">
        <v>14700</v>
      </c>
      <c r="D22" t="s">
        <v>144</v>
      </c>
      <c r="E22" s="9">
        <v>0</v>
      </c>
      <c r="F22" s="1">
        <v>43812.615231481483</v>
      </c>
      <c r="G22">
        <v>0</v>
      </c>
      <c r="H22" s="1"/>
      <c r="I22" s="1" t="s">
        <v>487</v>
      </c>
      <c r="J22" s="1" t="s">
        <v>145</v>
      </c>
      <c r="L22"/>
      <c r="M22"/>
    </row>
    <row r="23" spans="1:13" x14ac:dyDescent="0.3">
      <c r="A23" s="9">
        <v>85</v>
      </c>
      <c r="B23">
        <v>4500</v>
      </c>
      <c r="C23" s="9">
        <v>14700</v>
      </c>
      <c r="D23" t="s">
        <v>144</v>
      </c>
      <c r="E23" s="9">
        <v>0</v>
      </c>
      <c r="F23" s="1">
        <v>43812.61519675926</v>
      </c>
      <c r="G23">
        <v>0</v>
      </c>
      <c r="H23" s="1"/>
      <c r="I23" s="1" t="s">
        <v>488</v>
      </c>
      <c r="J23" s="1" t="s">
        <v>145</v>
      </c>
      <c r="L23"/>
      <c r="M23"/>
    </row>
    <row r="24" spans="1:13" x14ac:dyDescent="0.3">
      <c r="A24" s="9">
        <v>85</v>
      </c>
      <c r="B24">
        <v>12008</v>
      </c>
      <c r="C24" s="9">
        <v>14700</v>
      </c>
      <c r="D24" t="s">
        <v>144</v>
      </c>
      <c r="E24" s="9">
        <v>0</v>
      </c>
      <c r="F24" s="1">
        <v>43812.61515046296</v>
      </c>
      <c r="G24">
        <v>0</v>
      </c>
      <c r="H24" s="1"/>
      <c r="I24" s="1" t="s">
        <v>489</v>
      </c>
      <c r="J24" s="1" t="s">
        <v>325</v>
      </c>
      <c r="L24"/>
      <c r="M24"/>
    </row>
    <row r="25" spans="1:13" x14ac:dyDescent="0.3">
      <c r="A25" s="9">
        <v>85</v>
      </c>
      <c r="B25">
        <v>1895</v>
      </c>
      <c r="C25" s="9">
        <v>14700</v>
      </c>
      <c r="D25" t="s">
        <v>144</v>
      </c>
      <c r="E25" s="9">
        <v>0</v>
      </c>
      <c r="F25" s="1">
        <v>43812.615104166667</v>
      </c>
      <c r="G25">
        <v>0</v>
      </c>
      <c r="H25" s="1"/>
      <c r="I25" s="1" t="s">
        <v>490</v>
      </c>
      <c r="J25" s="1" t="s">
        <v>145</v>
      </c>
      <c r="L25"/>
      <c r="M25"/>
    </row>
    <row r="26" spans="1:13" x14ac:dyDescent="0.3">
      <c r="A26" s="9">
        <v>84</v>
      </c>
      <c r="B26">
        <v>15912</v>
      </c>
      <c r="C26" s="9">
        <v>14700</v>
      </c>
      <c r="D26" t="s">
        <v>144</v>
      </c>
      <c r="E26" s="9">
        <v>0</v>
      </c>
      <c r="F26" s="1">
        <v>43812.603587962964</v>
      </c>
      <c r="G26">
        <v>0</v>
      </c>
      <c r="H26" s="1"/>
      <c r="I26" s="1" t="s">
        <v>467</v>
      </c>
      <c r="J26" s="1" t="s">
        <v>145</v>
      </c>
      <c r="L26"/>
      <c r="M26"/>
    </row>
    <row r="27" spans="1:13" x14ac:dyDescent="0.3">
      <c r="A27" s="9">
        <v>84</v>
      </c>
      <c r="B27">
        <v>10483</v>
      </c>
      <c r="C27" s="9">
        <v>14700</v>
      </c>
      <c r="D27" t="s">
        <v>144</v>
      </c>
      <c r="E27" s="9">
        <v>0</v>
      </c>
      <c r="F27" s="1">
        <v>43812.60355324074</v>
      </c>
      <c r="G27">
        <v>0</v>
      </c>
      <c r="H27" s="1"/>
      <c r="I27" s="1" t="s">
        <v>468</v>
      </c>
      <c r="J27" s="1" t="s">
        <v>145</v>
      </c>
      <c r="L27"/>
      <c r="M27"/>
    </row>
    <row r="28" spans="1:13" x14ac:dyDescent="0.3">
      <c r="A28" s="9">
        <v>84</v>
      </c>
      <c r="B28">
        <v>8560</v>
      </c>
      <c r="C28" s="9">
        <v>14700</v>
      </c>
      <c r="D28" t="s">
        <v>144</v>
      </c>
      <c r="E28" s="9">
        <v>0</v>
      </c>
      <c r="F28" s="1">
        <v>43812.603518518517</v>
      </c>
      <c r="G28">
        <v>0</v>
      </c>
      <c r="H28" s="1"/>
      <c r="I28" s="1" t="s">
        <v>469</v>
      </c>
      <c r="J28" s="1" t="s">
        <v>145</v>
      </c>
      <c r="L28"/>
      <c r="M28"/>
    </row>
    <row r="29" spans="1:13" x14ac:dyDescent="0.3">
      <c r="A29" s="9">
        <v>84</v>
      </c>
      <c r="B29">
        <v>9824</v>
      </c>
      <c r="C29" s="9">
        <v>14700</v>
      </c>
      <c r="D29" t="s">
        <v>144</v>
      </c>
      <c r="E29" s="9">
        <v>0</v>
      </c>
      <c r="F29" s="1">
        <v>43812.603495370371</v>
      </c>
      <c r="G29">
        <v>0</v>
      </c>
      <c r="H29" s="1"/>
      <c r="I29" s="1" t="s">
        <v>470</v>
      </c>
      <c r="J29" s="1" t="s">
        <v>145</v>
      </c>
      <c r="L29"/>
      <c r="M29"/>
    </row>
    <row r="30" spans="1:13" x14ac:dyDescent="0.3">
      <c r="A30" s="9">
        <v>84</v>
      </c>
      <c r="B30">
        <v>16712</v>
      </c>
      <c r="C30" s="9">
        <v>14700</v>
      </c>
      <c r="D30" t="s">
        <v>144</v>
      </c>
      <c r="E30" s="9">
        <v>0</v>
      </c>
      <c r="F30" s="1">
        <v>43812.603460648148</v>
      </c>
      <c r="G30">
        <v>0</v>
      </c>
      <c r="H30" s="1"/>
      <c r="I30" s="1" t="s">
        <v>471</v>
      </c>
      <c r="J30" s="1" t="s">
        <v>145</v>
      </c>
      <c r="L30"/>
      <c r="M30"/>
    </row>
    <row r="31" spans="1:13" x14ac:dyDescent="0.3">
      <c r="A31" s="9">
        <v>84</v>
      </c>
      <c r="B31">
        <v>6828</v>
      </c>
      <c r="C31" s="9">
        <v>14700</v>
      </c>
      <c r="D31" t="s">
        <v>144</v>
      </c>
      <c r="E31" s="9">
        <v>0</v>
      </c>
      <c r="F31" s="1">
        <v>43812.603425925925</v>
      </c>
      <c r="G31">
        <v>0</v>
      </c>
      <c r="H31" s="1"/>
      <c r="I31" s="1" t="s">
        <v>472</v>
      </c>
      <c r="J31" s="1" t="s">
        <v>325</v>
      </c>
      <c r="L31"/>
      <c r="M31"/>
    </row>
    <row r="32" spans="1:13" x14ac:dyDescent="0.3">
      <c r="A32" s="9">
        <v>84</v>
      </c>
      <c r="B32">
        <v>11680</v>
      </c>
      <c r="C32" s="9">
        <v>14700</v>
      </c>
      <c r="D32" t="s">
        <v>144</v>
      </c>
      <c r="E32" s="9">
        <v>0</v>
      </c>
      <c r="F32" s="1">
        <v>43812.603391203702</v>
      </c>
      <c r="G32">
        <v>0</v>
      </c>
      <c r="H32" s="1"/>
      <c r="I32" s="1" t="s">
        <v>473</v>
      </c>
      <c r="J32" s="1" t="s">
        <v>145</v>
      </c>
      <c r="L32"/>
      <c r="M32"/>
    </row>
    <row r="33" spans="1:13" x14ac:dyDescent="0.3">
      <c r="A33" s="9">
        <v>84</v>
      </c>
      <c r="B33">
        <v>18860</v>
      </c>
      <c r="C33" s="9">
        <v>14700</v>
      </c>
      <c r="D33" t="s">
        <v>144</v>
      </c>
      <c r="E33" s="9">
        <v>0</v>
      </c>
      <c r="F33" s="1">
        <v>43812.603356481479</v>
      </c>
      <c r="G33">
        <v>0</v>
      </c>
      <c r="H33" s="1"/>
      <c r="I33" s="1" t="s">
        <v>474</v>
      </c>
      <c r="J33" s="1" t="s">
        <v>145</v>
      </c>
      <c r="L33"/>
      <c r="M33"/>
    </row>
    <row r="34" spans="1:13" x14ac:dyDescent="0.3">
      <c r="A34" s="9">
        <v>84</v>
      </c>
      <c r="B34">
        <v>147</v>
      </c>
      <c r="C34" s="9">
        <v>14700</v>
      </c>
      <c r="D34" t="s">
        <v>144</v>
      </c>
      <c r="E34" s="9">
        <v>0</v>
      </c>
      <c r="F34" s="1">
        <v>43812.603321759256</v>
      </c>
      <c r="G34">
        <v>0</v>
      </c>
      <c r="H34" s="1"/>
      <c r="I34" s="1" t="s">
        <v>475</v>
      </c>
      <c r="J34" s="1" t="s">
        <v>145</v>
      </c>
      <c r="L34"/>
      <c r="M34"/>
    </row>
    <row r="35" spans="1:13" x14ac:dyDescent="0.3">
      <c r="A35" s="9">
        <v>84</v>
      </c>
      <c r="B35">
        <v>9587</v>
      </c>
      <c r="C35" s="9">
        <v>14700</v>
      </c>
      <c r="D35" t="s">
        <v>144</v>
      </c>
      <c r="E35" s="9">
        <v>0</v>
      </c>
      <c r="F35" s="1">
        <v>43812.603298611109</v>
      </c>
      <c r="G35">
        <v>0</v>
      </c>
      <c r="H35" s="1"/>
      <c r="I35" s="1" t="s">
        <v>476</v>
      </c>
      <c r="J35" s="1" t="s">
        <v>145</v>
      </c>
      <c r="L35"/>
      <c r="M35"/>
    </row>
    <row r="36" spans="1:13" x14ac:dyDescent="0.3">
      <c r="A36" s="9">
        <v>84</v>
      </c>
      <c r="B36">
        <v>7719</v>
      </c>
      <c r="C36" s="9">
        <v>14700</v>
      </c>
      <c r="D36" t="s">
        <v>144</v>
      </c>
      <c r="E36" s="9">
        <v>0</v>
      </c>
      <c r="F36" s="1">
        <v>43812.603263888886</v>
      </c>
      <c r="G36">
        <v>0</v>
      </c>
      <c r="H36" s="1"/>
      <c r="I36" s="1" t="s">
        <v>477</v>
      </c>
      <c r="J36" s="1" t="s">
        <v>145</v>
      </c>
      <c r="L36"/>
      <c r="M36"/>
    </row>
    <row r="37" spans="1:13" x14ac:dyDescent="0.3">
      <c r="A37" s="9">
        <v>84</v>
      </c>
      <c r="B37">
        <v>1479</v>
      </c>
      <c r="C37" s="9">
        <v>14700</v>
      </c>
      <c r="D37" t="s">
        <v>144</v>
      </c>
      <c r="E37" s="9">
        <v>0</v>
      </c>
      <c r="F37" s="1">
        <v>43812.603229166663</v>
      </c>
      <c r="G37">
        <v>0</v>
      </c>
      <c r="H37" s="1"/>
      <c r="I37" s="1" t="s">
        <v>478</v>
      </c>
      <c r="J37" s="1" t="s">
        <v>145</v>
      </c>
      <c r="L37"/>
      <c r="M37"/>
    </row>
    <row r="38" spans="1:13" x14ac:dyDescent="0.3">
      <c r="A38" s="9">
        <v>84</v>
      </c>
      <c r="B38">
        <v>14136</v>
      </c>
      <c r="C38" s="9">
        <v>14700</v>
      </c>
      <c r="D38" t="s">
        <v>144</v>
      </c>
      <c r="E38" s="9">
        <v>0</v>
      </c>
      <c r="F38" s="1">
        <v>43812.603206018517</v>
      </c>
      <c r="G38">
        <v>0</v>
      </c>
      <c r="H38" s="1"/>
      <c r="I38" s="1" t="s">
        <v>479</v>
      </c>
      <c r="J38" s="1" t="s">
        <v>145</v>
      </c>
      <c r="L38"/>
      <c r="M38"/>
    </row>
    <row r="39" spans="1:13" x14ac:dyDescent="0.3">
      <c r="A39" s="9">
        <v>84</v>
      </c>
      <c r="B39">
        <v>11816</v>
      </c>
      <c r="C39" s="9">
        <v>14700</v>
      </c>
      <c r="D39" t="s">
        <v>144</v>
      </c>
      <c r="E39" s="9">
        <v>0</v>
      </c>
      <c r="F39" s="1">
        <v>43812.603171296294</v>
      </c>
      <c r="G39">
        <v>0</v>
      </c>
      <c r="H39" s="1"/>
      <c r="I39" s="1" t="s">
        <v>480</v>
      </c>
      <c r="J39" s="1" t="s">
        <v>145</v>
      </c>
      <c r="L39"/>
      <c r="M39"/>
    </row>
    <row r="40" spans="1:13" x14ac:dyDescent="0.3">
      <c r="A40" s="9">
        <v>84</v>
      </c>
      <c r="B40">
        <v>15668</v>
      </c>
      <c r="C40" s="9">
        <v>14700</v>
      </c>
      <c r="D40" t="s">
        <v>144</v>
      </c>
      <c r="E40" s="9">
        <v>0</v>
      </c>
      <c r="F40" s="1">
        <v>43812.603148148148</v>
      </c>
      <c r="G40">
        <v>0</v>
      </c>
      <c r="H40" s="1"/>
      <c r="I40" s="1" t="s">
        <v>481</v>
      </c>
      <c r="J40" s="1" t="s">
        <v>145</v>
      </c>
      <c r="L40"/>
      <c r="M40"/>
    </row>
    <row r="41" spans="1:13" x14ac:dyDescent="0.3">
      <c r="A41" s="9">
        <v>84</v>
      </c>
      <c r="B41">
        <v>13096</v>
      </c>
      <c r="C41" s="9">
        <v>14700</v>
      </c>
      <c r="D41" t="s">
        <v>144</v>
      </c>
      <c r="E41" s="9">
        <v>0</v>
      </c>
      <c r="F41" s="1">
        <v>43812.603113425925</v>
      </c>
      <c r="G41">
        <v>0</v>
      </c>
      <c r="H41" s="1"/>
      <c r="I41" s="1" t="s">
        <v>482</v>
      </c>
      <c r="J41" s="1" t="s">
        <v>145</v>
      </c>
      <c r="L41"/>
      <c r="M41"/>
    </row>
    <row r="42" spans="1:13" x14ac:dyDescent="0.3">
      <c r="A42" s="9">
        <v>84</v>
      </c>
      <c r="B42">
        <v>17640</v>
      </c>
      <c r="C42" s="9">
        <v>14700</v>
      </c>
      <c r="D42" t="s">
        <v>144</v>
      </c>
      <c r="E42" s="9">
        <v>0</v>
      </c>
      <c r="F42" s="1">
        <v>43812.603078703702</v>
      </c>
      <c r="G42">
        <v>0</v>
      </c>
      <c r="H42" s="1"/>
      <c r="I42" s="1" t="s">
        <v>483</v>
      </c>
      <c r="J42" s="1" t="s">
        <v>145</v>
      </c>
      <c r="L42"/>
      <c r="M42"/>
    </row>
    <row r="43" spans="1:13" x14ac:dyDescent="0.3">
      <c r="A43" s="9">
        <v>84</v>
      </c>
      <c r="B43">
        <v>18764</v>
      </c>
      <c r="C43" s="9">
        <v>14700</v>
      </c>
      <c r="D43" t="s">
        <v>144</v>
      </c>
      <c r="E43" s="9">
        <v>0</v>
      </c>
      <c r="F43" s="1">
        <v>43812.603055555555</v>
      </c>
      <c r="G43">
        <v>0</v>
      </c>
      <c r="H43" s="1"/>
      <c r="I43" s="1" t="s">
        <v>484</v>
      </c>
      <c r="J43" s="1" t="s">
        <v>145</v>
      </c>
      <c r="L43"/>
      <c r="M43"/>
    </row>
    <row r="44" spans="1:13" x14ac:dyDescent="0.3">
      <c r="A44" s="9">
        <v>84</v>
      </c>
      <c r="B44">
        <v>15296</v>
      </c>
      <c r="C44" s="9">
        <v>14700</v>
      </c>
      <c r="D44" t="s">
        <v>144</v>
      </c>
      <c r="E44" s="9">
        <v>0</v>
      </c>
      <c r="F44" s="1">
        <v>43812.603020833332</v>
      </c>
      <c r="G44">
        <v>0</v>
      </c>
      <c r="H44" s="1"/>
      <c r="I44" s="1" t="s">
        <v>485</v>
      </c>
      <c r="J44" s="1" t="s">
        <v>145</v>
      </c>
      <c r="L44"/>
      <c r="M44"/>
    </row>
    <row r="45" spans="1:13" x14ac:dyDescent="0.3">
      <c r="A45" s="9">
        <v>84</v>
      </c>
      <c r="B45">
        <v>9115</v>
      </c>
      <c r="C45" s="9">
        <v>14700</v>
      </c>
      <c r="D45" t="s">
        <v>144</v>
      </c>
      <c r="E45" s="9">
        <v>0</v>
      </c>
      <c r="F45" s="1">
        <v>43812.602986111109</v>
      </c>
      <c r="G45">
        <v>0</v>
      </c>
      <c r="H45" s="1"/>
      <c r="I45" s="1" t="s">
        <v>486</v>
      </c>
      <c r="J45" s="1" t="s">
        <v>145</v>
      </c>
      <c r="L45"/>
      <c r="M45"/>
    </row>
    <row r="46" spans="1:13" x14ac:dyDescent="0.3">
      <c r="A46" s="9">
        <v>84</v>
      </c>
      <c r="B46">
        <v>6523</v>
      </c>
      <c r="C46" s="9">
        <v>14700</v>
      </c>
      <c r="D46" t="s">
        <v>144</v>
      </c>
      <c r="E46" s="9">
        <v>0</v>
      </c>
      <c r="F46" s="1">
        <v>43812.602939814817</v>
      </c>
      <c r="G46">
        <v>0</v>
      </c>
      <c r="H46" s="1"/>
      <c r="I46" s="1" t="s">
        <v>487</v>
      </c>
      <c r="J46" s="1" t="s">
        <v>145</v>
      </c>
      <c r="L46"/>
      <c r="M46"/>
    </row>
    <row r="47" spans="1:13" x14ac:dyDescent="0.3">
      <c r="A47" s="9">
        <v>84</v>
      </c>
      <c r="B47">
        <v>16728</v>
      </c>
      <c r="C47" s="9">
        <v>14700</v>
      </c>
      <c r="D47" t="s">
        <v>144</v>
      </c>
      <c r="E47" s="9">
        <v>0</v>
      </c>
      <c r="F47" s="1">
        <v>43812.602905092594</v>
      </c>
      <c r="G47">
        <v>0</v>
      </c>
      <c r="H47" s="1"/>
      <c r="I47" s="1" t="s">
        <v>488</v>
      </c>
      <c r="J47" s="1" t="s">
        <v>145</v>
      </c>
      <c r="L47"/>
      <c r="M47"/>
    </row>
    <row r="48" spans="1:13" x14ac:dyDescent="0.3">
      <c r="A48" s="9">
        <v>84</v>
      </c>
      <c r="B48">
        <v>16108</v>
      </c>
      <c r="C48" s="9">
        <v>14700</v>
      </c>
      <c r="D48" t="s">
        <v>144</v>
      </c>
      <c r="E48" s="9">
        <v>0</v>
      </c>
      <c r="F48" s="1">
        <v>43812.602881944447</v>
      </c>
      <c r="G48">
        <v>0</v>
      </c>
      <c r="H48" s="1"/>
      <c r="I48" s="1" t="s">
        <v>489</v>
      </c>
      <c r="J48" s="1" t="s">
        <v>145</v>
      </c>
      <c r="L48"/>
      <c r="M48"/>
    </row>
    <row r="49" spans="1:13" x14ac:dyDescent="0.3">
      <c r="A49" s="9">
        <v>84</v>
      </c>
      <c r="B49">
        <v>7140</v>
      </c>
      <c r="C49" s="9">
        <v>14700</v>
      </c>
      <c r="D49" t="s">
        <v>144</v>
      </c>
      <c r="E49" s="9">
        <v>0</v>
      </c>
      <c r="F49" s="1">
        <v>43812.602847222224</v>
      </c>
      <c r="G49">
        <v>0</v>
      </c>
      <c r="H49" s="1"/>
      <c r="I49" s="1" t="s">
        <v>490</v>
      </c>
      <c r="J49" s="1" t="s">
        <v>145</v>
      </c>
      <c r="L49"/>
      <c r="M49"/>
    </row>
    <row r="50" spans="1:13" x14ac:dyDescent="0.3">
      <c r="A50" s="9">
        <v>83</v>
      </c>
      <c r="B50">
        <v>14396</v>
      </c>
      <c r="C50" s="9">
        <v>5456</v>
      </c>
      <c r="D50" t="s">
        <v>144</v>
      </c>
      <c r="E50" s="9">
        <v>0</v>
      </c>
      <c r="F50" s="1">
        <v>43812.586354166669</v>
      </c>
      <c r="G50">
        <v>0</v>
      </c>
      <c r="H50" s="1"/>
      <c r="I50" s="1" t="s">
        <v>481</v>
      </c>
      <c r="J50" s="1" t="s">
        <v>145</v>
      </c>
      <c r="L50"/>
      <c r="M50"/>
    </row>
    <row r="51" spans="1:13" x14ac:dyDescent="0.3">
      <c r="A51" s="9">
        <v>83</v>
      </c>
      <c r="B51">
        <v>1896</v>
      </c>
      <c r="C51" s="9">
        <v>5456</v>
      </c>
      <c r="D51" t="s">
        <v>144</v>
      </c>
      <c r="E51" s="9">
        <v>0</v>
      </c>
      <c r="F51" s="1">
        <v>43812.586319444446</v>
      </c>
      <c r="G51">
        <v>0</v>
      </c>
      <c r="H51" s="1"/>
      <c r="I51" s="1" t="s">
        <v>482</v>
      </c>
      <c r="J51" s="1" t="s">
        <v>145</v>
      </c>
      <c r="L51"/>
      <c r="M51"/>
    </row>
    <row r="52" spans="1:13" x14ac:dyDescent="0.3">
      <c r="A52" s="9">
        <v>83</v>
      </c>
      <c r="B52">
        <v>15320</v>
      </c>
      <c r="C52" s="9">
        <v>5456</v>
      </c>
      <c r="D52" t="s">
        <v>144</v>
      </c>
      <c r="E52" s="9">
        <v>0</v>
      </c>
      <c r="F52" s="1">
        <v>43812.586296296293</v>
      </c>
      <c r="G52">
        <v>0</v>
      </c>
      <c r="H52" s="1"/>
      <c r="I52" s="1" t="s">
        <v>483</v>
      </c>
      <c r="J52" s="1" t="s">
        <v>145</v>
      </c>
      <c r="L52"/>
      <c r="M52"/>
    </row>
    <row r="53" spans="1:13" x14ac:dyDescent="0.3">
      <c r="A53" s="9">
        <v>83</v>
      </c>
      <c r="B53">
        <v>14432</v>
      </c>
      <c r="C53" s="9">
        <v>5456</v>
      </c>
      <c r="D53" t="s">
        <v>144</v>
      </c>
      <c r="E53" s="9">
        <v>0</v>
      </c>
      <c r="F53" s="1">
        <v>43812.586261574077</v>
      </c>
      <c r="G53">
        <v>0</v>
      </c>
      <c r="H53" s="1"/>
      <c r="I53" s="1" t="s">
        <v>484</v>
      </c>
      <c r="J53" s="1" t="s">
        <v>145</v>
      </c>
      <c r="L53"/>
      <c r="M53"/>
    </row>
    <row r="54" spans="1:13" x14ac:dyDescent="0.3">
      <c r="A54" s="9">
        <v>83</v>
      </c>
      <c r="B54">
        <v>18711</v>
      </c>
      <c r="C54" s="9">
        <v>5456</v>
      </c>
      <c r="D54" t="s">
        <v>144</v>
      </c>
      <c r="E54" s="9">
        <v>0</v>
      </c>
      <c r="F54" s="1">
        <v>43812.586226851854</v>
      </c>
      <c r="G54">
        <v>0</v>
      </c>
      <c r="H54" s="1"/>
      <c r="I54" s="1" t="s">
        <v>485</v>
      </c>
      <c r="J54" s="1" t="s">
        <v>145</v>
      </c>
      <c r="L54"/>
      <c r="M54"/>
    </row>
    <row r="55" spans="1:13" x14ac:dyDescent="0.3">
      <c r="A55" s="9">
        <v>83</v>
      </c>
      <c r="B55">
        <v>10912</v>
      </c>
      <c r="C55" s="9">
        <v>5456</v>
      </c>
      <c r="D55" t="s">
        <v>144</v>
      </c>
      <c r="E55" s="9">
        <v>0</v>
      </c>
      <c r="F55" s="1">
        <v>43812.5862037037</v>
      </c>
      <c r="G55">
        <v>0</v>
      </c>
      <c r="H55" s="1"/>
      <c r="I55" s="1" t="s">
        <v>486</v>
      </c>
      <c r="J55" s="1" t="s">
        <v>145</v>
      </c>
      <c r="L55"/>
      <c r="M55"/>
    </row>
    <row r="56" spans="1:13" x14ac:dyDescent="0.3">
      <c r="A56" s="9">
        <v>83</v>
      </c>
      <c r="B56">
        <v>5912</v>
      </c>
      <c r="C56" s="9">
        <v>5456</v>
      </c>
      <c r="D56" t="s">
        <v>144</v>
      </c>
      <c r="E56" s="9">
        <v>0</v>
      </c>
      <c r="F56" s="1">
        <v>43812.586168981485</v>
      </c>
      <c r="G56">
        <v>0</v>
      </c>
      <c r="H56" s="1"/>
      <c r="I56" s="1" t="s">
        <v>487</v>
      </c>
      <c r="J56" s="1" t="s">
        <v>145</v>
      </c>
      <c r="L56"/>
      <c r="M56"/>
    </row>
    <row r="57" spans="1:13" x14ac:dyDescent="0.3">
      <c r="A57" s="9">
        <v>83</v>
      </c>
      <c r="B57">
        <v>18772</v>
      </c>
      <c r="C57" s="9">
        <v>5456</v>
      </c>
      <c r="D57" t="s">
        <v>144</v>
      </c>
      <c r="E57" s="9">
        <v>0</v>
      </c>
      <c r="F57" s="1">
        <v>43812.586145833331</v>
      </c>
      <c r="G57">
        <v>0</v>
      </c>
      <c r="H57" s="1"/>
      <c r="I57" s="1" t="s">
        <v>488</v>
      </c>
      <c r="J57" s="1" t="s">
        <v>145</v>
      </c>
      <c r="L57"/>
      <c r="M57"/>
    </row>
    <row r="58" spans="1:13" x14ac:dyDescent="0.3">
      <c r="A58" s="9">
        <v>83</v>
      </c>
      <c r="B58">
        <v>20456</v>
      </c>
      <c r="C58" s="9">
        <v>5456</v>
      </c>
      <c r="D58" t="s">
        <v>144</v>
      </c>
      <c r="E58" s="9">
        <v>0</v>
      </c>
      <c r="F58" s="1">
        <v>43812.586111111108</v>
      </c>
      <c r="G58">
        <v>0</v>
      </c>
      <c r="H58" s="1"/>
      <c r="I58" s="1" t="s">
        <v>489</v>
      </c>
      <c r="J58" s="1" t="s">
        <v>145</v>
      </c>
      <c r="L58"/>
      <c r="M58"/>
    </row>
    <row r="59" spans="1:13" x14ac:dyDescent="0.3">
      <c r="A59" s="9">
        <v>83</v>
      </c>
      <c r="B59">
        <v>8896</v>
      </c>
      <c r="C59" s="9">
        <v>5456</v>
      </c>
      <c r="D59" t="s">
        <v>144</v>
      </c>
      <c r="E59" s="9">
        <v>0</v>
      </c>
      <c r="F59" s="1">
        <v>43812.586076388892</v>
      </c>
      <c r="G59">
        <v>0</v>
      </c>
      <c r="H59" s="1"/>
      <c r="I59" s="1" t="s">
        <v>490</v>
      </c>
      <c r="J59" s="1" t="s">
        <v>145</v>
      </c>
      <c r="L59"/>
      <c r="M59"/>
    </row>
    <row r="60" spans="1:13" x14ac:dyDescent="0.3">
      <c r="A60" s="9">
        <v>83</v>
      </c>
      <c r="B60">
        <v>12342</v>
      </c>
      <c r="C60" s="9">
        <v>5456</v>
      </c>
      <c r="D60" t="s">
        <v>144</v>
      </c>
      <c r="E60" s="9">
        <v>0</v>
      </c>
      <c r="F60" s="1">
        <v>43812.586053240739</v>
      </c>
      <c r="G60">
        <v>0</v>
      </c>
      <c r="H60" s="1"/>
      <c r="I60" s="1" t="s">
        <v>491</v>
      </c>
      <c r="J60" s="1" t="s">
        <v>145</v>
      </c>
      <c r="L60"/>
      <c r="M60"/>
    </row>
    <row r="61" spans="1:13" x14ac:dyDescent="0.3">
      <c r="A61" s="9">
        <v>83</v>
      </c>
      <c r="B61">
        <v>1736</v>
      </c>
      <c r="C61" s="9">
        <v>5456</v>
      </c>
      <c r="D61" t="s">
        <v>144</v>
      </c>
      <c r="E61" s="9">
        <v>0</v>
      </c>
      <c r="F61" s="1">
        <v>43812.586018518516</v>
      </c>
      <c r="G61">
        <v>0</v>
      </c>
      <c r="H61" s="1"/>
      <c r="I61" s="1" t="s">
        <v>503</v>
      </c>
      <c r="J61" s="1" t="s">
        <v>145</v>
      </c>
      <c r="L61"/>
      <c r="M61"/>
    </row>
    <row r="62" spans="1:13" x14ac:dyDescent="0.3">
      <c r="A62" s="9">
        <v>83</v>
      </c>
      <c r="B62">
        <v>8396</v>
      </c>
      <c r="C62" s="9">
        <v>5456</v>
      </c>
      <c r="D62" t="s">
        <v>144</v>
      </c>
      <c r="E62" s="9">
        <v>0</v>
      </c>
      <c r="F62" s="1">
        <v>43812.5859837963</v>
      </c>
      <c r="G62">
        <v>0</v>
      </c>
      <c r="H62" s="1"/>
      <c r="I62" s="1" t="s">
        <v>502</v>
      </c>
      <c r="J62" s="1" t="s">
        <v>145</v>
      </c>
      <c r="L62"/>
      <c r="M62"/>
    </row>
    <row r="63" spans="1:13" x14ac:dyDescent="0.3">
      <c r="A63" s="9">
        <v>83</v>
      </c>
      <c r="B63">
        <v>1996</v>
      </c>
      <c r="C63" s="9">
        <v>5456</v>
      </c>
      <c r="D63" t="s">
        <v>144</v>
      </c>
      <c r="E63" s="9">
        <v>0</v>
      </c>
      <c r="F63" s="1">
        <v>43812.585960648146</v>
      </c>
      <c r="G63">
        <v>0</v>
      </c>
      <c r="H63" s="1"/>
      <c r="I63" s="1" t="s">
        <v>501</v>
      </c>
      <c r="J63" s="1" t="s">
        <v>145</v>
      </c>
      <c r="L63"/>
      <c r="M63"/>
    </row>
    <row r="64" spans="1:13" x14ac:dyDescent="0.3">
      <c r="A64" s="9">
        <v>83</v>
      </c>
      <c r="B64">
        <v>3696</v>
      </c>
      <c r="C64" s="9">
        <v>5456</v>
      </c>
      <c r="D64" t="s">
        <v>144</v>
      </c>
      <c r="E64" s="9">
        <v>0</v>
      </c>
      <c r="F64" s="1">
        <v>43812.585925925923</v>
      </c>
      <c r="G64">
        <v>0</v>
      </c>
      <c r="H64" s="1"/>
      <c r="I64" s="1" t="s">
        <v>500</v>
      </c>
      <c r="J64" s="1" t="s">
        <v>145</v>
      </c>
      <c r="L64"/>
      <c r="M64"/>
    </row>
    <row r="65" spans="1:13" x14ac:dyDescent="0.3">
      <c r="A65" s="9">
        <v>83</v>
      </c>
      <c r="B65">
        <v>1019</v>
      </c>
      <c r="C65" s="9">
        <v>5456</v>
      </c>
      <c r="D65" t="s">
        <v>144</v>
      </c>
      <c r="E65" s="9">
        <v>0</v>
      </c>
      <c r="F65" s="1">
        <v>43812.5858912037</v>
      </c>
      <c r="G65">
        <v>0</v>
      </c>
      <c r="H65" s="1"/>
      <c r="I65" s="1" t="s">
        <v>499</v>
      </c>
      <c r="J65" s="1" t="s">
        <v>145</v>
      </c>
      <c r="L65"/>
      <c r="M65"/>
    </row>
    <row r="66" spans="1:13" x14ac:dyDescent="0.3">
      <c r="A66" s="9">
        <v>83</v>
      </c>
      <c r="B66">
        <v>1580</v>
      </c>
      <c r="C66" s="9">
        <v>5456</v>
      </c>
      <c r="D66" t="s">
        <v>144</v>
      </c>
      <c r="E66" s="9">
        <v>0</v>
      </c>
      <c r="F66" s="1">
        <v>43812.585833333331</v>
      </c>
      <c r="G66">
        <v>0</v>
      </c>
      <c r="H66" s="1"/>
      <c r="I66" s="1" t="s">
        <v>498</v>
      </c>
      <c r="J66" s="1" t="s">
        <v>145</v>
      </c>
      <c r="L66"/>
      <c r="M66"/>
    </row>
    <row r="67" spans="1:13" x14ac:dyDescent="0.3">
      <c r="A67" s="9">
        <v>83</v>
      </c>
      <c r="B67">
        <v>1112</v>
      </c>
      <c r="C67" s="9">
        <v>5456</v>
      </c>
      <c r="D67" t="s">
        <v>144</v>
      </c>
      <c r="E67" s="9">
        <v>0</v>
      </c>
      <c r="F67" s="1">
        <v>43812.585798611108</v>
      </c>
      <c r="G67">
        <v>0</v>
      </c>
      <c r="H67" s="1"/>
      <c r="I67" s="1" t="s">
        <v>497</v>
      </c>
      <c r="J67" s="1" t="s">
        <v>145</v>
      </c>
      <c r="L67"/>
      <c r="M67"/>
    </row>
    <row r="68" spans="1:13" x14ac:dyDescent="0.3">
      <c r="A68" s="9">
        <v>83</v>
      </c>
      <c r="B68">
        <v>19780</v>
      </c>
      <c r="C68" s="9">
        <v>5456</v>
      </c>
      <c r="D68" t="s">
        <v>144</v>
      </c>
      <c r="E68" s="9">
        <v>0</v>
      </c>
      <c r="F68" s="1">
        <v>43812.585763888892</v>
      </c>
      <c r="G68">
        <v>0</v>
      </c>
      <c r="H68" s="1"/>
      <c r="I68" s="1" t="s">
        <v>350</v>
      </c>
      <c r="J68" s="1" t="s">
        <v>145</v>
      </c>
      <c r="L68"/>
      <c r="M68"/>
    </row>
    <row r="69" spans="1:13" x14ac:dyDescent="0.3">
      <c r="A69" s="9">
        <v>83</v>
      </c>
      <c r="B69">
        <v>18420</v>
      </c>
      <c r="C69" s="9">
        <v>5456</v>
      </c>
      <c r="D69" t="s">
        <v>144</v>
      </c>
      <c r="E69" s="9">
        <v>0</v>
      </c>
      <c r="F69" s="1">
        <v>43812.585717592592</v>
      </c>
      <c r="G69">
        <v>0</v>
      </c>
      <c r="H69" s="1"/>
      <c r="I69" s="1" t="s">
        <v>355</v>
      </c>
      <c r="J69" s="1" t="s">
        <v>145</v>
      </c>
      <c r="L69"/>
      <c r="M69"/>
    </row>
    <row r="70" spans="1:13" x14ac:dyDescent="0.3">
      <c r="A70" s="9">
        <v>83</v>
      </c>
      <c r="B70">
        <v>11540</v>
      </c>
      <c r="C70" s="9">
        <v>5456</v>
      </c>
      <c r="D70" t="s">
        <v>144</v>
      </c>
      <c r="E70" s="9">
        <v>0</v>
      </c>
      <c r="F70" s="1">
        <v>43812.585682870369</v>
      </c>
      <c r="G70">
        <v>0</v>
      </c>
      <c r="H70" s="1"/>
      <c r="I70" s="1" t="s">
        <v>354</v>
      </c>
      <c r="J70" s="1" t="s">
        <v>145</v>
      </c>
      <c r="L70"/>
      <c r="M70"/>
    </row>
    <row r="71" spans="1:13" x14ac:dyDescent="0.3">
      <c r="A71" s="9">
        <v>83</v>
      </c>
      <c r="B71">
        <v>17236</v>
      </c>
      <c r="C71" s="9">
        <v>5456</v>
      </c>
      <c r="D71" t="s">
        <v>144</v>
      </c>
      <c r="E71" s="9">
        <v>0</v>
      </c>
      <c r="F71" s="1">
        <v>43812.585648148146</v>
      </c>
      <c r="G71">
        <v>0</v>
      </c>
      <c r="H71" s="1"/>
      <c r="I71" s="1" t="s">
        <v>353</v>
      </c>
      <c r="J71" s="1" t="s">
        <v>145</v>
      </c>
      <c r="K71" s="9"/>
      <c r="M71"/>
    </row>
    <row r="72" spans="1:13" x14ac:dyDescent="0.3">
      <c r="A72" s="9">
        <v>83</v>
      </c>
      <c r="B72">
        <v>1088</v>
      </c>
      <c r="C72" s="9">
        <v>5456</v>
      </c>
      <c r="D72" t="s">
        <v>144</v>
      </c>
      <c r="E72" s="9">
        <v>0</v>
      </c>
      <c r="F72" s="1">
        <v>43812.585625</v>
      </c>
      <c r="G72">
        <v>0</v>
      </c>
      <c r="H72" s="1"/>
      <c r="I72" s="1" t="s">
        <v>352</v>
      </c>
      <c r="J72" s="1" t="s">
        <v>145</v>
      </c>
      <c r="K72" s="9"/>
      <c r="M72"/>
    </row>
    <row r="73" spans="1:13" x14ac:dyDescent="0.3">
      <c r="A73" s="9">
        <v>83</v>
      </c>
      <c r="B73">
        <v>16884</v>
      </c>
      <c r="C73" s="9">
        <v>5456</v>
      </c>
      <c r="D73" t="s">
        <v>144</v>
      </c>
      <c r="E73" s="9">
        <v>0</v>
      </c>
      <c r="F73" s="1">
        <v>43812.585590277777</v>
      </c>
      <c r="G73">
        <v>0</v>
      </c>
      <c r="H73" s="1"/>
      <c r="I73" s="1" t="s">
        <v>351</v>
      </c>
      <c r="J73" s="1" t="s">
        <v>145</v>
      </c>
      <c r="K73" s="9"/>
      <c r="M73"/>
    </row>
    <row r="74" spans="1:13" x14ac:dyDescent="0.3">
      <c r="A74" s="9">
        <v>83</v>
      </c>
      <c r="B74">
        <v>5456</v>
      </c>
      <c r="C74" s="9">
        <v>5456</v>
      </c>
      <c r="D74" t="s">
        <v>144</v>
      </c>
      <c r="E74" s="9">
        <v>0</v>
      </c>
      <c r="F74" s="1">
        <v>43812.585231481484</v>
      </c>
      <c r="G74">
        <v>1</v>
      </c>
      <c r="H74" s="1" t="s">
        <v>492</v>
      </c>
      <c r="I74" s="1"/>
      <c r="J74" s="1" t="s">
        <v>510</v>
      </c>
      <c r="K74" s="9"/>
      <c r="M74"/>
    </row>
    <row r="75" spans="1:13" x14ac:dyDescent="0.3">
      <c r="A75" s="9">
        <v>82</v>
      </c>
      <c r="B75">
        <v>11592</v>
      </c>
      <c r="C75" s="9">
        <v>16588</v>
      </c>
      <c r="D75" t="s">
        <v>144</v>
      </c>
      <c r="E75" s="9">
        <v>0</v>
      </c>
      <c r="F75" s="1">
        <v>43812.581261574072</v>
      </c>
      <c r="G75">
        <v>0</v>
      </c>
      <c r="H75" s="1"/>
      <c r="I75" s="1" t="s">
        <v>349</v>
      </c>
      <c r="J75" s="1" t="s">
        <v>145</v>
      </c>
      <c r="K75" s="9"/>
      <c r="M75"/>
    </row>
    <row r="76" spans="1:13" x14ac:dyDescent="0.3">
      <c r="A76" s="9">
        <v>82</v>
      </c>
      <c r="B76">
        <v>16496</v>
      </c>
      <c r="C76" s="9">
        <v>16588</v>
      </c>
      <c r="D76" t="s">
        <v>144</v>
      </c>
      <c r="E76" s="9">
        <v>0</v>
      </c>
      <c r="F76" s="1">
        <v>43812.581226851849</v>
      </c>
      <c r="G76">
        <v>0</v>
      </c>
      <c r="H76" s="1"/>
      <c r="I76" s="1" t="s">
        <v>452</v>
      </c>
      <c r="J76" s="1" t="s">
        <v>145</v>
      </c>
      <c r="K76" s="9"/>
      <c r="M76"/>
    </row>
    <row r="77" spans="1:13" x14ac:dyDescent="0.3">
      <c r="A77" s="9">
        <v>82</v>
      </c>
      <c r="B77">
        <v>19963</v>
      </c>
      <c r="C77" s="9">
        <v>16588</v>
      </c>
      <c r="D77" t="s">
        <v>144</v>
      </c>
      <c r="E77" s="9">
        <v>0</v>
      </c>
      <c r="F77" s="1">
        <v>43812.581192129626</v>
      </c>
      <c r="G77">
        <v>0</v>
      </c>
      <c r="H77" s="1"/>
      <c r="I77" s="1" t="s">
        <v>451</v>
      </c>
      <c r="J77" s="1" t="s">
        <v>145</v>
      </c>
      <c r="K77" s="9"/>
      <c r="M77"/>
    </row>
    <row r="78" spans="1:13" x14ac:dyDescent="0.3">
      <c r="A78" s="9">
        <v>82</v>
      </c>
      <c r="B78">
        <v>18104</v>
      </c>
      <c r="C78" s="9">
        <v>16588</v>
      </c>
      <c r="D78" t="s">
        <v>144</v>
      </c>
      <c r="E78" s="9">
        <v>0</v>
      </c>
      <c r="F78" s="1">
        <v>43812.581157407411</v>
      </c>
      <c r="G78">
        <v>0</v>
      </c>
      <c r="H78" s="1"/>
      <c r="I78" s="1" t="s">
        <v>450</v>
      </c>
      <c r="J78" s="1" t="s">
        <v>145</v>
      </c>
      <c r="K78" s="9"/>
      <c r="M78"/>
    </row>
    <row r="79" spans="1:13" x14ac:dyDescent="0.3">
      <c r="A79" s="9">
        <v>82</v>
      </c>
      <c r="B79">
        <v>10972</v>
      </c>
      <c r="C79" s="9">
        <v>16588</v>
      </c>
      <c r="D79" t="s">
        <v>144</v>
      </c>
      <c r="E79" s="9">
        <v>0</v>
      </c>
      <c r="F79" s="1">
        <v>43812.581111111111</v>
      </c>
      <c r="G79">
        <v>0</v>
      </c>
      <c r="H79" s="1"/>
      <c r="I79" s="1" t="s">
        <v>449</v>
      </c>
      <c r="J79" s="1" t="s">
        <v>145</v>
      </c>
      <c r="K79" s="9"/>
      <c r="M79"/>
    </row>
    <row r="80" spans="1:13" x14ac:dyDescent="0.3">
      <c r="A80" s="9">
        <v>82</v>
      </c>
      <c r="B80">
        <v>4016</v>
      </c>
      <c r="C80" s="9">
        <v>16588</v>
      </c>
      <c r="D80" t="s">
        <v>144</v>
      </c>
      <c r="E80" s="9">
        <v>0</v>
      </c>
      <c r="F80" s="1">
        <v>43812.581053240741</v>
      </c>
      <c r="G80">
        <v>0</v>
      </c>
      <c r="H80" s="1"/>
      <c r="I80" s="1" t="s">
        <v>448</v>
      </c>
      <c r="J80" s="1" t="s">
        <v>145</v>
      </c>
      <c r="K80" s="9"/>
      <c r="M80"/>
    </row>
    <row r="81" spans="1:13" x14ac:dyDescent="0.3">
      <c r="A81" s="9">
        <v>82</v>
      </c>
      <c r="B81">
        <v>12028</v>
      </c>
      <c r="C81" s="9">
        <v>16588</v>
      </c>
      <c r="D81" t="s">
        <v>144</v>
      </c>
      <c r="E81" s="9">
        <v>0</v>
      </c>
      <c r="F81" s="1">
        <v>43812.581018518518</v>
      </c>
      <c r="G81">
        <v>0</v>
      </c>
      <c r="H81" s="1"/>
      <c r="I81" s="1" t="s">
        <v>447</v>
      </c>
      <c r="J81" s="1" t="s">
        <v>145</v>
      </c>
      <c r="K81" s="9"/>
      <c r="M81"/>
    </row>
    <row r="82" spans="1:13" x14ac:dyDescent="0.3">
      <c r="A82" s="9">
        <v>82</v>
      </c>
      <c r="B82">
        <v>11336</v>
      </c>
      <c r="C82" s="9">
        <v>16588</v>
      </c>
      <c r="D82" t="s">
        <v>144</v>
      </c>
      <c r="E82" s="9">
        <v>0</v>
      </c>
      <c r="F82" s="1">
        <v>43812.580983796295</v>
      </c>
      <c r="G82">
        <v>0</v>
      </c>
      <c r="H82" s="1"/>
      <c r="I82" s="1" t="s">
        <v>446</v>
      </c>
      <c r="J82" s="1" t="s">
        <v>145</v>
      </c>
      <c r="K82" s="9"/>
      <c r="M82"/>
    </row>
    <row r="83" spans="1:13" x14ac:dyDescent="0.3">
      <c r="A83" s="9">
        <v>82</v>
      </c>
      <c r="B83">
        <v>14904</v>
      </c>
      <c r="C83" s="9">
        <v>16588</v>
      </c>
      <c r="D83" t="s">
        <v>144</v>
      </c>
      <c r="E83" s="9">
        <v>0</v>
      </c>
      <c r="F83" s="1">
        <v>43812.580937500003</v>
      </c>
      <c r="G83">
        <v>0</v>
      </c>
      <c r="H83" s="1"/>
      <c r="I83" s="1" t="s">
        <v>445</v>
      </c>
      <c r="J83" s="1" t="s">
        <v>145</v>
      </c>
      <c r="K83" s="9"/>
      <c r="M83"/>
    </row>
    <row r="84" spans="1:13" x14ac:dyDescent="0.3">
      <c r="A84" s="9">
        <v>82</v>
      </c>
      <c r="B84">
        <v>812</v>
      </c>
      <c r="C84" s="9">
        <v>16588</v>
      </c>
      <c r="D84" t="s">
        <v>144</v>
      </c>
      <c r="E84" s="9">
        <v>0</v>
      </c>
      <c r="F84" s="1">
        <v>43812.580891203703</v>
      </c>
      <c r="G84">
        <v>0</v>
      </c>
      <c r="H84" s="1"/>
      <c r="I84" s="1" t="s">
        <v>444</v>
      </c>
      <c r="J84" s="1" t="s">
        <v>325</v>
      </c>
      <c r="K84" s="9"/>
      <c r="M84"/>
    </row>
    <row r="85" spans="1:13" x14ac:dyDescent="0.3">
      <c r="A85" s="9">
        <v>82</v>
      </c>
      <c r="B85">
        <v>2775</v>
      </c>
      <c r="C85" s="9">
        <v>16588</v>
      </c>
      <c r="D85" t="s">
        <v>144</v>
      </c>
      <c r="E85" s="9">
        <v>0</v>
      </c>
      <c r="F85" s="1">
        <v>43812.58084490741</v>
      </c>
      <c r="G85">
        <v>0</v>
      </c>
      <c r="H85" s="1"/>
      <c r="I85" s="1" t="s">
        <v>443</v>
      </c>
      <c r="J85" s="1" t="s">
        <v>145</v>
      </c>
      <c r="K85" s="9"/>
      <c r="M85"/>
    </row>
    <row r="86" spans="1:13" x14ac:dyDescent="0.3">
      <c r="A86" s="9">
        <v>82</v>
      </c>
      <c r="B86">
        <v>11136</v>
      </c>
      <c r="C86" s="9">
        <v>16588</v>
      </c>
      <c r="D86" t="s">
        <v>144</v>
      </c>
      <c r="E86" s="9">
        <v>0</v>
      </c>
      <c r="F86" s="1">
        <v>43812.58079861111</v>
      </c>
      <c r="G86">
        <v>0</v>
      </c>
      <c r="H86" s="1"/>
      <c r="I86" s="1" t="s">
        <v>442</v>
      </c>
      <c r="J86" s="1" t="s">
        <v>145</v>
      </c>
      <c r="K86" s="9"/>
      <c r="M86"/>
    </row>
    <row r="87" spans="1:13" x14ac:dyDescent="0.3">
      <c r="A87" s="9">
        <v>82</v>
      </c>
      <c r="B87">
        <v>11232</v>
      </c>
      <c r="C87" s="9">
        <v>16588</v>
      </c>
      <c r="D87" t="s">
        <v>144</v>
      </c>
      <c r="E87" s="9">
        <v>0</v>
      </c>
      <c r="F87" s="1">
        <v>43812.580752314818</v>
      </c>
      <c r="G87">
        <v>0</v>
      </c>
      <c r="H87" s="1"/>
      <c r="I87" s="1" t="s">
        <v>441</v>
      </c>
      <c r="J87" s="1" t="s">
        <v>145</v>
      </c>
      <c r="K87" s="9"/>
      <c r="M87"/>
    </row>
    <row r="88" spans="1:13" x14ac:dyDescent="0.3">
      <c r="A88" s="9">
        <v>82</v>
      </c>
      <c r="B88">
        <v>1528</v>
      </c>
      <c r="C88" s="9">
        <v>16588</v>
      </c>
      <c r="D88" t="s">
        <v>144</v>
      </c>
      <c r="E88" s="9">
        <v>0</v>
      </c>
      <c r="F88" s="1">
        <v>43812.580706018518</v>
      </c>
      <c r="G88">
        <v>0</v>
      </c>
      <c r="H88" s="1"/>
      <c r="I88" s="1" t="s">
        <v>440</v>
      </c>
      <c r="J88" s="1" t="s">
        <v>145</v>
      </c>
      <c r="K88" s="9"/>
      <c r="M88"/>
    </row>
    <row r="89" spans="1:13" x14ac:dyDescent="0.3">
      <c r="A89" s="9">
        <v>82</v>
      </c>
      <c r="B89">
        <v>5875</v>
      </c>
      <c r="C89" s="9">
        <v>16588</v>
      </c>
      <c r="D89" t="s">
        <v>144</v>
      </c>
      <c r="E89" s="9">
        <v>0</v>
      </c>
      <c r="F89" s="1">
        <v>43812.580659722225</v>
      </c>
      <c r="G89">
        <v>0</v>
      </c>
      <c r="H89" s="1"/>
      <c r="I89" s="1" t="s">
        <v>439</v>
      </c>
      <c r="J89" s="1" t="s">
        <v>145</v>
      </c>
      <c r="K89" s="9"/>
      <c r="M89"/>
    </row>
    <row r="90" spans="1:13" x14ac:dyDescent="0.3">
      <c r="A90" s="9">
        <v>82</v>
      </c>
      <c r="B90">
        <v>3872</v>
      </c>
      <c r="C90" s="9">
        <v>16588</v>
      </c>
      <c r="D90" t="s">
        <v>144</v>
      </c>
      <c r="E90" s="9">
        <v>0</v>
      </c>
      <c r="F90" s="1">
        <v>43812.580613425926</v>
      </c>
      <c r="G90">
        <v>0</v>
      </c>
      <c r="H90" s="1"/>
      <c r="I90" s="1" t="s">
        <v>438</v>
      </c>
      <c r="J90" s="1" t="s">
        <v>145</v>
      </c>
      <c r="K90" s="9"/>
      <c r="M90"/>
    </row>
    <row r="91" spans="1:13" x14ac:dyDescent="0.3">
      <c r="A91" s="9">
        <v>82</v>
      </c>
      <c r="B91">
        <v>3280</v>
      </c>
      <c r="C91" s="9">
        <v>16588</v>
      </c>
      <c r="D91" t="s">
        <v>144</v>
      </c>
      <c r="E91" s="9">
        <v>0</v>
      </c>
      <c r="F91" s="1">
        <v>43812.580567129633</v>
      </c>
      <c r="G91">
        <v>0</v>
      </c>
      <c r="H91" s="1"/>
      <c r="I91" s="1" t="s">
        <v>437</v>
      </c>
      <c r="J91" s="1" t="s">
        <v>145</v>
      </c>
      <c r="K91" s="9"/>
      <c r="M91"/>
    </row>
    <row r="92" spans="1:13" x14ac:dyDescent="0.3">
      <c r="A92" s="9">
        <v>82</v>
      </c>
      <c r="B92">
        <v>11552</v>
      </c>
      <c r="C92" s="9">
        <v>16588</v>
      </c>
      <c r="D92" t="s">
        <v>144</v>
      </c>
      <c r="E92" s="9">
        <v>0</v>
      </c>
      <c r="F92" s="1">
        <v>43812.58053240741</v>
      </c>
      <c r="G92">
        <v>0</v>
      </c>
      <c r="H92" s="1"/>
      <c r="I92" s="1" t="s">
        <v>436</v>
      </c>
      <c r="J92" s="1" t="s">
        <v>145</v>
      </c>
      <c r="K92" s="9"/>
      <c r="M92"/>
    </row>
    <row r="93" spans="1:13" x14ac:dyDescent="0.3">
      <c r="A93" s="9">
        <v>82</v>
      </c>
      <c r="B93">
        <v>480</v>
      </c>
      <c r="C93" s="9">
        <v>16588</v>
      </c>
      <c r="D93" t="s">
        <v>144</v>
      </c>
      <c r="E93" s="9">
        <v>0</v>
      </c>
      <c r="F93" s="1">
        <v>43812.580497685187</v>
      </c>
      <c r="G93">
        <v>0</v>
      </c>
      <c r="H93" s="1"/>
      <c r="I93" s="1" t="s">
        <v>435</v>
      </c>
      <c r="J93" s="1" t="s">
        <v>145</v>
      </c>
      <c r="K93" s="9"/>
      <c r="M93"/>
    </row>
    <row r="94" spans="1:13" x14ac:dyDescent="0.3">
      <c r="A94" s="9">
        <v>82</v>
      </c>
      <c r="B94">
        <v>8488</v>
      </c>
      <c r="C94" s="9">
        <v>16588</v>
      </c>
      <c r="D94" t="s">
        <v>144</v>
      </c>
      <c r="E94" s="9">
        <v>0</v>
      </c>
      <c r="F94" s="1">
        <v>43812.580462962964</v>
      </c>
      <c r="G94">
        <v>0</v>
      </c>
      <c r="H94" s="1"/>
      <c r="I94" s="1" t="s">
        <v>434</v>
      </c>
      <c r="J94" s="1" t="s">
        <v>145</v>
      </c>
      <c r="K94" s="9"/>
      <c r="M94"/>
    </row>
    <row r="95" spans="1:13" x14ac:dyDescent="0.3">
      <c r="A95" s="9">
        <v>82</v>
      </c>
      <c r="B95">
        <v>17276</v>
      </c>
      <c r="C95" s="9">
        <v>16588</v>
      </c>
      <c r="D95" t="s">
        <v>144</v>
      </c>
      <c r="E95" s="9">
        <v>0</v>
      </c>
      <c r="F95" s="1">
        <v>43812.580428240741</v>
      </c>
      <c r="G95">
        <v>0</v>
      </c>
      <c r="H95" s="1"/>
      <c r="I95" s="1" t="s">
        <v>433</v>
      </c>
      <c r="J95" s="1" t="s">
        <v>145</v>
      </c>
      <c r="K95" s="9"/>
      <c r="M95"/>
    </row>
    <row r="96" spans="1:13" x14ac:dyDescent="0.3">
      <c r="A96" s="9">
        <v>82</v>
      </c>
      <c r="B96">
        <v>18044</v>
      </c>
      <c r="C96" s="9">
        <v>16588</v>
      </c>
      <c r="D96" t="s">
        <v>144</v>
      </c>
      <c r="E96" s="9">
        <v>0</v>
      </c>
      <c r="F96" s="1">
        <v>43812.580358796295</v>
      </c>
      <c r="G96">
        <v>0</v>
      </c>
      <c r="H96" s="1"/>
      <c r="I96" s="1" t="s">
        <v>432</v>
      </c>
      <c r="J96" s="1" t="s">
        <v>145</v>
      </c>
      <c r="K96" s="9"/>
      <c r="M96"/>
    </row>
    <row r="97" spans="1:13" x14ac:dyDescent="0.3">
      <c r="A97" s="9">
        <v>82</v>
      </c>
      <c r="B97">
        <v>148</v>
      </c>
      <c r="C97" s="9">
        <v>16588</v>
      </c>
      <c r="D97" t="s">
        <v>144</v>
      </c>
      <c r="E97" s="9">
        <v>0</v>
      </c>
      <c r="F97" s="1">
        <v>43812.580277777779</v>
      </c>
      <c r="G97">
        <v>0</v>
      </c>
      <c r="H97" s="1"/>
      <c r="I97" s="1" t="s">
        <v>431</v>
      </c>
      <c r="J97" s="1" t="s">
        <v>325</v>
      </c>
      <c r="K97" s="9"/>
      <c r="M97"/>
    </row>
    <row r="98" spans="1:13" x14ac:dyDescent="0.3">
      <c r="A98" s="9">
        <v>82</v>
      </c>
      <c r="B98">
        <v>11196</v>
      </c>
      <c r="C98" s="9">
        <v>16588</v>
      </c>
      <c r="D98" t="s">
        <v>144</v>
      </c>
      <c r="E98" s="9">
        <v>0</v>
      </c>
      <c r="F98" s="1">
        <v>43812.580208333333</v>
      </c>
      <c r="G98">
        <v>0</v>
      </c>
      <c r="H98" s="1"/>
      <c r="I98" s="1" t="s">
        <v>430</v>
      </c>
      <c r="J98" s="1" t="s">
        <v>145</v>
      </c>
      <c r="K98" s="9"/>
      <c r="M98"/>
    </row>
    <row r="99" spans="1:13" x14ac:dyDescent="0.3">
      <c r="A99" s="9">
        <v>82</v>
      </c>
      <c r="B99">
        <v>16588</v>
      </c>
      <c r="C99" s="9">
        <v>16588</v>
      </c>
      <c r="D99" t="s">
        <v>144</v>
      </c>
      <c r="E99" s="9">
        <v>0</v>
      </c>
      <c r="F99" s="1">
        <v>43812.579814814817</v>
      </c>
      <c r="G99">
        <v>1</v>
      </c>
      <c r="H99" s="1" t="s">
        <v>493</v>
      </c>
      <c r="I99" s="1"/>
      <c r="J99" s="1" t="s">
        <v>509</v>
      </c>
      <c r="K99" s="9"/>
      <c r="M99"/>
    </row>
    <row r="100" spans="1:13" x14ac:dyDescent="0.3">
      <c r="A100" s="9">
        <v>81</v>
      </c>
      <c r="B100">
        <v>19508</v>
      </c>
      <c r="C100" s="9">
        <v>19720</v>
      </c>
      <c r="D100" t="s">
        <v>144</v>
      </c>
      <c r="E100" s="9">
        <v>0</v>
      </c>
      <c r="F100" s="1">
        <v>43812.570243055554</v>
      </c>
      <c r="G100">
        <v>0</v>
      </c>
      <c r="H100" s="1"/>
      <c r="I100" s="1" t="s">
        <v>479</v>
      </c>
      <c r="J100" s="1" t="s">
        <v>145</v>
      </c>
      <c r="K100" s="9"/>
      <c r="M100"/>
    </row>
    <row r="101" spans="1:13" x14ac:dyDescent="0.3">
      <c r="A101" s="9">
        <v>81</v>
      </c>
      <c r="B101">
        <v>10468</v>
      </c>
      <c r="C101" s="9">
        <v>19720</v>
      </c>
      <c r="D101" t="s">
        <v>144</v>
      </c>
      <c r="E101" s="9">
        <v>0</v>
      </c>
      <c r="F101" s="1">
        <v>43812.570219907408</v>
      </c>
      <c r="G101">
        <v>0</v>
      </c>
      <c r="H101" s="1"/>
      <c r="I101" s="1" t="s">
        <v>480</v>
      </c>
      <c r="J101" s="1" t="s">
        <v>145</v>
      </c>
      <c r="K101" s="9"/>
      <c r="M101"/>
    </row>
    <row r="102" spans="1:13" x14ac:dyDescent="0.3">
      <c r="A102" s="9">
        <v>81</v>
      </c>
      <c r="B102">
        <v>13540</v>
      </c>
      <c r="C102" s="9">
        <v>19720</v>
      </c>
      <c r="D102" t="s">
        <v>144</v>
      </c>
      <c r="E102" s="9">
        <v>0</v>
      </c>
      <c r="F102" s="1">
        <v>43812.570173611108</v>
      </c>
      <c r="G102">
        <v>0</v>
      </c>
      <c r="H102" s="1"/>
      <c r="I102" s="1" t="s">
        <v>481</v>
      </c>
      <c r="J102" s="1" t="s">
        <v>325</v>
      </c>
      <c r="K102" s="9"/>
      <c r="M102"/>
    </row>
    <row r="103" spans="1:13" x14ac:dyDescent="0.3">
      <c r="A103" s="9">
        <v>81</v>
      </c>
      <c r="B103">
        <v>7224</v>
      </c>
      <c r="C103" s="9">
        <v>19720</v>
      </c>
      <c r="D103" t="s">
        <v>144</v>
      </c>
      <c r="E103" s="9">
        <v>0</v>
      </c>
      <c r="F103" s="1">
        <v>43812.570127314815</v>
      </c>
      <c r="G103">
        <v>0</v>
      </c>
      <c r="H103" s="1"/>
      <c r="I103" s="1" t="s">
        <v>482</v>
      </c>
      <c r="J103" s="1" t="s">
        <v>145</v>
      </c>
      <c r="K103" s="9"/>
      <c r="M103"/>
    </row>
    <row r="104" spans="1:13" x14ac:dyDescent="0.3">
      <c r="A104" s="9">
        <v>81</v>
      </c>
      <c r="B104">
        <v>20236</v>
      </c>
      <c r="C104" s="9">
        <v>19720</v>
      </c>
      <c r="D104" t="s">
        <v>144</v>
      </c>
      <c r="E104" s="9">
        <v>0</v>
      </c>
      <c r="F104" s="1">
        <v>43812.570092592592</v>
      </c>
      <c r="G104">
        <v>0</v>
      </c>
      <c r="H104" s="1"/>
      <c r="I104" s="1" t="s">
        <v>483</v>
      </c>
      <c r="J104" s="1" t="s">
        <v>325</v>
      </c>
      <c r="K104" s="9"/>
      <c r="M104"/>
    </row>
    <row r="105" spans="1:13" x14ac:dyDescent="0.3">
      <c r="A105" s="9">
        <v>81</v>
      </c>
      <c r="B105">
        <v>8520</v>
      </c>
      <c r="C105" s="9">
        <v>19720</v>
      </c>
      <c r="D105" t="s">
        <v>144</v>
      </c>
      <c r="E105" s="9">
        <v>0</v>
      </c>
      <c r="F105" s="1">
        <v>43812.570023148146</v>
      </c>
      <c r="G105">
        <v>0</v>
      </c>
      <c r="H105" s="1"/>
      <c r="I105" s="1" t="s">
        <v>484</v>
      </c>
      <c r="J105" s="1" t="s">
        <v>145</v>
      </c>
      <c r="K105" s="9"/>
      <c r="M105"/>
    </row>
    <row r="106" spans="1:13" x14ac:dyDescent="0.3">
      <c r="A106" s="9">
        <v>81</v>
      </c>
      <c r="B106">
        <v>3076</v>
      </c>
      <c r="C106" s="9">
        <v>19720</v>
      </c>
      <c r="D106" t="s">
        <v>144</v>
      </c>
      <c r="E106" s="9">
        <v>0</v>
      </c>
      <c r="F106" s="1">
        <v>43812.569976851853</v>
      </c>
      <c r="G106">
        <v>0</v>
      </c>
      <c r="H106" s="1"/>
      <c r="I106" s="1" t="s">
        <v>485</v>
      </c>
      <c r="J106" s="1" t="s">
        <v>145</v>
      </c>
      <c r="K106" s="9"/>
      <c r="M106"/>
    </row>
    <row r="107" spans="1:13" x14ac:dyDescent="0.3">
      <c r="A107" s="9">
        <v>81</v>
      </c>
      <c r="B107">
        <v>6524</v>
      </c>
      <c r="C107" s="9">
        <v>19720</v>
      </c>
      <c r="D107" t="s">
        <v>144</v>
      </c>
      <c r="E107" s="9">
        <v>0</v>
      </c>
      <c r="F107" s="1">
        <v>43812.56994212963</v>
      </c>
      <c r="G107">
        <v>0</v>
      </c>
      <c r="H107" s="1"/>
      <c r="I107" s="1" t="s">
        <v>486</v>
      </c>
      <c r="J107" s="1" t="s">
        <v>145</v>
      </c>
      <c r="K107" s="9"/>
      <c r="M107"/>
    </row>
    <row r="108" spans="1:13" x14ac:dyDescent="0.3">
      <c r="A108" s="9">
        <v>81</v>
      </c>
      <c r="B108">
        <v>1312</v>
      </c>
      <c r="C108" s="9">
        <v>19720</v>
      </c>
      <c r="D108" t="s">
        <v>144</v>
      </c>
      <c r="E108" s="9">
        <v>0</v>
      </c>
      <c r="F108" s="1">
        <v>43812.569907407407</v>
      </c>
      <c r="G108">
        <v>0</v>
      </c>
      <c r="H108" s="1"/>
      <c r="I108" s="1" t="s">
        <v>487</v>
      </c>
      <c r="J108" s="1" t="s">
        <v>145</v>
      </c>
      <c r="K108" s="9"/>
      <c r="M108"/>
    </row>
    <row r="109" spans="1:13" x14ac:dyDescent="0.3">
      <c r="A109" s="9">
        <v>81</v>
      </c>
      <c r="B109">
        <v>6456</v>
      </c>
      <c r="C109" s="9">
        <v>19720</v>
      </c>
      <c r="D109" t="s">
        <v>144</v>
      </c>
      <c r="E109" s="9">
        <v>0</v>
      </c>
      <c r="F109" s="1">
        <v>43812.569861111115</v>
      </c>
      <c r="G109">
        <v>0</v>
      </c>
      <c r="H109" s="1"/>
      <c r="I109" s="1" t="s">
        <v>488</v>
      </c>
      <c r="J109" s="1" t="s">
        <v>145</v>
      </c>
      <c r="K109" s="9"/>
      <c r="M109"/>
    </row>
    <row r="110" spans="1:13" x14ac:dyDescent="0.3">
      <c r="A110" s="9">
        <v>81</v>
      </c>
      <c r="B110">
        <v>19856</v>
      </c>
      <c r="C110" s="9">
        <v>19720</v>
      </c>
      <c r="D110" t="s">
        <v>144</v>
      </c>
      <c r="E110" s="9">
        <v>0</v>
      </c>
      <c r="F110" s="1">
        <v>43812.569814814815</v>
      </c>
      <c r="G110">
        <v>0</v>
      </c>
      <c r="H110" s="1"/>
      <c r="I110" s="1" t="s">
        <v>489</v>
      </c>
      <c r="J110" s="1" t="s">
        <v>145</v>
      </c>
      <c r="K110" s="9"/>
      <c r="M110"/>
    </row>
    <row r="111" spans="1:13" x14ac:dyDescent="0.3">
      <c r="A111" s="9">
        <v>81</v>
      </c>
      <c r="B111">
        <v>8592</v>
      </c>
      <c r="C111" s="9">
        <v>19720</v>
      </c>
      <c r="D111" t="s">
        <v>144</v>
      </c>
      <c r="E111" s="9">
        <v>0</v>
      </c>
      <c r="F111" s="1">
        <v>43812.569780092592</v>
      </c>
      <c r="G111">
        <v>0</v>
      </c>
      <c r="H111" s="1"/>
      <c r="I111" s="1" t="s">
        <v>490</v>
      </c>
      <c r="J111" s="1" t="s">
        <v>325</v>
      </c>
      <c r="K111" s="9"/>
      <c r="M111"/>
    </row>
    <row r="112" spans="1:13" x14ac:dyDescent="0.3">
      <c r="A112" s="9">
        <v>81</v>
      </c>
      <c r="B112">
        <v>11331</v>
      </c>
      <c r="C112" s="9">
        <v>19720</v>
      </c>
      <c r="D112" t="s">
        <v>144</v>
      </c>
      <c r="E112" s="9">
        <v>0</v>
      </c>
      <c r="F112" s="1">
        <v>43812.569722222222</v>
      </c>
      <c r="G112">
        <v>0</v>
      </c>
      <c r="H112" s="1"/>
      <c r="I112" s="1" t="s">
        <v>491</v>
      </c>
      <c r="J112" s="1" t="s">
        <v>145</v>
      </c>
      <c r="K112" s="9"/>
      <c r="M112"/>
    </row>
    <row r="113" spans="1:13" x14ac:dyDescent="0.3">
      <c r="A113" s="9">
        <v>81</v>
      </c>
      <c r="B113">
        <v>13288</v>
      </c>
      <c r="C113" s="9">
        <v>19720</v>
      </c>
      <c r="D113" t="s">
        <v>144</v>
      </c>
      <c r="E113" s="9">
        <v>0</v>
      </c>
      <c r="F113" s="1">
        <v>43812.569687499999</v>
      </c>
      <c r="G113">
        <v>0</v>
      </c>
      <c r="H113" s="1"/>
      <c r="I113" s="1" t="s">
        <v>503</v>
      </c>
      <c r="J113" s="1" t="s">
        <v>145</v>
      </c>
      <c r="K113" s="9"/>
      <c r="M113"/>
    </row>
    <row r="114" spans="1:13" x14ac:dyDescent="0.3">
      <c r="A114" s="9">
        <v>81</v>
      </c>
      <c r="B114">
        <v>19608</v>
      </c>
      <c r="C114" s="9">
        <v>19720</v>
      </c>
      <c r="D114" t="s">
        <v>144</v>
      </c>
      <c r="E114" s="9">
        <v>0</v>
      </c>
      <c r="F114" s="1">
        <v>43812.569652777776</v>
      </c>
      <c r="G114">
        <v>0</v>
      </c>
      <c r="H114" s="1"/>
      <c r="I114" s="1" t="s">
        <v>502</v>
      </c>
      <c r="J114" s="1" t="s">
        <v>145</v>
      </c>
      <c r="K114" s="9"/>
      <c r="M114"/>
    </row>
    <row r="115" spans="1:13" x14ac:dyDescent="0.3">
      <c r="A115" s="9">
        <v>81</v>
      </c>
      <c r="B115">
        <v>7672</v>
      </c>
      <c r="C115" s="9">
        <v>19720</v>
      </c>
      <c r="D115" t="s">
        <v>144</v>
      </c>
      <c r="E115" s="9">
        <v>0</v>
      </c>
      <c r="F115" s="1">
        <v>43812.569606481484</v>
      </c>
      <c r="G115">
        <v>0</v>
      </c>
      <c r="H115" s="1"/>
      <c r="I115" s="1" t="s">
        <v>501</v>
      </c>
      <c r="J115" s="1" t="s">
        <v>145</v>
      </c>
      <c r="K115" s="9"/>
      <c r="M115"/>
    </row>
    <row r="116" spans="1:13" x14ac:dyDescent="0.3">
      <c r="A116" s="9">
        <v>81</v>
      </c>
      <c r="B116">
        <v>13104</v>
      </c>
      <c r="C116" s="9">
        <v>19720</v>
      </c>
      <c r="D116" t="s">
        <v>144</v>
      </c>
      <c r="E116" s="9">
        <v>0</v>
      </c>
      <c r="F116" s="1">
        <v>43812.569560185184</v>
      </c>
      <c r="G116">
        <v>0</v>
      </c>
      <c r="H116" s="1"/>
      <c r="I116" s="1" t="s">
        <v>500</v>
      </c>
      <c r="J116" s="1" t="s">
        <v>145</v>
      </c>
      <c r="K116" s="9"/>
      <c r="M116"/>
    </row>
    <row r="117" spans="1:13" x14ac:dyDescent="0.3">
      <c r="A117" s="9">
        <v>81</v>
      </c>
      <c r="B117">
        <v>16644</v>
      </c>
      <c r="C117" s="9">
        <v>19720</v>
      </c>
      <c r="D117" t="s">
        <v>144</v>
      </c>
      <c r="E117" s="9">
        <v>0</v>
      </c>
      <c r="F117" s="1">
        <v>43812.569525462961</v>
      </c>
      <c r="G117">
        <v>0</v>
      </c>
      <c r="H117" s="1"/>
      <c r="I117" s="1" t="s">
        <v>499</v>
      </c>
      <c r="J117" s="1" t="s">
        <v>145</v>
      </c>
      <c r="K117" s="9"/>
      <c r="M117"/>
    </row>
    <row r="118" spans="1:13" x14ac:dyDescent="0.3">
      <c r="A118" s="9">
        <v>81</v>
      </c>
      <c r="B118">
        <v>16659</v>
      </c>
      <c r="C118" s="9">
        <v>19720</v>
      </c>
      <c r="D118" t="s">
        <v>144</v>
      </c>
      <c r="E118" s="9">
        <v>0</v>
      </c>
      <c r="F118" s="1">
        <v>43812.569502314815</v>
      </c>
      <c r="G118">
        <v>0</v>
      </c>
      <c r="H118" s="1"/>
      <c r="I118" s="1" t="s">
        <v>498</v>
      </c>
      <c r="J118" s="1" t="s">
        <v>145</v>
      </c>
      <c r="K118" s="9"/>
      <c r="M118"/>
    </row>
    <row r="119" spans="1:13" x14ac:dyDescent="0.3">
      <c r="A119" s="9">
        <v>81</v>
      </c>
      <c r="B119">
        <v>17836</v>
      </c>
      <c r="C119" s="9">
        <v>19720</v>
      </c>
      <c r="D119" t="s">
        <v>144</v>
      </c>
      <c r="E119" s="9">
        <v>0</v>
      </c>
      <c r="F119" s="1">
        <v>43812.569467592592</v>
      </c>
      <c r="G119">
        <v>0</v>
      </c>
      <c r="H119" s="1"/>
      <c r="I119" s="1" t="s">
        <v>497</v>
      </c>
      <c r="J119" s="1" t="s">
        <v>145</v>
      </c>
      <c r="K119" s="9"/>
      <c r="M119"/>
    </row>
    <row r="120" spans="1:13" x14ac:dyDescent="0.3">
      <c r="A120" s="9">
        <v>81</v>
      </c>
      <c r="B120">
        <v>5116</v>
      </c>
      <c r="C120" s="9">
        <v>19720</v>
      </c>
      <c r="D120" t="s">
        <v>144</v>
      </c>
      <c r="E120" s="9">
        <v>0</v>
      </c>
      <c r="F120" s="1">
        <v>43812.569432870368</v>
      </c>
      <c r="G120">
        <v>0</v>
      </c>
      <c r="H120" s="1"/>
      <c r="I120" s="1" t="s">
        <v>350</v>
      </c>
      <c r="J120" s="1" t="s">
        <v>145</v>
      </c>
      <c r="K120" s="9"/>
      <c r="M120"/>
    </row>
    <row r="121" spans="1:13" x14ac:dyDescent="0.3">
      <c r="A121" s="9">
        <v>81</v>
      </c>
      <c r="B121">
        <v>13236</v>
      </c>
      <c r="C121" s="9">
        <v>19720</v>
      </c>
      <c r="D121" t="s">
        <v>144</v>
      </c>
      <c r="E121" s="9">
        <v>0</v>
      </c>
      <c r="F121" s="1">
        <v>43812.569409722222</v>
      </c>
      <c r="G121">
        <v>0</v>
      </c>
      <c r="H121" s="1"/>
      <c r="I121" s="1" t="s">
        <v>355</v>
      </c>
      <c r="J121" s="1" t="s">
        <v>145</v>
      </c>
      <c r="K121" s="9"/>
      <c r="M121"/>
    </row>
    <row r="122" spans="1:13" x14ac:dyDescent="0.3">
      <c r="A122" s="9">
        <v>81</v>
      </c>
      <c r="B122">
        <v>16544</v>
      </c>
      <c r="C122" s="9">
        <v>19720</v>
      </c>
      <c r="D122" t="s">
        <v>144</v>
      </c>
      <c r="E122" s="9">
        <v>0</v>
      </c>
      <c r="F122" s="1">
        <v>43812.569374999999</v>
      </c>
      <c r="G122">
        <v>0</v>
      </c>
      <c r="H122" s="1"/>
      <c r="I122" s="1" t="s">
        <v>354</v>
      </c>
      <c r="J122" s="1" t="s">
        <v>145</v>
      </c>
      <c r="K122" s="9"/>
      <c r="M122"/>
    </row>
    <row r="123" spans="1:13" x14ac:dyDescent="0.3">
      <c r="A123" s="9">
        <v>81</v>
      </c>
      <c r="B123">
        <v>20000</v>
      </c>
      <c r="C123" s="9">
        <v>19720</v>
      </c>
      <c r="D123" t="s">
        <v>144</v>
      </c>
      <c r="E123" s="9">
        <v>0</v>
      </c>
      <c r="F123" s="1">
        <v>43812.569340277776</v>
      </c>
      <c r="G123">
        <v>0</v>
      </c>
      <c r="H123" s="1"/>
      <c r="I123" s="1" t="s">
        <v>353</v>
      </c>
      <c r="J123" s="1" t="s">
        <v>145</v>
      </c>
      <c r="K123" s="9"/>
      <c r="M123"/>
    </row>
    <row r="124" spans="1:13" x14ac:dyDescent="0.3">
      <c r="A124" s="9">
        <v>81</v>
      </c>
      <c r="B124">
        <v>19720</v>
      </c>
      <c r="C124" s="9">
        <v>19720</v>
      </c>
      <c r="D124" t="s">
        <v>144</v>
      </c>
      <c r="E124" s="9">
        <v>0</v>
      </c>
      <c r="F124" s="1">
        <v>43812.56890046296</v>
      </c>
      <c r="G124">
        <v>1</v>
      </c>
      <c r="H124" s="1" t="s">
        <v>494</v>
      </c>
      <c r="I124" s="1"/>
      <c r="J124" s="1" t="s">
        <v>357</v>
      </c>
      <c r="K124" s="9"/>
      <c r="M124"/>
    </row>
    <row r="125" spans="1:13" x14ac:dyDescent="0.3">
      <c r="A125" s="9">
        <v>80</v>
      </c>
      <c r="B125">
        <v>10471</v>
      </c>
      <c r="C125" s="9">
        <v>14700</v>
      </c>
      <c r="D125" t="s">
        <v>144</v>
      </c>
      <c r="E125" s="9">
        <v>0</v>
      </c>
      <c r="F125" s="1">
        <v>43812.558634259258</v>
      </c>
      <c r="G125">
        <v>0</v>
      </c>
      <c r="H125" s="1"/>
      <c r="I125" s="1" t="s">
        <v>467</v>
      </c>
      <c r="J125" s="1" t="s">
        <v>145</v>
      </c>
      <c r="K125" s="9"/>
      <c r="M125"/>
    </row>
    <row r="126" spans="1:13" x14ac:dyDescent="0.3">
      <c r="A126" s="9">
        <v>80</v>
      </c>
      <c r="B126">
        <v>17544</v>
      </c>
      <c r="C126" s="9">
        <v>14700</v>
      </c>
      <c r="D126" t="s">
        <v>144</v>
      </c>
      <c r="E126" s="9">
        <v>0</v>
      </c>
      <c r="F126" s="1">
        <v>43812.558587962965</v>
      </c>
      <c r="G126">
        <v>0</v>
      </c>
      <c r="H126" s="1"/>
      <c r="I126" s="1" t="s">
        <v>468</v>
      </c>
      <c r="J126" s="1" t="s">
        <v>145</v>
      </c>
      <c r="K126" s="9"/>
      <c r="M126"/>
    </row>
    <row r="127" spans="1:13" x14ac:dyDescent="0.3">
      <c r="A127" s="9">
        <v>80</v>
      </c>
      <c r="B127">
        <v>15184</v>
      </c>
      <c r="C127" s="9">
        <v>14700</v>
      </c>
      <c r="D127" t="s">
        <v>144</v>
      </c>
      <c r="E127" s="9">
        <v>0</v>
      </c>
      <c r="F127" s="1">
        <v>43812.558530092596</v>
      </c>
      <c r="G127">
        <v>0</v>
      </c>
      <c r="H127" s="1"/>
      <c r="I127" s="1" t="s">
        <v>469</v>
      </c>
      <c r="J127" s="1" t="s">
        <v>145</v>
      </c>
      <c r="K127" s="9"/>
      <c r="M127"/>
    </row>
    <row r="128" spans="1:13" x14ac:dyDescent="0.3">
      <c r="A128" s="9">
        <v>80</v>
      </c>
      <c r="B128">
        <v>16556</v>
      </c>
      <c r="C128" s="9">
        <v>14700</v>
      </c>
      <c r="D128" t="s">
        <v>144</v>
      </c>
      <c r="E128" s="9">
        <v>0</v>
      </c>
      <c r="F128" s="1">
        <v>43812.558472222219</v>
      </c>
      <c r="G128">
        <v>0</v>
      </c>
      <c r="H128" s="1"/>
      <c r="I128" s="1" t="s">
        <v>470</v>
      </c>
      <c r="J128" s="1" t="s">
        <v>325</v>
      </c>
      <c r="K128" s="9"/>
      <c r="M128"/>
    </row>
    <row r="129" spans="1:13" x14ac:dyDescent="0.3">
      <c r="A129" s="9">
        <v>80</v>
      </c>
      <c r="B129">
        <v>12343</v>
      </c>
      <c r="C129" s="9">
        <v>14700</v>
      </c>
      <c r="D129" t="s">
        <v>144</v>
      </c>
      <c r="E129" s="9">
        <v>0</v>
      </c>
      <c r="F129" s="1">
        <v>43812.558437500003</v>
      </c>
      <c r="G129">
        <v>0</v>
      </c>
      <c r="H129" s="1"/>
      <c r="I129" s="1" t="s">
        <v>471</v>
      </c>
      <c r="J129" s="1" t="s">
        <v>145</v>
      </c>
      <c r="K129" s="9"/>
      <c r="M129"/>
    </row>
    <row r="130" spans="1:13" x14ac:dyDescent="0.3">
      <c r="A130" s="9">
        <v>80</v>
      </c>
      <c r="B130">
        <v>15044</v>
      </c>
      <c r="C130" s="9">
        <v>14700</v>
      </c>
      <c r="D130" t="s">
        <v>144</v>
      </c>
      <c r="E130" s="9">
        <v>0</v>
      </c>
      <c r="F130" s="1">
        <v>43812.558391203704</v>
      </c>
      <c r="G130">
        <v>0</v>
      </c>
      <c r="H130" s="1"/>
      <c r="I130" s="1" t="s">
        <v>472</v>
      </c>
      <c r="J130" s="1" t="s">
        <v>325</v>
      </c>
      <c r="K130" s="9"/>
      <c r="M130"/>
    </row>
    <row r="131" spans="1:13" x14ac:dyDescent="0.3">
      <c r="A131" s="9">
        <v>80</v>
      </c>
      <c r="B131">
        <v>16504</v>
      </c>
      <c r="C131" s="9">
        <v>14700</v>
      </c>
      <c r="D131" t="s">
        <v>144</v>
      </c>
      <c r="E131" s="9">
        <v>0</v>
      </c>
      <c r="F131" s="1">
        <v>43812.558321759258</v>
      </c>
      <c r="G131">
        <v>0</v>
      </c>
      <c r="H131" s="1"/>
      <c r="I131" s="1" t="s">
        <v>473</v>
      </c>
      <c r="J131" s="1" t="s">
        <v>325</v>
      </c>
      <c r="K131" s="9"/>
      <c r="M131"/>
    </row>
    <row r="132" spans="1:13" x14ac:dyDescent="0.3">
      <c r="A132" s="9">
        <v>80</v>
      </c>
      <c r="B132">
        <v>604</v>
      </c>
      <c r="C132" s="9">
        <v>14700</v>
      </c>
      <c r="D132" t="s">
        <v>144</v>
      </c>
      <c r="E132" s="9">
        <v>0</v>
      </c>
      <c r="F132" s="1">
        <v>43812.558263888888</v>
      </c>
      <c r="G132">
        <v>0</v>
      </c>
      <c r="H132" s="1"/>
      <c r="I132" s="1" t="s">
        <v>474</v>
      </c>
      <c r="J132" s="1" t="s">
        <v>145</v>
      </c>
      <c r="K132" s="9"/>
      <c r="M132"/>
    </row>
    <row r="133" spans="1:13" x14ac:dyDescent="0.3">
      <c r="A133" s="9">
        <v>80</v>
      </c>
      <c r="B133">
        <v>5188</v>
      </c>
      <c r="C133" s="9">
        <v>14700</v>
      </c>
      <c r="D133" t="s">
        <v>144</v>
      </c>
      <c r="E133" s="9">
        <v>0</v>
      </c>
      <c r="F133" s="1">
        <v>43812.558229166665</v>
      </c>
      <c r="G133">
        <v>0</v>
      </c>
      <c r="H133" s="1"/>
      <c r="I133" s="1" t="s">
        <v>475</v>
      </c>
      <c r="J133" s="1" t="s">
        <v>145</v>
      </c>
      <c r="K133" s="9"/>
      <c r="M133"/>
    </row>
    <row r="134" spans="1:13" x14ac:dyDescent="0.3">
      <c r="A134" s="9">
        <v>80</v>
      </c>
      <c r="B134">
        <v>2396</v>
      </c>
      <c r="C134" s="9">
        <v>14700</v>
      </c>
      <c r="D134" t="s">
        <v>144</v>
      </c>
      <c r="E134" s="9">
        <v>0</v>
      </c>
      <c r="F134" s="1">
        <v>43812.558194444442</v>
      </c>
      <c r="G134">
        <v>0</v>
      </c>
      <c r="H134" s="1"/>
      <c r="I134" s="1" t="s">
        <v>476</v>
      </c>
      <c r="J134" s="1" t="s">
        <v>145</v>
      </c>
      <c r="K134" s="9"/>
      <c r="M134"/>
    </row>
    <row r="135" spans="1:13" x14ac:dyDescent="0.3">
      <c r="A135" s="9">
        <v>80</v>
      </c>
      <c r="B135">
        <v>12119</v>
      </c>
      <c r="C135" s="9">
        <v>14700</v>
      </c>
      <c r="D135" t="s">
        <v>144</v>
      </c>
      <c r="E135" s="9">
        <v>0</v>
      </c>
      <c r="F135" s="1">
        <v>43812.558171296296</v>
      </c>
      <c r="G135">
        <v>0</v>
      </c>
      <c r="H135" s="1"/>
      <c r="I135" s="1" t="s">
        <v>477</v>
      </c>
      <c r="J135" s="1" t="s">
        <v>145</v>
      </c>
      <c r="K135" s="9"/>
      <c r="M135"/>
    </row>
    <row r="136" spans="1:13" x14ac:dyDescent="0.3">
      <c r="A136" s="9">
        <v>80</v>
      </c>
      <c r="B136">
        <v>19403</v>
      </c>
      <c r="C136" s="9">
        <v>14700</v>
      </c>
      <c r="D136" t="s">
        <v>144</v>
      </c>
      <c r="E136" s="9">
        <v>0</v>
      </c>
      <c r="F136" s="1">
        <v>43812.558136574073</v>
      </c>
      <c r="G136">
        <v>0</v>
      </c>
      <c r="H136" s="1"/>
      <c r="I136" s="1" t="s">
        <v>478</v>
      </c>
      <c r="J136" s="1" t="s">
        <v>145</v>
      </c>
      <c r="K136" s="9"/>
      <c r="M136"/>
    </row>
    <row r="137" spans="1:13" x14ac:dyDescent="0.3">
      <c r="A137" s="9">
        <v>80</v>
      </c>
      <c r="B137">
        <v>13412</v>
      </c>
      <c r="C137" s="9">
        <v>14700</v>
      </c>
      <c r="D137" t="s">
        <v>144</v>
      </c>
      <c r="E137" s="9">
        <v>0</v>
      </c>
      <c r="F137" s="1">
        <v>43812.55810185185</v>
      </c>
      <c r="G137">
        <v>0</v>
      </c>
      <c r="H137" s="1"/>
      <c r="I137" s="1" t="s">
        <v>479</v>
      </c>
      <c r="J137" s="1" t="s">
        <v>325</v>
      </c>
      <c r="K137" s="9"/>
      <c r="M137"/>
    </row>
    <row r="138" spans="1:13" x14ac:dyDescent="0.3">
      <c r="A138" s="9">
        <v>80</v>
      </c>
      <c r="B138">
        <v>12628</v>
      </c>
      <c r="C138" s="9">
        <v>14700</v>
      </c>
      <c r="D138" t="s">
        <v>144</v>
      </c>
      <c r="E138" s="9">
        <v>0</v>
      </c>
      <c r="F138" s="1">
        <v>43812.558067129627</v>
      </c>
      <c r="G138">
        <v>0</v>
      </c>
      <c r="H138" s="1"/>
      <c r="I138" s="1" t="s">
        <v>480</v>
      </c>
      <c r="J138" s="1" t="s">
        <v>145</v>
      </c>
      <c r="K138" s="9"/>
      <c r="M138"/>
    </row>
    <row r="139" spans="1:13" x14ac:dyDescent="0.3">
      <c r="A139" s="9">
        <v>80</v>
      </c>
      <c r="B139">
        <v>12620</v>
      </c>
      <c r="C139" s="9">
        <v>14700</v>
      </c>
      <c r="D139" t="s">
        <v>144</v>
      </c>
      <c r="E139" s="9">
        <v>0</v>
      </c>
      <c r="F139" s="1">
        <v>43812.558032407411</v>
      </c>
      <c r="G139">
        <v>0</v>
      </c>
      <c r="H139" s="1"/>
      <c r="I139" s="1" t="s">
        <v>481</v>
      </c>
      <c r="J139" s="1" t="s">
        <v>145</v>
      </c>
      <c r="K139" s="9"/>
      <c r="M139"/>
    </row>
    <row r="140" spans="1:13" x14ac:dyDescent="0.3">
      <c r="A140" s="9">
        <v>80</v>
      </c>
      <c r="B140">
        <v>20216</v>
      </c>
      <c r="C140" s="9">
        <v>14700</v>
      </c>
      <c r="D140" t="s">
        <v>144</v>
      </c>
      <c r="E140" s="9">
        <v>0</v>
      </c>
      <c r="F140" s="1">
        <v>43812.557997685188</v>
      </c>
      <c r="G140">
        <v>0</v>
      </c>
      <c r="H140" s="1"/>
      <c r="I140" s="1" t="s">
        <v>482</v>
      </c>
      <c r="J140" s="1" t="s">
        <v>145</v>
      </c>
      <c r="K140" s="9"/>
      <c r="M140"/>
    </row>
    <row r="141" spans="1:13" x14ac:dyDescent="0.3">
      <c r="A141" s="9">
        <v>80</v>
      </c>
      <c r="B141">
        <v>4964</v>
      </c>
      <c r="C141" s="9">
        <v>14700</v>
      </c>
      <c r="D141" t="s">
        <v>144</v>
      </c>
      <c r="E141" s="9">
        <v>0</v>
      </c>
      <c r="F141" s="1">
        <v>43812.557962962965</v>
      </c>
      <c r="G141">
        <v>0</v>
      </c>
      <c r="H141" s="1"/>
      <c r="I141" s="1" t="s">
        <v>483</v>
      </c>
      <c r="J141" s="1" t="s">
        <v>145</v>
      </c>
      <c r="K141" s="9"/>
      <c r="M141"/>
    </row>
    <row r="142" spans="1:13" x14ac:dyDescent="0.3">
      <c r="A142" s="9">
        <v>80</v>
      </c>
      <c r="B142">
        <v>9800</v>
      </c>
      <c r="C142" s="9">
        <v>14700</v>
      </c>
      <c r="D142" t="s">
        <v>144</v>
      </c>
      <c r="E142" s="9">
        <v>0</v>
      </c>
      <c r="F142" s="1">
        <v>43812.557939814818</v>
      </c>
      <c r="G142">
        <v>0</v>
      </c>
      <c r="H142" s="1"/>
      <c r="I142" s="1" t="s">
        <v>484</v>
      </c>
      <c r="J142" s="1" t="s">
        <v>145</v>
      </c>
      <c r="K142" s="9"/>
      <c r="M142"/>
    </row>
    <row r="143" spans="1:13" x14ac:dyDescent="0.3">
      <c r="A143" s="9">
        <v>80</v>
      </c>
      <c r="B143">
        <v>20356</v>
      </c>
      <c r="C143" s="9">
        <v>14700</v>
      </c>
      <c r="D143" t="s">
        <v>144</v>
      </c>
      <c r="E143" s="9">
        <v>0</v>
      </c>
      <c r="F143" s="1">
        <v>43812.557905092595</v>
      </c>
      <c r="G143">
        <v>0</v>
      </c>
      <c r="H143" s="1"/>
      <c r="I143" s="1" t="s">
        <v>485</v>
      </c>
      <c r="J143" s="1" t="s">
        <v>145</v>
      </c>
      <c r="K143" s="9"/>
      <c r="M143"/>
    </row>
    <row r="144" spans="1:13" x14ac:dyDescent="0.3">
      <c r="A144" s="9">
        <v>80</v>
      </c>
      <c r="B144">
        <v>15796</v>
      </c>
      <c r="C144" s="9">
        <v>14700</v>
      </c>
      <c r="D144" t="s">
        <v>144</v>
      </c>
      <c r="E144" s="9">
        <v>0</v>
      </c>
      <c r="F144" s="1">
        <v>43812.557870370372</v>
      </c>
      <c r="G144">
        <v>0</v>
      </c>
      <c r="H144" s="1"/>
      <c r="I144" s="1" t="s">
        <v>486</v>
      </c>
      <c r="J144" s="1" t="s">
        <v>145</v>
      </c>
      <c r="K144" s="9"/>
      <c r="M144"/>
    </row>
    <row r="145" spans="1:13" x14ac:dyDescent="0.3">
      <c r="A145" s="9">
        <v>80</v>
      </c>
      <c r="B145">
        <v>18855</v>
      </c>
      <c r="C145" s="9">
        <v>14700</v>
      </c>
      <c r="D145" t="s">
        <v>144</v>
      </c>
      <c r="E145" s="9">
        <v>0</v>
      </c>
      <c r="F145" s="1">
        <v>43812.557847222219</v>
      </c>
      <c r="G145">
        <v>0</v>
      </c>
      <c r="H145" s="1"/>
      <c r="I145" s="1" t="s">
        <v>487</v>
      </c>
      <c r="J145" s="1" t="s">
        <v>145</v>
      </c>
      <c r="K145" s="9"/>
      <c r="M145"/>
    </row>
    <row r="146" spans="1:13" x14ac:dyDescent="0.3">
      <c r="A146" s="9">
        <v>80</v>
      </c>
      <c r="B146">
        <v>8932</v>
      </c>
      <c r="C146" s="9">
        <v>14700</v>
      </c>
      <c r="D146" t="s">
        <v>144</v>
      </c>
      <c r="E146" s="9">
        <v>0</v>
      </c>
      <c r="F146" s="1">
        <v>43812.557812500003</v>
      </c>
      <c r="G146">
        <v>0</v>
      </c>
      <c r="H146" s="1"/>
      <c r="I146" s="1" t="s">
        <v>488</v>
      </c>
      <c r="J146" s="1" t="s">
        <v>145</v>
      </c>
      <c r="K146" s="9"/>
      <c r="M146"/>
    </row>
    <row r="147" spans="1:13" x14ac:dyDescent="0.3">
      <c r="A147" s="9">
        <v>80</v>
      </c>
      <c r="B147">
        <v>9116</v>
      </c>
      <c r="C147" s="9">
        <v>14700</v>
      </c>
      <c r="D147" t="s">
        <v>144</v>
      </c>
      <c r="E147" s="9">
        <v>0</v>
      </c>
      <c r="F147" s="1">
        <v>43812.55777777778</v>
      </c>
      <c r="G147">
        <v>0</v>
      </c>
      <c r="H147" s="1"/>
      <c r="I147" s="1" t="s">
        <v>489</v>
      </c>
      <c r="J147" s="1" t="s">
        <v>145</v>
      </c>
      <c r="K147" s="9"/>
      <c r="M147"/>
    </row>
    <row r="148" spans="1:13" x14ac:dyDescent="0.3">
      <c r="A148" s="9">
        <v>80</v>
      </c>
      <c r="B148">
        <v>5876</v>
      </c>
      <c r="C148" s="9">
        <v>14700</v>
      </c>
      <c r="D148" t="s">
        <v>144</v>
      </c>
      <c r="E148" s="9">
        <v>0</v>
      </c>
      <c r="F148" s="1">
        <v>43812.557754629626</v>
      </c>
      <c r="G148">
        <v>0</v>
      </c>
      <c r="H148" s="1"/>
      <c r="I148" s="1" t="s">
        <v>490</v>
      </c>
      <c r="J148" s="1" t="s">
        <v>145</v>
      </c>
      <c r="K148" s="9"/>
      <c r="M148"/>
    </row>
    <row r="149" spans="1:13" x14ac:dyDescent="0.3">
      <c r="A149" s="9">
        <v>80</v>
      </c>
      <c r="B149">
        <v>14700</v>
      </c>
      <c r="C149" s="9">
        <v>14700</v>
      </c>
      <c r="D149" t="s">
        <v>144</v>
      </c>
      <c r="E149" s="9">
        <v>0</v>
      </c>
      <c r="F149" s="1">
        <v>43812.556898148148</v>
      </c>
      <c r="G149">
        <v>1</v>
      </c>
      <c r="H149" s="1" t="s">
        <v>454</v>
      </c>
      <c r="I149" s="1"/>
      <c r="J149" s="1" t="s">
        <v>508</v>
      </c>
      <c r="K149" s="9"/>
      <c r="M149"/>
    </row>
    <row r="150" spans="1:13" x14ac:dyDescent="0.3">
      <c r="A150" s="9">
        <v>90</v>
      </c>
      <c r="B150">
        <v>5528</v>
      </c>
      <c r="C150" s="9">
        <v>11944</v>
      </c>
      <c r="D150" t="s">
        <v>144</v>
      </c>
      <c r="E150" s="9">
        <v>0</v>
      </c>
      <c r="F150" s="1">
        <v>43812.548495370371</v>
      </c>
      <c r="G150">
        <v>0</v>
      </c>
      <c r="H150" s="1"/>
      <c r="I150" s="1" t="s">
        <v>483</v>
      </c>
      <c r="J150" s="1" t="s">
        <v>145</v>
      </c>
      <c r="K150" s="9"/>
      <c r="M150"/>
    </row>
    <row r="151" spans="1:13" x14ac:dyDescent="0.3">
      <c r="A151" s="9">
        <v>90</v>
      </c>
      <c r="B151">
        <v>18152</v>
      </c>
      <c r="C151" s="9">
        <v>11944</v>
      </c>
      <c r="D151" t="s">
        <v>144</v>
      </c>
      <c r="E151" s="9">
        <v>0</v>
      </c>
      <c r="F151" s="1">
        <v>43812.548460648148</v>
      </c>
      <c r="G151">
        <v>0</v>
      </c>
      <c r="H151" s="1"/>
      <c r="I151" s="1" t="s">
        <v>484</v>
      </c>
      <c r="J151" s="1" t="s">
        <v>145</v>
      </c>
      <c r="K151" s="9"/>
      <c r="M151"/>
    </row>
    <row r="152" spans="1:13" x14ac:dyDescent="0.3">
      <c r="A152" s="9">
        <v>90</v>
      </c>
      <c r="B152">
        <v>2468</v>
      </c>
      <c r="C152" s="9">
        <v>11944</v>
      </c>
      <c r="D152" t="s">
        <v>144</v>
      </c>
      <c r="E152" s="9">
        <v>0</v>
      </c>
      <c r="F152" s="1">
        <v>43812.548425925925</v>
      </c>
      <c r="G152">
        <v>0</v>
      </c>
      <c r="H152" s="1"/>
      <c r="I152" s="1" t="s">
        <v>485</v>
      </c>
      <c r="J152" s="1" t="s">
        <v>145</v>
      </c>
      <c r="K152" s="9"/>
      <c r="M152"/>
    </row>
    <row r="153" spans="1:13" x14ac:dyDescent="0.3">
      <c r="A153" s="9">
        <v>90</v>
      </c>
      <c r="B153">
        <v>11236</v>
      </c>
      <c r="C153" s="9">
        <v>11944</v>
      </c>
      <c r="D153" t="s">
        <v>144</v>
      </c>
      <c r="E153" s="9">
        <v>0</v>
      </c>
      <c r="F153" s="1">
        <v>43812.548402777778</v>
      </c>
      <c r="G153">
        <v>0</v>
      </c>
      <c r="H153" s="1"/>
      <c r="I153" s="1" t="s">
        <v>486</v>
      </c>
      <c r="J153" s="1" t="s">
        <v>145</v>
      </c>
      <c r="K153" s="9"/>
      <c r="M153"/>
    </row>
    <row r="154" spans="1:13" x14ac:dyDescent="0.3">
      <c r="A154" s="9">
        <v>90</v>
      </c>
      <c r="B154">
        <v>579</v>
      </c>
      <c r="C154" s="9">
        <v>11944</v>
      </c>
      <c r="D154" t="s">
        <v>144</v>
      </c>
      <c r="E154" s="9">
        <v>0</v>
      </c>
      <c r="F154" s="1">
        <v>43812.548368055555</v>
      </c>
      <c r="G154">
        <v>0</v>
      </c>
      <c r="H154" s="1"/>
      <c r="I154" s="1" t="s">
        <v>487</v>
      </c>
      <c r="J154" s="1" t="s">
        <v>145</v>
      </c>
      <c r="K154" s="9"/>
      <c r="M154"/>
    </row>
    <row r="155" spans="1:13" x14ac:dyDescent="0.3">
      <c r="A155" s="9">
        <v>90</v>
      </c>
      <c r="B155">
        <v>15756</v>
      </c>
      <c r="C155" s="9">
        <v>11944</v>
      </c>
      <c r="D155" t="s">
        <v>144</v>
      </c>
      <c r="E155" s="9">
        <v>0</v>
      </c>
      <c r="F155" s="1">
        <v>43812.548333333332</v>
      </c>
      <c r="G155">
        <v>0</v>
      </c>
      <c r="H155" s="1"/>
      <c r="I155" s="1" t="s">
        <v>488</v>
      </c>
      <c r="J155" s="1" t="s">
        <v>145</v>
      </c>
      <c r="K155" s="9"/>
      <c r="M155"/>
    </row>
    <row r="156" spans="1:13" x14ac:dyDescent="0.3">
      <c r="A156" s="9">
        <v>90</v>
      </c>
      <c r="B156">
        <v>16260</v>
      </c>
      <c r="C156" s="9">
        <v>11944</v>
      </c>
      <c r="D156" t="s">
        <v>144</v>
      </c>
      <c r="E156" s="9">
        <v>0</v>
      </c>
      <c r="F156" s="1">
        <v>43812.548310185186</v>
      </c>
      <c r="G156">
        <v>0</v>
      </c>
      <c r="H156" s="1"/>
      <c r="I156" s="1" t="s">
        <v>489</v>
      </c>
      <c r="J156" s="1" t="s">
        <v>145</v>
      </c>
      <c r="K156" s="9"/>
      <c r="M156"/>
    </row>
    <row r="157" spans="1:13" x14ac:dyDescent="0.3">
      <c r="A157" s="9">
        <v>90</v>
      </c>
      <c r="B157">
        <v>3104</v>
      </c>
      <c r="C157" s="9">
        <v>11944</v>
      </c>
      <c r="D157" t="s">
        <v>144</v>
      </c>
      <c r="E157" s="9">
        <v>0</v>
      </c>
      <c r="F157" s="1">
        <v>43812.548275462963</v>
      </c>
      <c r="G157">
        <v>0</v>
      </c>
      <c r="H157" s="1"/>
      <c r="I157" s="1" t="s">
        <v>490</v>
      </c>
      <c r="J157" s="1" t="s">
        <v>145</v>
      </c>
      <c r="K157" s="9"/>
      <c r="M157"/>
    </row>
    <row r="158" spans="1:13" x14ac:dyDescent="0.3">
      <c r="A158" s="9">
        <v>90</v>
      </c>
      <c r="B158">
        <v>19495</v>
      </c>
      <c r="C158" s="9">
        <v>11944</v>
      </c>
      <c r="D158" t="s">
        <v>144</v>
      </c>
      <c r="E158" s="9">
        <v>0</v>
      </c>
      <c r="F158" s="1">
        <v>43812.54824074074</v>
      </c>
      <c r="G158">
        <v>0</v>
      </c>
      <c r="H158" s="1"/>
      <c r="I158" s="1" t="s">
        <v>491</v>
      </c>
      <c r="J158" s="1" t="s">
        <v>145</v>
      </c>
      <c r="K158" s="9"/>
      <c r="M158"/>
    </row>
    <row r="159" spans="1:13" x14ac:dyDescent="0.3">
      <c r="A159" s="9">
        <v>90</v>
      </c>
      <c r="B159">
        <v>20420</v>
      </c>
      <c r="C159" s="9">
        <v>11944</v>
      </c>
      <c r="D159" t="s">
        <v>144</v>
      </c>
      <c r="E159" s="9">
        <v>0</v>
      </c>
      <c r="F159" s="1">
        <v>43812.548217592594</v>
      </c>
      <c r="G159">
        <v>0</v>
      </c>
      <c r="H159" s="1"/>
      <c r="I159" s="1" t="s">
        <v>503</v>
      </c>
      <c r="J159" s="1" t="s">
        <v>145</v>
      </c>
      <c r="K159" s="9"/>
      <c r="M159"/>
    </row>
    <row r="160" spans="1:13" x14ac:dyDescent="0.3">
      <c r="A160" s="9">
        <v>90</v>
      </c>
      <c r="B160">
        <v>8127</v>
      </c>
      <c r="C160" s="9">
        <v>11944</v>
      </c>
      <c r="D160" t="s">
        <v>144</v>
      </c>
      <c r="E160" s="9">
        <v>0</v>
      </c>
      <c r="F160" s="1">
        <v>43812.548182870371</v>
      </c>
      <c r="G160">
        <v>0</v>
      </c>
      <c r="H160" s="1"/>
      <c r="I160" s="1" t="s">
        <v>502</v>
      </c>
      <c r="J160" s="1" t="s">
        <v>145</v>
      </c>
      <c r="K160" s="9"/>
      <c r="M160"/>
    </row>
    <row r="161" spans="1:13" x14ac:dyDescent="0.3">
      <c r="A161" s="9">
        <v>90</v>
      </c>
      <c r="B161">
        <v>11736</v>
      </c>
      <c r="C161" s="9">
        <v>11944</v>
      </c>
      <c r="D161" t="s">
        <v>144</v>
      </c>
      <c r="E161" s="9">
        <v>0</v>
      </c>
      <c r="F161" s="1">
        <v>43812.548159722224</v>
      </c>
      <c r="G161">
        <v>0</v>
      </c>
      <c r="H161" s="1"/>
      <c r="I161" s="1" t="s">
        <v>501</v>
      </c>
      <c r="J161" s="1" t="s">
        <v>145</v>
      </c>
      <c r="K161" s="9"/>
      <c r="M161"/>
    </row>
    <row r="162" spans="1:13" x14ac:dyDescent="0.3">
      <c r="A162" s="9">
        <v>90</v>
      </c>
      <c r="B162">
        <v>13508</v>
      </c>
      <c r="C162" s="9">
        <v>11944</v>
      </c>
      <c r="D162" t="s">
        <v>144</v>
      </c>
      <c r="E162" s="9">
        <v>0</v>
      </c>
      <c r="F162" s="1">
        <v>43812.548125000001</v>
      </c>
      <c r="G162">
        <v>0</v>
      </c>
      <c r="H162" s="1"/>
      <c r="I162" s="1" t="s">
        <v>500</v>
      </c>
      <c r="J162" s="1" t="s">
        <v>145</v>
      </c>
      <c r="K162" s="9"/>
      <c r="M162"/>
    </row>
    <row r="163" spans="1:13" x14ac:dyDescent="0.3">
      <c r="A163" s="9">
        <v>90</v>
      </c>
      <c r="B163">
        <v>14507</v>
      </c>
      <c r="C163" s="9">
        <v>11944</v>
      </c>
      <c r="D163" t="s">
        <v>144</v>
      </c>
      <c r="E163" s="9">
        <v>0</v>
      </c>
      <c r="F163" s="1">
        <v>43812.548090277778</v>
      </c>
      <c r="G163">
        <v>0</v>
      </c>
      <c r="H163" s="1"/>
      <c r="I163" s="1" t="s">
        <v>499</v>
      </c>
      <c r="J163" s="1" t="s">
        <v>145</v>
      </c>
      <c r="K163" s="9"/>
      <c r="M163"/>
    </row>
    <row r="164" spans="1:13" x14ac:dyDescent="0.3">
      <c r="A164" s="9">
        <v>90</v>
      </c>
      <c r="B164">
        <v>6491</v>
      </c>
      <c r="C164" s="9">
        <v>11944</v>
      </c>
      <c r="D164" t="s">
        <v>144</v>
      </c>
      <c r="E164" s="9">
        <v>0</v>
      </c>
      <c r="F164" s="1">
        <v>43812.548067129632</v>
      </c>
      <c r="G164">
        <v>0</v>
      </c>
      <c r="H164" s="1"/>
      <c r="I164" s="1" t="s">
        <v>498</v>
      </c>
      <c r="J164" s="1" t="s">
        <v>145</v>
      </c>
      <c r="K164" s="9"/>
      <c r="M164"/>
    </row>
    <row r="165" spans="1:13" x14ac:dyDescent="0.3">
      <c r="A165" s="9">
        <v>90</v>
      </c>
      <c r="B165">
        <v>8492</v>
      </c>
      <c r="C165" s="9">
        <v>11944</v>
      </c>
      <c r="D165" t="s">
        <v>144</v>
      </c>
      <c r="E165" s="9">
        <v>0</v>
      </c>
      <c r="F165" s="1">
        <v>43812.548032407409</v>
      </c>
      <c r="G165">
        <v>0</v>
      </c>
      <c r="H165" s="1"/>
      <c r="I165" s="1" t="s">
        <v>497</v>
      </c>
      <c r="J165" s="1" t="s">
        <v>145</v>
      </c>
      <c r="K165" s="9"/>
      <c r="M165"/>
    </row>
    <row r="166" spans="1:13" x14ac:dyDescent="0.3">
      <c r="A166" s="9">
        <v>90</v>
      </c>
      <c r="B166">
        <v>13511</v>
      </c>
      <c r="C166" s="9">
        <v>11944</v>
      </c>
      <c r="D166" t="s">
        <v>144</v>
      </c>
      <c r="E166" s="9">
        <v>0</v>
      </c>
      <c r="F166" s="1">
        <v>43812.547997685186</v>
      </c>
      <c r="G166">
        <v>0</v>
      </c>
      <c r="H166" s="1"/>
      <c r="I166" s="1" t="s">
        <v>350</v>
      </c>
      <c r="J166" s="1" t="s">
        <v>145</v>
      </c>
      <c r="K166" s="9"/>
      <c r="M166"/>
    </row>
    <row r="167" spans="1:13" x14ac:dyDescent="0.3">
      <c r="A167" s="9">
        <v>90</v>
      </c>
      <c r="B167">
        <v>10467</v>
      </c>
      <c r="C167" s="9">
        <v>11944</v>
      </c>
      <c r="D167" t="s">
        <v>144</v>
      </c>
      <c r="E167" s="9">
        <v>0</v>
      </c>
      <c r="F167" s="1">
        <v>43812.547974537039</v>
      </c>
      <c r="G167">
        <v>0</v>
      </c>
      <c r="H167" s="1"/>
      <c r="I167" s="1" t="s">
        <v>355</v>
      </c>
      <c r="J167" s="1" t="s">
        <v>145</v>
      </c>
      <c r="K167" s="9"/>
      <c r="M167"/>
    </row>
    <row r="168" spans="1:13" x14ac:dyDescent="0.3">
      <c r="A168" s="9">
        <v>90</v>
      </c>
      <c r="B168">
        <v>4031</v>
      </c>
      <c r="C168" s="9">
        <v>11944</v>
      </c>
      <c r="D168" t="s">
        <v>144</v>
      </c>
      <c r="E168" s="9">
        <v>0</v>
      </c>
      <c r="F168" s="1">
        <v>43812.547939814816</v>
      </c>
      <c r="G168">
        <v>0</v>
      </c>
      <c r="H168" s="1"/>
      <c r="I168" s="1" t="s">
        <v>354</v>
      </c>
      <c r="J168" s="1" t="s">
        <v>145</v>
      </c>
      <c r="K168" s="9"/>
      <c r="M168"/>
    </row>
    <row r="169" spans="1:13" x14ac:dyDescent="0.3">
      <c r="A169" s="9">
        <v>90</v>
      </c>
      <c r="B169">
        <v>14860</v>
      </c>
      <c r="C169" s="9">
        <v>11944</v>
      </c>
      <c r="D169" t="s">
        <v>144</v>
      </c>
      <c r="E169" s="9">
        <v>0</v>
      </c>
      <c r="F169" s="1">
        <v>43812.547905092593</v>
      </c>
      <c r="G169">
        <v>0</v>
      </c>
      <c r="H169" s="1"/>
      <c r="I169" s="1" t="s">
        <v>353</v>
      </c>
      <c r="J169" s="1" t="s">
        <v>145</v>
      </c>
      <c r="K169" s="9"/>
      <c r="M169"/>
    </row>
    <row r="170" spans="1:13" x14ac:dyDescent="0.3">
      <c r="A170" s="9">
        <v>90</v>
      </c>
      <c r="B170">
        <v>1684</v>
      </c>
      <c r="C170" s="9">
        <v>11944</v>
      </c>
      <c r="D170" t="s">
        <v>144</v>
      </c>
      <c r="E170" s="9">
        <v>0</v>
      </c>
      <c r="F170" s="1">
        <v>43812.547881944447</v>
      </c>
      <c r="G170">
        <v>0</v>
      </c>
      <c r="H170" s="1"/>
      <c r="I170" s="1" t="s">
        <v>352</v>
      </c>
      <c r="J170" s="1" t="s">
        <v>145</v>
      </c>
      <c r="K170" s="9"/>
      <c r="M170"/>
    </row>
    <row r="171" spans="1:13" x14ac:dyDescent="0.3">
      <c r="A171" s="9">
        <v>90</v>
      </c>
      <c r="B171">
        <v>9671</v>
      </c>
      <c r="C171" s="9">
        <v>11944</v>
      </c>
      <c r="D171" t="s">
        <v>144</v>
      </c>
      <c r="E171" s="9">
        <v>0</v>
      </c>
      <c r="F171" s="1">
        <v>43812.547847222224</v>
      </c>
      <c r="G171">
        <v>0</v>
      </c>
      <c r="H171" s="1"/>
      <c r="I171" s="1" t="s">
        <v>351</v>
      </c>
      <c r="J171" s="1" t="s">
        <v>145</v>
      </c>
      <c r="K171" s="9"/>
      <c r="M171"/>
    </row>
    <row r="172" spans="1:13" x14ac:dyDescent="0.3">
      <c r="A172" s="9">
        <v>90</v>
      </c>
      <c r="B172">
        <v>16547</v>
      </c>
      <c r="C172" s="9">
        <v>11944</v>
      </c>
      <c r="D172" t="s">
        <v>144</v>
      </c>
      <c r="E172" s="9">
        <v>0</v>
      </c>
      <c r="F172" s="1">
        <v>43812.547812500001</v>
      </c>
      <c r="G172">
        <v>0</v>
      </c>
      <c r="H172" s="1"/>
      <c r="I172" s="1" t="s">
        <v>496</v>
      </c>
      <c r="J172" s="1" t="s">
        <v>145</v>
      </c>
      <c r="K172" s="9"/>
      <c r="M172"/>
    </row>
    <row r="173" spans="1:13" x14ac:dyDescent="0.3">
      <c r="A173" s="9">
        <v>90</v>
      </c>
      <c r="B173">
        <v>9276</v>
      </c>
      <c r="C173" s="9">
        <v>11944</v>
      </c>
      <c r="D173" t="s">
        <v>144</v>
      </c>
      <c r="E173" s="9">
        <v>0</v>
      </c>
      <c r="F173" s="1">
        <v>43812.547789351855</v>
      </c>
      <c r="G173">
        <v>0</v>
      </c>
      <c r="H173" s="1"/>
      <c r="I173" s="1" t="s">
        <v>495</v>
      </c>
      <c r="J173" s="1" t="s">
        <v>145</v>
      </c>
      <c r="K173" s="9"/>
      <c r="M173"/>
    </row>
    <row r="174" spans="1:13" x14ac:dyDescent="0.3">
      <c r="A174" s="9">
        <v>90</v>
      </c>
      <c r="B174">
        <v>11944</v>
      </c>
      <c r="C174" s="9">
        <v>11944</v>
      </c>
      <c r="D174" t="s">
        <v>144</v>
      </c>
      <c r="E174" s="9">
        <v>0</v>
      </c>
      <c r="F174" s="1">
        <v>43812.547465277778</v>
      </c>
      <c r="G174">
        <v>1</v>
      </c>
      <c r="H174" s="1" t="s">
        <v>463</v>
      </c>
      <c r="I174" s="1"/>
      <c r="J174" s="1" t="s">
        <v>506</v>
      </c>
      <c r="K174" s="9"/>
      <c r="M174"/>
    </row>
    <row r="175" spans="1:13" x14ac:dyDescent="0.3">
      <c r="A175" s="9">
        <v>86</v>
      </c>
      <c r="B175">
        <v>10776</v>
      </c>
      <c r="C175" s="9">
        <v>16648</v>
      </c>
      <c r="D175" t="s">
        <v>144</v>
      </c>
      <c r="E175" s="9">
        <v>0</v>
      </c>
      <c r="F175" s="1">
        <v>43812.543819444443</v>
      </c>
      <c r="G175">
        <v>0</v>
      </c>
      <c r="H175" s="1"/>
      <c r="I175" s="1" t="s">
        <v>467</v>
      </c>
      <c r="J175" s="1" t="s">
        <v>145</v>
      </c>
      <c r="K175" s="9"/>
      <c r="M175"/>
    </row>
    <row r="176" spans="1:13" x14ac:dyDescent="0.3">
      <c r="A176" s="9">
        <v>86</v>
      </c>
      <c r="B176">
        <v>4868</v>
      </c>
      <c r="C176" s="9">
        <v>16648</v>
      </c>
      <c r="D176" t="s">
        <v>144</v>
      </c>
      <c r="E176" s="9">
        <v>0</v>
      </c>
      <c r="F176" s="1">
        <v>43812.543796296297</v>
      </c>
      <c r="G176">
        <v>0</v>
      </c>
      <c r="H176" s="1"/>
      <c r="I176" s="1" t="s">
        <v>468</v>
      </c>
      <c r="J176" s="1" t="s">
        <v>145</v>
      </c>
    </row>
    <row r="177" spans="1:10" x14ac:dyDescent="0.3">
      <c r="A177" s="9">
        <v>86</v>
      </c>
      <c r="B177">
        <v>15660</v>
      </c>
      <c r="C177" s="9">
        <v>16648</v>
      </c>
      <c r="D177" t="s">
        <v>144</v>
      </c>
      <c r="E177" s="9">
        <v>0</v>
      </c>
      <c r="F177" s="1">
        <v>43812.543761574074</v>
      </c>
      <c r="G177">
        <v>0</v>
      </c>
      <c r="H177" s="1"/>
      <c r="I177" s="1" t="s">
        <v>469</v>
      </c>
      <c r="J177" s="1" t="s">
        <v>145</v>
      </c>
    </row>
    <row r="178" spans="1:10" x14ac:dyDescent="0.3">
      <c r="A178" s="9">
        <v>86</v>
      </c>
      <c r="B178">
        <v>9284</v>
      </c>
      <c r="C178" s="9">
        <v>16648</v>
      </c>
      <c r="D178" t="s">
        <v>144</v>
      </c>
      <c r="E178" s="9">
        <v>0</v>
      </c>
      <c r="F178" s="1">
        <v>43812.543726851851</v>
      </c>
      <c r="G178">
        <v>0</v>
      </c>
      <c r="H178" s="1"/>
      <c r="I178" s="1" t="s">
        <v>470</v>
      </c>
      <c r="J178" s="1" t="s">
        <v>325</v>
      </c>
    </row>
    <row r="179" spans="1:10" x14ac:dyDescent="0.3">
      <c r="A179" s="9">
        <v>86</v>
      </c>
      <c r="B179">
        <v>17588</v>
      </c>
      <c r="C179" s="9">
        <v>16648</v>
      </c>
      <c r="D179" t="s">
        <v>144</v>
      </c>
      <c r="E179" s="9">
        <v>0</v>
      </c>
      <c r="F179" s="1">
        <v>43812.543680555558</v>
      </c>
      <c r="G179">
        <v>0</v>
      </c>
      <c r="H179" s="1"/>
      <c r="I179" s="1" t="s">
        <v>471</v>
      </c>
      <c r="J179" s="1" t="s">
        <v>145</v>
      </c>
    </row>
    <row r="180" spans="1:10" x14ac:dyDescent="0.3">
      <c r="A180" s="9">
        <v>86</v>
      </c>
      <c r="B180">
        <v>9692</v>
      </c>
      <c r="C180" s="9">
        <v>16648</v>
      </c>
      <c r="D180" t="s">
        <v>144</v>
      </c>
      <c r="E180" s="9">
        <v>0</v>
      </c>
      <c r="F180" s="1">
        <v>43812.543645833335</v>
      </c>
      <c r="G180">
        <v>0</v>
      </c>
      <c r="H180" s="1"/>
      <c r="I180" s="1" t="s">
        <v>472</v>
      </c>
      <c r="J180" s="1" t="s">
        <v>145</v>
      </c>
    </row>
    <row r="181" spans="1:10" x14ac:dyDescent="0.3">
      <c r="A181" s="9">
        <v>86</v>
      </c>
      <c r="B181">
        <v>9548</v>
      </c>
      <c r="C181" s="9">
        <v>16648</v>
      </c>
      <c r="D181" t="s">
        <v>144</v>
      </c>
      <c r="E181" s="9">
        <v>0</v>
      </c>
      <c r="F181" s="1">
        <v>43812.543611111112</v>
      </c>
      <c r="G181">
        <v>0</v>
      </c>
      <c r="H181" s="1"/>
      <c r="I181" s="1" t="s">
        <v>473</v>
      </c>
      <c r="J181" s="1" t="s">
        <v>145</v>
      </c>
    </row>
    <row r="182" spans="1:10" x14ac:dyDescent="0.3">
      <c r="A182" s="9">
        <v>86</v>
      </c>
      <c r="B182">
        <v>12344</v>
      </c>
      <c r="C182" s="9">
        <v>16648</v>
      </c>
      <c r="D182" t="s">
        <v>144</v>
      </c>
      <c r="E182" s="9">
        <v>0</v>
      </c>
      <c r="F182" s="1">
        <v>43812.543587962966</v>
      </c>
      <c r="G182">
        <v>0</v>
      </c>
      <c r="H182" s="1"/>
      <c r="I182" s="1" t="s">
        <v>474</v>
      </c>
      <c r="J182" s="1" t="s">
        <v>145</v>
      </c>
    </row>
    <row r="183" spans="1:10" x14ac:dyDescent="0.3">
      <c r="A183" s="9">
        <v>86</v>
      </c>
      <c r="B183">
        <v>12016</v>
      </c>
      <c r="C183" s="9">
        <v>16648</v>
      </c>
      <c r="D183" t="s">
        <v>144</v>
      </c>
      <c r="E183" s="9">
        <v>0</v>
      </c>
      <c r="F183" s="1">
        <v>43812.543553240743</v>
      </c>
      <c r="G183">
        <v>0</v>
      </c>
      <c r="H183" s="1"/>
      <c r="I183" s="1" t="s">
        <v>475</v>
      </c>
      <c r="J183" s="1" t="s">
        <v>145</v>
      </c>
    </row>
    <row r="184" spans="1:10" x14ac:dyDescent="0.3">
      <c r="A184" s="9">
        <v>86</v>
      </c>
      <c r="B184">
        <v>16092</v>
      </c>
      <c r="C184" s="9">
        <v>16648</v>
      </c>
      <c r="D184" t="s">
        <v>144</v>
      </c>
      <c r="E184" s="9">
        <v>0</v>
      </c>
      <c r="F184" s="1">
        <v>43812.54351851852</v>
      </c>
      <c r="G184">
        <v>0</v>
      </c>
      <c r="H184" s="1"/>
      <c r="I184" s="1" t="s">
        <v>476</v>
      </c>
      <c r="J184" s="1" t="s">
        <v>145</v>
      </c>
    </row>
    <row r="185" spans="1:10" x14ac:dyDescent="0.3">
      <c r="A185" s="9">
        <v>86</v>
      </c>
      <c r="B185">
        <v>11104</v>
      </c>
      <c r="C185" s="9">
        <v>16648</v>
      </c>
      <c r="D185" t="s">
        <v>144</v>
      </c>
      <c r="E185" s="9">
        <v>0</v>
      </c>
      <c r="F185" s="1">
        <v>43812.543495370373</v>
      </c>
      <c r="G185">
        <v>0</v>
      </c>
      <c r="H185" s="1"/>
      <c r="I185" s="1" t="s">
        <v>477</v>
      </c>
      <c r="J185" s="1" t="s">
        <v>145</v>
      </c>
    </row>
    <row r="186" spans="1:10" x14ac:dyDescent="0.3">
      <c r="A186" s="9">
        <v>86</v>
      </c>
      <c r="B186">
        <v>9900</v>
      </c>
      <c r="C186" s="9">
        <v>16648</v>
      </c>
      <c r="D186" t="s">
        <v>144</v>
      </c>
      <c r="E186" s="9">
        <v>0</v>
      </c>
      <c r="F186" s="1">
        <v>43812.54346064815</v>
      </c>
      <c r="G186">
        <v>0</v>
      </c>
      <c r="H186" s="1"/>
      <c r="I186" s="1" t="s">
        <v>478</v>
      </c>
      <c r="J186" s="1" t="s">
        <v>145</v>
      </c>
    </row>
    <row r="187" spans="1:10" x14ac:dyDescent="0.3">
      <c r="A187" s="9">
        <v>86</v>
      </c>
      <c r="B187">
        <v>9744</v>
      </c>
      <c r="C187" s="9">
        <v>16648</v>
      </c>
      <c r="D187" t="s">
        <v>144</v>
      </c>
      <c r="E187" s="9">
        <v>0</v>
      </c>
      <c r="F187" s="1">
        <v>43812.543425925927</v>
      </c>
      <c r="G187">
        <v>0</v>
      </c>
      <c r="H187" s="1"/>
      <c r="I187" s="1" t="s">
        <v>479</v>
      </c>
      <c r="J187" s="1" t="s">
        <v>145</v>
      </c>
    </row>
    <row r="188" spans="1:10" x14ac:dyDescent="0.3">
      <c r="A188" s="9">
        <v>86</v>
      </c>
      <c r="B188">
        <v>20016</v>
      </c>
      <c r="C188" s="9">
        <v>16648</v>
      </c>
      <c r="D188" t="s">
        <v>144</v>
      </c>
      <c r="E188" s="9">
        <v>0</v>
      </c>
      <c r="F188" s="1">
        <v>43812.543391203704</v>
      </c>
      <c r="G188">
        <v>0</v>
      </c>
      <c r="H188" s="1"/>
      <c r="I188" s="1" t="s">
        <v>480</v>
      </c>
      <c r="J188" s="1" t="s">
        <v>145</v>
      </c>
    </row>
    <row r="189" spans="1:10" x14ac:dyDescent="0.3">
      <c r="A189" s="9">
        <v>86</v>
      </c>
      <c r="B189">
        <v>3751</v>
      </c>
      <c r="C189" s="9">
        <v>16648</v>
      </c>
      <c r="D189" t="s">
        <v>144</v>
      </c>
      <c r="E189" s="9">
        <v>0</v>
      </c>
      <c r="F189" s="1">
        <v>43812.543356481481</v>
      </c>
      <c r="G189">
        <v>0</v>
      </c>
      <c r="H189" s="1"/>
      <c r="I189" s="1" t="s">
        <v>481</v>
      </c>
      <c r="J189" s="1" t="s">
        <v>145</v>
      </c>
    </row>
    <row r="190" spans="1:10" x14ac:dyDescent="0.3">
      <c r="A190" s="9">
        <v>86</v>
      </c>
      <c r="B190">
        <v>2776</v>
      </c>
      <c r="C190" s="9">
        <v>16648</v>
      </c>
      <c r="D190" t="s">
        <v>144</v>
      </c>
      <c r="E190" s="9">
        <v>0</v>
      </c>
      <c r="F190" s="1">
        <v>43812.543321759258</v>
      </c>
      <c r="G190">
        <v>0</v>
      </c>
      <c r="H190" s="1"/>
      <c r="I190" s="1" t="s">
        <v>482</v>
      </c>
      <c r="J190" s="1" t="s">
        <v>145</v>
      </c>
    </row>
    <row r="191" spans="1:10" x14ac:dyDescent="0.3">
      <c r="A191" s="9">
        <v>86</v>
      </c>
      <c r="B191">
        <v>14583</v>
      </c>
      <c r="C191" s="9">
        <v>16648</v>
      </c>
      <c r="D191" t="s">
        <v>144</v>
      </c>
      <c r="E191" s="9">
        <v>0</v>
      </c>
      <c r="F191" s="1">
        <v>43812.543298611112</v>
      </c>
      <c r="G191">
        <v>0</v>
      </c>
      <c r="H191" s="1"/>
      <c r="I191" s="1" t="s">
        <v>483</v>
      </c>
      <c r="J191" s="1" t="s">
        <v>145</v>
      </c>
    </row>
    <row r="192" spans="1:10" x14ac:dyDescent="0.3">
      <c r="A192" s="9">
        <v>86</v>
      </c>
      <c r="B192">
        <v>19404</v>
      </c>
      <c r="C192" s="9">
        <v>16648</v>
      </c>
      <c r="D192" t="s">
        <v>144</v>
      </c>
      <c r="E192" s="9">
        <v>0</v>
      </c>
      <c r="F192" s="1">
        <v>43812.543263888889</v>
      </c>
      <c r="G192">
        <v>0</v>
      </c>
      <c r="H192" s="1"/>
      <c r="I192" s="1" t="s">
        <v>484</v>
      </c>
      <c r="J192" s="1" t="s">
        <v>145</v>
      </c>
    </row>
    <row r="193" spans="1:10" x14ac:dyDescent="0.3">
      <c r="A193" s="9">
        <v>86</v>
      </c>
      <c r="B193">
        <v>16548</v>
      </c>
      <c r="C193" s="9">
        <v>16648</v>
      </c>
      <c r="D193" t="s">
        <v>144</v>
      </c>
      <c r="E193" s="9">
        <v>0</v>
      </c>
      <c r="F193" s="1">
        <v>43812.543229166666</v>
      </c>
      <c r="G193">
        <v>0</v>
      </c>
      <c r="H193" s="1"/>
      <c r="I193" s="1" t="s">
        <v>485</v>
      </c>
      <c r="J193" s="1" t="s">
        <v>145</v>
      </c>
    </row>
    <row r="194" spans="1:10" x14ac:dyDescent="0.3">
      <c r="A194" s="9">
        <v>86</v>
      </c>
      <c r="B194">
        <v>6400</v>
      </c>
      <c r="C194" s="9">
        <v>16648</v>
      </c>
      <c r="D194" t="s">
        <v>144</v>
      </c>
      <c r="E194" s="9">
        <v>0</v>
      </c>
      <c r="F194" s="1">
        <v>43812.543194444443</v>
      </c>
      <c r="G194">
        <v>0</v>
      </c>
      <c r="H194" s="1"/>
      <c r="I194" s="1" t="s">
        <v>486</v>
      </c>
      <c r="J194" s="1" t="s">
        <v>145</v>
      </c>
    </row>
    <row r="195" spans="1:10" x14ac:dyDescent="0.3">
      <c r="A195" s="9">
        <v>86</v>
      </c>
      <c r="B195">
        <v>2556</v>
      </c>
      <c r="C195" s="9">
        <v>16648</v>
      </c>
      <c r="D195" t="s">
        <v>144</v>
      </c>
      <c r="E195" s="9">
        <v>0</v>
      </c>
      <c r="F195" s="1">
        <v>43812.54315972222</v>
      </c>
      <c r="G195">
        <v>0</v>
      </c>
      <c r="H195" s="1"/>
      <c r="I195" s="1" t="s">
        <v>487</v>
      </c>
      <c r="J195" s="1" t="s">
        <v>145</v>
      </c>
    </row>
    <row r="196" spans="1:10" x14ac:dyDescent="0.3">
      <c r="A196" s="9">
        <v>86</v>
      </c>
      <c r="B196">
        <v>9360</v>
      </c>
      <c r="C196" s="9">
        <v>16648</v>
      </c>
      <c r="D196" t="s">
        <v>144</v>
      </c>
      <c r="E196" s="9">
        <v>0</v>
      </c>
      <c r="F196" s="1">
        <v>43812.543124999997</v>
      </c>
      <c r="G196">
        <v>0</v>
      </c>
      <c r="H196" s="1"/>
      <c r="I196" s="1" t="s">
        <v>488</v>
      </c>
      <c r="J196" s="1" t="s">
        <v>145</v>
      </c>
    </row>
    <row r="197" spans="1:10" x14ac:dyDescent="0.3">
      <c r="A197" s="9">
        <v>86</v>
      </c>
      <c r="B197">
        <v>18368</v>
      </c>
      <c r="C197" s="9">
        <v>16648</v>
      </c>
      <c r="D197" t="s">
        <v>144</v>
      </c>
      <c r="E197" s="9">
        <v>0</v>
      </c>
      <c r="F197" s="1">
        <v>43812.543090277781</v>
      </c>
      <c r="G197">
        <v>0</v>
      </c>
      <c r="H197" s="1"/>
      <c r="I197" s="1" t="s">
        <v>489</v>
      </c>
      <c r="J197" s="1" t="s">
        <v>145</v>
      </c>
    </row>
    <row r="198" spans="1:10" x14ac:dyDescent="0.3">
      <c r="A198" s="9">
        <v>86</v>
      </c>
      <c r="B198">
        <v>12624</v>
      </c>
      <c r="C198" s="9">
        <v>16648</v>
      </c>
      <c r="D198" t="s">
        <v>144</v>
      </c>
      <c r="E198" s="9">
        <v>0</v>
      </c>
      <c r="F198" s="1">
        <v>43812.543067129627</v>
      </c>
      <c r="G198">
        <v>0</v>
      </c>
      <c r="H198" s="1"/>
      <c r="I198" s="1" t="s">
        <v>490</v>
      </c>
      <c r="J198" s="1" t="s">
        <v>325</v>
      </c>
    </row>
    <row r="199" spans="1:10" x14ac:dyDescent="0.3">
      <c r="A199" s="9">
        <v>86</v>
      </c>
      <c r="B199">
        <v>13512</v>
      </c>
      <c r="C199" s="9">
        <v>13512</v>
      </c>
      <c r="D199" t="s">
        <v>144</v>
      </c>
      <c r="E199" s="9">
        <v>0</v>
      </c>
      <c r="F199" s="1">
        <v>43812.541481481479</v>
      </c>
      <c r="G199">
        <v>1</v>
      </c>
      <c r="H199" s="1" t="s">
        <v>454</v>
      </c>
      <c r="I199" s="1"/>
      <c r="J199" s="1" t="s">
        <v>505</v>
      </c>
    </row>
    <row r="200" spans="1:10" x14ac:dyDescent="0.3">
      <c r="A200" s="9">
        <v>86</v>
      </c>
      <c r="B200">
        <v>13180</v>
      </c>
      <c r="C200" s="9">
        <v>16648</v>
      </c>
      <c r="D200" t="s">
        <v>144</v>
      </c>
      <c r="E200" s="9">
        <v>0</v>
      </c>
      <c r="F200" s="1">
        <v>43812.536226851851</v>
      </c>
      <c r="G200">
        <v>0</v>
      </c>
      <c r="H200" s="1"/>
      <c r="I200" s="1" t="s">
        <v>467</v>
      </c>
      <c r="J200" s="1" t="s">
        <v>145</v>
      </c>
    </row>
    <row r="201" spans="1:10" x14ac:dyDescent="0.3">
      <c r="A201" s="9">
        <v>86</v>
      </c>
      <c r="B201">
        <v>5192</v>
      </c>
      <c r="C201" s="9">
        <v>16648</v>
      </c>
      <c r="D201" t="s">
        <v>144</v>
      </c>
      <c r="E201" s="9">
        <v>0</v>
      </c>
      <c r="F201" s="1">
        <v>43812.536192129628</v>
      </c>
      <c r="G201">
        <v>0</v>
      </c>
      <c r="H201" s="1"/>
      <c r="I201" s="1" t="s">
        <v>468</v>
      </c>
      <c r="J201" s="1" t="s">
        <v>325</v>
      </c>
    </row>
    <row r="202" spans="1:10" x14ac:dyDescent="0.3">
      <c r="A202" s="9">
        <v>86</v>
      </c>
      <c r="B202">
        <v>17988</v>
      </c>
      <c r="C202" s="9">
        <v>16648</v>
      </c>
      <c r="D202" t="s">
        <v>144</v>
      </c>
      <c r="E202" s="9">
        <v>0</v>
      </c>
      <c r="F202" s="1">
        <v>43812.536145833335</v>
      </c>
      <c r="G202">
        <v>0</v>
      </c>
      <c r="H202" s="1"/>
      <c r="I202" s="1" t="s">
        <v>469</v>
      </c>
      <c r="J202" s="1" t="s">
        <v>145</v>
      </c>
    </row>
    <row r="203" spans="1:10" x14ac:dyDescent="0.3">
      <c r="A203" s="9">
        <v>86</v>
      </c>
      <c r="B203">
        <v>12048</v>
      </c>
      <c r="C203" s="9">
        <v>16648</v>
      </c>
      <c r="D203" t="s">
        <v>144</v>
      </c>
      <c r="E203" s="9">
        <v>0</v>
      </c>
      <c r="F203" s="1">
        <v>43812.536099537036</v>
      </c>
      <c r="G203">
        <v>0</v>
      </c>
      <c r="H203" s="1"/>
      <c r="I203" s="1" t="s">
        <v>470</v>
      </c>
      <c r="J203" s="1" t="s">
        <v>145</v>
      </c>
    </row>
    <row r="204" spans="1:10" x14ac:dyDescent="0.3">
      <c r="A204" s="9">
        <v>86</v>
      </c>
      <c r="B204">
        <v>17128</v>
      </c>
      <c r="C204" s="9">
        <v>16648</v>
      </c>
      <c r="D204" t="s">
        <v>144</v>
      </c>
      <c r="E204" s="9">
        <v>0</v>
      </c>
      <c r="F204" s="1">
        <v>43812.536064814813</v>
      </c>
      <c r="G204">
        <v>0</v>
      </c>
      <c r="H204" s="1"/>
      <c r="I204" s="1" t="s">
        <v>471</v>
      </c>
      <c r="J204" s="1" t="s">
        <v>325</v>
      </c>
    </row>
    <row r="205" spans="1:10" x14ac:dyDescent="0.3">
      <c r="A205" s="9">
        <v>86</v>
      </c>
      <c r="B205">
        <v>7248</v>
      </c>
      <c r="C205" s="9">
        <v>16648</v>
      </c>
      <c r="D205" t="s">
        <v>144</v>
      </c>
      <c r="E205" s="9">
        <v>0</v>
      </c>
      <c r="F205" s="1">
        <v>43812.536006944443</v>
      </c>
      <c r="G205">
        <v>0</v>
      </c>
      <c r="H205" s="1"/>
      <c r="I205" s="1" t="s">
        <v>472</v>
      </c>
      <c r="J205" s="1" t="s">
        <v>145</v>
      </c>
    </row>
    <row r="206" spans="1:10" x14ac:dyDescent="0.3">
      <c r="A206" s="9">
        <v>86</v>
      </c>
      <c r="B206">
        <v>7008</v>
      </c>
      <c r="C206" s="9">
        <v>16648</v>
      </c>
      <c r="D206" t="s">
        <v>144</v>
      </c>
      <c r="E206" s="9">
        <v>0</v>
      </c>
      <c r="F206" s="1">
        <v>43812.535960648151</v>
      </c>
      <c r="G206">
        <v>0</v>
      </c>
      <c r="H206" s="1"/>
      <c r="I206" s="1" t="s">
        <v>473</v>
      </c>
      <c r="J206" s="1" t="s">
        <v>325</v>
      </c>
    </row>
    <row r="207" spans="1:10" x14ac:dyDescent="0.3">
      <c r="A207" s="9">
        <v>86</v>
      </c>
      <c r="B207">
        <v>8128</v>
      </c>
      <c r="C207" s="9">
        <v>16648</v>
      </c>
      <c r="D207" t="s">
        <v>144</v>
      </c>
      <c r="E207" s="9">
        <v>0</v>
      </c>
      <c r="F207" s="1">
        <v>43812.535914351851</v>
      </c>
      <c r="G207">
        <v>0</v>
      </c>
      <c r="H207" s="1"/>
      <c r="I207" s="1" t="s">
        <v>474</v>
      </c>
      <c r="J207" s="1" t="s">
        <v>145</v>
      </c>
    </row>
    <row r="208" spans="1:10" x14ac:dyDescent="0.3">
      <c r="A208" s="9">
        <v>86</v>
      </c>
      <c r="B208">
        <v>4416</v>
      </c>
      <c r="C208" s="9">
        <v>16648</v>
      </c>
      <c r="D208" t="s">
        <v>144</v>
      </c>
      <c r="E208" s="9">
        <v>0</v>
      </c>
      <c r="F208" s="1">
        <v>43812.535879629628</v>
      </c>
      <c r="G208">
        <v>0</v>
      </c>
      <c r="H208" s="1"/>
      <c r="I208" s="1" t="s">
        <v>475</v>
      </c>
      <c r="J208" s="1" t="s">
        <v>145</v>
      </c>
    </row>
    <row r="209" spans="1:10" x14ac:dyDescent="0.3">
      <c r="A209" s="9">
        <v>86</v>
      </c>
      <c r="B209">
        <v>14108</v>
      </c>
      <c r="C209" s="9">
        <v>16648</v>
      </c>
      <c r="D209" t="s">
        <v>144</v>
      </c>
      <c r="E209" s="9">
        <v>0</v>
      </c>
      <c r="F209" s="1">
        <v>43812.535844907405</v>
      </c>
      <c r="G209">
        <v>0</v>
      </c>
      <c r="H209" s="1"/>
      <c r="I209" s="1" t="s">
        <v>476</v>
      </c>
      <c r="J209" s="1" t="s">
        <v>145</v>
      </c>
    </row>
    <row r="210" spans="1:10" x14ac:dyDescent="0.3">
      <c r="A210" s="9">
        <v>86</v>
      </c>
      <c r="B210">
        <v>5008</v>
      </c>
      <c r="C210" s="9">
        <v>16648</v>
      </c>
      <c r="D210" t="s">
        <v>144</v>
      </c>
      <c r="E210" s="9">
        <v>0</v>
      </c>
      <c r="F210" s="1">
        <v>43812.535787037035</v>
      </c>
      <c r="G210">
        <v>0</v>
      </c>
      <c r="H210" s="1"/>
      <c r="I210" s="1" t="s">
        <v>477</v>
      </c>
      <c r="J210" s="1" t="s">
        <v>145</v>
      </c>
    </row>
    <row r="211" spans="1:10" x14ac:dyDescent="0.3">
      <c r="A211" s="9">
        <v>86</v>
      </c>
      <c r="B211">
        <v>12804</v>
      </c>
      <c r="C211" s="9">
        <v>16648</v>
      </c>
      <c r="D211" t="s">
        <v>144</v>
      </c>
      <c r="E211" s="9">
        <v>0</v>
      </c>
      <c r="F211" s="1">
        <v>43812.535729166666</v>
      </c>
      <c r="G211">
        <v>0</v>
      </c>
      <c r="H211" s="1"/>
      <c r="I211" s="1" t="s">
        <v>478</v>
      </c>
      <c r="J211" s="1" t="s">
        <v>325</v>
      </c>
    </row>
    <row r="212" spans="1:10" x14ac:dyDescent="0.3">
      <c r="A212" s="9">
        <v>86</v>
      </c>
      <c r="B212">
        <v>17840</v>
      </c>
      <c r="C212" s="9">
        <v>16648</v>
      </c>
      <c r="D212" t="s">
        <v>144</v>
      </c>
      <c r="E212" s="9">
        <v>0</v>
      </c>
      <c r="F212" s="1">
        <v>43812.535671296297</v>
      </c>
      <c r="G212">
        <v>0</v>
      </c>
      <c r="H212" s="1"/>
      <c r="I212" s="1" t="s">
        <v>479</v>
      </c>
      <c r="J212" s="1" t="s">
        <v>145</v>
      </c>
    </row>
    <row r="213" spans="1:10" x14ac:dyDescent="0.3">
      <c r="A213" s="9">
        <v>86</v>
      </c>
      <c r="B213">
        <v>17760</v>
      </c>
      <c r="C213" s="9">
        <v>16648</v>
      </c>
      <c r="D213" t="s">
        <v>144</v>
      </c>
      <c r="E213" s="9">
        <v>0</v>
      </c>
      <c r="F213" s="1">
        <v>43812.535636574074</v>
      </c>
      <c r="G213">
        <v>0</v>
      </c>
      <c r="H213" s="1"/>
      <c r="I213" s="1" t="s">
        <v>480</v>
      </c>
      <c r="J213" s="1" t="s">
        <v>325</v>
      </c>
    </row>
    <row r="214" spans="1:10" x14ac:dyDescent="0.3">
      <c r="A214" s="9">
        <v>86</v>
      </c>
      <c r="B214">
        <v>1336</v>
      </c>
      <c r="C214" s="9">
        <v>16648</v>
      </c>
      <c r="D214" t="s">
        <v>144</v>
      </c>
      <c r="E214" s="9">
        <v>0</v>
      </c>
      <c r="F214" s="1">
        <v>43812.535590277781</v>
      </c>
      <c r="G214">
        <v>0</v>
      </c>
      <c r="H214" s="1"/>
      <c r="I214" s="1" t="s">
        <v>481</v>
      </c>
      <c r="J214" s="1" t="s">
        <v>325</v>
      </c>
    </row>
    <row r="215" spans="1:10" x14ac:dyDescent="0.3">
      <c r="A215" s="9">
        <v>86</v>
      </c>
      <c r="B215">
        <v>3752</v>
      </c>
      <c r="C215" s="9">
        <v>16648</v>
      </c>
      <c r="D215" t="s">
        <v>144</v>
      </c>
      <c r="E215" s="9">
        <v>0</v>
      </c>
      <c r="F215" s="1">
        <v>43812.535555555558</v>
      </c>
      <c r="G215">
        <v>0</v>
      </c>
      <c r="H215" s="1"/>
      <c r="I215" s="1" t="s">
        <v>482</v>
      </c>
      <c r="J215" s="1" t="s">
        <v>325</v>
      </c>
    </row>
    <row r="216" spans="1:10" x14ac:dyDescent="0.3">
      <c r="A216" s="9">
        <v>86</v>
      </c>
      <c r="B216">
        <v>10960</v>
      </c>
      <c r="C216" s="9">
        <v>16648</v>
      </c>
      <c r="D216" t="s">
        <v>144</v>
      </c>
      <c r="E216" s="9">
        <v>0</v>
      </c>
      <c r="F216" s="1">
        <v>43812.535509259258</v>
      </c>
      <c r="G216">
        <v>0</v>
      </c>
      <c r="H216" s="1"/>
      <c r="I216" s="1" t="s">
        <v>483</v>
      </c>
      <c r="J216" s="1" t="s">
        <v>325</v>
      </c>
    </row>
    <row r="217" spans="1:10" x14ac:dyDescent="0.3">
      <c r="A217" s="9">
        <v>86</v>
      </c>
      <c r="B217">
        <v>12120</v>
      </c>
      <c r="C217" s="9">
        <v>16648</v>
      </c>
      <c r="D217" t="s">
        <v>144</v>
      </c>
      <c r="E217" s="9">
        <v>0</v>
      </c>
      <c r="F217" s="1">
        <v>43812.535462962966</v>
      </c>
      <c r="G217">
        <v>0</v>
      </c>
      <c r="H217" s="1"/>
      <c r="I217" s="1" t="s">
        <v>484</v>
      </c>
      <c r="J217" s="1" t="s">
        <v>325</v>
      </c>
    </row>
    <row r="218" spans="1:10" x14ac:dyDescent="0.3">
      <c r="A218" s="9">
        <v>86</v>
      </c>
      <c r="B218">
        <v>9272</v>
      </c>
      <c r="C218" s="9">
        <v>16648</v>
      </c>
      <c r="D218" t="s">
        <v>144</v>
      </c>
      <c r="E218" s="9">
        <v>0</v>
      </c>
      <c r="F218" s="1">
        <v>43812.535405092596</v>
      </c>
      <c r="G218">
        <v>0</v>
      </c>
      <c r="H218" s="1"/>
      <c r="I218" s="1" t="s">
        <v>485</v>
      </c>
      <c r="J218" s="1" t="s">
        <v>145</v>
      </c>
    </row>
    <row r="219" spans="1:10" x14ac:dyDescent="0.3">
      <c r="A219" s="9">
        <v>86</v>
      </c>
      <c r="B219">
        <v>9588</v>
      </c>
      <c r="C219" s="9">
        <v>16648</v>
      </c>
      <c r="D219" t="s">
        <v>144</v>
      </c>
      <c r="E219" s="9">
        <v>0</v>
      </c>
      <c r="F219" s="1">
        <v>43812.535358796296</v>
      </c>
      <c r="G219">
        <v>0</v>
      </c>
      <c r="H219" s="1"/>
      <c r="I219" s="1" t="s">
        <v>486</v>
      </c>
      <c r="J219" s="1" t="s">
        <v>325</v>
      </c>
    </row>
    <row r="220" spans="1:10" x14ac:dyDescent="0.3">
      <c r="A220" s="9">
        <v>86</v>
      </c>
      <c r="B220">
        <v>3936</v>
      </c>
      <c r="C220" s="9">
        <v>16648</v>
      </c>
      <c r="D220" t="s">
        <v>144</v>
      </c>
      <c r="E220" s="9">
        <v>0</v>
      </c>
      <c r="F220" s="1">
        <v>43812.535324074073</v>
      </c>
      <c r="G220">
        <v>0</v>
      </c>
      <c r="H220" s="1"/>
      <c r="I220" s="1" t="s">
        <v>487</v>
      </c>
      <c r="J220" s="1" t="s">
        <v>341</v>
      </c>
    </row>
    <row r="221" spans="1:10" x14ac:dyDescent="0.3">
      <c r="A221" s="9">
        <v>86</v>
      </c>
      <c r="B221">
        <v>18532</v>
      </c>
      <c r="C221" s="9">
        <v>16648</v>
      </c>
      <c r="D221" t="s">
        <v>144</v>
      </c>
      <c r="E221" s="9">
        <v>0</v>
      </c>
      <c r="F221" s="1">
        <v>43812.535266203704</v>
      </c>
      <c r="G221">
        <v>0</v>
      </c>
      <c r="H221" s="1"/>
      <c r="I221" s="1" t="s">
        <v>488</v>
      </c>
      <c r="J221" s="1" t="s">
        <v>325</v>
      </c>
    </row>
    <row r="222" spans="1:10" x14ac:dyDescent="0.3">
      <c r="A222" s="9">
        <v>86</v>
      </c>
      <c r="B222">
        <v>17716</v>
      </c>
      <c r="C222" s="9">
        <v>16648</v>
      </c>
      <c r="D222" t="s">
        <v>144</v>
      </c>
      <c r="E222" s="9">
        <v>0</v>
      </c>
      <c r="F222" s="1">
        <v>43812.535219907404</v>
      </c>
      <c r="G222">
        <v>0</v>
      </c>
      <c r="H222" s="1"/>
      <c r="I222" s="1" t="s">
        <v>489</v>
      </c>
      <c r="J222" s="1" t="s">
        <v>325</v>
      </c>
    </row>
    <row r="223" spans="1:10" x14ac:dyDescent="0.3">
      <c r="A223" s="9">
        <v>86</v>
      </c>
      <c r="B223">
        <v>16652</v>
      </c>
      <c r="C223" s="9">
        <v>16648</v>
      </c>
      <c r="D223" t="s">
        <v>144</v>
      </c>
      <c r="E223" s="9">
        <v>0</v>
      </c>
      <c r="F223" s="1">
        <v>43812.535185185188</v>
      </c>
      <c r="G223">
        <v>0</v>
      </c>
      <c r="H223" s="1"/>
      <c r="I223" s="1" t="s">
        <v>490</v>
      </c>
      <c r="J223" s="1" t="s">
        <v>325</v>
      </c>
    </row>
    <row r="224" spans="1:10" x14ac:dyDescent="0.3">
      <c r="A224" s="9">
        <v>86</v>
      </c>
      <c r="B224">
        <v>16648</v>
      </c>
      <c r="C224" s="9">
        <v>16648</v>
      </c>
      <c r="D224" t="s">
        <v>144</v>
      </c>
      <c r="E224" s="9">
        <v>0</v>
      </c>
      <c r="F224" s="1">
        <v>43812.533761574072</v>
      </c>
      <c r="G224">
        <v>1</v>
      </c>
      <c r="H224" s="1" t="s">
        <v>454</v>
      </c>
      <c r="I224" s="1"/>
      <c r="J224" s="1" t="s">
        <v>455</v>
      </c>
    </row>
    <row r="225" spans="1:10" x14ac:dyDescent="0.3">
      <c r="A225" s="9">
        <v>86</v>
      </c>
      <c r="B225">
        <v>9704</v>
      </c>
      <c r="C225" s="9">
        <v>9656</v>
      </c>
      <c r="D225" t="s">
        <v>144</v>
      </c>
      <c r="E225" s="9">
        <v>0</v>
      </c>
      <c r="F225" s="1">
        <v>43812.530324074076</v>
      </c>
      <c r="G225">
        <v>0</v>
      </c>
      <c r="H225" s="1"/>
      <c r="I225" s="1" t="s">
        <v>467</v>
      </c>
      <c r="J225" s="1" t="s">
        <v>325</v>
      </c>
    </row>
    <row r="226" spans="1:10" x14ac:dyDescent="0.3">
      <c r="A226" s="9">
        <v>86</v>
      </c>
      <c r="B226">
        <v>2508</v>
      </c>
      <c r="C226" s="9">
        <v>9656</v>
      </c>
      <c r="D226" t="s">
        <v>144</v>
      </c>
      <c r="E226" s="9">
        <v>0</v>
      </c>
      <c r="F226" s="1">
        <v>43812.530243055553</v>
      </c>
      <c r="G226">
        <v>0</v>
      </c>
      <c r="H226" s="1"/>
      <c r="I226" s="1" t="s">
        <v>468</v>
      </c>
      <c r="J226" s="1" t="s">
        <v>145</v>
      </c>
    </row>
    <row r="227" spans="1:10" x14ac:dyDescent="0.3">
      <c r="A227" s="9">
        <v>86</v>
      </c>
      <c r="B227">
        <v>13920</v>
      </c>
      <c r="C227" s="9">
        <v>9656</v>
      </c>
      <c r="D227" t="s">
        <v>144</v>
      </c>
      <c r="E227" s="9">
        <v>0</v>
      </c>
      <c r="F227" s="1">
        <v>43812.53019675926</v>
      </c>
      <c r="G227">
        <v>0</v>
      </c>
      <c r="H227" s="1"/>
      <c r="I227" s="1" t="s">
        <v>469</v>
      </c>
      <c r="J227" s="1" t="s">
        <v>145</v>
      </c>
    </row>
    <row r="228" spans="1:10" x14ac:dyDescent="0.3">
      <c r="A228" s="9">
        <v>86</v>
      </c>
      <c r="B228">
        <v>10680</v>
      </c>
      <c r="C228" s="9">
        <v>9656</v>
      </c>
      <c r="D228" t="s">
        <v>144</v>
      </c>
      <c r="E228" s="9">
        <v>0</v>
      </c>
      <c r="F228" s="1">
        <v>43812.530162037037</v>
      </c>
      <c r="G228">
        <v>0</v>
      </c>
      <c r="H228" s="1"/>
      <c r="I228" s="1" t="s">
        <v>470</v>
      </c>
      <c r="J228" s="1" t="s">
        <v>325</v>
      </c>
    </row>
    <row r="229" spans="1:10" x14ac:dyDescent="0.3">
      <c r="A229" s="9">
        <v>86</v>
      </c>
      <c r="B229">
        <v>14004</v>
      </c>
      <c r="C229" s="9">
        <v>9656</v>
      </c>
      <c r="D229" t="s">
        <v>144</v>
      </c>
      <c r="E229" s="9">
        <v>0</v>
      </c>
      <c r="F229" s="1">
        <v>43812.530127314814</v>
      </c>
      <c r="G229">
        <v>0</v>
      </c>
      <c r="H229" s="1"/>
      <c r="I229" s="1" t="s">
        <v>471</v>
      </c>
      <c r="J229" s="1" t="s">
        <v>325</v>
      </c>
    </row>
    <row r="230" spans="1:10" x14ac:dyDescent="0.3">
      <c r="A230" s="9">
        <v>86</v>
      </c>
      <c r="B230">
        <v>7640</v>
      </c>
      <c r="C230" s="9">
        <v>9656</v>
      </c>
      <c r="D230" t="s">
        <v>144</v>
      </c>
      <c r="E230" s="9">
        <v>0</v>
      </c>
      <c r="F230" s="1">
        <v>43812.530092592591</v>
      </c>
      <c r="G230">
        <v>0</v>
      </c>
      <c r="H230" s="1"/>
      <c r="I230" s="1" t="s">
        <v>472</v>
      </c>
      <c r="J230" s="1" t="s">
        <v>145</v>
      </c>
    </row>
    <row r="231" spans="1:10" x14ac:dyDescent="0.3">
      <c r="A231" s="9">
        <v>86</v>
      </c>
      <c r="B231">
        <v>12592</v>
      </c>
      <c r="C231" s="9">
        <v>9656</v>
      </c>
      <c r="D231" t="s">
        <v>144</v>
      </c>
      <c r="E231" s="9">
        <v>0</v>
      </c>
      <c r="F231" s="1">
        <v>43812.530057870368</v>
      </c>
      <c r="G231">
        <v>0</v>
      </c>
      <c r="H231" s="1"/>
      <c r="I231" s="1" t="s">
        <v>473</v>
      </c>
      <c r="J231" s="1" t="s">
        <v>145</v>
      </c>
    </row>
    <row r="232" spans="1:10" x14ac:dyDescent="0.3">
      <c r="A232" s="9">
        <v>86</v>
      </c>
      <c r="B232">
        <v>8872</v>
      </c>
      <c r="C232" s="9">
        <v>9656</v>
      </c>
      <c r="D232" t="s">
        <v>144</v>
      </c>
      <c r="E232" s="9">
        <v>0</v>
      </c>
      <c r="F232" s="1">
        <v>43812.530023148145</v>
      </c>
      <c r="G232">
        <v>0</v>
      </c>
      <c r="H232" s="1"/>
      <c r="I232" s="1" t="s">
        <v>474</v>
      </c>
      <c r="J232" s="1" t="s">
        <v>325</v>
      </c>
    </row>
    <row r="233" spans="1:10" x14ac:dyDescent="0.3">
      <c r="A233" s="9">
        <v>86</v>
      </c>
      <c r="B233">
        <v>9260</v>
      </c>
      <c r="C233" s="9">
        <v>9656</v>
      </c>
      <c r="D233" t="s">
        <v>144</v>
      </c>
      <c r="E233" s="9">
        <v>0</v>
      </c>
      <c r="F233" s="1">
        <v>43812.529976851853</v>
      </c>
      <c r="G233">
        <v>0</v>
      </c>
      <c r="H233" s="1"/>
      <c r="I233" s="1" t="s">
        <v>475</v>
      </c>
      <c r="J233" s="1" t="s">
        <v>145</v>
      </c>
    </row>
    <row r="234" spans="1:10" x14ac:dyDescent="0.3">
      <c r="A234" s="9">
        <v>86</v>
      </c>
      <c r="B234">
        <v>10880</v>
      </c>
      <c r="C234" s="9">
        <v>9656</v>
      </c>
      <c r="D234" t="s">
        <v>144</v>
      </c>
      <c r="E234" s="9">
        <v>0</v>
      </c>
      <c r="F234" s="1">
        <v>43812.529942129629</v>
      </c>
      <c r="G234">
        <v>0</v>
      </c>
      <c r="H234" s="1"/>
      <c r="I234" s="1" t="s">
        <v>476</v>
      </c>
      <c r="J234" s="1" t="s">
        <v>145</v>
      </c>
    </row>
    <row r="235" spans="1:10" x14ac:dyDescent="0.3">
      <c r="A235" s="9">
        <v>86</v>
      </c>
      <c r="B235">
        <v>10472</v>
      </c>
      <c r="C235" s="9">
        <v>9656</v>
      </c>
      <c r="D235" t="s">
        <v>144</v>
      </c>
      <c r="E235" s="9">
        <v>0</v>
      </c>
      <c r="F235" s="1">
        <v>43812.529895833337</v>
      </c>
      <c r="G235">
        <v>0</v>
      </c>
      <c r="H235" s="1"/>
      <c r="I235" s="1" t="s">
        <v>477</v>
      </c>
      <c r="J235" s="1" t="s">
        <v>145</v>
      </c>
    </row>
    <row r="236" spans="1:10" x14ac:dyDescent="0.3">
      <c r="A236" s="9">
        <v>86</v>
      </c>
      <c r="B236">
        <v>14388</v>
      </c>
      <c r="C236" s="9">
        <v>9656</v>
      </c>
      <c r="D236" t="s">
        <v>144</v>
      </c>
      <c r="E236" s="9">
        <v>0</v>
      </c>
      <c r="F236" s="1">
        <v>43812.529861111114</v>
      </c>
      <c r="G236">
        <v>0</v>
      </c>
      <c r="H236" s="1"/>
      <c r="I236" s="1" t="s">
        <v>478</v>
      </c>
      <c r="J236" s="1" t="s">
        <v>145</v>
      </c>
    </row>
    <row r="237" spans="1:10" x14ac:dyDescent="0.3">
      <c r="A237" s="9">
        <v>86</v>
      </c>
      <c r="B237">
        <v>9672</v>
      </c>
      <c r="C237" s="9">
        <v>9656</v>
      </c>
      <c r="D237" t="s">
        <v>144</v>
      </c>
      <c r="E237" s="9">
        <v>0</v>
      </c>
      <c r="F237" s="1">
        <v>43812.52983796296</v>
      </c>
      <c r="G237">
        <v>0</v>
      </c>
      <c r="H237" s="1"/>
      <c r="I237" s="1" t="s">
        <v>479</v>
      </c>
      <c r="J237" s="1" t="s">
        <v>145</v>
      </c>
    </row>
    <row r="238" spans="1:10" x14ac:dyDescent="0.3">
      <c r="A238" s="9">
        <v>86</v>
      </c>
      <c r="B238">
        <v>9164</v>
      </c>
      <c r="C238" s="9">
        <v>9656</v>
      </c>
      <c r="D238" t="s">
        <v>144</v>
      </c>
      <c r="E238" s="9">
        <v>0</v>
      </c>
      <c r="F238" s="1">
        <v>43812.529791666668</v>
      </c>
      <c r="G238">
        <v>0</v>
      </c>
      <c r="H238" s="1"/>
      <c r="I238" s="1" t="s">
        <v>480</v>
      </c>
      <c r="J238" s="1" t="s">
        <v>145</v>
      </c>
    </row>
    <row r="239" spans="1:10" x14ac:dyDescent="0.3">
      <c r="A239" s="9">
        <v>86</v>
      </c>
      <c r="B239">
        <v>14384</v>
      </c>
      <c r="C239" s="9">
        <v>9656</v>
      </c>
      <c r="D239" t="s">
        <v>144</v>
      </c>
      <c r="E239" s="9">
        <v>0</v>
      </c>
      <c r="F239" s="1">
        <v>43812.529745370368</v>
      </c>
      <c r="G239">
        <v>0</v>
      </c>
      <c r="H239" s="1"/>
      <c r="I239" s="1" t="s">
        <v>481</v>
      </c>
      <c r="J239" s="1" t="s">
        <v>325</v>
      </c>
    </row>
    <row r="240" spans="1:10" x14ac:dyDescent="0.3">
      <c r="A240" s="9">
        <v>86</v>
      </c>
      <c r="B240">
        <v>3404</v>
      </c>
      <c r="C240" s="9">
        <v>9656</v>
      </c>
      <c r="D240" t="s">
        <v>144</v>
      </c>
      <c r="E240" s="9">
        <v>0</v>
      </c>
      <c r="F240" s="1">
        <v>43812.529699074075</v>
      </c>
      <c r="G240">
        <v>0</v>
      </c>
      <c r="H240" s="1"/>
      <c r="I240" s="1" t="s">
        <v>482</v>
      </c>
      <c r="J240" s="1" t="s">
        <v>145</v>
      </c>
    </row>
    <row r="241" spans="1:10" x14ac:dyDescent="0.3">
      <c r="A241" s="9">
        <v>86</v>
      </c>
      <c r="B241">
        <v>1164</v>
      </c>
      <c r="C241" s="9">
        <v>9656</v>
      </c>
      <c r="D241" t="s">
        <v>144</v>
      </c>
      <c r="E241" s="9">
        <v>0</v>
      </c>
      <c r="F241" s="1">
        <v>43812.529664351852</v>
      </c>
      <c r="G241">
        <v>0</v>
      </c>
      <c r="H241" s="1"/>
      <c r="I241" s="1" t="s">
        <v>483</v>
      </c>
      <c r="J241" s="1" t="s">
        <v>145</v>
      </c>
    </row>
    <row r="242" spans="1:10" x14ac:dyDescent="0.3">
      <c r="A242" s="9">
        <v>86</v>
      </c>
      <c r="B242">
        <v>17520</v>
      </c>
      <c r="C242" s="9">
        <v>9656</v>
      </c>
      <c r="D242" t="s">
        <v>144</v>
      </c>
      <c r="E242" s="9">
        <v>0</v>
      </c>
      <c r="F242" s="1">
        <v>43812.529629629629</v>
      </c>
      <c r="G242">
        <v>0</v>
      </c>
      <c r="H242" s="1"/>
      <c r="I242" s="1" t="s">
        <v>484</v>
      </c>
      <c r="J242" s="1" t="s">
        <v>145</v>
      </c>
    </row>
    <row r="243" spans="1:10" x14ac:dyDescent="0.3">
      <c r="A243" s="9">
        <v>86</v>
      </c>
      <c r="B243">
        <v>4308</v>
      </c>
      <c r="C243" s="9">
        <v>9656</v>
      </c>
      <c r="D243" t="s">
        <v>144</v>
      </c>
      <c r="E243" s="9">
        <v>0</v>
      </c>
      <c r="F243" s="1">
        <v>43812.529606481483</v>
      </c>
      <c r="G243">
        <v>0</v>
      </c>
      <c r="H243" s="1"/>
      <c r="I243" s="1" t="s">
        <v>485</v>
      </c>
      <c r="J243" s="1" t="s">
        <v>325</v>
      </c>
    </row>
    <row r="244" spans="1:10" x14ac:dyDescent="0.3">
      <c r="A244" s="9">
        <v>86</v>
      </c>
      <c r="B244">
        <v>19260</v>
      </c>
      <c r="C244" s="9">
        <v>9656</v>
      </c>
      <c r="D244" t="s">
        <v>144</v>
      </c>
      <c r="E244" s="9">
        <v>0</v>
      </c>
      <c r="F244" s="1">
        <v>43812.529548611114</v>
      </c>
      <c r="G244">
        <v>0</v>
      </c>
      <c r="H244" s="1"/>
      <c r="I244" s="1" t="s">
        <v>486</v>
      </c>
      <c r="J244" s="1" t="s">
        <v>325</v>
      </c>
    </row>
    <row r="245" spans="1:10" x14ac:dyDescent="0.3">
      <c r="A245" s="9">
        <v>86</v>
      </c>
      <c r="B245">
        <v>18067</v>
      </c>
      <c r="C245" s="9">
        <v>9656</v>
      </c>
      <c r="D245" t="s">
        <v>144</v>
      </c>
      <c r="E245" s="9">
        <v>0</v>
      </c>
      <c r="F245" s="1">
        <v>43812.529502314814</v>
      </c>
      <c r="G245">
        <v>0</v>
      </c>
      <c r="H245" s="1"/>
      <c r="I245" s="1" t="s">
        <v>487</v>
      </c>
      <c r="J245" s="1" t="s">
        <v>145</v>
      </c>
    </row>
    <row r="246" spans="1:10" x14ac:dyDescent="0.3">
      <c r="A246" s="9">
        <v>86</v>
      </c>
      <c r="B246">
        <v>20432</v>
      </c>
      <c r="C246" s="9">
        <v>9656</v>
      </c>
      <c r="D246" t="s">
        <v>144</v>
      </c>
      <c r="E246" s="9">
        <v>0</v>
      </c>
      <c r="F246" s="1">
        <v>43812.529467592591</v>
      </c>
      <c r="G246">
        <v>0</v>
      </c>
      <c r="H246" s="1"/>
      <c r="I246" s="1" t="s">
        <v>488</v>
      </c>
      <c r="J246" s="1" t="s">
        <v>145</v>
      </c>
    </row>
    <row r="247" spans="1:10" x14ac:dyDescent="0.3">
      <c r="A247" s="9">
        <v>86</v>
      </c>
      <c r="B247">
        <v>15540</v>
      </c>
      <c r="C247" s="9">
        <v>9656</v>
      </c>
      <c r="D247" t="s">
        <v>144</v>
      </c>
      <c r="E247" s="9">
        <v>0</v>
      </c>
      <c r="F247" s="1">
        <v>43812.529432870368</v>
      </c>
      <c r="G247">
        <v>0</v>
      </c>
      <c r="H247" s="1"/>
      <c r="I247" s="1" t="s">
        <v>489</v>
      </c>
      <c r="J247" s="1" t="s">
        <v>145</v>
      </c>
    </row>
    <row r="248" spans="1:10" x14ac:dyDescent="0.3">
      <c r="A248" s="9">
        <v>86</v>
      </c>
      <c r="B248">
        <v>14620</v>
      </c>
      <c r="C248" s="9">
        <v>9656</v>
      </c>
      <c r="D248" t="s">
        <v>144</v>
      </c>
      <c r="E248" s="9">
        <v>0</v>
      </c>
      <c r="F248" s="1">
        <v>43812.529386574075</v>
      </c>
      <c r="G248">
        <v>0</v>
      </c>
      <c r="H248" s="1"/>
      <c r="I248" s="1" t="s">
        <v>490</v>
      </c>
      <c r="J248" s="1" t="s">
        <v>145</v>
      </c>
    </row>
    <row r="249" spans="1:10" x14ac:dyDescent="0.3">
      <c r="A249" s="9">
        <v>86</v>
      </c>
      <c r="B249">
        <v>9656</v>
      </c>
      <c r="C249" s="9">
        <v>9656</v>
      </c>
      <c r="D249" t="s">
        <v>144</v>
      </c>
      <c r="E249" s="9">
        <v>0</v>
      </c>
      <c r="F249" s="1">
        <v>43812.528090277781</v>
      </c>
      <c r="G249">
        <v>1</v>
      </c>
      <c r="H249" s="1" t="s">
        <v>454</v>
      </c>
      <c r="I249" s="1"/>
      <c r="J249" s="1" t="s">
        <v>504</v>
      </c>
    </row>
    <row r="250" spans="1:10" x14ac:dyDescent="0.3">
      <c r="A250" s="9">
        <v>79</v>
      </c>
      <c r="B250">
        <v>10796</v>
      </c>
      <c r="C250" s="9">
        <v>20232</v>
      </c>
      <c r="D250" t="s">
        <v>144</v>
      </c>
      <c r="E250" s="9">
        <v>0</v>
      </c>
      <c r="F250" s="1">
        <v>43812.420798611114</v>
      </c>
      <c r="G250">
        <v>0</v>
      </c>
      <c r="H250" s="1"/>
      <c r="I250" s="1" t="s">
        <v>333</v>
      </c>
      <c r="J250" s="1" t="s">
        <v>325</v>
      </c>
    </row>
    <row r="251" spans="1:10" x14ac:dyDescent="0.3">
      <c r="A251" s="9">
        <v>79</v>
      </c>
      <c r="B251">
        <v>16508</v>
      </c>
      <c r="C251" s="9">
        <v>20232</v>
      </c>
      <c r="D251" t="s">
        <v>144</v>
      </c>
      <c r="E251" s="9">
        <v>0</v>
      </c>
      <c r="F251" s="1">
        <v>43812.420752314814</v>
      </c>
      <c r="G251">
        <v>0</v>
      </c>
      <c r="H251" s="1"/>
      <c r="I251" s="1" t="s">
        <v>334</v>
      </c>
      <c r="J251" s="1" t="s">
        <v>325</v>
      </c>
    </row>
    <row r="252" spans="1:10" x14ac:dyDescent="0.3">
      <c r="A252" s="9">
        <v>79</v>
      </c>
      <c r="B252">
        <v>16032</v>
      </c>
      <c r="C252" s="9">
        <v>20232</v>
      </c>
      <c r="D252" t="s">
        <v>144</v>
      </c>
      <c r="E252" s="9">
        <v>0</v>
      </c>
      <c r="F252" s="1">
        <v>43812.420706018522</v>
      </c>
      <c r="G252">
        <v>0</v>
      </c>
      <c r="H252" s="1"/>
      <c r="I252" s="1" t="s">
        <v>335</v>
      </c>
      <c r="J252" s="1" t="s">
        <v>325</v>
      </c>
    </row>
    <row r="253" spans="1:10" x14ac:dyDescent="0.3">
      <c r="A253" s="9">
        <v>79</v>
      </c>
      <c r="B253">
        <v>12096</v>
      </c>
      <c r="C253" s="9">
        <v>20232</v>
      </c>
      <c r="D253" t="s">
        <v>144</v>
      </c>
      <c r="E253" s="9">
        <v>0</v>
      </c>
      <c r="F253" s="1">
        <v>43812.420671296299</v>
      </c>
      <c r="G253">
        <v>0</v>
      </c>
      <c r="H253" s="1"/>
      <c r="I253" s="1" t="s">
        <v>336</v>
      </c>
      <c r="J253" s="1" t="s">
        <v>325</v>
      </c>
    </row>
    <row r="254" spans="1:10" x14ac:dyDescent="0.3">
      <c r="A254" s="9">
        <v>79</v>
      </c>
      <c r="B254">
        <v>18136</v>
      </c>
      <c r="C254" s="9">
        <v>20232</v>
      </c>
      <c r="D254" t="s">
        <v>144</v>
      </c>
      <c r="E254" s="9">
        <v>0</v>
      </c>
      <c r="F254" s="1">
        <v>43812.420624999999</v>
      </c>
      <c r="G254">
        <v>0</v>
      </c>
      <c r="H254" s="1"/>
      <c r="I254" s="1" t="s">
        <v>337</v>
      </c>
      <c r="J254" s="1" t="s">
        <v>325</v>
      </c>
    </row>
    <row r="255" spans="1:10" x14ac:dyDescent="0.3">
      <c r="A255" s="9">
        <v>79</v>
      </c>
      <c r="B255">
        <v>19428</v>
      </c>
      <c r="C255" s="9">
        <v>20232</v>
      </c>
      <c r="D255" t="s">
        <v>144</v>
      </c>
      <c r="E255" s="9">
        <v>0</v>
      </c>
      <c r="F255" s="1">
        <v>43812.420590277776</v>
      </c>
      <c r="G255">
        <v>0</v>
      </c>
      <c r="H255" s="1"/>
      <c r="I255" s="1" t="s">
        <v>338</v>
      </c>
      <c r="J255" s="1" t="s">
        <v>325</v>
      </c>
    </row>
    <row r="256" spans="1:10" x14ac:dyDescent="0.3">
      <c r="A256" s="9">
        <v>79</v>
      </c>
      <c r="B256">
        <v>12631</v>
      </c>
      <c r="C256" s="9">
        <v>20232</v>
      </c>
      <c r="D256" t="s">
        <v>144</v>
      </c>
      <c r="E256" s="9">
        <v>0</v>
      </c>
      <c r="F256" s="1">
        <v>43812.420532407406</v>
      </c>
      <c r="G256">
        <v>0</v>
      </c>
      <c r="H256" s="1"/>
      <c r="I256" s="1" t="s">
        <v>339</v>
      </c>
      <c r="J256" s="1" t="s">
        <v>341</v>
      </c>
    </row>
    <row r="257" spans="1:10" x14ac:dyDescent="0.3">
      <c r="A257" s="9">
        <v>79</v>
      </c>
      <c r="B257">
        <v>19860</v>
      </c>
      <c r="C257" s="9">
        <v>20232</v>
      </c>
      <c r="D257" t="s">
        <v>144</v>
      </c>
      <c r="E257" s="9">
        <v>0</v>
      </c>
      <c r="F257" s="1">
        <v>43812.420486111114</v>
      </c>
      <c r="G257">
        <v>0</v>
      </c>
      <c r="H257" s="1"/>
      <c r="I257" s="1" t="s">
        <v>340</v>
      </c>
      <c r="J257" s="1" t="s">
        <v>325</v>
      </c>
    </row>
    <row r="258" spans="1:10" x14ac:dyDescent="0.3">
      <c r="A258" s="9">
        <v>79</v>
      </c>
      <c r="B258">
        <v>12996</v>
      </c>
      <c r="C258" s="9">
        <v>20232</v>
      </c>
      <c r="D258" t="s">
        <v>144</v>
      </c>
      <c r="E258" s="9">
        <v>0</v>
      </c>
      <c r="F258" s="1">
        <v>43812.420439814814</v>
      </c>
      <c r="G258">
        <v>0</v>
      </c>
      <c r="H258" s="1"/>
      <c r="I258" s="1" t="s">
        <v>342</v>
      </c>
      <c r="J258" s="1" t="s">
        <v>325</v>
      </c>
    </row>
    <row r="259" spans="1:10" x14ac:dyDescent="0.3">
      <c r="A259" s="9">
        <v>79</v>
      </c>
      <c r="B259">
        <v>17200</v>
      </c>
      <c r="C259" s="9">
        <v>20232</v>
      </c>
      <c r="D259" t="s">
        <v>144</v>
      </c>
      <c r="E259" s="9">
        <v>0</v>
      </c>
      <c r="F259" s="1">
        <v>43812.420393518521</v>
      </c>
      <c r="G259">
        <v>0</v>
      </c>
      <c r="H259" s="1"/>
      <c r="I259" s="1" t="s">
        <v>343</v>
      </c>
      <c r="J259" s="1" t="s">
        <v>325</v>
      </c>
    </row>
    <row r="260" spans="1:10" x14ac:dyDescent="0.3">
      <c r="A260" s="9">
        <v>79</v>
      </c>
      <c r="B260">
        <v>14508</v>
      </c>
      <c r="C260" s="9">
        <v>20232</v>
      </c>
      <c r="D260" t="s">
        <v>144</v>
      </c>
      <c r="E260" s="9">
        <v>0</v>
      </c>
      <c r="F260" s="1">
        <v>43812.420347222222</v>
      </c>
      <c r="G260">
        <v>0</v>
      </c>
      <c r="H260" s="1"/>
      <c r="I260" s="1" t="s">
        <v>344</v>
      </c>
      <c r="J260" s="1" t="s">
        <v>341</v>
      </c>
    </row>
    <row r="261" spans="1:10" x14ac:dyDescent="0.3">
      <c r="A261" s="9">
        <v>79</v>
      </c>
      <c r="B261">
        <v>388</v>
      </c>
      <c r="C261" s="9">
        <v>20232</v>
      </c>
      <c r="D261" t="s">
        <v>144</v>
      </c>
      <c r="E261" s="9">
        <v>0</v>
      </c>
      <c r="F261" s="1">
        <v>43812.420289351852</v>
      </c>
      <c r="G261">
        <v>0</v>
      </c>
      <c r="H261" s="1"/>
      <c r="I261" s="1" t="s">
        <v>345</v>
      </c>
      <c r="J261" s="1" t="s">
        <v>325</v>
      </c>
    </row>
    <row r="262" spans="1:10" x14ac:dyDescent="0.3">
      <c r="A262" s="9">
        <v>79</v>
      </c>
      <c r="B262">
        <v>17088</v>
      </c>
      <c r="C262" s="9">
        <v>20232</v>
      </c>
      <c r="D262" t="s">
        <v>144</v>
      </c>
      <c r="E262" s="9">
        <v>0</v>
      </c>
      <c r="F262" s="1">
        <v>43812.420231481483</v>
      </c>
      <c r="G262">
        <v>0</v>
      </c>
      <c r="H262" s="1"/>
      <c r="I262" s="1" t="s">
        <v>346</v>
      </c>
      <c r="J262" s="1" t="s">
        <v>325</v>
      </c>
    </row>
    <row r="263" spans="1:10" x14ac:dyDescent="0.3">
      <c r="A263" s="9">
        <v>79</v>
      </c>
      <c r="B263">
        <v>9856</v>
      </c>
      <c r="C263" s="9">
        <v>20232</v>
      </c>
      <c r="D263" t="s">
        <v>144</v>
      </c>
      <c r="E263" s="9">
        <v>0</v>
      </c>
      <c r="F263" s="1">
        <v>43812.42019675926</v>
      </c>
      <c r="G263">
        <v>0</v>
      </c>
      <c r="H263" s="1"/>
      <c r="I263" s="1" t="s">
        <v>347</v>
      </c>
      <c r="J263" s="1" t="s">
        <v>325</v>
      </c>
    </row>
    <row r="264" spans="1:10" x14ac:dyDescent="0.3">
      <c r="A264" s="9">
        <v>79</v>
      </c>
      <c r="B264">
        <v>10968</v>
      </c>
      <c r="C264" s="9">
        <v>20232</v>
      </c>
      <c r="D264" t="s">
        <v>144</v>
      </c>
      <c r="E264" s="9">
        <v>0</v>
      </c>
      <c r="F264" s="1">
        <v>43812.420162037037</v>
      </c>
      <c r="G264">
        <v>0</v>
      </c>
      <c r="H264" s="1"/>
      <c r="I264" s="1" t="s">
        <v>348</v>
      </c>
      <c r="J264" s="1" t="s">
        <v>325</v>
      </c>
    </row>
    <row r="265" spans="1:10" x14ac:dyDescent="0.3">
      <c r="A265" s="9">
        <v>79</v>
      </c>
      <c r="B265">
        <v>12860</v>
      </c>
      <c r="C265" s="9">
        <v>20232</v>
      </c>
      <c r="D265" t="s">
        <v>144</v>
      </c>
      <c r="E265" s="9">
        <v>0</v>
      </c>
      <c r="F265" s="1">
        <v>43812.420115740744</v>
      </c>
      <c r="G265">
        <v>0</v>
      </c>
      <c r="H265" s="1"/>
      <c r="I265" s="1" t="s">
        <v>453</v>
      </c>
      <c r="J265" s="1" t="s">
        <v>325</v>
      </c>
    </row>
    <row r="266" spans="1:10" x14ac:dyDescent="0.3">
      <c r="A266" s="9">
        <v>79</v>
      </c>
      <c r="B266">
        <v>8852</v>
      </c>
      <c r="C266" s="9">
        <v>20232</v>
      </c>
      <c r="D266" t="s">
        <v>144</v>
      </c>
      <c r="E266" s="9">
        <v>0</v>
      </c>
      <c r="F266" s="1">
        <v>43812.420057870368</v>
      </c>
      <c r="G266">
        <v>0</v>
      </c>
      <c r="H266" s="1"/>
      <c r="I266" s="1" t="s">
        <v>349</v>
      </c>
      <c r="J266" s="1" t="s">
        <v>325</v>
      </c>
    </row>
    <row r="267" spans="1:10" x14ac:dyDescent="0.3">
      <c r="A267" s="9">
        <v>79</v>
      </c>
      <c r="B267">
        <v>1480</v>
      </c>
      <c r="C267" s="9">
        <v>20232</v>
      </c>
      <c r="D267" t="s">
        <v>144</v>
      </c>
      <c r="E267" s="9">
        <v>0</v>
      </c>
      <c r="F267" s="1">
        <v>43812.420023148145</v>
      </c>
      <c r="G267">
        <v>0</v>
      </c>
      <c r="H267" s="1"/>
      <c r="I267" s="1" t="s">
        <v>452</v>
      </c>
      <c r="J267" s="1" t="s">
        <v>325</v>
      </c>
    </row>
    <row r="268" spans="1:10" x14ac:dyDescent="0.3">
      <c r="A268" s="9">
        <v>79</v>
      </c>
      <c r="B268">
        <v>18712</v>
      </c>
      <c r="C268" s="9">
        <v>20232</v>
      </c>
      <c r="D268" t="s">
        <v>144</v>
      </c>
      <c r="E268" s="9">
        <v>0</v>
      </c>
      <c r="F268" s="1">
        <v>43812.42</v>
      </c>
      <c r="G268">
        <v>0</v>
      </c>
      <c r="H268" s="1"/>
      <c r="I268" s="1" t="s">
        <v>451</v>
      </c>
      <c r="J268" s="1" t="s">
        <v>325</v>
      </c>
    </row>
    <row r="269" spans="1:10" x14ac:dyDescent="0.3">
      <c r="A269" s="9">
        <v>79</v>
      </c>
      <c r="B269">
        <v>5816</v>
      </c>
      <c r="C269" s="9">
        <v>20232</v>
      </c>
      <c r="D269" t="s">
        <v>144</v>
      </c>
      <c r="E269" s="9">
        <v>0</v>
      </c>
      <c r="F269" s="1">
        <v>43812.419965277775</v>
      </c>
      <c r="G269">
        <v>0</v>
      </c>
      <c r="H269" s="1"/>
      <c r="I269" s="1" t="s">
        <v>450</v>
      </c>
      <c r="J269" s="1" t="s">
        <v>325</v>
      </c>
    </row>
    <row r="270" spans="1:10" x14ac:dyDescent="0.3">
      <c r="A270" s="9">
        <v>79</v>
      </c>
      <c r="B270">
        <v>6203</v>
      </c>
      <c r="C270" s="9">
        <v>20232</v>
      </c>
      <c r="D270" t="s">
        <v>144</v>
      </c>
      <c r="E270" s="9">
        <v>0</v>
      </c>
      <c r="F270" s="1">
        <v>43812.419895833336</v>
      </c>
      <c r="G270">
        <v>0</v>
      </c>
      <c r="H270" s="1"/>
      <c r="I270" s="1" t="s">
        <v>449</v>
      </c>
      <c r="J270" s="1" t="s">
        <v>325</v>
      </c>
    </row>
    <row r="271" spans="1:10" x14ac:dyDescent="0.3">
      <c r="A271" s="9">
        <v>79</v>
      </c>
      <c r="B271">
        <v>17944</v>
      </c>
      <c r="C271" s="9">
        <v>20232</v>
      </c>
      <c r="D271" t="s">
        <v>144</v>
      </c>
      <c r="E271" s="9">
        <v>0</v>
      </c>
      <c r="F271" s="1">
        <v>43812.419849537036</v>
      </c>
      <c r="G271">
        <v>0</v>
      </c>
      <c r="H271" s="1"/>
      <c r="I271" s="1" t="s">
        <v>448</v>
      </c>
      <c r="J271" s="1" t="s">
        <v>325</v>
      </c>
    </row>
    <row r="272" spans="1:10" x14ac:dyDescent="0.3">
      <c r="A272" s="9">
        <v>79</v>
      </c>
      <c r="B272">
        <v>19588</v>
      </c>
      <c r="C272" s="9">
        <v>20232</v>
      </c>
      <c r="D272" t="s">
        <v>144</v>
      </c>
      <c r="E272" s="9">
        <v>0</v>
      </c>
      <c r="F272" s="1">
        <v>43812.419814814813</v>
      </c>
      <c r="G272">
        <v>0</v>
      </c>
      <c r="H272" s="1"/>
      <c r="I272" s="1" t="s">
        <v>447</v>
      </c>
      <c r="J272" s="1" t="s">
        <v>325</v>
      </c>
    </row>
    <row r="273" spans="1:10" x14ac:dyDescent="0.3">
      <c r="A273" s="9">
        <v>79</v>
      </c>
      <c r="B273">
        <v>17956</v>
      </c>
      <c r="C273" s="9">
        <v>20232</v>
      </c>
      <c r="D273" t="s">
        <v>144</v>
      </c>
      <c r="E273" s="9">
        <v>0</v>
      </c>
      <c r="F273" s="1">
        <v>43812.419768518521</v>
      </c>
      <c r="G273">
        <v>0</v>
      </c>
      <c r="H273" s="1"/>
      <c r="I273" s="1" t="s">
        <v>446</v>
      </c>
      <c r="J273" s="1" t="s">
        <v>325</v>
      </c>
    </row>
    <row r="274" spans="1:10" x14ac:dyDescent="0.3">
      <c r="A274" s="9">
        <v>78</v>
      </c>
      <c r="B274">
        <v>10744</v>
      </c>
      <c r="C274" s="9">
        <v>20232</v>
      </c>
      <c r="D274" t="s">
        <v>144</v>
      </c>
      <c r="E274" s="9">
        <v>0</v>
      </c>
      <c r="F274" s="1">
        <v>43812.419236111113</v>
      </c>
      <c r="G274">
        <v>0</v>
      </c>
      <c r="H274" s="1"/>
      <c r="I274" s="1" t="s">
        <v>333</v>
      </c>
      <c r="J274" s="1" t="s">
        <v>325</v>
      </c>
    </row>
    <row r="275" spans="1:10" x14ac:dyDescent="0.3">
      <c r="A275" s="9">
        <v>78</v>
      </c>
      <c r="B275">
        <v>2236</v>
      </c>
      <c r="C275" s="9">
        <v>20232</v>
      </c>
      <c r="D275" t="s">
        <v>144</v>
      </c>
      <c r="E275" s="9">
        <v>0</v>
      </c>
      <c r="F275" s="1">
        <v>43812.406423611108</v>
      </c>
      <c r="G275">
        <v>0</v>
      </c>
      <c r="H275" s="1"/>
      <c r="I275" s="1" t="s">
        <v>333</v>
      </c>
      <c r="J275" s="1" t="s">
        <v>341</v>
      </c>
    </row>
    <row r="276" spans="1:10" x14ac:dyDescent="0.3">
      <c r="A276" s="9">
        <v>78</v>
      </c>
      <c r="B276">
        <v>8292</v>
      </c>
      <c r="C276" s="9">
        <v>20232</v>
      </c>
      <c r="D276" t="s">
        <v>144</v>
      </c>
      <c r="E276" s="9">
        <v>0</v>
      </c>
      <c r="F276" s="1">
        <v>43812.406377314815</v>
      </c>
      <c r="G276">
        <v>0</v>
      </c>
      <c r="H276" s="1"/>
      <c r="I276" s="1" t="s">
        <v>334</v>
      </c>
      <c r="J276" s="1" t="s">
        <v>325</v>
      </c>
    </row>
    <row r="277" spans="1:10" x14ac:dyDescent="0.3">
      <c r="A277" s="9">
        <v>78</v>
      </c>
      <c r="B277">
        <v>11332</v>
      </c>
      <c r="C277" s="9">
        <v>20232</v>
      </c>
      <c r="D277" t="s">
        <v>144</v>
      </c>
      <c r="E277" s="9">
        <v>0</v>
      </c>
      <c r="F277" s="1">
        <v>43812.406342592592</v>
      </c>
      <c r="G277">
        <v>0</v>
      </c>
      <c r="H277" s="1"/>
      <c r="I277" s="1" t="s">
        <v>335</v>
      </c>
      <c r="J277" s="1" t="s">
        <v>325</v>
      </c>
    </row>
    <row r="278" spans="1:10" x14ac:dyDescent="0.3">
      <c r="A278" s="9">
        <v>78</v>
      </c>
      <c r="B278">
        <v>10164</v>
      </c>
      <c r="C278" s="9">
        <v>20232</v>
      </c>
      <c r="D278" t="s">
        <v>144</v>
      </c>
      <c r="E278" s="9">
        <v>0</v>
      </c>
      <c r="F278" s="1">
        <v>43812.4062962963</v>
      </c>
      <c r="G278">
        <v>0</v>
      </c>
      <c r="H278" s="1"/>
      <c r="I278" s="1" t="s">
        <v>336</v>
      </c>
      <c r="J278" s="1" t="s">
        <v>325</v>
      </c>
    </row>
    <row r="279" spans="1:10" x14ac:dyDescent="0.3">
      <c r="A279" s="9">
        <v>78</v>
      </c>
      <c r="B279">
        <v>2080</v>
      </c>
      <c r="C279" s="9">
        <v>20232</v>
      </c>
      <c r="D279" t="s">
        <v>144</v>
      </c>
      <c r="E279" s="9">
        <v>0</v>
      </c>
      <c r="F279" s="1">
        <v>43812.406261574077</v>
      </c>
      <c r="G279">
        <v>0</v>
      </c>
      <c r="H279" s="1"/>
      <c r="I279" s="1" t="s">
        <v>337</v>
      </c>
      <c r="J279" s="1" t="s">
        <v>325</v>
      </c>
    </row>
    <row r="280" spans="1:10" x14ac:dyDescent="0.3">
      <c r="A280" s="9">
        <v>78</v>
      </c>
      <c r="B280">
        <v>2392</v>
      </c>
      <c r="C280" s="9">
        <v>20232</v>
      </c>
      <c r="D280" t="s">
        <v>144</v>
      </c>
      <c r="E280" s="9">
        <v>0</v>
      </c>
      <c r="F280" s="1">
        <v>43812.406192129631</v>
      </c>
      <c r="G280">
        <v>0</v>
      </c>
      <c r="H280" s="1"/>
      <c r="I280" s="1" t="s">
        <v>338</v>
      </c>
      <c r="J280" s="1" t="s">
        <v>325</v>
      </c>
    </row>
    <row r="281" spans="1:10" x14ac:dyDescent="0.3">
      <c r="A281" s="9">
        <v>78</v>
      </c>
      <c r="B281">
        <v>4032</v>
      </c>
      <c r="C281" s="9">
        <v>20232</v>
      </c>
      <c r="D281" t="s">
        <v>144</v>
      </c>
      <c r="E281" s="9">
        <v>0</v>
      </c>
      <c r="F281" s="1">
        <v>43812.406157407408</v>
      </c>
      <c r="G281">
        <v>0</v>
      </c>
      <c r="H281" s="1"/>
      <c r="I281" s="1" t="s">
        <v>339</v>
      </c>
      <c r="J281" s="1" t="s">
        <v>325</v>
      </c>
    </row>
    <row r="282" spans="1:10" x14ac:dyDescent="0.3">
      <c r="A282" s="9">
        <v>78</v>
      </c>
      <c r="B282">
        <v>17708</v>
      </c>
      <c r="C282" s="9">
        <v>20232</v>
      </c>
      <c r="D282" t="s">
        <v>144</v>
      </c>
      <c r="E282" s="9">
        <v>0</v>
      </c>
      <c r="F282" s="1">
        <v>43812.406111111108</v>
      </c>
      <c r="G282">
        <v>0</v>
      </c>
      <c r="H282" s="1"/>
      <c r="I282" s="1" t="s">
        <v>340</v>
      </c>
      <c r="J282" s="1" t="s">
        <v>325</v>
      </c>
    </row>
    <row r="283" spans="1:10" x14ac:dyDescent="0.3">
      <c r="A283" s="9">
        <v>78</v>
      </c>
      <c r="B283">
        <v>17804</v>
      </c>
      <c r="C283" s="9">
        <v>20232</v>
      </c>
      <c r="D283" t="s">
        <v>144</v>
      </c>
      <c r="E283" s="9">
        <v>0</v>
      </c>
      <c r="F283" s="1">
        <v>43812.406076388892</v>
      </c>
      <c r="G283">
        <v>0</v>
      </c>
      <c r="H283" s="1"/>
      <c r="I283" s="1" t="s">
        <v>342</v>
      </c>
      <c r="J283" s="1" t="s">
        <v>325</v>
      </c>
    </row>
    <row r="284" spans="1:10" x14ac:dyDescent="0.3">
      <c r="A284" s="9">
        <v>78</v>
      </c>
      <c r="B284">
        <v>12292</v>
      </c>
      <c r="C284" s="9">
        <v>20232</v>
      </c>
      <c r="D284" t="s">
        <v>144</v>
      </c>
      <c r="E284" s="9">
        <v>0</v>
      </c>
      <c r="F284" s="1">
        <v>43812.406041666669</v>
      </c>
      <c r="G284">
        <v>0</v>
      </c>
      <c r="H284" s="1"/>
      <c r="I284" s="1" t="s">
        <v>343</v>
      </c>
      <c r="J284" s="1" t="s">
        <v>325</v>
      </c>
    </row>
    <row r="285" spans="1:10" x14ac:dyDescent="0.3">
      <c r="A285" s="9">
        <v>78</v>
      </c>
      <c r="B285">
        <v>18832</v>
      </c>
      <c r="C285" s="9">
        <v>20232</v>
      </c>
      <c r="D285" t="s">
        <v>144</v>
      </c>
      <c r="E285" s="9">
        <v>0</v>
      </c>
      <c r="F285" s="1">
        <v>43812.406006944446</v>
      </c>
      <c r="G285">
        <v>0</v>
      </c>
      <c r="H285" s="1"/>
      <c r="I285" s="1" t="s">
        <v>344</v>
      </c>
      <c r="J285" s="1" t="s">
        <v>325</v>
      </c>
    </row>
    <row r="286" spans="1:10" x14ac:dyDescent="0.3">
      <c r="A286" s="9">
        <v>78</v>
      </c>
      <c r="B286">
        <v>17440</v>
      </c>
      <c r="C286" s="9">
        <v>20232</v>
      </c>
      <c r="D286" t="s">
        <v>144</v>
      </c>
      <c r="E286" s="9">
        <v>0</v>
      </c>
      <c r="F286" s="1">
        <v>43812.405949074076</v>
      </c>
      <c r="G286">
        <v>0</v>
      </c>
      <c r="H286" s="1"/>
      <c r="I286" s="1" t="s">
        <v>345</v>
      </c>
      <c r="J286" s="1" t="s">
        <v>325</v>
      </c>
    </row>
    <row r="287" spans="1:10" x14ac:dyDescent="0.3">
      <c r="A287" s="9">
        <v>78</v>
      </c>
      <c r="B287">
        <v>17188</v>
      </c>
      <c r="C287" s="9">
        <v>20232</v>
      </c>
      <c r="D287" t="s">
        <v>144</v>
      </c>
      <c r="E287" s="9">
        <v>0</v>
      </c>
      <c r="F287" s="1">
        <v>43812.405914351853</v>
      </c>
      <c r="G287">
        <v>0</v>
      </c>
      <c r="H287" s="1"/>
      <c r="I287" s="1" t="s">
        <v>346</v>
      </c>
      <c r="J287" s="1" t="s">
        <v>325</v>
      </c>
    </row>
    <row r="288" spans="1:10" x14ac:dyDescent="0.3">
      <c r="A288" s="9">
        <v>78</v>
      </c>
      <c r="B288">
        <v>18580</v>
      </c>
      <c r="C288" s="9">
        <v>20232</v>
      </c>
      <c r="D288" t="s">
        <v>144</v>
      </c>
      <c r="E288" s="9">
        <v>0</v>
      </c>
      <c r="F288" s="1">
        <v>43812.40587962963</v>
      </c>
      <c r="G288">
        <v>0</v>
      </c>
      <c r="H288" s="1"/>
      <c r="I288" s="1" t="s">
        <v>347</v>
      </c>
      <c r="J288" s="1" t="s">
        <v>325</v>
      </c>
    </row>
    <row r="289" spans="1:10" x14ac:dyDescent="0.3">
      <c r="A289" s="9">
        <v>78</v>
      </c>
      <c r="B289">
        <v>17796</v>
      </c>
      <c r="C289" s="9">
        <v>20232</v>
      </c>
      <c r="D289" t="s">
        <v>144</v>
      </c>
      <c r="E289" s="9">
        <v>0</v>
      </c>
      <c r="F289" s="1">
        <v>43812.405833333331</v>
      </c>
      <c r="G289">
        <v>0</v>
      </c>
      <c r="H289" s="1"/>
      <c r="I289" s="1" t="s">
        <v>348</v>
      </c>
      <c r="J289" s="1" t="s">
        <v>325</v>
      </c>
    </row>
    <row r="290" spans="1:10" x14ac:dyDescent="0.3">
      <c r="A290" s="9">
        <v>78</v>
      </c>
      <c r="B290">
        <v>12740</v>
      </c>
      <c r="C290" s="9">
        <v>20232</v>
      </c>
      <c r="D290" t="s">
        <v>144</v>
      </c>
      <c r="E290" s="9">
        <v>0</v>
      </c>
      <c r="F290" s="1">
        <v>43812.405775462961</v>
      </c>
      <c r="G290">
        <v>0</v>
      </c>
      <c r="H290" s="1"/>
      <c r="I290" s="1" t="s">
        <v>453</v>
      </c>
      <c r="J290" s="1" t="s">
        <v>325</v>
      </c>
    </row>
    <row r="291" spans="1:10" x14ac:dyDescent="0.3">
      <c r="A291" s="9">
        <v>78</v>
      </c>
      <c r="B291">
        <v>9768</v>
      </c>
      <c r="C291" s="9">
        <v>20232</v>
      </c>
      <c r="D291" t="s">
        <v>144</v>
      </c>
      <c r="E291" s="9">
        <v>0</v>
      </c>
      <c r="F291" s="1">
        <v>43812.405729166669</v>
      </c>
      <c r="G291">
        <v>0</v>
      </c>
      <c r="H291" s="1"/>
      <c r="I291" s="1" t="s">
        <v>349</v>
      </c>
      <c r="J291" s="1" t="s">
        <v>325</v>
      </c>
    </row>
    <row r="292" spans="1:10" x14ac:dyDescent="0.3">
      <c r="A292" s="9">
        <v>78</v>
      </c>
      <c r="B292">
        <v>20260</v>
      </c>
      <c r="C292" s="9">
        <v>20232</v>
      </c>
      <c r="D292" t="s">
        <v>144</v>
      </c>
      <c r="E292" s="9">
        <v>0</v>
      </c>
      <c r="F292" s="1">
        <v>43812.405694444446</v>
      </c>
      <c r="G292">
        <v>0</v>
      </c>
      <c r="H292" s="1"/>
      <c r="I292" s="1" t="s">
        <v>452</v>
      </c>
      <c r="J292" s="1" t="s">
        <v>325</v>
      </c>
    </row>
    <row r="293" spans="1:10" x14ac:dyDescent="0.3">
      <c r="A293" s="9">
        <v>78</v>
      </c>
      <c r="B293">
        <v>11284</v>
      </c>
      <c r="C293" s="9">
        <v>20232</v>
      </c>
      <c r="D293" t="s">
        <v>144</v>
      </c>
      <c r="E293" s="9">
        <v>0</v>
      </c>
      <c r="F293" s="1">
        <v>43812.405648148146</v>
      </c>
      <c r="G293">
        <v>0</v>
      </c>
      <c r="H293" s="1"/>
      <c r="I293" s="1" t="s">
        <v>451</v>
      </c>
      <c r="J293" s="1" t="s">
        <v>325</v>
      </c>
    </row>
    <row r="294" spans="1:10" x14ac:dyDescent="0.3">
      <c r="A294" s="9">
        <v>78</v>
      </c>
      <c r="B294">
        <v>7720</v>
      </c>
      <c r="C294" s="9">
        <v>20232</v>
      </c>
      <c r="D294" t="s">
        <v>144</v>
      </c>
      <c r="E294" s="9">
        <v>0</v>
      </c>
      <c r="F294" s="1">
        <v>43812.405624999999</v>
      </c>
      <c r="G294">
        <v>0</v>
      </c>
      <c r="H294" s="1"/>
      <c r="I294" s="1" t="s">
        <v>450</v>
      </c>
      <c r="J294" s="1" t="s">
        <v>325</v>
      </c>
    </row>
    <row r="295" spans="1:10" x14ac:dyDescent="0.3">
      <c r="A295" s="9">
        <v>78</v>
      </c>
      <c r="B295">
        <v>15595</v>
      </c>
      <c r="C295" s="9">
        <v>20232</v>
      </c>
      <c r="D295" t="s">
        <v>144</v>
      </c>
      <c r="E295" s="9">
        <v>0</v>
      </c>
      <c r="F295" s="1">
        <v>43812.405590277776</v>
      </c>
      <c r="G295">
        <v>0</v>
      </c>
      <c r="H295" s="1"/>
      <c r="I295" s="1" t="s">
        <v>449</v>
      </c>
      <c r="J295" s="1" t="s">
        <v>325</v>
      </c>
    </row>
    <row r="296" spans="1:10" x14ac:dyDescent="0.3">
      <c r="A296" s="9">
        <v>78</v>
      </c>
      <c r="B296">
        <v>6932</v>
      </c>
      <c r="C296" s="9">
        <v>20232</v>
      </c>
      <c r="D296" t="s">
        <v>144</v>
      </c>
      <c r="E296" s="9">
        <v>0</v>
      </c>
      <c r="F296" s="1">
        <v>43812.405555555553</v>
      </c>
      <c r="G296">
        <v>0</v>
      </c>
      <c r="H296" s="1"/>
      <c r="I296" s="1" t="s">
        <v>448</v>
      </c>
      <c r="J296" s="1" t="s">
        <v>325</v>
      </c>
    </row>
    <row r="297" spans="1:10" x14ac:dyDescent="0.3">
      <c r="A297" s="9">
        <v>78</v>
      </c>
      <c r="B297">
        <v>16132</v>
      </c>
      <c r="C297" s="9">
        <v>20232</v>
      </c>
      <c r="D297" t="s">
        <v>144</v>
      </c>
      <c r="E297" s="9">
        <v>0</v>
      </c>
      <c r="F297" s="1">
        <v>43812.405532407407</v>
      </c>
      <c r="G297">
        <v>0</v>
      </c>
      <c r="H297" s="1"/>
      <c r="I297" s="1" t="s">
        <v>447</v>
      </c>
      <c r="J297" s="1" t="s">
        <v>325</v>
      </c>
    </row>
    <row r="298" spans="1:10" x14ac:dyDescent="0.3">
      <c r="A298" s="9">
        <v>78</v>
      </c>
      <c r="B298">
        <v>18068</v>
      </c>
      <c r="C298" s="9">
        <v>20232</v>
      </c>
      <c r="D298" t="s">
        <v>144</v>
      </c>
      <c r="E298" s="9">
        <v>0</v>
      </c>
      <c r="F298" s="1">
        <v>43812.405486111114</v>
      </c>
      <c r="G298">
        <v>0</v>
      </c>
      <c r="H298" s="1"/>
      <c r="I298" s="1" t="s">
        <v>446</v>
      </c>
      <c r="J298" s="1" t="s">
        <v>325</v>
      </c>
    </row>
    <row r="299" spans="1:10" x14ac:dyDescent="0.3">
      <c r="A299" s="9">
        <v>78</v>
      </c>
      <c r="B299">
        <v>19512</v>
      </c>
      <c r="C299" s="9">
        <v>20232</v>
      </c>
      <c r="D299" t="s">
        <v>144</v>
      </c>
      <c r="E299" s="9">
        <v>0</v>
      </c>
      <c r="F299" s="1">
        <v>43812.402256944442</v>
      </c>
      <c r="G299">
        <v>0</v>
      </c>
      <c r="H299" s="1"/>
      <c r="I299" s="1" t="s">
        <v>447</v>
      </c>
      <c r="J299" s="1" t="s">
        <v>325</v>
      </c>
    </row>
    <row r="300" spans="1:10" x14ac:dyDescent="0.3">
      <c r="A300" s="9">
        <v>78</v>
      </c>
      <c r="B300">
        <v>18544</v>
      </c>
      <c r="C300" s="9">
        <v>20232</v>
      </c>
      <c r="D300" t="s">
        <v>144</v>
      </c>
      <c r="E300" s="9">
        <v>0</v>
      </c>
      <c r="F300" s="1">
        <v>43812.380891203706</v>
      </c>
      <c r="G300">
        <v>0</v>
      </c>
      <c r="H300" s="1"/>
      <c r="I300" s="1" t="s">
        <v>447</v>
      </c>
      <c r="J300" s="1" t="s">
        <v>325</v>
      </c>
    </row>
    <row r="301" spans="1:10" x14ac:dyDescent="0.3">
      <c r="A301" s="9">
        <v>78</v>
      </c>
      <c r="B301">
        <v>13552</v>
      </c>
      <c r="C301" s="9">
        <v>20232</v>
      </c>
      <c r="D301" t="s">
        <v>144</v>
      </c>
      <c r="E301" s="9">
        <v>0</v>
      </c>
      <c r="F301" s="1">
        <v>43812.371793981481</v>
      </c>
      <c r="G301">
        <v>0</v>
      </c>
      <c r="H301" s="1"/>
      <c r="I301" s="1" t="s">
        <v>447</v>
      </c>
      <c r="J301" s="1" t="s">
        <v>325</v>
      </c>
    </row>
    <row r="302" spans="1:10" x14ac:dyDescent="0.3">
      <c r="A302" s="9">
        <v>78</v>
      </c>
      <c r="B302">
        <v>16952</v>
      </c>
      <c r="C302" s="9">
        <v>20232</v>
      </c>
      <c r="D302" t="s">
        <v>144</v>
      </c>
      <c r="E302" s="9">
        <v>0</v>
      </c>
      <c r="F302" s="1">
        <v>43812.370208333334</v>
      </c>
      <c r="G302">
        <v>0</v>
      </c>
      <c r="H302" s="1"/>
      <c r="I302" s="1" t="s">
        <v>447</v>
      </c>
      <c r="J302" s="1" t="s">
        <v>325</v>
      </c>
    </row>
    <row r="303" spans="1:10" x14ac:dyDescent="0.3">
      <c r="A303" s="9">
        <v>78</v>
      </c>
      <c r="B303">
        <v>20232</v>
      </c>
      <c r="C303" s="9">
        <v>20232</v>
      </c>
      <c r="D303" t="s">
        <v>144</v>
      </c>
      <c r="E303" s="9">
        <v>0</v>
      </c>
      <c r="F303" s="1">
        <v>43812.369988425926</v>
      </c>
      <c r="G303">
        <v>1</v>
      </c>
      <c r="H303" s="1" t="s">
        <v>454</v>
      </c>
      <c r="I303" s="1"/>
      <c r="J303" s="1" t="s">
        <v>358</v>
      </c>
    </row>
    <row r="304" spans="1:10" x14ac:dyDescent="0.3">
      <c r="A304" s="9">
        <v>77</v>
      </c>
      <c r="B304">
        <v>11616</v>
      </c>
      <c r="C304" s="9">
        <v>11911</v>
      </c>
      <c r="D304" t="s">
        <v>144</v>
      </c>
      <c r="E304" s="9">
        <v>0</v>
      </c>
      <c r="F304" s="1">
        <v>43812.368587962963</v>
      </c>
      <c r="G304">
        <v>0</v>
      </c>
      <c r="H304" s="1"/>
      <c r="I304" s="1" t="s">
        <v>447</v>
      </c>
      <c r="J304" s="1" t="s">
        <v>325</v>
      </c>
    </row>
    <row r="305" spans="1:10" x14ac:dyDescent="0.3">
      <c r="A305" s="9">
        <v>77</v>
      </c>
      <c r="B305">
        <v>20464</v>
      </c>
      <c r="C305" s="9">
        <v>11911</v>
      </c>
      <c r="D305" t="s">
        <v>144</v>
      </c>
      <c r="E305" s="9">
        <v>0</v>
      </c>
      <c r="F305" s="1">
        <v>43812.367037037038</v>
      </c>
      <c r="G305">
        <v>0</v>
      </c>
      <c r="H305" s="1"/>
      <c r="I305" s="1" t="s">
        <v>447</v>
      </c>
      <c r="J305" s="1" t="s">
        <v>325</v>
      </c>
    </row>
    <row r="306" spans="1:10" x14ac:dyDescent="0.3">
      <c r="A306" s="9">
        <v>77</v>
      </c>
      <c r="B306">
        <v>14992</v>
      </c>
      <c r="C306" s="9">
        <v>11911</v>
      </c>
      <c r="D306" t="s">
        <v>144</v>
      </c>
      <c r="E306" s="9">
        <v>0</v>
      </c>
      <c r="F306" s="1">
        <v>43811.637361111112</v>
      </c>
      <c r="G306">
        <v>0</v>
      </c>
      <c r="H306" s="1"/>
      <c r="I306" s="1" t="s">
        <v>448</v>
      </c>
      <c r="J306" s="1" t="s">
        <v>325</v>
      </c>
    </row>
    <row r="307" spans="1:10" x14ac:dyDescent="0.3">
      <c r="A307" s="9">
        <v>77</v>
      </c>
      <c r="B307">
        <v>12912</v>
      </c>
      <c r="C307" s="9">
        <v>11911</v>
      </c>
      <c r="D307" t="s">
        <v>144</v>
      </c>
      <c r="E307" s="9">
        <v>0</v>
      </c>
      <c r="F307" s="1">
        <v>43811.636886574073</v>
      </c>
      <c r="G307">
        <v>0</v>
      </c>
      <c r="H307" s="1"/>
      <c r="I307" s="1" t="s">
        <v>100</v>
      </c>
      <c r="J307" s="1" t="s">
        <v>145</v>
      </c>
    </row>
    <row r="308" spans="1:10" x14ac:dyDescent="0.3">
      <c r="A308" s="9">
        <v>77</v>
      </c>
      <c r="B308">
        <v>7416</v>
      </c>
      <c r="C308" s="9">
        <v>11911</v>
      </c>
      <c r="D308" t="s">
        <v>144</v>
      </c>
      <c r="E308" s="9">
        <v>0</v>
      </c>
      <c r="F308" s="1">
        <v>43811.636273148149</v>
      </c>
      <c r="G308">
        <v>0</v>
      </c>
      <c r="H308" s="1"/>
      <c r="I308" s="1" t="s">
        <v>97</v>
      </c>
      <c r="J308" s="1" t="s">
        <v>145</v>
      </c>
    </row>
    <row r="309" spans="1:10" x14ac:dyDescent="0.3">
      <c r="A309" s="9">
        <v>77</v>
      </c>
      <c r="B309">
        <v>7896</v>
      </c>
      <c r="C309" s="9">
        <v>7896</v>
      </c>
      <c r="D309" t="s">
        <v>144</v>
      </c>
      <c r="E309" s="9">
        <v>0</v>
      </c>
      <c r="F309" s="1">
        <v>43811.583414351851</v>
      </c>
      <c r="G309">
        <v>1</v>
      </c>
      <c r="H309" s="1" t="s">
        <v>463</v>
      </c>
      <c r="I309" s="1"/>
      <c r="J309" s="1" t="s">
        <v>462</v>
      </c>
    </row>
    <row r="310" spans="1:10" x14ac:dyDescent="0.3">
      <c r="A310" s="9">
        <v>1</v>
      </c>
      <c r="B310">
        <v>7195</v>
      </c>
      <c r="C310" s="9">
        <v>11911</v>
      </c>
      <c r="D310" t="s">
        <v>146</v>
      </c>
      <c r="E310" s="9">
        <v>23</v>
      </c>
      <c r="F310" s="1">
        <v>43811.455069444448</v>
      </c>
      <c r="G310">
        <v>0</v>
      </c>
      <c r="H310" s="1"/>
      <c r="I310" s="1"/>
      <c r="J310" s="1" t="s">
        <v>145</v>
      </c>
    </row>
    <row r="311" spans="1:10" x14ac:dyDescent="0.3">
      <c r="A311" s="9">
        <v>1</v>
      </c>
      <c r="B311">
        <v>7195</v>
      </c>
      <c r="C311" s="9">
        <v>11911</v>
      </c>
      <c r="D311" t="s">
        <v>146</v>
      </c>
      <c r="E311" s="9">
        <v>22</v>
      </c>
      <c r="F311" s="1">
        <v>43811.455011574071</v>
      </c>
      <c r="G311">
        <v>0</v>
      </c>
      <c r="H311" s="1"/>
      <c r="I311" s="1"/>
      <c r="J311" s="1" t="s">
        <v>145</v>
      </c>
    </row>
    <row r="312" spans="1:10" x14ac:dyDescent="0.3">
      <c r="A312" s="9">
        <v>1</v>
      </c>
      <c r="B312">
        <v>7195</v>
      </c>
      <c r="C312" s="9">
        <v>11911</v>
      </c>
      <c r="D312" t="s">
        <v>146</v>
      </c>
      <c r="E312" s="9">
        <v>21</v>
      </c>
      <c r="F312" s="1">
        <v>43811.454953703702</v>
      </c>
      <c r="G312">
        <v>0</v>
      </c>
      <c r="H312" s="1"/>
      <c r="I312" s="1"/>
      <c r="J312" s="1" t="s">
        <v>145</v>
      </c>
    </row>
    <row r="313" spans="1:10" x14ac:dyDescent="0.3">
      <c r="A313" s="9">
        <v>1</v>
      </c>
      <c r="B313">
        <v>7195</v>
      </c>
      <c r="C313" s="9">
        <v>11911</v>
      </c>
      <c r="D313" t="s">
        <v>146</v>
      </c>
      <c r="E313" s="9">
        <v>20</v>
      </c>
      <c r="F313" s="1">
        <v>43811.454895833333</v>
      </c>
      <c r="G313">
        <v>0</v>
      </c>
      <c r="H313" s="1"/>
      <c r="I313" s="1"/>
      <c r="J313" s="1" t="s">
        <v>145</v>
      </c>
    </row>
    <row r="314" spans="1:10" x14ac:dyDescent="0.3">
      <c r="A314" s="9">
        <v>1</v>
      </c>
      <c r="B314">
        <v>7195</v>
      </c>
      <c r="C314" s="9">
        <v>11911</v>
      </c>
      <c r="D314" t="s">
        <v>146</v>
      </c>
      <c r="E314" s="9">
        <v>19</v>
      </c>
      <c r="F314" s="1">
        <v>43811.45484953704</v>
      </c>
      <c r="G314">
        <v>0</v>
      </c>
      <c r="H314" s="1"/>
      <c r="I314" s="1"/>
      <c r="J314" s="1" t="s">
        <v>145</v>
      </c>
    </row>
    <row r="315" spans="1:10" x14ac:dyDescent="0.3">
      <c r="A315" s="9">
        <v>1</v>
      </c>
      <c r="B315">
        <v>7195</v>
      </c>
      <c r="C315" s="9">
        <v>11911</v>
      </c>
      <c r="D315" t="s">
        <v>146</v>
      </c>
      <c r="E315" s="9">
        <v>18</v>
      </c>
      <c r="F315" s="1">
        <v>43811.454791666663</v>
      </c>
      <c r="G315">
        <v>0</v>
      </c>
      <c r="H315" s="1"/>
      <c r="I315" s="1"/>
      <c r="J315" s="1" t="s">
        <v>145</v>
      </c>
    </row>
    <row r="316" spans="1:10" x14ac:dyDescent="0.3">
      <c r="A316" s="9">
        <v>1</v>
      </c>
      <c r="B316">
        <v>7195</v>
      </c>
      <c r="C316" s="9">
        <v>11911</v>
      </c>
      <c r="D316" t="s">
        <v>146</v>
      </c>
      <c r="E316" s="9">
        <v>17</v>
      </c>
      <c r="F316" s="1">
        <v>43811.454733796294</v>
      </c>
      <c r="G316">
        <v>0</v>
      </c>
      <c r="H316" s="1"/>
      <c r="I316" s="1"/>
      <c r="J316" s="1" t="s">
        <v>145</v>
      </c>
    </row>
    <row r="317" spans="1:10" x14ac:dyDescent="0.3">
      <c r="A317" s="9">
        <v>1</v>
      </c>
      <c r="B317">
        <v>7195</v>
      </c>
      <c r="C317" s="9">
        <v>11911</v>
      </c>
      <c r="D317" t="s">
        <v>146</v>
      </c>
      <c r="E317" s="9">
        <v>16</v>
      </c>
      <c r="F317" s="1">
        <v>43811.454687500001</v>
      </c>
      <c r="G317">
        <v>0</v>
      </c>
      <c r="H317" s="1"/>
      <c r="I317" s="1"/>
      <c r="J317" s="1" t="s">
        <v>145</v>
      </c>
    </row>
    <row r="318" spans="1:10" x14ac:dyDescent="0.3">
      <c r="A318" s="9">
        <v>1</v>
      </c>
      <c r="B318">
        <v>7195</v>
      </c>
      <c r="C318" s="9">
        <v>11911</v>
      </c>
      <c r="D318" t="s">
        <v>146</v>
      </c>
      <c r="E318" s="9">
        <v>15</v>
      </c>
      <c r="F318" s="1">
        <v>43811.454629629632</v>
      </c>
      <c r="G318">
        <v>0</v>
      </c>
      <c r="H318" s="1"/>
      <c r="I318" s="1"/>
      <c r="J318" s="1" t="s">
        <v>145</v>
      </c>
    </row>
    <row r="319" spans="1:10" x14ac:dyDescent="0.3">
      <c r="A319" s="9">
        <v>1</v>
      </c>
      <c r="B319">
        <v>7195</v>
      </c>
      <c r="C319" s="9">
        <v>11911</v>
      </c>
      <c r="D319" t="s">
        <v>146</v>
      </c>
      <c r="E319" s="9">
        <v>14</v>
      </c>
      <c r="F319" s="1">
        <v>43811.454571759263</v>
      </c>
      <c r="G319">
        <v>0</v>
      </c>
      <c r="H319" s="1"/>
      <c r="I319" s="1"/>
      <c r="J319" s="1" t="s">
        <v>145</v>
      </c>
    </row>
    <row r="320" spans="1:10" x14ac:dyDescent="0.3">
      <c r="A320" s="9">
        <v>1</v>
      </c>
      <c r="B320">
        <v>7195</v>
      </c>
      <c r="C320" s="9">
        <v>11911</v>
      </c>
      <c r="D320" t="s">
        <v>146</v>
      </c>
      <c r="E320" s="9">
        <v>13</v>
      </c>
      <c r="F320" s="1">
        <v>43811.454525462963</v>
      </c>
      <c r="G320">
        <v>0</v>
      </c>
      <c r="H320" s="1"/>
      <c r="I320" s="1"/>
      <c r="J320" s="1" t="s">
        <v>145</v>
      </c>
    </row>
    <row r="321" spans="1:10" x14ac:dyDescent="0.3">
      <c r="A321" s="9">
        <v>1</v>
      </c>
      <c r="B321">
        <v>7195</v>
      </c>
      <c r="C321" s="9">
        <v>11911</v>
      </c>
      <c r="D321" t="s">
        <v>146</v>
      </c>
      <c r="E321" s="9">
        <v>12</v>
      </c>
      <c r="F321" s="1">
        <v>43811.454479166663</v>
      </c>
      <c r="G321">
        <v>0</v>
      </c>
      <c r="H321" s="1"/>
      <c r="I321" s="1"/>
      <c r="J321" s="1" t="s">
        <v>145</v>
      </c>
    </row>
    <row r="322" spans="1:10" x14ac:dyDescent="0.3">
      <c r="A322" s="9">
        <v>1</v>
      </c>
      <c r="B322">
        <v>7195</v>
      </c>
      <c r="C322" s="9">
        <v>11911</v>
      </c>
      <c r="D322" t="s">
        <v>146</v>
      </c>
      <c r="E322" s="9">
        <v>11</v>
      </c>
      <c r="F322" s="1">
        <v>43811.454432870371</v>
      </c>
      <c r="G322">
        <v>0</v>
      </c>
      <c r="H322" s="1"/>
      <c r="I322" s="1"/>
      <c r="J322" s="1" t="s">
        <v>145</v>
      </c>
    </row>
    <row r="323" spans="1:10" x14ac:dyDescent="0.3">
      <c r="A323" s="9">
        <v>1</v>
      </c>
      <c r="B323">
        <v>7195</v>
      </c>
      <c r="C323" s="9">
        <v>11911</v>
      </c>
      <c r="D323" t="s">
        <v>146</v>
      </c>
      <c r="E323" s="9">
        <v>10</v>
      </c>
      <c r="F323" s="1">
        <v>43811.454375000001</v>
      </c>
      <c r="G323">
        <v>0</v>
      </c>
      <c r="H323" s="1"/>
      <c r="I323" s="1"/>
      <c r="J323" s="1" t="s">
        <v>145</v>
      </c>
    </row>
    <row r="324" spans="1:10" x14ac:dyDescent="0.3">
      <c r="A324" s="9">
        <v>1</v>
      </c>
      <c r="B324">
        <v>7195</v>
      </c>
      <c r="C324" s="9">
        <v>11911</v>
      </c>
      <c r="D324" t="s">
        <v>146</v>
      </c>
      <c r="E324" s="9">
        <v>9</v>
      </c>
      <c r="F324" s="1">
        <v>43811.454328703701</v>
      </c>
      <c r="G324">
        <v>0</v>
      </c>
      <c r="H324" s="1"/>
      <c r="I324" s="1"/>
      <c r="J324" s="1" t="s">
        <v>145</v>
      </c>
    </row>
    <row r="325" spans="1:10" x14ac:dyDescent="0.3">
      <c r="A325" s="9">
        <v>1</v>
      </c>
      <c r="B325">
        <v>7195</v>
      </c>
      <c r="C325" s="9">
        <v>11911</v>
      </c>
      <c r="D325" t="s">
        <v>146</v>
      </c>
      <c r="E325" s="9">
        <v>8</v>
      </c>
      <c r="F325" s="1">
        <v>43811.454270833332</v>
      </c>
      <c r="G325">
        <v>0</v>
      </c>
      <c r="H325" s="1"/>
      <c r="I325" s="1"/>
      <c r="J325" s="1" t="s">
        <v>145</v>
      </c>
    </row>
    <row r="326" spans="1:10" x14ac:dyDescent="0.3">
      <c r="A326" s="9">
        <v>1</v>
      </c>
      <c r="B326">
        <v>7195</v>
      </c>
      <c r="C326" s="9">
        <v>11911</v>
      </c>
      <c r="D326" t="s">
        <v>146</v>
      </c>
      <c r="E326" s="9">
        <v>7</v>
      </c>
      <c r="F326" s="1">
        <v>43811.454224537039</v>
      </c>
      <c r="G326">
        <v>0</v>
      </c>
      <c r="H326" s="1"/>
      <c r="I326" s="1"/>
      <c r="J326" s="1" t="s">
        <v>145</v>
      </c>
    </row>
    <row r="327" spans="1:10" x14ac:dyDescent="0.3">
      <c r="A327" s="9">
        <v>1</v>
      </c>
      <c r="B327">
        <v>7195</v>
      </c>
      <c r="C327" s="9">
        <v>11911</v>
      </c>
      <c r="D327" t="s">
        <v>146</v>
      </c>
      <c r="E327" s="9">
        <v>6</v>
      </c>
      <c r="F327" s="1">
        <v>43811.45417824074</v>
      </c>
      <c r="G327">
        <v>0</v>
      </c>
      <c r="H327" s="1"/>
      <c r="I327" s="1"/>
      <c r="J327" s="1" t="s">
        <v>145</v>
      </c>
    </row>
    <row r="328" spans="1:10" x14ac:dyDescent="0.3">
      <c r="A328" s="9">
        <v>1</v>
      </c>
      <c r="B328">
        <v>7195</v>
      </c>
      <c r="C328" s="9">
        <v>11911</v>
      </c>
      <c r="D328" t="s">
        <v>146</v>
      </c>
      <c r="E328" s="9">
        <v>5</v>
      </c>
      <c r="F328" s="1">
        <v>43811.454131944447</v>
      </c>
      <c r="G328">
        <v>0</v>
      </c>
      <c r="H328" s="1"/>
      <c r="I328" s="1"/>
      <c r="J328" s="1" t="s">
        <v>145</v>
      </c>
    </row>
    <row r="329" spans="1:10" x14ac:dyDescent="0.3">
      <c r="A329" s="9">
        <v>1</v>
      </c>
      <c r="B329">
        <v>7195</v>
      </c>
      <c r="C329" s="9">
        <v>11911</v>
      </c>
      <c r="D329" t="s">
        <v>146</v>
      </c>
      <c r="E329" s="9">
        <v>4</v>
      </c>
      <c r="F329" s="1">
        <v>43811.454085648147</v>
      </c>
      <c r="G329">
        <v>0</v>
      </c>
      <c r="H329" s="1"/>
      <c r="I329" s="1"/>
      <c r="J329" s="1" t="s">
        <v>145</v>
      </c>
    </row>
    <row r="330" spans="1:10" x14ac:dyDescent="0.3">
      <c r="A330" s="9">
        <v>1</v>
      </c>
      <c r="B330">
        <v>7195</v>
      </c>
      <c r="C330" s="9">
        <v>11911</v>
      </c>
      <c r="D330" t="s">
        <v>146</v>
      </c>
      <c r="E330" s="9">
        <v>3</v>
      </c>
      <c r="F330" s="1">
        <v>43811.454050925924</v>
      </c>
      <c r="G330">
        <v>0</v>
      </c>
      <c r="H330" s="1"/>
      <c r="I330" s="1"/>
      <c r="J330" s="1" t="s">
        <v>145</v>
      </c>
    </row>
    <row r="331" spans="1:10" x14ac:dyDescent="0.3">
      <c r="A331" s="9">
        <v>1</v>
      </c>
      <c r="B331">
        <v>7195</v>
      </c>
      <c r="C331" s="9">
        <v>11911</v>
      </c>
      <c r="D331" t="s">
        <v>146</v>
      </c>
      <c r="E331" s="9">
        <v>2</v>
      </c>
      <c r="F331" s="1">
        <v>43811.454004629632</v>
      </c>
      <c r="G331">
        <v>0</v>
      </c>
      <c r="H331" s="1"/>
      <c r="I331" s="1"/>
      <c r="J331" s="1" t="s">
        <v>145</v>
      </c>
    </row>
    <row r="332" spans="1:10" x14ac:dyDescent="0.3">
      <c r="A332" s="9">
        <v>1</v>
      </c>
      <c r="B332">
        <v>7195</v>
      </c>
      <c r="C332" s="9">
        <v>11911</v>
      </c>
      <c r="D332" t="s">
        <v>146</v>
      </c>
      <c r="E332" s="9">
        <v>1</v>
      </c>
      <c r="F332" s="1">
        <v>43811.453958333332</v>
      </c>
      <c r="G332">
        <v>0</v>
      </c>
      <c r="H332" s="1"/>
      <c r="I332" s="1"/>
      <c r="J332" s="1" t="s">
        <v>145</v>
      </c>
    </row>
    <row r="333" spans="1:10" x14ac:dyDescent="0.3">
      <c r="A333" s="9">
        <v>1</v>
      </c>
      <c r="B333">
        <v>7196</v>
      </c>
      <c r="C333" s="9">
        <v>11911</v>
      </c>
      <c r="D333" t="s">
        <v>146</v>
      </c>
      <c r="E333" s="9">
        <v>23</v>
      </c>
      <c r="F333" s="1">
        <v>43811.425925925927</v>
      </c>
      <c r="G333">
        <v>0</v>
      </c>
      <c r="H333" s="1"/>
      <c r="I333" s="1"/>
      <c r="J333" s="1" t="s">
        <v>145</v>
      </c>
    </row>
    <row r="334" spans="1:10" x14ac:dyDescent="0.3">
      <c r="A334" s="9">
        <v>1</v>
      </c>
      <c r="B334">
        <v>7196</v>
      </c>
      <c r="C334" s="9">
        <v>11911</v>
      </c>
      <c r="D334" t="s">
        <v>146</v>
      </c>
      <c r="E334" s="9">
        <v>22</v>
      </c>
      <c r="F334" s="1">
        <v>43811.425868055558</v>
      </c>
      <c r="G334">
        <v>0</v>
      </c>
      <c r="H334" s="1"/>
      <c r="I334" s="1"/>
      <c r="J334" s="1" t="s">
        <v>145</v>
      </c>
    </row>
    <row r="335" spans="1:10" x14ac:dyDescent="0.3">
      <c r="A335" s="9">
        <v>1</v>
      </c>
      <c r="B335">
        <v>7196</v>
      </c>
      <c r="C335" s="9">
        <v>11911</v>
      </c>
      <c r="D335" t="s">
        <v>146</v>
      </c>
      <c r="E335" s="9">
        <v>21</v>
      </c>
      <c r="F335" s="1">
        <v>43811.425810185188</v>
      </c>
      <c r="G335">
        <v>0</v>
      </c>
      <c r="H335" s="1"/>
      <c r="I335" s="1"/>
      <c r="J335" s="1" t="s">
        <v>145</v>
      </c>
    </row>
    <row r="336" spans="1:10" x14ac:dyDescent="0.3">
      <c r="A336" s="9">
        <v>1</v>
      </c>
      <c r="B336">
        <v>7196</v>
      </c>
      <c r="C336" s="9">
        <v>11911</v>
      </c>
      <c r="D336" t="s">
        <v>146</v>
      </c>
      <c r="E336" s="9">
        <v>20</v>
      </c>
      <c r="F336" s="1">
        <v>43811.425740740742</v>
      </c>
      <c r="G336">
        <v>0</v>
      </c>
      <c r="H336" s="1"/>
      <c r="I336" s="1"/>
      <c r="J336" s="1" t="s">
        <v>145</v>
      </c>
    </row>
    <row r="337" spans="1:10" x14ac:dyDescent="0.3">
      <c r="A337" s="9">
        <v>1</v>
      </c>
      <c r="B337">
        <v>7196</v>
      </c>
      <c r="C337" s="9">
        <v>11911</v>
      </c>
      <c r="D337" t="s">
        <v>146</v>
      </c>
      <c r="E337" s="9">
        <v>19</v>
      </c>
      <c r="F337" s="1">
        <v>43811.425682870373</v>
      </c>
      <c r="G337">
        <v>0</v>
      </c>
      <c r="H337" s="1"/>
      <c r="I337" s="1"/>
      <c r="J337" s="1" t="s">
        <v>145</v>
      </c>
    </row>
    <row r="338" spans="1:10" x14ac:dyDescent="0.3">
      <c r="A338" s="9">
        <v>1</v>
      </c>
      <c r="B338">
        <v>7196</v>
      </c>
      <c r="C338" s="9">
        <v>11911</v>
      </c>
      <c r="D338" t="s">
        <v>146</v>
      </c>
      <c r="E338" s="9">
        <v>18</v>
      </c>
      <c r="F338" s="1">
        <v>43811.425613425927</v>
      </c>
      <c r="G338">
        <v>0</v>
      </c>
      <c r="H338" s="1"/>
      <c r="I338" s="1"/>
      <c r="J338" s="1" t="s">
        <v>145</v>
      </c>
    </row>
    <row r="339" spans="1:10" x14ac:dyDescent="0.3">
      <c r="A339" s="9">
        <v>1</v>
      </c>
      <c r="B339">
        <v>7196</v>
      </c>
      <c r="C339" s="9">
        <v>11911</v>
      </c>
      <c r="D339" t="s">
        <v>146</v>
      </c>
      <c r="E339" s="9">
        <v>17</v>
      </c>
      <c r="F339" s="1">
        <v>43811.425555555557</v>
      </c>
      <c r="G339">
        <v>0</v>
      </c>
      <c r="H339" s="1"/>
      <c r="I339" s="1"/>
      <c r="J339" s="1" t="s">
        <v>145</v>
      </c>
    </row>
    <row r="340" spans="1:10" x14ac:dyDescent="0.3">
      <c r="A340" s="9">
        <v>1</v>
      </c>
      <c r="B340">
        <v>7196</v>
      </c>
      <c r="C340" s="9">
        <v>11911</v>
      </c>
      <c r="D340" t="s">
        <v>146</v>
      </c>
      <c r="E340" s="9">
        <v>16</v>
      </c>
      <c r="F340" s="1">
        <v>43811.425497685188</v>
      </c>
      <c r="G340">
        <v>0</v>
      </c>
      <c r="H340" s="1"/>
      <c r="I340" s="1"/>
      <c r="J340" s="1" t="s">
        <v>145</v>
      </c>
    </row>
    <row r="341" spans="1:10" x14ac:dyDescent="0.3">
      <c r="A341" s="9">
        <v>1</v>
      </c>
      <c r="B341">
        <v>7196</v>
      </c>
      <c r="C341" s="9">
        <v>11911</v>
      </c>
      <c r="D341" t="s">
        <v>146</v>
      </c>
      <c r="E341" s="9">
        <v>15</v>
      </c>
      <c r="F341" s="1">
        <v>43811.425451388888</v>
      </c>
      <c r="G341">
        <v>0</v>
      </c>
      <c r="H341" s="1"/>
      <c r="I341" s="1"/>
      <c r="J341" s="1" t="s">
        <v>145</v>
      </c>
    </row>
    <row r="342" spans="1:10" x14ac:dyDescent="0.3">
      <c r="A342" s="9">
        <v>1</v>
      </c>
      <c r="B342">
        <v>7196</v>
      </c>
      <c r="C342" s="9">
        <v>11911</v>
      </c>
      <c r="D342" t="s">
        <v>146</v>
      </c>
      <c r="E342" s="9">
        <v>14</v>
      </c>
      <c r="F342" s="1">
        <v>43811.425393518519</v>
      </c>
      <c r="G342">
        <v>0</v>
      </c>
      <c r="H342" s="1"/>
      <c r="I342" s="1"/>
      <c r="J342" s="1" t="s">
        <v>145</v>
      </c>
    </row>
    <row r="343" spans="1:10" x14ac:dyDescent="0.3">
      <c r="A343" s="9">
        <v>1</v>
      </c>
      <c r="B343">
        <v>7196</v>
      </c>
      <c r="C343" s="9">
        <v>11911</v>
      </c>
      <c r="D343" t="s">
        <v>146</v>
      </c>
      <c r="E343" s="9">
        <v>13</v>
      </c>
      <c r="F343" s="1">
        <v>43811.425347222219</v>
      </c>
      <c r="G343">
        <v>0</v>
      </c>
      <c r="H343" s="1"/>
      <c r="I343" s="1"/>
      <c r="J343" s="1" t="s">
        <v>145</v>
      </c>
    </row>
    <row r="344" spans="1:10" x14ac:dyDescent="0.3">
      <c r="A344" s="9">
        <v>1</v>
      </c>
      <c r="B344">
        <v>7196</v>
      </c>
      <c r="C344" s="9">
        <v>11911</v>
      </c>
      <c r="D344" t="s">
        <v>146</v>
      </c>
      <c r="E344" s="9">
        <v>12</v>
      </c>
      <c r="F344" s="1">
        <v>43811.42528935185</v>
      </c>
      <c r="G344">
        <v>0</v>
      </c>
      <c r="H344" s="1"/>
      <c r="I344" s="1"/>
      <c r="J344" s="1" t="s">
        <v>145</v>
      </c>
    </row>
    <row r="345" spans="1:10" x14ac:dyDescent="0.3">
      <c r="A345" s="9">
        <v>1</v>
      </c>
      <c r="B345">
        <v>7196</v>
      </c>
      <c r="C345" s="9">
        <v>11911</v>
      </c>
      <c r="D345" t="s">
        <v>146</v>
      </c>
      <c r="E345" s="9">
        <v>11</v>
      </c>
      <c r="F345" s="1">
        <v>43811.425243055557</v>
      </c>
      <c r="G345">
        <v>0</v>
      </c>
      <c r="H345" s="1"/>
      <c r="I345" s="1"/>
      <c r="J345" s="1" t="s">
        <v>145</v>
      </c>
    </row>
    <row r="346" spans="1:10" x14ac:dyDescent="0.3">
      <c r="A346" s="9">
        <v>1</v>
      </c>
      <c r="B346">
        <v>7196</v>
      </c>
      <c r="C346" s="9">
        <v>11911</v>
      </c>
      <c r="D346" t="s">
        <v>146</v>
      </c>
      <c r="E346" s="9">
        <v>10</v>
      </c>
      <c r="F346" s="1">
        <v>43811.425196759257</v>
      </c>
      <c r="G346">
        <v>0</v>
      </c>
      <c r="H346" s="1"/>
      <c r="I346" s="1"/>
      <c r="J346" s="1" t="s">
        <v>145</v>
      </c>
    </row>
    <row r="347" spans="1:10" x14ac:dyDescent="0.3">
      <c r="A347" s="9">
        <v>1</v>
      </c>
      <c r="B347">
        <v>7196</v>
      </c>
      <c r="C347" s="9">
        <v>11911</v>
      </c>
      <c r="D347" t="s">
        <v>146</v>
      </c>
      <c r="E347" s="9">
        <v>9</v>
      </c>
      <c r="F347" s="1">
        <v>43811.425138888888</v>
      </c>
      <c r="G347">
        <v>0</v>
      </c>
      <c r="H347" s="1"/>
      <c r="I347" s="1"/>
      <c r="J347" s="1" t="s">
        <v>145</v>
      </c>
    </row>
    <row r="348" spans="1:10" x14ac:dyDescent="0.3">
      <c r="A348" s="9">
        <v>1</v>
      </c>
      <c r="B348">
        <v>7196</v>
      </c>
      <c r="C348" s="9">
        <v>11911</v>
      </c>
      <c r="D348" t="s">
        <v>146</v>
      </c>
      <c r="E348" s="9">
        <v>8</v>
      </c>
      <c r="F348" s="1">
        <v>43811.425092592595</v>
      </c>
      <c r="G348">
        <v>0</v>
      </c>
      <c r="H348" s="1"/>
      <c r="I348" s="1"/>
      <c r="J348" s="1" t="s">
        <v>145</v>
      </c>
    </row>
    <row r="349" spans="1:10" x14ac:dyDescent="0.3">
      <c r="A349" s="9">
        <v>1</v>
      </c>
      <c r="B349">
        <v>7196</v>
      </c>
      <c r="C349" s="9">
        <v>11911</v>
      </c>
      <c r="D349" t="s">
        <v>146</v>
      </c>
      <c r="E349" s="9">
        <v>7</v>
      </c>
      <c r="F349" s="1">
        <v>43811.425046296295</v>
      </c>
      <c r="G349">
        <v>0</v>
      </c>
      <c r="H349" s="1"/>
      <c r="I349" s="1"/>
      <c r="J349" s="1" t="s">
        <v>145</v>
      </c>
    </row>
    <row r="350" spans="1:10" x14ac:dyDescent="0.3">
      <c r="A350" s="9">
        <v>1</v>
      </c>
      <c r="B350">
        <v>7196</v>
      </c>
      <c r="C350" s="9">
        <v>11911</v>
      </c>
      <c r="D350" t="s">
        <v>146</v>
      </c>
      <c r="E350" s="9">
        <v>6</v>
      </c>
      <c r="F350" s="1">
        <v>43811.425000000003</v>
      </c>
      <c r="G350">
        <v>0</v>
      </c>
      <c r="H350" s="1"/>
      <c r="I350" s="1"/>
      <c r="J350" s="1" t="s">
        <v>145</v>
      </c>
    </row>
    <row r="351" spans="1:10" x14ac:dyDescent="0.3">
      <c r="A351" s="9">
        <v>1</v>
      </c>
      <c r="B351">
        <v>7196</v>
      </c>
      <c r="C351" s="9">
        <v>11911</v>
      </c>
      <c r="D351" t="s">
        <v>146</v>
      </c>
      <c r="E351" s="9">
        <v>5</v>
      </c>
      <c r="F351" s="1">
        <v>43811.424953703703</v>
      </c>
      <c r="G351">
        <v>0</v>
      </c>
      <c r="H351" s="1"/>
      <c r="I351" s="1"/>
      <c r="J351" s="1" t="s">
        <v>145</v>
      </c>
    </row>
    <row r="352" spans="1:10" x14ac:dyDescent="0.3">
      <c r="A352" s="9">
        <v>1</v>
      </c>
      <c r="B352">
        <v>7196</v>
      </c>
      <c r="C352" s="9">
        <v>11911</v>
      </c>
      <c r="D352" t="s">
        <v>146</v>
      </c>
      <c r="E352" s="9">
        <v>4</v>
      </c>
      <c r="F352" s="1">
        <v>43811.424907407411</v>
      </c>
      <c r="G352">
        <v>0</v>
      </c>
      <c r="H352" s="1"/>
      <c r="I352" s="1"/>
      <c r="J352" s="1" t="s">
        <v>145</v>
      </c>
    </row>
    <row r="353" spans="1:10" x14ac:dyDescent="0.3">
      <c r="A353" s="9">
        <v>1</v>
      </c>
      <c r="B353">
        <v>7196</v>
      </c>
      <c r="C353" s="9">
        <v>11911</v>
      </c>
      <c r="D353" t="s">
        <v>146</v>
      </c>
      <c r="E353" s="9">
        <v>3</v>
      </c>
      <c r="F353" s="1">
        <v>43811.424861111111</v>
      </c>
      <c r="G353">
        <v>0</v>
      </c>
      <c r="H353" s="1"/>
      <c r="I353" s="1"/>
      <c r="J353" s="1" t="s">
        <v>145</v>
      </c>
    </row>
    <row r="354" spans="1:10" x14ac:dyDescent="0.3">
      <c r="A354" s="9">
        <v>1</v>
      </c>
      <c r="B354">
        <v>7196</v>
      </c>
      <c r="C354" s="9">
        <v>11911</v>
      </c>
      <c r="D354" t="s">
        <v>146</v>
      </c>
      <c r="E354" s="9">
        <v>2</v>
      </c>
      <c r="F354" s="1">
        <v>43811.424814814818</v>
      </c>
      <c r="G354">
        <v>0</v>
      </c>
      <c r="H354" s="1"/>
      <c r="I354" s="1"/>
      <c r="J354" s="1" t="s">
        <v>145</v>
      </c>
    </row>
    <row r="355" spans="1:10" x14ac:dyDescent="0.3">
      <c r="A355" s="9">
        <v>1</v>
      </c>
      <c r="B355">
        <v>7196</v>
      </c>
      <c r="C355" s="9">
        <v>11911</v>
      </c>
      <c r="D355" t="s">
        <v>146</v>
      </c>
      <c r="E355" s="9">
        <v>1</v>
      </c>
      <c r="F355" s="1">
        <v>43811.424768518518</v>
      </c>
      <c r="G355">
        <v>0</v>
      </c>
      <c r="H355" s="1"/>
      <c r="I355" s="1"/>
      <c r="J355" s="1" t="s">
        <v>145</v>
      </c>
    </row>
    <row r="356" spans="1:10" x14ac:dyDescent="0.3">
      <c r="A356" s="9">
        <v>1</v>
      </c>
      <c r="B356">
        <v>7196</v>
      </c>
      <c r="C356" s="9">
        <v>11911</v>
      </c>
      <c r="D356" t="s">
        <v>146</v>
      </c>
      <c r="E356" s="9">
        <v>0</v>
      </c>
      <c r="F356" s="1">
        <v>43811.424722222226</v>
      </c>
      <c r="G356">
        <v>0</v>
      </c>
      <c r="H356" s="1"/>
      <c r="I356" s="1"/>
      <c r="J356" s="1" t="s">
        <v>145</v>
      </c>
    </row>
    <row r="357" spans="1:10" x14ac:dyDescent="0.3">
      <c r="A357" s="9">
        <v>77</v>
      </c>
      <c r="B357">
        <v>14580</v>
      </c>
      <c r="C357" s="9">
        <v>11911</v>
      </c>
      <c r="D357" t="s">
        <v>144</v>
      </c>
      <c r="E357" s="9">
        <v>0</v>
      </c>
      <c r="F357" s="1">
        <v>43811.422118055554</v>
      </c>
      <c r="G357">
        <v>0</v>
      </c>
      <c r="H357" s="1"/>
      <c r="I357" s="1" t="s">
        <v>105</v>
      </c>
      <c r="J357" s="1" t="s">
        <v>145</v>
      </c>
    </row>
    <row r="358" spans="1:10" x14ac:dyDescent="0.3">
      <c r="A358" s="9">
        <v>77</v>
      </c>
      <c r="B358">
        <v>5812</v>
      </c>
      <c r="C358" s="9">
        <v>11911</v>
      </c>
      <c r="D358" t="s">
        <v>144</v>
      </c>
      <c r="E358" s="9">
        <v>0</v>
      </c>
      <c r="F358" s="1">
        <v>43811.422071759262</v>
      </c>
      <c r="G358">
        <v>0</v>
      </c>
      <c r="H358" s="1"/>
      <c r="I358" s="1" t="s">
        <v>106</v>
      </c>
      <c r="J358" s="1" t="s">
        <v>145</v>
      </c>
    </row>
    <row r="359" spans="1:10" x14ac:dyDescent="0.3">
      <c r="A359" s="9">
        <v>77</v>
      </c>
      <c r="B359">
        <v>16200</v>
      </c>
      <c r="C359" s="9">
        <v>11911</v>
      </c>
      <c r="D359" t="s">
        <v>144</v>
      </c>
      <c r="E359" s="9">
        <v>0</v>
      </c>
      <c r="F359" s="1">
        <v>43811.422025462962</v>
      </c>
      <c r="G359">
        <v>0</v>
      </c>
      <c r="H359" s="1"/>
      <c r="I359" s="1" t="s">
        <v>107</v>
      </c>
      <c r="J359" s="1" t="s">
        <v>145</v>
      </c>
    </row>
    <row r="360" spans="1:10" x14ac:dyDescent="0.3">
      <c r="A360" s="9">
        <v>77</v>
      </c>
      <c r="B360">
        <v>7736</v>
      </c>
      <c r="C360" s="9">
        <v>11911</v>
      </c>
      <c r="D360" t="s">
        <v>144</v>
      </c>
      <c r="E360" s="9">
        <v>0</v>
      </c>
      <c r="F360" s="1">
        <v>43811.421990740739</v>
      </c>
      <c r="G360">
        <v>0</v>
      </c>
      <c r="H360" s="1"/>
      <c r="I360" s="1" t="s">
        <v>108</v>
      </c>
      <c r="J360" s="1" t="s">
        <v>145</v>
      </c>
    </row>
    <row r="361" spans="1:10" x14ac:dyDescent="0.3">
      <c r="A361" s="9">
        <v>77</v>
      </c>
      <c r="B361">
        <v>18192</v>
      </c>
      <c r="C361" s="9">
        <v>11911</v>
      </c>
      <c r="D361" t="s">
        <v>144</v>
      </c>
      <c r="E361" s="9">
        <v>0</v>
      </c>
      <c r="F361" s="1">
        <v>43811.421932870369</v>
      </c>
      <c r="G361">
        <v>0</v>
      </c>
      <c r="H361" s="1"/>
      <c r="I361" s="1" t="s">
        <v>109</v>
      </c>
      <c r="J361" s="1" t="s">
        <v>145</v>
      </c>
    </row>
    <row r="362" spans="1:10" x14ac:dyDescent="0.3">
      <c r="A362" s="9">
        <v>77</v>
      </c>
      <c r="B362">
        <v>12800</v>
      </c>
      <c r="C362" s="9">
        <v>11911</v>
      </c>
      <c r="D362" t="s">
        <v>144</v>
      </c>
      <c r="E362" s="9">
        <v>0</v>
      </c>
      <c r="F362" s="1">
        <v>43811.421886574077</v>
      </c>
      <c r="G362">
        <v>0</v>
      </c>
      <c r="H362" s="1"/>
      <c r="I362" s="1" t="s">
        <v>110</v>
      </c>
      <c r="J362" s="1" t="s">
        <v>145</v>
      </c>
    </row>
    <row r="363" spans="1:10" x14ac:dyDescent="0.3">
      <c r="A363" s="9">
        <v>77</v>
      </c>
      <c r="B363">
        <v>1728</v>
      </c>
      <c r="C363" s="9">
        <v>11911</v>
      </c>
      <c r="D363" t="s">
        <v>144</v>
      </c>
      <c r="E363" s="9">
        <v>0</v>
      </c>
      <c r="F363" s="1">
        <v>43811.421851851854</v>
      </c>
      <c r="G363">
        <v>0</v>
      </c>
      <c r="H363" s="1"/>
      <c r="I363" s="1" t="s">
        <v>111</v>
      </c>
      <c r="J363" s="1" t="s">
        <v>145</v>
      </c>
    </row>
    <row r="364" spans="1:10" x14ac:dyDescent="0.3">
      <c r="A364" s="9">
        <v>77</v>
      </c>
      <c r="B364">
        <v>16660</v>
      </c>
      <c r="C364" s="9">
        <v>11911</v>
      </c>
      <c r="D364" t="s">
        <v>144</v>
      </c>
      <c r="E364" s="9">
        <v>0</v>
      </c>
      <c r="F364" s="1">
        <v>43811.421817129631</v>
      </c>
      <c r="G364">
        <v>0</v>
      </c>
      <c r="H364" s="1"/>
      <c r="I364" s="1" t="s">
        <v>112</v>
      </c>
      <c r="J364" s="1" t="s">
        <v>145</v>
      </c>
    </row>
    <row r="365" spans="1:10" x14ac:dyDescent="0.3">
      <c r="A365" s="9">
        <v>77</v>
      </c>
      <c r="B365">
        <v>16004</v>
      </c>
      <c r="C365" s="9">
        <v>11911</v>
      </c>
      <c r="D365" t="s">
        <v>144</v>
      </c>
      <c r="E365" s="9">
        <v>0</v>
      </c>
      <c r="F365" s="1">
        <v>43811.421782407408</v>
      </c>
      <c r="G365">
        <v>0</v>
      </c>
      <c r="H365" s="1"/>
      <c r="I365" s="1" t="s">
        <v>113</v>
      </c>
      <c r="J365" s="1" t="s">
        <v>145</v>
      </c>
    </row>
    <row r="366" spans="1:10" x14ac:dyDescent="0.3">
      <c r="A366" s="9">
        <v>77</v>
      </c>
      <c r="B366">
        <v>15616</v>
      </c>
      <c r="C366" s="9">
        <v>11911</v>
      </c>
      <c r="D366" t="s">
        <v>144</v>
      </c>
      <c r="E366" s="9">
        <v>0</v>
      </c>
      <c r="F366" s="1">
        <v>43811.421759259261</v>
      </c>
      <c r="G366">
        <v>0</v>
      </c>
      <c r="H366" s="1"/>
      <c r="I366" s="1" t="s">
        <v>114</v>
      </c>
      <c r="J366" s="1" t="s">
        <v>145</v>
      </c>
    </row>
    <row r="367" spans="1:10" x14ac:dyDescent="0.3">
      <c r="A367" s="9">
        <v>77</v>
      </c>
      <c r="B367">
        <v>19124</v>
      </c>
      <c r="C367" s="9">
        <v>11911</v>
      </c>
      <c r="D367" t="s">
        <v>144</v>
      </c>
      <c r="E367" s="9">
        <v>0</v>
      </c>
      <c r="F367" s="1">
        <v>43811.421724537038</v>
      </c>
      <c r="G367">
        <v>0</v>
      </c>
      <c r="H367" s="1"/>
      <c r="I367" s="1" t="s">
        <v>115</v>
      </c>
      <c r="J367" s="1" t="s">
        <v>145</v>
      </c>
    </row>
    <row r="368" spans="1:10" x14ac:dyDescent="0.3">
      <c r="A368" s="9">
        <v>77</v>
      </c>
      <c r="B368">
        <v>7600</v>
      </c>
      <c r="C368" s="9">
        <v>11911</v>
      </c>
      <c r="D368" t="s">
        <v>144</v>
      </c>
      <c r="E368" s="9">
        <v>0</v>
      </c>
      <c r="F368" s="1">
        <v>43811.421701388892</v>
      </c>
      <c r="G368">
        <v>0</v>
      </c>
      <c r="H368" s="1"/>
      <c r="I368" s="1" t="s">
        <v>116</v>
      </c>
      <c r="J368" s="1" t="s">
        <v>145</v>
      </c>
    </row>
    <row r="369" spans="1:10" x14ac:dyDescent="0.3">
      <c r="A369" s="9">
        <v>77</v>
      </c>
      <c r="B369">
        <v>19936</v>
      </c>
      <c r="C369" s="9">
        <v>11911</v>
      </c>
      <c r="D369" t="s">
        <v>144</v>
      </c>
      <c r="E369" s="9">
        <v>0</v>
      </c>
      <c r="F369" s="1">
        <v>43811.421643518515</v>
      </c>
      <c r="G369">
        <v>0</v>
      </c>
      <c r="H369" s="1"/>
      <c r="I369" s="1" t="s">
        <v>117</v>
      </c>
      <c r="J369" s="1" t="s">
        <v>325</v>
      </c>
    </row>
    <row r="370" spans="1:10" x14ac:dyDescent="0.3">
      <c r="A370" s="9">
        <v>77</v>
      </c>
      <c r="B370">
        <v>12680</v>
      </c>
      <c r="C370" s="9">
        <v>11911</v>
      </c>
      <c r="D370" t="s">
        <v>144</v>
      </c>
      <c r="E370" s="9">
        <v>0</v>
      </c>
      <c r="F370" s="1">
        <v>43811.421597222223</v>
      </c>
      <c r="G370">
        <v>0</v>
      </c>
      <c r="H370" s="1"/>
      <c r="I370" s="1" t="s">
        <v>118</v>
      </c>
      <c r="J370" s="1" t="s">
        <v>145</v>
      </c>
    </row>
    <row r="371" spans="1:10" x14ac:dyDescent="0.3">
      <c r="A371" s="9">
        <v>77</v>
      </c>
      <c r="B371">
        <v>1424</v>
      </c>
      <c r="C371" s="9">
        <v>11911</v>
      </c>
      <c r="D371" t="s">
        <v>144</v>
      </c>
      <c r="E371" s="9">
        <v>0</v>
      </c>
      <c r="F371" s="1">
        <v>43811.421539351853</v>
      </c>
      <c r="G371">
        <v>0</v>
      </c>
      <c r="H371" s="1"/>
      <c r="I371" s="1" t="s">
        <v>119</v>
      </c>
      <c r="J371" s="1" t="s">
        <v>145</v>
      </c>
    </row>
    <row r="372" spans="1:10" x14ac:dyDescent="0.3">
      <c r="A372" s="9">
        <v>77</v>
      </c>
      <c r="B372">
        <v>10528</v>
      </c>
      <c r="C372" s="9">
        <v>11911</v>
      </c>
      <c r="D372" t="s">
        <v>144</v>
      </c>
      <c r="E372" s="9">
        <v>0</v>
      </c>
      <c r="F372" s="1">
        <v>43811.42150462963</v>
      </c>
      <c r="G372">
        <v>0</v>
      </c>
      <c r="H372" s="1"/>
      <c r="I372" s="1" t="s">
        <v>120</v>
      </c>
      <c r="J372" s="1" t="s">
        <v>145</v>
      </c>
    </row>
    <row r="373" spans="1:10" x14ac:dyDescent="0.3">
      <c r="A373" s="9">
        <v>77</v>
      </c>
      <c r="B373">
        <v>14075</v>
      </c>
      <c r="C373" s="9">
        <v>11911</v>
      </c>
      <c r="D373" t="s">
        <v>144</v>
      </c>
      <c r="E373" s="9">
        <v>0</v>
      </c>
      <c r="F373" s="1">
        <v>43811.421458333331</v>
      </c>
      <c r="G373">
        <v>0</v>
      </c>
      <c r="H373" s="1"/>
      <c r="I373" s="1" t="s">
        <v>121</v>
      </c>
      <c r="J373" s="1" t="s">
        <v>145</v>
      </c>
    </row>
    <row r="374" spans="1:10" x14ac:dyDescent="0.3">
      <c r="A374" s="9">
        <v>77</v>
      </c>
      <c r="B374">
        <v>16223</v>
      </c>
      <c r="C374" s="9">
        <v>11911</v>
      </c>
      <c r="D374" t="s">
        <v>144</v>
      </c>
      <c r="E374" s="9">
        <v>0</v>
      </c>
      <c r="F374" s="1">
        <v>43811.421412037038</v>
      </c>
      <c r="G374">
        <v>0</v>
      </c>
      <c r="H374" s="1"/>
      <c r="I374" s="1" t="s">
        <v>122</v>
      </c>
      <c r="J374" s="1" t="s">
        <v>145</v>
      </c>
    </row>
    <row r="375" spans="1:10" x14ac:dyDescent="0.3">
      <c r="A375" s="9">
        <v>77</v>
      </c>
      <c r="B375">
        <v>11908</v>
      </c>
      <c r="C375" s="9">
        <v>11911</v>
      </c>
      <c r="D375" t="s">
        <v>144</v>
      </c>
      <c r="E375" s="9">
        <v>0</v>
      </c>
      <c r="F375" s="1">
        <v>43811.421377314815</v>
      </c>
      <c r="G375">
        <v>0</v>
      </c>
      <c r="H375" s="1"/>
      <c r="I375" s="1" t="s">
        <v>123</v>
      </c>
      <c r="J375" s="1" t="s">
        <v>145</v>
      </c>
    </row>
    <row r="376" spans="1:10" x14ac:dyDescent="0.3">
      <c r="A376" s="9">
        <v>77</v>
      </c>
      <c r="B376">
        <v>13816</v>
      </c>
      <c r="C376" s="9">
        <v>11911</v>
      </c>
      <c r="D376" t="s">
        <v>144</v>
      </c>
      <c r="E376" s="9">
        <v>0</v>
      </c>
      <c r="F376" s="1">
        <v>43811.421319444446</v>
      </c>
      <c r="G376">
        <v>0</v>
      </c>
      <c r="H376" s="1"/>
      <c r="I376" s="1" t="s">
        <v>124</v>
      </c>
      <c r="J376" s="1" t="s">
        <v>145</v>
      </c>
    </row>
    <row r="377" spans="1:10" x14ac:dyDescent="0.3">
      <c r="A377" s="9">
        <v>77</v>
      </c>
      <c r="B377">
        <v>12724</v>
      </c>
      <c r="C377" s="9">
        <v>11911</v>
      </c>
      <c r="D377" t="s">
        <v>144</v>
      </c>
      <c r="E377" s="9">
        <v>0</v>
      </c>
      <c r="F377" s="1">
        <v>43811.421284722222</v>
      </c>
      <c r="G377">
        <v>0</v>
      </c>
      <c r="H377" s="1"/>
      <c r="I377" s="1" t="s">
        <v>125</v>
      </c>
      <c r="J377" s="1" t="s">
        <v>145</v>
      </c>
    </row>
    <row r="378" spans="1:10" x14ac:dyDescent="0.3">
      <c r="A378" s="9">
        <v>77</v>
      </c>
      <c r="B378">
        <v>1256</v>
      </c>
      <c r="C378" s="9">
        <v>11911</v>
      </c>
      <c r="D378" t="s">
        <v>144</v>
      </c>
      <c r="E378" s="9">
        <v>0</v>
      </c>
      <c r="F378" s="1">
        <v>43811.421238425923</v>
      </c>
      <c r="G378">
        <v>0</v>
      </c>
      <c r="H378" s="1"/>
      <c r="I378" s="1" t="s">
        <v>126</v>
      </c>
      <c r="J378" s="1" t="s">
        <v>145</v>
      </c>
    </row>
    <row r="379" spans="1:10" x14ac:dyDescent="0.3">
      <c r="A379" s="9">
        <v>77</v>
      </c>
      <c r="B379">
        <v>17788</v>
      </c>
      <c r="C379" s="9">
        <v>11911</v>
      </c>
      <c r="D379" t="s">
        <v>144</v>
      </c>
      <c r="E379" s="9">
        <v>0</v>
      </c>
      <c r="F379" s="1">
        <v>43811.421215277776</v>
      </c>
      <c r="G379">
        <v>0</v>
      </c>
      <c r="H379" s="1"/>
      <c r="I379" s="1" t="s">
        <v>127</v>
      </c>
      <c r="J379" s="1" t="s">
        <v>145</v>
      </c>
    </row>
    <row r="380" spans="1:10" x14ac:dyDescent="0.3">
      <c r="A380" s="9">
        <v>77</v>
      </c>
      <c r="B380">
        <v>1020</v>
      </c>
      <c r="C380" s="9">
        <v>11911</v>
      </c>
      <c r="D380" t="s">
        <v>144</v>
      </c>
      <c r="E380" s="9">
        <v>0</v>
      </c>
      <c r="F380" s="1">
        <v>43811.421180555553</v>
      </c>
      <c r="G380">
        <v>0</v>
      </c>
      <c r="H380" s="1"/>
      <c r="I380" s="1" t="s">
        <v>128</v>
      </c>
      <c r="J380" s="1" t="s">
        <v>145</v>
      </c>
    </row>
    <row r="381" spans="1:10" x14ac:dyDescent="0.3">
      <c r="A381" s="9">
        <v>1</v>
      </c>
      <c r="B381">
        <v>16791</v>
      </c>
      <c r="C381" s="9">
        <v>11911</v>
      </c>
      <c r="D381" t="s">
        <v>146</v>
      </c>
      <c r="E381" s="9">
        <v>23</v>
      </c>
      <c r="F381" s="1">
        <v>43811.418877314813</v>
      </c>
      <c r="G381">
        <v>0</v>
      </c>
      <c r="H381" s="1"/>
      <c r="I381" s="1"/>
      <c r="J381" s="1" t="s">
        <v>145</v>
      </c>
    </row>
    <row r="382" spans="1:10" x14ac:dyDescent="0.3">
      <c r="A382" s="9">
        <v>1</v>
      </c>
      <c r="B382">
        <v>16791</v>
      </c>
      <c r="C382" s="9">
        <v>11911</v>
      </c>
      <c r="D382" t="s">
        <v>146</v>
      </c>
      <c r="E382" s="9">
        <v>22</v>
      </c>
      <c r="F382" s="1">
        <v>43811.418773148151</v>
      </c>
      <c r="G382">
        <v>0</v>
      </c>
      <c r="H382" s="1"/>
      <c r="I382" s="1"/>
      <c r="J382" s="1" t="s">
        <v>145</v>
      </c>
    </row>
    <row r="383" spans="1:10" x14ac:dyDescent="0.3">
      <c r="A383" s="9">
        <v>1</v>
      </c>
      <c r="B383">
        <v>16791</v>
      </c>
      <c r="C383" s="9">
        <v>11911</v>
      </c>
      <c r="D383" t="s">
        <v>146</v>
      </c>
      <c r="E383" s="9">
        <v>21</v>
      </c>
      <c r="F383" s="1">
        <v>43811.418668981481</v>
      </c>
      <c r="G383">
        <v>0</v>
      </c>
      <c r="H383" s="1"/>
      <c r="I383" s="1"/>
      <c r="J383" s="1" t="s">
        <v>145</v>
      </c>
    </row>
    <row r="384" spans="1:10" x14ac:dyDescent="0.3">
      <c r="A384" s="9">
        <v>1</v>
      </c>
      <c r="B384">
        <v>16791</v>
      </c>
      <c r="C384" s="9">
        <v>11911</v>
      </c>
      <c r="D384" t="s">
        <v>146</v>
      </c>
      <c r="E384" s="9">
        <v>20</v>
      </c>
      <c r="F384" s="1">
        <v>43811.418564814812</v>
      </c>
      <c r="G384">
        <v>0</v>
      </c>
      <c r="H384" s="1"/>
      <c r="I384" s="1"/>
      <c r="J384" s="1" t="s">
        <v>145</v>
      </c>
    </row>
    <row r="385" spans="1:10" x14ac:dyDescent="0.3">
      <c r="A385" s="9">
        <v>1</v>
      </c>
      <c r="B385">
        <v>16791</v>
      </c>
      <c r="C385" s="9">
        <v>11911</v>
      </c>
      <c r="D385" t="s">
        <v>146</v>
      </c>
      <c r="E385" s="9">
        <v>19</v>
      </c>
      <c r="F385" s="1">
        <v>43811.41846064815</v>
      </c>
      <c r="G385">
        <v>0</v>
      </c>
      <c r="H385" s="1"/>
      <c r="I385" s="1"/>
      <c r="J385" s="1" t="s">
        <v>145</v>
      </c>
    </row>
    <row r="386" spans="1:10" x14ac:dyDescent="0.3">
      <c r="A386" s="9">
        <v>1</v>
      </c>
      <c r="B386">
        <v>16791</v>
      </c>
      <c r="C386" s="9">
        <v>11911</v>
      </c>
      <c r="D386" t="s">
        <v>146</v>
      </c>
      <c r="E386" s="9">
        <v>18</v>
      </c>
      <c r="F386" s="1">
        <v>43811.418356481481</v>
      </c>
      <c r="G386">
        <v>0</v>
      </c>
      <c r="H386" s="1"/>
      <c r="I386" s="1"/>
      <c r="J386" s="1" t="s">
        <v>145</v>
      </c>
    </row>
    <row r="387" spans="1:10" x14ac:dyDescent="0.3">
      <c r="A387" s="9">
        <v>1</v>
      </c>
      <c r="B387">
        <v>16791</v>
      </c>
      <c r="C387" s="9">
        <v>11911</v>
      </c>
      <c r="D387" t="s">
        <v>146</v>
      </c>
      <c r="E387" s="9">
        <v>17</v>
      </c>
      <c r="F387" s="1">
        <v>43811.418263888889</v>
      </c>
      <c r="G387">
        <v>0</v>
      </c>
      <c r="H387" s="1"/>
      <c r="I387" s="1"/>
      <c r="J387" s="1" t="s">
        <v>145</v>
      </c>
    </row>
    <row r="388" spans="1:10" x14ac:dyDescent="0.3">
      <c r="A388" s="9">
        <v>1</v>
      </c>
      <c r="B388">
        <v>16791</v>
      </c>
      <c r="C388" s="9">
        <v>11911</v>
      </c>
      <c r="D388" t="s">
        <v>146</v>
      </c>
      <c r="E388" s="9">
        <v>16</v>
      </c>
      <c r="F388" s="1">
        <v>43811.41815972222</v>
      </c>
      <c r="G388">
        <v>0</v>
      </c>
      <c r="H388" s="1"/>
      <c r="I388" s="1"/>
      <c r="J388" s="1" t="s">
        <v>145</v>
      </c>
    </row>
    <row r="389" spans="1:10" x14ac:dyDescent="0.3">
      <c r="A389" s="9">
        <v>1</v>
      </c>
      <c r="B389">
        <v>16791</v>
      </c>
      <c r="C389" s="9">
        <v>11911</v>
      </c>
      <c r="D389" t="s">
        <v>146</v>
      </c>
      <c r="E389" s="9">
        <v>15</v>
      </c>
      <c r="F389" s="1">
        <v>43811.418078703704</v>
      </c>
      <c r="G389">
        <v>0</v>
      </c>
      <c r="H389" s="1"/>
      <c r="I389" s="1"/>
      <c r="J389" s="1" t="s">
        <v>145</v>
      </c>
    </row>
    <row r="390" spans="1:10" x14ac:dyDescent="0.3">
      <c r="A390" s="9">
        <v>1</v>
      </c>
      <c r="B390">
        <v>16791</v>
      </c>
      <c r="C390" s="9">
        <v>11911</v>
      </c>
      <c r="D390" t="s">
        <v>146</v>
      </c>
      <c r="E390" s="9">
        <v>14</v>
      </c>
      <c r="F390" s="1">
        <v>43811.417986111112</v>
      </c>
      <c r="G390">
        <v>0</v>
      </c>
      <c r="H390" s="1"/>
      <c r="I390" s="1"/>
      <c r="J390" s="1" t="s">
        <v>145</v>
      </c>
    </row>
    <row r="391" spans="1:10" x14ac:dyDescent="0.3">
      <c r="A391" s="9">
        <v>1</v>
      </c>
      <c r="B391">
        <v>16791</v>
      </c>
      <c r="C391" s="9">
        <v>11911</v>
      </c>
      <c r="D391" t="s">
        <v>146</v>
      </c>
      <c r="E391" s="9">
        <v>13</v>
      </c>
      <c r="F391" s="1">
        <v>43811.417893518519</v>
      </c>
      <c r="G391">
        <v>0</v>
      </c>
      <c r="H391" s="1"/>
      <c r="I391" s="1"/>
      <c r="J391" s="1" t="s">
        <v>145</v>
      </c>
    </row>
    <row r="392" spans="1:10" x14ac:dyDescent="0.3">
      <c r="A392" s="9">
        <v>1</v>
      </c>
      <c r="B392">
        <v>16791</v>
      </c>
      <c r="C392" s="9">
        <v>11911</v>
      </c>
      <c r="D392" t="s">
        <v>146</v>
      </c>
      <c r="E392" s="9">
        <v>12</v>
      </c>
      <c r="F392" s="1">
        <v>43811.417812500003</v>
      </c>
      <c r="G392">
        <v>0</v>
      </c>
      <c r="H392" s="1"/>
      <c r="I392" s="1"/>
      <c r="J392" s="1" t="s">
        <v>145</v>
      </c>
    </row>
    <row r="393" spans="1:10" x14ac:dyDescent="0.3">
      <c r="A393" s="9">
        <v>1</v>
      </c>
      <c r="B393">
        <v>16791</v>
      </c>
      <c r="C393" s="9">
        <v>11911</v>
      </c>
      <c r="D393" t="s">
        <v>146</v>
      </c>
      <c r="E393" s="9">
        <v>11</v>
      </c>
      <c r="F393" s="1">
        <v>43811.417731481481</v>
      </c>
      <c r="G393">
        <v>0</v>
      </c>
      <c r="H393" s="1"/>
      <c r="I393" s="1"/>
      <c r="J393" s="1" t="s">
        <v>145</v>
      </c>
    </row>
    <row r="394" spans="1:10" x14ac:dyDescent="0.3">
      <c r="A394" s="9">
        <v>1</v>
      </c>
      <c r="B394">
        <v>16791</v>
      </c>
      <c r="C394" s="9">
        <v>11911</v>
      </c>
      <c r="D394" t="s">
        <v>146</v>
      </c>
      <c r="E394" s="9">
        <v>10</v>
      </c>
      <c r="F394" s="1">
        <v>43811.417638888888</v>
      </c>
      <c r="G394">
        <v>0</v>
      </c>
      <c r="H394" s="1"/>
      <c r="I394" s="1"/>
      <c r="J394" s="1" t="s">
        <v>145</v>
      </c>
    </row>
    <row r="395" spans="1:10" x14ac:dyDescent="0.3">
      <c r="A395" s="9">
        <v>1</v>
      </c>
      <c r="B395">
        <v>16791</v>
      </c>
      <c r="C395" s="9">
        <v>11911</v>
      </c>
      <c r="D395" t="s">
        <v>146</v>
      </c>
      <c r="E395" s="9">
        <v>9</v>
      </c>
      <c r="F395" s="1">
        <v>43811.417546296296</v>
      </c>
      <c r="G395">
        <v>0</v>
      </c>
      <c r="H395" s="1"/>
      <c r="I395" s="1"/>
      <c r="J395" s="1" t="s">
        <v>145</v>
      </c>
    </row>
    <row r="396" spans="1:10" x14ac:dyDescent="0.3">
      <c r="A396" s="9">
        <v>1</v>
      </c>
      <c r="B396">
        <v>16791</v>
      </c>
      <c r="C396" s="9">
        <v>11911</v>
      </c>
      <c r="D396" t="s">
        <v>146</v>
      </c>
      <c r="E396" s="9">
        <v>8</v>
      </c>
      <c r="F396" s="1">
        <v>43811.41746527778</v>
      </c>
      <c r="G396">
        <v>0</v>
      </c>
      <c r="H396" s="1"/>
      <c r="I396" s="1"/>
      <c r="J396" s="1" t="s">
        <v>145</v>
      </c>
    </row>
    <row r="397" spans="1:10" x14ac:dyDescent="0.3">
      <c r="A397" s="9">
        <v>1</v>
      </c>
      <c r="B397">
        <v>16791</v>
      </c>
      <c r="C397" s="9">
        <v>11911</v>
      </c>
      <c r="D397" t="s">
        <v>146</v>
      </c>
      <c r="E397" s="9">
        <v>7</v>
      </c>
      <c r="F397" s="1">
        <v>43811.417384259257</v>
      </c>
      <c r="G397">
        <v>0</v>
      </c>
      <c r="H397" s="1"/>
      <c r="I397" s="1"/>
      <c r="J397" s="1" t="s">
        <v>145</v>
      </c>
    </row>
    <row r="398" spans="1:10" x14ac:dyDescent="0.3">
      <c r="A398" s="9">
        <v>1</v>
      </c>
      <c r="B398">
        <v>16791</v>
      </c>
      <c r="C398" s="9">
        <v>11911</v>
      </c>
      <c r="D398" t="s">
        <v>146</v>
      </c>
      <c r="E398" s="9">
        <v>6</v>
      </c>
      <c r="F398" s="1">
        <v>43811.417314814818</v>
      </c>
      <c r="G398">
        <v>0</v>
      </c>
      <c r="H398" s="1"/>
      <c r="I398" s="1"/>
      <c r="J398" s="1" t="s">
        <v>145</v>
      </c>
    </row>
    <row r="399" spans="1:10" x14ac:dyDescent="0.3">
      <c r="A399" s="9">
        <v>1</v>
      </c>
      <c r="B399">
        <v>16791</v>
      </c>
      <c r="C399" s="9">
        <v>11911</v>
      </c>
      <c r="D399" t="s">
        <v>146</v>
      </c>
      <c r="E399" s="9">
        <v>5</v>
      </c>
      <c r="F399" s="1">
        <v>43811.417245370372</v>
      </c>
      <c r="G399">
        <v>0</v>
      </c>
      <c r="H399" s="1"/>
      <c r="I399" s="1"/>
      <c r="J399" s="1" t="s">
        <v>145</v>
      </c>
    </row>
    <row r="400" spans="1:10" x14ac:dyDescent="0.3">
      <c r="A400" s="9">
        <v>1</v>
      </c>
      <c r="B400">
        <v>16791</v>
      </c>
      <c r="C400" s="9">
        <v>11911</v>
      </c>
      <c r="D400" t="s">
        <v>146</v>
      </c>
      <c r="E400" s="9">
        <v>4</v>
      </c>
      <c r="F400" s="1">
        <v>43811.417164351849</v>
      </c>
      <c r="G400">
        <v>0</v>
      </c>
      <c r="H400" s="1"/>
      <c r="I400" s="1"/>
      <c r="J400" s="1" t="s">
        <v>145</v>
      </c>
    </row>
    <row r="401" spans="1:10" x14ac:dyDescent="0.3">
      <c r="A401" s="9">
        <v>1</v>
      </c>
      <c r="B401">
        <v>16791</v>
      </c>
      <c r="C401" s="9">
        <v>11911</v>
      </c>
      <c r="D401" t="s">
        <v>146</v>
      </c>
      <c r="E401" s="9">
        <v>3</v>
      </c>
      <c r="F401" s="1">
        <v>43811.417083333334</v>
      </c>
      <c r="G401">
        <v>0</v>
      </c>
      <c r="H401" s="1"/>
      <c r="I401" s="1"/>
      <c r="J401" s="1" t="s">
        <v>145</v>
      </c>
    </row>
    <row r="402" spans="1:10" x14ac:dyDescent="0.3">
      <c r="A402" s="9">
        <v>1</v>
      </c>
      <c r="B402">
        <v>16791</v>
      </c>
      <c r="C402" s="9">
        <v>11911</v>
      </c>
      <c r="D402" t="s">
        <v>146</v>
      </c>
      <c r="E402" s="9">
        <v>2</v>
      </c>
      <c r="F402" s="1">
        <v>43811.417013888888</v>
      </c>
      <c r="G402">
        <v>0</v>
      </c>
      <c r="H402" s="1"/>
      <c r="I402" s="1"/>
      <c r="J402" s="1" t="s">
        <v>145</v>
      </c>
    </row>
    <row r="403" spans="1:10" x14ac:dyDescent="0.3">
      <c r="A403" s="9">
        <v>1</v>
      </c>
      <c r="B403">
        <v>16791</v>
      </c>
      <c r="C403" s="9">
        <v>11911</v>
      </c>
      <c r="D403" t="s">
        <v>146</v>
      </c>
      <c r="E403" s="9">
        <v>1</v>
      </c>
      <c r="F403" s="1">
        <v>43811.416944444441</v>
      </c>
      <c r="G403">
        <v>0</v>
      </c>
      <c r="H403" s="1"/>
      <c r="I403" s="1"/>
      <c r="J403" s="1" t="s">
        <v>145</v>
      </c>
    </row>
    <row r="404" spans="1:10" x14ac:dyDescent="0.3">
      <c r="A404" s="9">
        <v>1</v>
      </c>
      <c r="B404">
        <v>16791</v>
      </c>
      <c r="C404" s="9">
        <v>11911</v>
      </c>
      <c r="D404" t="s">
        <v>146</v>
      </c>
      <c r="E404" s="9">
        <v>0</v>
      </c>
      <c r="F404" s="1">
        <v>43811.416875000003</v>
      </c>
      <c r="G404">
        <v>0</v>
      </c>
      <c r="H404" s="1"/>
      <c r="I404" s="1"/>
      <c r="J404" s="1" t="s">
        <v>145</v>
      </c>
    </row>
    <row r="405" spans="1:10" x14ac:dyDescent="0.3">
      <c r="A405" s="9">
        <v>77</v>
      </c>
      <c r="B405">
        <v>20468</v>
      </c>
      <c r="C405" s="9">
        <v>11911</v>
      </c>
      <c r="D405" t="s">
        <v>144</v>
      </c>
      <c r="E405" s="9">
        <v>0</v>
      </c>
      <c r="F405" s="1">
        <v>43811.415567129632</v>
      </c>
      <c r="G405">
        <v>0</v>
      </c>
      <c r="H405" s="1"/>
      <c r="I405" s="1" t="s">
        <v>105</v>
      </c>
      <c r="J405" s="1" t="s">
        <v>145</v>
      </c>
    </row>
    <row r="406" spans="1:10" x14ac:dyDescent="0.3">
      <c r="A406" s="9">
        <v>77</v>
      </c>
      <c r="B406">
        <v>9012</v>
      </c>
      <c r="C406" s="9">
        <v>11911</v>
      </c>
      <c r="D406" t="s">
        <v>144</v>
      </c>
      <c r="E406" s="9">
        <v>0</v>
      </c>
      <c r="F406" s="1">
        <v>43811.415532407409</v>
      </c>
      <c r="G406">
        <v>0</v>
      </c>
      <c r="H406" s="1"/>
      <c r="I406" s="1" t="s">
        <v>106</v>
      </c>
      <c r="J406" s="1" t="s">
        <v>145</v>
      </c>
    </row>
    <row r="407" spans="1:10" x14ac:dyDescent="0.3">
      <c r="A407" s="9">
        <v>77</v>
      </c>
      <c r="B407">
        <v>20064</v>
      </c>
      <c r="C407" s="9">
        <v>11911</v>
      </c>
      <c r="D407" t="s">
        <v>144</v>
      </c>
      <c r="E407" s="9">
        <v>0</v>
      </c>
      <c r="F407" s="1">
        <v>43811.415509259263</v>
      </c>
      <c r="G407">
        <v>0</v>
      </c>
      <c r="H407" s="1"/>
      <c r="I407" s="1" t="s">
        <v>107</v>
      </c>
      <c r="J407" s="1" t="s">
        <v>145</v>
      </c>
    </row>
    <row r="408" spans="1:10" x14ac:dyDescent="0.3">
      <c r="A408" s="9">
        <v>77</v>
      </c>
      <c r="B408">
        <v>14324</v>
      </c>
      <c r="C408" s="9">
        <v>11911</v>
      </c>
      <c r="D408" t="s">
        <v>144</v>
      </c>
      <c r="E408" s="9">
        <v>0</v>
      </c>
      <c r="F408" s="1">
        <v>43811.41547453704</v>
      </c>
      <c r="G408">
        <v>0</v>
      </c>
      <c r="H408" s="1"/>
      <c r="I408" s="1" t="s">
        <v>108</v>
      </c>
      <c r="J408" s="1" t="s">
        <v>145</v>
      </c>
    </row>
    <row r="409" spans="1:10" x14ac:dyDescent="0.3">
      <c r="A409" s="9">
        <v>77</v>
      </c>
      <c r="B409">
        <v>10980</v>
      </c>
      <c r="C409" s="9">
        <v>11911</v>
      </c>
      <c r="D409" t="s">
        <v>144</v>
      </c>
      <c r="E409" s="9">
        <v>0</v>
      </c>
      <c r="F409" s="1">
        <v>43811.415439814817</v>
      </c>
      <c r="G409">
        <v>0</v>
      </c>
      <c r="H409" s="1"/>
      <c r="I409" s="1" t="s">
        <v>109</v>
      </c>
      <c r="J409" s="1" t="s">
        <v>145</v>
      </c>
    </row>
    <row r="410" spans="1:10" x14ac:dyDescent="0.3">
      <c r="A410" s="9">
        <v>77</v>
      </c>
      <c r="B410">
        <v>14724</v>
      </c>
      <c r="C410" s="9">
        <v>11911</v>
      </c>
      <c r="D410" t="s">
        <v>144</v>
      </c>
      <c r="E410" s="9">
        <v>0</v>
      </c>
      <c r="F410" s="1">
        <v>43811.415405092594</v>
      </c>
      <c r="G410">
        <v>0</v>
      </c>
      <c r="H410" s="1"/>
      <c r="I410" s="1" t="s">
        <v>110</v>
      </c>
      <c r="J410" s="1" t="s">
        <v>145</v>
      </c>
    </row>
    <row r="411" spans="1:10" x14ac:dyDescent="0.3">
      <c r="A411" s="9">
        <v>77</v>
      </c>
      <c r="B411">
        <v>13356</v>
      </c>
      <c r="C411" s="9">
        <v>11911</v>
      </c>
      <c r="D411" t="s">
        <v>144</v>
      </c>
      <c r="E411" s="9">
        <v>0</v>
      </c>
      <c r="F411" s="1">
        <v>43811.415381944447</v>
      </c>
      <c r="G411">
        <v>0</v>
      </c>
      <c r="H411" s="1"/>
      <c r="I411" s="1" t="s">
        <v>111</v>
      </c>
      <c r="J411" s="1" t="s">
        <v>145</v>
      </c>
    </row>
    <row r="412" spans="1:10" x14ac:dyDescent="0.3">
      <c r="A412" s="9">
        <v>77</v>
      </c>
      <c r="B412">
        <v>6448</v>
      </c>
      <c r="C412" s="9">
        <v>11911</v>
      </c>
      <c r="D412" t="s">
        <v>144</v>
      </c>
      <c r="E412" s="9">
        <v>0</v>
      </c>
      <c r="F412" s="1">
        <v>43811.415335648147</v>
      </c>
      <c r="G412">
        <v>0</v>
      </c>
      <c r="H412" s="1"/>
      <c r="I412" s="1" t="s">
        <v>112</v>
      </c>
      <c r="J412" s="1" t="s">
        <v>145</v>
      </c>
    </row>
    <row r="413" spans="1:10" x14ac:dyDescent="0.3">
      <c r="A413" s="9">
        <v>77</v>
      </c>
      <c r="B413">
        <v>14076</v>
      </c>
      <c r="C413" s="9">
        <v>11911</v>
      </c>
      <c r="D413" t="s">
        <v>144</v>
      </c>
      <c r="E413" s="9">
        <v>0</v>
      </c>
      <c r="F413" s="1">
        <v>43811.415300925924</v>
      </c>
      <c r="G413">
        <v>0</v>
      </c>
      <c r="H413" s="1"/>
      <c r="I413" s="1" t="s">
        <v>113</v>
      </c>
      <c r="J413" s="1" t="s">
        <v>145</v>
      </c>
    </row>
    <row r="414" spans="1:10" x14ac:dyDescent="0.3">
      <c r="A414" s="9">
        <v>77</v>
      </c>
      <c r="B414">
        <v>16224</v>
      </c>
      <c r="C414" s="9">
        <v>11911</v>
      </c>
      <c r="D414" t="s">
        <v>144</v>
      </c>
      <c r="E414" s="9">
        <v>0</v>
      </c>
      <c r="F414" s="1">
        <v>43811.415254629632</v>
      </c>
      <c r="G414">
        <v>0</v>
      </c>
      <c r="H414" s="1"/>
      <c r="I414" s="1" t="s">
        <v>114</v>
      </c>
      <c r="J414" s="1" t="s">
        <v>145</v>
      </c>
    </row>
    <row r="415" spans="1:10" x14ac:dyDescent="0.3">
      <c r="A415" s="9">
        <v>77</v>
      </c>
      <c r="B415">
        <v>16840</v>
      </c>
      <c r="C415" s="9">
        <v>11911</v>
      </c>
      <c r="D415" t="s">
        <v>144</v>
      </c>
      <c r="E415" s="9">
        <v>0</v>
      </c>
      <c r="F415" s="1">
        <v>43811.415196759262</v>
      </c>
      <c r="G415">
        <v>0</v>
      </c>
      <c r="H415" s="1"/>
      <c r="I415" s="1" t="s">
        <v>115</v>
      </c>
      <c r="J415" s="1" t="s">
        <v>145</v>
      </c>
    </row>
    <row r="416" spans="1:10" x14ac:dyDescent="0.3">
      <c r="A416" s="9">
        <v>77</v>
      </c>
      <c r="B416">
        <v>9660</v>
      </c>
      <c r="C416" s="9">
        <v>11911</v>
      </c>
      <c r="D416" t="s">
        <v>144</v>
      </c>
      <c r="E416" s="9">
        <v>0</v>
      </c>
      <c r="F416" s="1">
        <v>43811.415150462963</v>
      </c>
      <c r="G416">
        <v>0</v>
      </c>
      <c r="H416" s="1"/>
      <c r="I416" s="1" t="s">
        <v>116</v>
      </c>
      <c r="J416" s="1" t="s">
        <v>145</v>
      </c>
    </row>
    <row r="417" spans="1:10" x14ac:dyDescent="0.3">
      <c r="A417" s="9">
        <v>77</v>
      </c>
      <c r="B417">
        <v>17508</v>
      </c>
      <c r="C417" s="9">
        <v>11911</v>
      </c>
      <c r="D417" t="s">
        <v>144</v>
      </c>
      <c r="E417" s="9">
        <v>0</v>
      </c>
      <c r="F417" s="1">
        <v>43811.41511574074</v>
      </c>
      <c r="G417">
        <v>0</v>
      </c>
      <c r="H417" s="1"/>
      <c r="I417" s="1" t="s">
        <v>117</v>
      </c>
      <c r="J417" s="1" t="s">
        <v>145</v>
      </c>
    </row>
    <row r="418" spans="1:10" x14ac:dyDescent="0.3">
      <c r="A418" s="9">
        <v>77</v>
      </c>
      <c r="B418">
        <v>18688</v>
      </c>
      <c r="C418" s="9">
        <v>11911</v>
      </c>
      <c r="D418" t="s">
        <v>144</v>
      </c>
      <c r="E418" s="9">
        <v>0</v>
      </c>
      <c r="F418" s="1">
        <v>43811.415092592593</v>
      </c>
      <c r="G418">
        <v>0</v>
      </c>
      <c r="H418" s="1"/>
      <c r="I418" s="1" t="s">
        <v>118</v>
      </c>
      <c r="J418" s="1" t="s">
        <v>145</v>
      </c>
    </row>
    <row r="419" spans="1:10" x14ac:dyDescent="0.3">
      <c r="A419" s="9">
        <v>77</v>
      </c>
      <c r="B419">
        <v>19244</v>
      </c>
      <c r="C419" s="9">
        <v>11911</v>
      </c>
      <c r="D419" t="s">
        <v>144</v>
      </c>
      <c r="E419" s="9">
        <v>0</v>
      </c>
      <c r="F419" s="1">
        <v>43811.41505787037</v>
      </c>
      <c r="G419">
        <v>0</v>
      </c>
      <c r="H419" s="1"/>
      <c r="I419" s="1" t="s">
        <v>119</v>
      </c>
      <c r="J419" s="1" t="s">
        <v>145</v>
      </c>
    </row>
    <row r="420" spans="1:10" x14ac:dyDescent="0.3">
      <c r="A420" s="9">
        <v>77</v>
      </c>
      <c r="B420">
        <v>18856</v>
      </c>
      <c r="C420" s="9">
        <v>11911</v>
      </c>
      <c r="D420" t="s">
        <v>144</v>
      </c>
      <c r="E420" s="9">
        <v>0</v>
      </c>
      <c r="F420" s="1">
        <v>43811.415023148147</v>
      </c>
      <c r="G420">
        <v>0</v>
      </c>
      <c r="H420" s="1"/>
      <c r="I420" s="1" t="s">
        <v>120</v>
      </c>
      <c r="J420" s="1" t="s">
        <v>145</v>
      </c>
    </row>
    <row r="421" spans="1:10" x14ac:dyDescent="0.3">
      <c r="A421" s="9">
        <v>77</v>
      </c>
      <c r="B421">
        <v>7848</v>
      </c>
      <c r="C421" s="9">
        <v>11911</v>
      </c>
      <c r="D421" t="s">
        <v>144</v>
      </c>
      <c r="E421" s="9">
        <v>0</v>
      </c>
      <c r="F421" s="1">
        <v>43811.414976851855</v>
      </c>
      <c r="G421">
        <v>0</v>
      </c>
      <c r="H421" s="1"/>
      <c r="I421" s="1" t="s">
        <v>121</v>
      </c>
      <c r="J421" s="1" t="s">
        <v>145</v>
      </c>
    </row>
    <row r="422" spans="1:10" x14ac:dyDescent="0.3">
      <c r="A422" s="9">
        <v>77</v>
      </c>
      <c r="B422">
        <v>2536</v>
      </c>
      <c r="C422" s="9">
        <v>11911</v>
      </c>
      <c r="D422" t="s">
        <v>144</v>
      </c>
      <c r="E422" s="9">
        <v>0</v>
      </c>
      <c r="F422" s="1">
        <v>43811.414953703701</v>
      </c>
      <c r="G422">
        <v>0</v>
      </c>
      <c r="H422" s="1"/>
      <c r="I422" s="1" t="s">
        <v>122</v>
      </c>
      <c r="J422" s="1" t="s">
        <v>145</v>
      </c>
    </row>
    <row r="423" spans="1:10" x14ac:dyDescent="0.3">
      <c r="A423" s="9">
        <v>77</v>
      </c>
      <c r="B423">
        <v>9916</v>
      </c>
      <c r="C423" s="9">
        <v>11911</v>
      </c>
      <c r="D423" t="s">
        <v>144</v>
      </c>
      <c r="E423" s="9">
        <v>0</v>
      </c>
      <c r="F423" s="1">
        <v>43811.414918981478</v>
      </c>
      <c r="G423">
        <v>0</v>
      </c>
      <c r="H423" s="1"/>
      <c r="I423" s="1" t="s">
        <v>123</v>
      </c>
      <c r="J423" s="1" t="s">
        <v>145</v>
      </c>
    </row>
    <row r="424" spans="1:10" x14ac:dyDescent="0.3">
      <c r="A424" s="9">
        <v>77</v>
      </c>
      <c r="B424">
        <v>20020</v>
      </c>
      <c r="C424" s="9">
        <v>11911</v>
      </c>
      <c r="D424" t="s">
        <v>144</v>
      </c>
      <c r="E424" s="9">
        <v>0</v>
      </c>
      <c r="F424" s="1">
        <v>43811.414884259262</v>
      </c>
      <c r="G424">
        <v>0</v>
      </c>
      <c r="H424" s="1"/>
      <c r="I424" s="1" t="s">
        <v>124</v>
      </c>
      <c r="J424" s="1" t="s">
        <v>145</v>
      </c>
    </row>
    <row r="425" spans="1:10" x14ac:dyDescent="0.3">
      <c r="A425" s="9">
        <v>77</v>
      </c>
      <c r="B425">
        <v>13528</v>
      </c>
      <c r="C425" s="9">
        <v>11911</v>
      </c>
      <c r="D425" t="s">
        <v>144</v>
      </c>
      <c r="E425" s="9">
        <v>0</v>
      </c>
      <c r="F425" s="1">
        <v>43811.414849537039</v>
      </c>
      <c r="G425">
        <v>0</v>
      </c>
      <c r="H425" s="1"/>
      <c r="I425" s="1" t="s">
        <v>125</v>
      </c>
      <c r="J425" s="1" t="s">
        <v>325</v>
      </c>
    </row>
    <row r="426" spans="1:10" x14ac:dyDescent="0.3">
      <c r="A426" s="9">
        <v>77</v>
      </c>
      <c r="B426">
        <v>16792</v>
      </c>
      <c r="C426" s="9">
        <v>11911</v>
      </c>
      <c r="D426" t="s">
        <v>144</v>
      </c>
      <c r="E426" s="9">
        <v>0</v>
      </c>
      <c r="F426" s="1">
        <v>43811.41479166667</v>
      </c>
      <c r="G426">
        <v>0</v>
      </c>
      <c r="H426" s="1"/>
      <c r="I426" s="1" t="s">
        <v>126</v>
      </c>
      <c r="J426" s="1" t="s">
        <v>145</v>
      </c>
    </row>
    <row r="427" spans="1:10" x14ac:dyDescent="0.3">
      <c r="A427" s="9">
        <v>77</v>
      </c>
      <c r="B427">
        <v>4360</v>
      </c>
      <c r="C427" s="9">
        <v>11911</v>
      </c>
      <c r="D427" t="s">
        <v>144</v>
      </c>
      <c r="E427" s="9">
        <v>0</v>
      </c>
      <c r="F427" s="1">
        <v>43811.414756944447</v>
      </c>
      <c r="G427">
        <v>0</v>
      </c>
      <c r="H427" s="1"/>
      <c r="I427" s="1" t="s">
        <v>127</v>
      </c>
      <c r="J427" s="1" t="s">
        <v>145</v>
      </c>
    </row>
    <row r="428" spans="1:10" x14ac:dyDescent="0.3">
      <c r="A428" s="9">
        <v>77</v>
      </c>
      <c r="B428">
        <v>19964</v>
      </c>
      <c r="C428" s="9">
        <v>11911</v>
      </c>
      <c r="D428" t="s">
        <v>144</v>
      </c>
      <c r="E428" s="9">
        <v>0</v>
      </c>
      <c r="F428" s="1">
        <v>43811.414710648147</v>
      </c>
      <c r="G428">
        <v>0</v>
      </c>
      <c r="H428" s="1"/>
      <c r="I428" s="1" t="s">
        <v>128</v>
      </c>
      <c r="J428" s="1" t="s">
        <v>145</v>
      </c>
    </row>
    <row r="429" spans="1:10" x14ac:dyDescent="0.3">
      <c r="A429" s="9">
        <v>77</v>
      </c>
      <c r="B429">
        <v>11911</v>
      </c>
      <c r="C429" s="9">
        <v>11911</v>
      </c>
      <c r="D429" t="s">
        <v>144</v>
      </c>
      <c r="E429" s="9">
        <v>0</v>
      </c>
      <c r="F429" s="1">
        <v>43811.414409722223</v>
      </c>
      <c r="G429">
        <v>1</v>
      </c>
      <c r="H429" s="1" t="s">
        <v>454</v>
      </c>
      <c r="I429" s="1"/>
      <c r="J429" s="1" t="s">
        <v>464</v>
      </c>
    </row>
    <row r="430" spans="1:10" x14ac:dyDescent="0.3">
      <c r="A430" s="9">
        <v>77</v>
      </c>
      <c r="B430">
        <v>1108</v>
      </c>
      <c r="C430" s="9">
        <v>12300</v>
      </c>
      <c r="D430" t="s">
        <v>144</v>
      </c>
      <c r="E430" s="9">
        <v>0</v>
      </c>
      <c r="F430" s="1">
        <v>43811.392939814818</v>
      </c>
      <c r="G430">
        <v>0</v>
      </c>
      <c r="H430" s="1"/>
      <c r="I430" s="1" t="s">
        <v>105</v>
      </c>
      <c r="J430" s="1" t="s">
        <v>341</v>
      </c>
    </row>
    <row r="431" spans="1:10" x14ac:dyDescent="0.3">
      <c r="A431" s="9">
        <v>77</v>
      </c>
      <c r="B431">
        <v>15000</v>
      </c>
      <c r="C431" s="9">
        <v>12300</v>
      </c>
      <c r="D431" t="s">
        <v>144</v>
      </c>
      <c r="E431" s="9">
        <v>0</v>
      </c>
      <c r="F431" s="1">
        <v>43811.392893518518</v>
      </c>
      <c r="G431">
        <v>0</v>
      </c>
      <c r="H431" s="1"/>
      <c r="I431" s="1" t="s">
        <v>106</v>
      </c>
      <c r="J431" s="1" t="s">
        <v>341</v>
      </c>
    </row>
    <row r="432" spans="1:10" x14ac:dyDescent="0.3">
      <c r="A432" s="9">
        <v>77</v>
      </c>
      <c r="B432">
        <v>19824</v>
      </c>
      <c r="C432" s="9">
        <v>12300</v>
      </c>
      <c r="D432" t="s">
        <v>144</v>
      </c>
      <c r="E432" s="9">
        <v>0</v>
      </c>
      <c r="F432" s="1">
        <v>43811.392812500002</v>
      </c>
      <c r="G432">
        <v>0</v>
      </c>
      <c r="H432" s="1"/>
      <c r="I432" s="1" t="s">
        <v>107</v>
      </c>
      <c r="J432" s="1" t="s">
        <v>341</v>
      </c>
    </row>
    <row r="433" spans="1:10" x14ac:dyDescent="0.3">
      <c r="A433" s="9">
        <v>77</v>
      </c>
      <c r="B433">
        <v>14740</v>
      </c>
      <c r="C433" s="9">
        <v>12300</v>
      </c>
      <c r="D433" t="s">
        <v>144</v>
      </c>
      <c r="E433" s="9">
        <v>0</v>
      </c>
      <c r="F433" s="1">
        <v>43811.392754629633</v>
      </c>
      <c r="G433">
        <v>0</v>
      </c>
      <c r="H433" s="1"/>
      <c r="I433" s="1" t="s">
        <v>108</v>
      </c>
      <c r="J433" s="1" t="s">
        <v>341</v>
      </c>
    </row>
    <row r="434" spans="1:10" x14ac:dyDescent="0.3">
      <c r="A434" s="9">
        <v>77</v>
      </c>
      <c r="B434">
        <v>6204</v>
      </c>
      <c r="C434" s="9">
        <v>12300</v>
      </c>
      <c r="D434" t="s">
        <v>144</v>
      </c>
      <c r="E434" s="9">
        <v>0</v>
      </c>
      <c r="F434" s="1">
        <v>43811.392708333333</v>
      </c>
      <c r="G434">
        <v>0</v>
      </c>
      <c r="H434" s="1"/>
      <c r="I434" s="1" t="s">
        <v>109</v>
      </c>
      <c r="J434" s="1" t="s">
        <v>341</v>
      </c>
    </row>
    <row r="435" spans="1:10" x14ac:dyDescent="0.3">
      <c r="A435" s="9">
        <v>77</v>
      </c>
      <c r="B435">
        <v>15288</v>
      </c>
      <c r="C435" s="9">
        <v>12300</v>
      </c>
      <c r="D435" t="s">
        <v>144</v>
      </c>
      <c r="E435" s="9">
        <v>0</v>
      </c>
      <c r="F435" s="1">
        <v>43811.39266203704</v>
      </c>
      <c r="G435">
        <v>0</v>
      </c>
      <c r="H435" s="1"/>
      <c r="I435" s="1" t="s">
        <v>110</v>
      </c>
      <c r="J435" s="1" t="s">
        <v>341</v>
      </c>
    </row>
    <row r="436" spans="1:10" x14ac:dyDescent="0.3">
      <c r="A436" s="9">
        <v>77</v>
      </c>
      <c r="B436">
        <v>10204</v>
      </c>
      <c r="C436" s="9">
        <v>12300</v>
      </c>
      <c r="D436" t="s">
        <v>144</v>
      </c>
      <c r="E436" s="9">
        <v>0</v>
      </c>
      <c r="F436" s="1">
        <v>43811.39261574074</v>
      </c>
      <c r="G436">
        <v>0</v>
      </c>
      <c r="H436" s="1"/>
      <c r="I436" s="1" t="s">
        <v>111</v>
      </c>
      <c r="J436" s="1" t="s">
        <v>341</v>
      </c>
    </row>
    <row r="437" spans="1:10" x14ac:dyDescent="0.3">
      <c r="A437" s="9">
        <v>77</v>
      </c>
      <c r="B437">
        <v>19464</v>
      </c>
      <c r="C437" s="9">
        <v>12300</v>
      </c>
      <c r="D437" t="s">
        <v>144</v>
      </c>
      <c r="E437" s="9">
        <v>0</v>
      </c>
      <c r="F437" s="1">
        <v>43811.392581018517</v>
      </c>
      <c r="G437">
        <v>0</v>
      </c>
      <c r="H437" s="1"/>
      <c r="I437" s="1" t="s">
        <v>112</v>
      </c>
      <c r="J437" s="1" t="s">
        <v>341</v>
      </c>
    </row>
    <row r="438" spans="1:10" x14ac:dyDescent="0.3">
      <c r="A438" s="9">
        <v>77</v>
      </c>
      <c r="B438">
        <v>16400</v>
      </c>
      <c r="C438" s="9">
        <v>12300</v>
      </c>
      <c r="D438" t="s">
        <v>144</v>
      </c>
      <c r="E438" s="9">
        <v>0</v>
      </c>
      <c r="F438" s="1">
        <v>43811.392534722225</v>
      </c>
      <c r="G438">
        <v>0</v>
      </c>
      <c r="H438" s="1"/>
      <c r="I438" s="1" t="s">
        <v>113</v>
      </c>
      <c r="J438" s="1" t="s">
        <v>341</v>
      </c>
    </row>
    <row r="439" spans="1:10" x14ac:dyDescent="0.3">
      <c r="A439" s="9">
        <v>77</v>
      </c>
      <c r="B439">
        <v>1872</v>
      </c>
      <c r="C439" s="9">
        <v>12300</v>
      </c>
      <c r="D439" t="s">
        <v>144</v>
      </c>
      <c r="E439" s="9">
        <v>0</v>
      </c>
      <c r="F439" s="1">
        <v>43811.392488425925</v>
      </c>
      <c r="G439">
        <v>0</v>
      </c>
      <c r="H439" s="1"/>
      <c r="I439" s="1" t="s">
        <v>114</v>
      </c>
      <c r="J439" s="1" t="s">
        <v>341</v>
      </c>
    </row>
    <row r="440" spans="1:10" x14ac:dyDescent="0.3">
      <c r="A440" s="9">
        <v>77</v>
      </c>
      <c r="B440">
        <v>8296</v>
      </c>
      <c r="C440" s="9">
        <v>12300</v>
      </c>
      <c r="D440" t="s">
        <v>144</v>
      </c>
      <c r="E440" s="9">
        <v>0</v>
      </c>
      <c r="F440" s="1">
        <v>43811.392442129632</v>
      </c>
      <c r="G440">
        <v>0</v>
      </c>
      <c r="H440" s="1"/>
      <c r="I440" s="1" t="s">
        <v>115</v>
      </c>
      <c r="J440" s="1" t="s">
        <v>341</v>
      </c>
    </row>
    <row r="441" spans="1:10" x14ac:dyDescent="0.3">
      <c r="A441" s="9">
        <v>77</v>
      </c>
      <c r="B441">
        <v>19708</v>
      </c>
      <c r="C441" s="9">
        <v>12300</v>
      </c>
      <c r="D441" t="s">
        <v>144</v>
      </c>
      <c r="E441" s="9">
        <v>0</v>
      </c>
      <c r="F441" s="1">
        <v>43811.392395833333</v>
      </c>
      <c r="G441">
        <v>0</v>
      </c>
      <c r="H441" s="1"/>
      <c r="I441" s="1" t="s">
        <v>116</v>
      </c>
      <c r="J441" s="1" t="s">
        <v>341</v>
      </c>
    </row>
    <row r="442" spans="1:10" x14ac:dyDescent="0.3">
      <c r="A442" s="9">
        <v>77</v>
      </c>
      <c r="B442">
        <v>8760</v>
      </c>
      <c r="C442" s="9">
        <v>12300</v>
      </c>
      <c r="D442" t="s">
        <v>144</v>
      </c>
      <c r="E442" s="9">
        <v>0</v>
      </c>
      <c r="F442" s="1">
        <v>43811.392361111109</v>
      </c>
      <c r="G442">
        <v>0</v>
      </c>
      <c r="H442" s="1"/>
      <c r="I442" s="1" t="s">
        <v>117</v>
      </c>
      <c r="J442" s="1" t="s">
        <v>341</v>
      </c>
    </row>
    <row r="443" spans="1:10" x14ac:dyDescent="0.3">
      <c r="A443" s="9">
        <v>77</v>
      </c>
      <c r="B443">
        <v>12168</v>
      </c>
      <c r="C443" s="9">
        <v>12300</v>
      </c>
      <c r="D443" t="s">
        <v>144</v>
      </c>
      <c r="E443" s="9">
        <v>0</v>
      </c>
      <c r="F443" s="1">
        <v>43811.392314814817</v>
      </c>
      <c r="G443">
        <v>0</v>
      </c>
      <c r="H443" s="1"/>
      <c r="I443" s="1" t="s">
        <v>118</v>
      </c>
      <c r="J443" s="1" t="s">
        <v>341</v>
      </c>
    </row>
    <row r="444" spans="1:10" x14ac:dyDescent="0.3">
      <c r="A444" s="9">
        <v>77</v>
      </c>
      <c r="B444">
        <v>15420</v>
      </c>
      <c r="C444" s="9">
        <v>12300</v>
      </c>
      <c r="D444" t="s">
        <v>144</v>
      </c>
      <c r="E444" s="9">
        <v>0</v>
      </c>
      <c r="F444" s="1">
        <v>43811.392268518517</v>
      </c>
      <c r="G444">
        <v>0</v>
      </c>
      <c r="H444" s="1"/>
      <c r="I444" s="1" t="s">
        <v>119</v>
      </c>
      <c r="J444" s="1" t="s">
        <v>341</v>
      </c>
    </row>
    <row r="445" spans="1:10" x14ac:dyDescent="0.3">
      <c r="A445" s="9">
        <v>77</v>
      </c>
      <c r="B445">
        <v>19796</v>
      </c>
      <c r="C445" s="9">
        <v>12300</v>
      </c>
      <c r="D445" t="s">
        <v>144</v>
      </c>
      <c r="E445" s="9">
        <v>0</v>
      </c>
      <c r="F445" s="1">
        <v>43811.392222222225</v>
      </c>
      <c r="G445">
        <v>0</v>
      </c>
      <c r="H445" s="1"/>
      <c r="I445" s="1" t="s">
        <v>120</v>
      </c>
      <c r="J445" s="1" t="s">
        <v>341</v>
      </c>
    </row>
    <row r="446" spans="1:10" x14ac:dyDescent="0.3">
      <c r="A446" s="9">
        <v>77</v>
      </c>
      <c r="B446">
        <v>14084</v>
      </c>
      <c r="C446" s="9">
        <v>12300</v>
      </c>
      <c r="D446" t="s">
        <v>144</v>
      </c>
      <c r="E446" s="9">
        <v>0</v>
      </c>
      <c r="F446" s="1">
        <v>43811.392164351855</v>
      </c>
      <c r="G446">
        <v>0</v>
      </c>
      <c r="H446" s="1"/>
      <c r="I446" s="1" t="s">
        <v>121</v>
      </c>
      <c r="J446" s="1" t="s">
        <v>341</v>
      </c>
    </row>
    <row r="447" spans="1:10" x14ac:dyDescent="0.3">
      <c r="A447" s="9">
        <v>77</v>
      </c>
      <c r="B447">
        <v>19472</v>
      </c>
      <c r="C447" s="9">
        <v>12300</v>
      </c>
      <c r="D447" t="s">
        <v>144</v>
      </c>
      <c r="E447" s="9">
        <v>0</v>
      </c>
      <c r="F447" s="1">
        <v>43811.392106481479</v>
      </c>
      <c r="G447">
        <v>0</v>
      </c>
      <c r="H447" s="1"/>
      <c r="I447" s="1" t="s">
        <v>122</v>
      </c>
      <c r="J447" s="1" t="s">
        <v>341</v>
      </c>
    </row>
    <row r="448" spans="1:10" x14ac:dyDescent="0.3">
      <c r="A448" s="9">
        <v>77</v>
      </c>
      <c r="B448">
        <v>11432</v>
      </c>
      <c r="C448" s="9">
        <v>12300</v>
      </c>
      <c r="D448" t="s">
        <v>144</v>
      </c>
      <c r="E448" s="9">
        <v>0</v>
      </c>
      <c r="F448" s="1">
        <v>43811.392060185186</v>
      </c>
      <c r="G448">
        <v>0</v>
      </c>
      <c r="H448" s="1"/>
      <c r="I448" s="1" t="s">
        <v>123</v>
      </c>
      <c r="J448" s="1" t="s">
        <v>341</v>
      </c>
    </row>
    <row r="449" spans="1:10" x14ac:dyDescent="0.3">
      <c r="A449" s="9">
        <v>77</v>
      </c>
      <c r="B449">
        <v>10484</v>
      </c>
      <c r="C449" s="9">
        <v>12300</v>
      </c>
      <c r="D449" t="s">
        <v>144</v>
      </c>
      <c r="E449" s="9">
        <v>0</v>
      </c>
      <c r="F449" s="1">
        <v>43811.392013888886</v>
      </c>
      <c r="G449">
        <v>0</v>
      </c>
      <c r="H449" s="1"/>
      <c r="I449" s="1" t="s">
        <v>124</v>
      </c>
      <c r="J449" s="1" t="s">
        <v>341</v>
      </c>
    </row>
    <row r="450" spans="1:10" x14ac:dyDescent="0.3">
      <c r="A450" s="9">
        <v>77</v>
      </c>
      <c r="B450">
        <v>12568</v>
      </c>
      <c r="C450" s="9">
        <v>12300</v>
      </c>
      <c r="D450" t="s">
        <v>144</v>
      </c>
      <c r="E450" s="9">
        <v>0</v>
      </c>
      <c r="F450" s="1">
        <v>43811.391956018517</v>
      </c>
      <c r="G450">
        <v>0</v>
      </c>
      <c r="H450" s="1"/>
      <c r="I450" s="1" t="s">
        <v>125</v>
      </c>
      <c r="J450" s="1" t="s">
        <v>341</v>
      </c>
    </row>
    <row r="451" spans="1:10" x14ac:dyDescent="0.3">
      <c r="A451" s="9">
        <v>77</v>
      </c>
      <c r="B451">
        <v>6892</v>
      </c>
      <c r="C451" s="9">
        <v>12300</v>
      </c>
      <c r="D451" t="s">
        <v>144</v>
      </c>
      <c r="E451" s="9">
        <v>0</v>
      </c>
      <c r="F451" s="1">
        <v>43811.391898148147</v>
      </c>
      <c r="G451">
        <v>0</v>
      </c>
      <c r="H451" s="1"/>
      <c r="I451" s="1" t="s">
        <v>126</v>
      </c>
      <c r="J451" s="1" t="s">
        <v>341</v>
      </c>
    </row>
    <row r="452" spans="1:10" x14ac:dyDescent="0.3">
      <c r="A452" s="9">
        <v>77</v>
      </c>
      <c r="B452">
        <v>960</v>
      </c>
      <c r="C452" s="9">
        <v>12300</v>
      </c>
      <c r="D452" t="s">
        <v>144</v>
      </c>
      <c r="E452" s="9">
        <v>0</v>
      </c>
      <c r="F452" s="1">
        <v>43811.391828703701</v>
      </c>
      <c r="G452">
        <v>0</v>
      </c>
      <c r="H452" s="1"/>
      <c r="I452" s="1" t="s">
        <v>127</v>
      </c>
      <c r="J452" s="1" t="s">
        <v>341</v>
      </c>
    </row>
    <row r="453" spans="1:10" x14ac:dyDescent="0.3">
      <c r="A453" s="9">
        <v>77</v>
      </c>
      <c r="B453">
        <v>16716</v>
      </c>
      <c r="C453" s="9">
        <v>12300</v>
      </c>
      <c r="D453" t="s">
        <v>144</v>
      </c>
      <c r="E453" s="9">
        <v>0</v>
      </c>
      <c r="F453" s="1">
        <v>43811.391759259262</v>
      </c>
      <c r="G453">
        <v>0</v>
      </c>
      <c r="H453" s="1"/>
      <c r="I453" s="1" t="s">
        <v>128</v>
      </c>
      <c r="J453" s="1" t="s">
        <v>341</v>
      </c>
    </row>
    <row r="454" spans="1:10" x14ac:dyDescent="0.3">
      <c r="A454" s="9">
        <v>1</v>
      </c>
      <c r="B454">
        <v>8528</v>
      </c>
      <c r="C454" s="9">
        <v>12300</v>
      </c>
      <c r="D454" t="s">
        <v>146</v>
      </c>
      <c r="E454" s="9">
        <v>23</v>
      </c>
      <c r="F454" s="1">
        <v>43811.389965277776</v>
      </c>
      <c r="G454">
        <v>0</v>
      </c>
      <c r="H454" s="1"/>
      <c r="I454" s="1"/>
      <c r="J454" s="1" t="s">
        <v>145</v>
      </c>
    </row>
    <row r="455" spans="1:10" x14ac:dyDescent="0.3">
      <c r="A455" s="9">
        <v>1</v>
      </c>
      <c r="B455">
        <v>8528</v>
      </c>
      <c r="C455" s="9">
        <v>12300</v>
      </c>
      <c r="D455" t="s">
        <v>146</v>
      </c>
      <c r="E455" s="9">
        <v>22</v>
      </c>
      <c r="F455" s="1">
        <v>43811.389768518522</v>
      </c>
      <c r="G455">
        <v>0</v>
      </c>
      <c r="H455" s="1"/>
      <c r="I455" s="1"/>
      <c r="J455" s="1" t="s">
        <v>145</v>
      </c>
    </row>
    <row r="456" spans="1:10" x14ac:dyDescent="0.3">
      <c r="A456" s="9">
        <v>1</v>
      </c>
      <c r="B456">
        <v>8528</v>
      </c>
      <c r="C456" s="9">
        <v>12300</v>
      </c>
      <c r="D456" t="s">
        <v>146</v>
      </c>
      <c r="E456" s="9">
        <v>21</v>
      </c>
      <c r="F456" s="1">
        <v>43811.38957175926</v>
      </c>
      <c r="G456">
        <v>0</v>
      </c>
      <c r="H456" s="1"/>
      <c r="I456" s="1"/>
      <c r="J456" s="1" t="s">
        <v>145</v>
      </c>
    </row>
    <row r="457" spans="1:10" x14ac:dyDescent="0.3">
      <c r="A457" s="9">
        <v>1</v>
      </c>
      <c r="B457">
        <v>8528</v>
      </c>
      <c r="C457" s="9">
        <v>12300</v>
      </c>
      <c r="D457" t="s">
        <v>146</v>
      </c>
      <c r="E457" s="9">
        <v>20</v>
      </c>
      <c r="F457" s="1">
        <v>43811.389374999999</v>
      </c>
      <c r="G457">
        <v>0</v>
      </c>
      <c r="H457" s="1"/>
      <c r="I457" s="1"/>
      <c r="J457" s="1" t="s">
        <v>145</v>
      </c>
    </row>
    <row r="458" spans="1:10" x14ac:dyDescent="0.3">
      <c r="A458" s="9">
        <v>1</v>
      </c>
      <c r="B458">
        <v>8528</v>
      </c>
      <c r="C458" s="9">
        <v>12300</v>
      </c>
      <c r="D458" t="s">
        <v>146</v>
      </c>
      <c r="E458" s="9">
        <v>19</v>
      </c>
      <c r="F458" s="1">
        <v>43811.389189814814</v>
      </c>
      <c r="G458">
        <v>0</v>
      </c>
      <c r="H458" s="1"/>
      <c r="I458" s="1"/>
      <c r="J458" s="1" t="s">
        <v>145</v>
      </c>
    </row>
    <row r="459" spans="1:10" x14ac:dyDescent="0.3">
      <c r="A459" s="9">
        <v>1</v>
      </c>
      <c r="B459">
        <v>8528</v>
      </c>
      <c r="C459" s="9">
        <v>12300</v>
      </c>
      <c r="D459" t="s">
        <v>146</v>
      </c>
      <c r="E459" s="9">
        <v>18</v>
      </c>
      <c r="F459" s="1">
        <v>43811.389004629629</v>
      </c>
      <c r="G459">
        <v>0</v>
      </c>
      <c r="H459" s="1"/>
      <c r="I459" s="1"/>
      <c r="J459" s="1" t="s">
        <v>145</v>
      </c>
    </row>
    <row r="460" spans="1:10" x14ac:dyDescent="0.3">
      <c r="A460" s="9">
        <v>1</v>
      </c>
      <c r="B460">
        <v>8528</v>
      </c>
      <c r="C460" s="9">
        <v>12300</v>
      </c>
      <c r="D460" t="s">
        <v>146</v>
      </c>
      <c r="E460" s="9">
        <v>17</v>
      </c>
      <c r="F460" s="1">
        <v>43811.388831018521</v>
      </c>
      <c r="G460">
        <v>0</v>
      </c>
      <c r="H460" s="1"/>
      <c r="I460" s="1"/>
      <c r="J460" s="1" t="s">
        <v>145</v>
      </c>
    </row>
    <row r="461" spans="1:10" x14ac:dyDescent="0.3">
      <c r="A461" s="9">
        <v>1</v>
      </c>
      <c r="B461">
        <v>8528</v>
      </c>
      <c r="C461" s="9">
        <v>12300</v>
      </c>
      <c r="D461" t="s">
        <v>146</v>
      </c>
      <c r="E461" s="9">
        <v>16</v>
      </c>
      <c r="F461" s="1">
        <v>43811.388657407406</v>
      </c>
      <c r="G461">
        <v>0</v>
      </c>
      <c r="H461" s="1"/>
      <c r="I461" s="1"/>
      <c r="J461" s="1" t="s">
        <v>145</v>
      </c>
    </row>
    <row r="462" spans="1:10" x14ac:dyDescent="0.3">
      <c r="A462" s="9">
        <v>1</v>
      </c>
      <c r="B462">
        <v>8528</v>
      </c>
      <c r="C462" s="9">
        <v>12300</v>
      </c>
      <c r="D462" t="s">
        <v>146</v>
      </c>
      <c r="E462" s="9">
        <v>15</v>
      </c>
      <c r="F462" s="1">
        <v>43811.388483796298</v>
      </c>
      <c r="G462">
        <v>0</v>
      </c>
      <c r="H462" s="1"/>
      <c r="I462" s="1"/>
      <c r="J462" s="1" t="s">
        <v>145</v>
      </c>
    </row>
    <row r="463" spans="1:10" x14ac:dyDescent="0.3">
      <c r="A463" s="9">
        <v>1</v>
      </c>
      <c r="B463">
        <v>8528</v>
      </c>
      <c r="C463" s="9">
        <v>12300</v>
      </c>
      <c r="D463" t="s">
        <v>146</v>
      </c>
      <c r="E463" s="9">
        <v>14</v>
      </c>
      <c r="F463" s="1">
        <v>43811.388310185182</v>
      </c>
      <c r="G463">
        <v>0</v>
      </c>
      <c r="H463" s="1"/>
      <c r="I463" s="1"/>
      <c r="J463" s="1" t="s">
        <v>145</v>
      </c>
    </row>
    <row r="464" spans="1:10" x14ac:dyDescent="0.3">
      <c r="A464" s="9">
        <v>1</v>
      </c>
      <c r="B464">
        <v>8528</v>
      </c>
      <c r="C464" s="9">
        <v>12300</v>
      </c>
      <c r="D464" t="s">
        <v>146</v>
      </c>
      <c r="E464" s="9">
        <v>13</v>
      </c>
      <c r="F464" s="1">
        <v>43811.388136574074</v>
      </c>
      <c r="G464">
        <v>0</v>
      </c>
      <c r="H464" s="1"/>
      <c r="I464" s="1"/>
      <c r="J464" s="1" t="s">
        <v>145</v>
      </c>
    </row>
    <row r="465" spans="1:10" x14ac:dyDescent="0.3">
      <c r="A465" s="9">
        <v>1</v>
      </c>
      <c r="B465">
        <v>8528</v>
      </c>
      <c r="C465" s="9">
        <v>12300</v>
      </c>
      <c r="D465" t="s">
        <v>146</v>
      </c>
      <c r="E465" s="9">
        <v>12</v>
      </c>
      <c r="F465" s="1">
        <v>43811.387974537036</v>
      </c>
      <c r="G465">
        <v>0</v>
      </c>
      <c r="H465" s="1"/>
      <c r="I465" s="1"/>
      <c r="J465" s="1" t="s">
        <v>145</v>
      </c>
    </row>
    <row r="466" spans="1:10" x14ac:dyDescent="0.3">
      <c r="A466" s="9">
        <v>1</v>
      </c>
      <c r="B466">
        <v>8528</v>
      </c>
      <c r="C466" s="9">
        <v>12300</v>
      </c>
      <c r="D466" t="s">
        <v>146</v>
      </c>
      <c r="E466" s="9">
        <v>11</v>
      </c>
      <c r="F466" s="1">
        <v>43811.387812499997</v>
      </c>
      <c r="G466">
        <v>0</v>
      </c>
      <c r="H466" s="1"/>
      <c r="I466" s="1"/>
      <c r="J466" s="1" t="s">
        <v>145</v>
      </c>
    </row>
    <row r="467" spans="1:10" x14ac:dyDescent="0.3">
      <c r="A467" s="9">
        <v>1</v>
      </c>
      <c r="B467">
        <v>8528</v>
      </c>
      <c r="C467" s="9">
        <v>12300</v>
      </c>
      <c r="D467" t="s">
        <v>146</v>
      </c>
      <c r="E467" s="9">
        <v>10</v>
      </c>
      <c r="F467" s="1">
        <v>43811.387662037036</v>
      </c>
      <c r="G467">
        <v>0</v>
      </c>
      <c r="H467" s="1"/>
      <c r="I467" s="1"/>
      <c r="J467" s="1" t="s">
        <v>145</v>
      </c>
    </row>
    <row r="468" spans="1:10" x14ac:dyDescent="0.3">
      <c r="A468" s="9">
        <v>1</v>
      </c>
      <c r="B468">
        <v>8528</v>
      </c>
      <c r="C468" s="9">
        <v>12300</v>
      </c>
      <c r="D468" t="s">
        <v>146</v>
      </c>
      <c r="E468" s="9">
        <v>9</v>
      </c>
      <c r="F468" s="1">
        <v>43811.387511574074</v>
      </c>
      <c r="G468">
        <v>0</v>
      </c>
      <c r="H468" s="1"/>
      <c r="I468" s="1"/>
      <c r="J468" s="1" t="s">
        <v>145</v>
      </c>
    </row>
    <row r="469" spans="1:10" x14ac:dyDescent="0.3">
      <c r="A469" s="9">
        <v>1</v>
      </c>
      <c r="B469">
        <v>8528</v>
      </c>
      <c r="C469" s="9">
        <v>12300</v>
      </c>
      <c r="D469" t="s">
        <v>146</v>
      </c>
      <c r="E469" s="9">
        <v>8</v>
      </c>
      <c r="F469" s="1">
        <v>43811.387361111112</v>
      </c>
      <c r="G469">
        <v>0</v>
      </c>
      <c r="H469" s="1"/>
      <c r="I469" s="1"/>
      <c r="J469" s="1" t="s">
        <v>145</v>
      </c>
    </row>
    <row r="470" spans="1:10" x14ac:dyDescent="0.3">
      <c r="A470" s="9">
        <v>77</v>
      </c>
      <c r="B470">
        <v>15596</v>
      </c>
      <c r="C470" s="9">
        <v>12300</v>
      </c>
      <c r="D470" t="s">
        <v>144</v>
      </c>
      <c r="E470" s="9">
        <v>0</v>
      </c>
      <c r="F470" s="1">
        <v>43811.387303240743</v>
      </c>
      <c r="G470">
        <v>0</v>
      </c>
      <c r="H470" s="1"/>
      <c r="I470" s="1" t="s">
        <v>104</v>
      </c>
      <c r="J470" s="1" t="s">
        <v>341</v>
      </c>
    </row>
    <row r="471" spans="1:10" x14ac:dyDescent="0.3">
      <c r="A471" s="9">
        <v>1</v>
      </c>
      <c r="B471">
        <v>8528</v>
      </c>
      <c r="C471" s="9">
        <v>12300</v>
      </c>
      <c r="D471" t="s">
        <v>146</v>
      </c>
      <c r="E471" s="9">
        <v>7</v>
      </c>
      <c r="F471" s="1">
        <v>43811.38721064815</v>
      </c>
      <c r="G471">
        <v>0</v>
      </c>
      <c r="H471" s="1"/>
      <c r="I471" s="1"/>
      <c r="J471" s="1" t="s">
        <v>145</v>
      </c>
    </row>
    <row r="472" spans="1:10" x14ac:dyDescent="0.3">
      <c r="A472" s="9">
        <v>1</v>
      </c>
      <c r="B472">
        <v>8528</v>
      </c>
      <c r="C472" s="9">
        <v>12300</v>
      </c>
      <c r="D472" t="s">
        <v>146</v>
      </c>
      <c r="E472" s="9">
        <v>6</v>
      </c>
      <c r="F472" s="1">
        <v>43811.387071759258</v>
      </c>
      <c r="G472">
        <v>0</v>
      </c>
      <c r="H472" s="1"/>
      <c r="I472" s="1"/>
      <c r="J472" s="1" t="s">
        <v>145</v>
      </c>
    </row>
    <row r="473" spans="1:10" x14ac:dyDescent="0.3">
      <c r="A473" s="9">
        <v>1</v>
      </c>
      <c r="B473">
        <v>8528</v>
      </c>
      <c r="C473" s="9">
        <v>12300</v>
      </c>
      <c r="D473" t="s">
        <v>146</v>
      </c>
      <c r="E473" s="9">
        <v>5</v>
      </c>
      <c r="F473" s="1">
        <v>43811.386932870373</v>
      </c>
      <c r="G473">
        <v>0</v>
      </c>
      <c r="H473" s="1"/>
      <c r="I473" s="1"/>
      <c r="J473" s="1" t="s">
        <v>145</v>
      </c>
    </row>
    <row r="474" spans="1:10" x14ac:dyDescent="0.3">
      <c r="A474" s="9">
        <v>1</v>
      </c>
      <c r="B474">
        <v>8528</v>
      </c>
      <c r="C474" s="9">
        <v>12300</v>
      </c>
      <c r="D474" t="s">
        <v>146</v>
      </c>
      <c r="E474" s="9">
        <v>4</v>
      </c>
      <c r="F474" s="1">
        <v>43811.386805555558</v>
      </c>
      <c r="G474">
        <v>0</v>
      </c>
      <c r="H474" s="1"/>
      <c r="I474" s="1"/>
      <c r="J474" s="1" t="s">
        <v>145</v>
      </c>
    </row>
    <row r="475" spans="1:10" x14ac:dyDescent="0.3">
      <c r="A475" s="9">
        <v>1</v>
      </c>
      <c r="B475">
        <v>8528</v>
      </c>
      <c r="C475" s="9">
        <v>12300</v>
      </c>
      <c r="D475" t="s">
        <v>146</v>
      </c>
      <c r="E475" s="9">
        <v>3</v>
      </c>
      <c r="F475" s="1">
        <v>43811.386678240742</v>
      </c>
      <c r="G475">
        <v>0</v>
      </c>
      <c r="H475" s="1"/>
      <c r="I475" s="1"/>
      <c r="J475" s="1" t="s">
        <v>145</v>
      </c>
    </row>
    <row r="476" spans="1:10" x14ac:dyDescent="0.3">
      <c r="A476" s="9">
        <v>1</v>
      </c>
      <c r="B476">
        <v>8528</v>
      </c>
      <c r="C476" s="9">
        <v>12300</v>
      </c>
      <c r="D476" t="s">
        <v>146</v>
      </c>
      <c r="E476" s="9">
        <v>2</v>
      </c>
      <c r="F476" s="1">
        <v>43811.386550925927</v>
      </c>
      <c r="G476">
        <v>0</v>
      </c>
      <c r="H476" s="1"/>
      <c r="I476" s="1"/>
      <c r="J476" s="1" t="s">
        <v>145</v>
      </c>
    </row>
    <row r="477" spans="1:10" x14ac:dyDescent="0.3">
      <c r="A477" s="9">
        <v>1</v>
      </c>
      <c r="B477">
        <v>8528</v>
      </c>
      <c r="C477" s="9">
        <v>12300</v>
      </c>
      <c r="D477" t="s">
        <v>146</v>
      </c>
      <c r="E477" s="9">
        <v>1</v>
      </c>
      <c r="F477" s="1">
        <v>43811.386423611111</v>
      </c>
      <c r="G477">
        <v>0</v>
      </c>
      <c r="H477" s="1"/>
      <c r="I477" s="1"/>
      <c r="J477" s="1" t="s">
        <v>145</v>
      </c>
    </row>
    <row r="478" spans="1:10" x14ac:dyDescent="0.3">
      <c r="A478" s="9">
        <v>1</v>
      </c>
      <c r="B478">
        <v>8528</v>
      </c>
      <c r="C478" s="9">
        <v>12300</v>
      </c>
      <c r="D478" t="s">
        <v>146</v>
      </c>
      <c r="E478" s="9">
        <v>0</v>
      </c>
      <c r="F478" s="1">
        <v>43811.386307870373</v>
      </c>
      <c r="G478">
        <v>0</v>
      </c>
      <c r="H478" s="1"/>
      <c r="I478" s="1"/>
      <c r="J478" s="1" t="s">
        <v>145</v>
      </c>
    </row>
    <row r="479" spans="1:10" x14ac:dyDescent="0.3">
      <c r="A479" s="9">
        <v>77</v>
      </c>
      <c r="B479">
        <v>14832</v>
      </c>
      <c r="C479" s="9">
        <v>12300</v>
      </c>
      <c r="D479" t="s">
        <v>144</v>
      </c>
      <c r="E479" s="9">
        <v>0</v>
      </c>
      <c r="F479" s="1">
        <v>43811.384432870371</v>
      </c>
      <c r="G479">
        <v>0</v>
      </c>
      <c r="H479" s="1"/>
      <c r="I479" s="1" t="s">
        <v>127</v>
      </c>
      <c r="J479" s="1" t="s">
        <v>341</v>
      </c>
    </row>
    <row r="480" spans="1:10" x14ac:dyDescent="0.3">
      <c r="A480" s="9">
        <v>77</v>
      </c>
      <c r="B480">
        <v>12300</v>
      </c>
      <c r="C480" s="9">
        <v>12300</v>
      </c>
      <c r="D480" t="s">
        <v>144</v>
      </c>
      <c r="E480" s="9">
        <v>0</v>
      </c>
      <c r="F480" s="1">
        <v>43811.38354166667</v>
      </c>
      <c r="G480">
        <v>1</v>
      </c>
      <c r="H480" s="1" t="s">
        <v>454</v>
      </c>
      <c r="I480" s="1"/>
      <c r="J480" s="1" t="s">
        <v>465</v>
      </c>
    </row>
    <row r="481" spans="1:10" x14ac:dyDescent="0.3">
      <c r="A481" s="9">
        <v>1</v>
      </c>
      <c r="B481">
        <v>15276</v>
      </c>
      <c r="C481" s="9">
        <v>9816</v>
      </c>
      <c r="D481" t="s">
        <v>146</v>
      </c>
      <c r="E481" s="9">
        <v>23</v>
      </c>
      <c r="F481" s="1">
        <v>43805.592465277776</v>
      </c>
      <c r="G481">
        <v>0</v>
      </c>
      <c r="H481" s="1"/>
      <c r="I481" s="1"/>
      <c r="J481" s="1" t="s">
        <v>145</v>
      </c>
    </row>
    <row r="482" spans="1:10" x14ac:dyDescent="0.3">
      <c r="A482" s="9">
        <v>1</v>
      </c>
      <c r="B482">
        <v>15276</v>
      </c>
      <c r="C482" s="9">
        <v>9816</v>
      </c>
      <c r="D482" t="s">
        <v>146</v>
      </c>
      <c r="E482" s="9">
        <v>22</v>
      </c>
      <c r="F482" s="1">
        <v>43805.592361111114</v>
      </c>
      <c r="G482">
        <v>0</v>
      </c>
      <c r="H482" s="1"/>
      <c r="I482" s="1"/>
      <c r="J482" s="1" t="s">
        <v>145</v>
      </c>
    </row>
    <row r="483" spans="1:10" x14ac:dyDescent="0.3">
      <c r="A483" s="9">
        <v>1</v>
      </c>
      <c r="B483">
        <v>15276</v>
      </c>
      <c r="C483" s="9">
        <v>9816</v>
      </c>
      <c r="D483" t="s">
        <v>146</v>
      </c>
      <c r="E483" s="9">
        <v>21</v>
      </c>
      <c r="F483" s="1">
        <v>43805.592280092591</v>
      </c>
      <c r="G483">
        <v>0</v>
      </c>
      <c r="H483" s="1"/>
      <c r="I483" s="1"/>
      <c r="J483" s="1" t="s">
        <v>145</v>
      </c>
    </row>
    <row r="484" spans="1:10" x14ac:dyDescent="0.3">
      <c r="A484" s="9">
        <v>1</v>
      </c>
      <c r="B484">
        <v>15276</v>
      </c>
      <c r="C484" s="9">
        <v>9816</v>
      </c>
      <c r="D484" t="s">
        <v>146</v>
      </c>
      <c r="E484" s="9">
        <v>20</v>
      </c>
      <c r="F484" s="1">
        <v>43805.592187499999</v>
      </c>
      <c r="G484">
        <v>0</v>
      </c>
      <c r="H484" s="1"/>
      <c r="I484" s="1"/>
      <c r="J484" s="1" t="s">
        <v>145</v>
      </c>
    </row>
    <row r="485" spans="1:10" x14ac:dyDescent="0.3">
      <c r="A485" s="9">
        <v>1</v>
      </c>
      <c r="B485">
        <v>15276</v>
      </c>
      <c r="C485" s="9">
        <v>9816</v>
      </c>
      <c r="D485" t="s">
        <v>146</v>
      </c>
      <c r="E485" s="9">
        <v>19</v>
      </c>
      <c r="F485" s="1">
        <v>43805.592094907406</v>
      </c>
      <c r="G485">
        <v>0</v>
      </c>
      <c r="H485" s="1"/>
      <c r="I485" s="1"/>
      <c r="J485" s="1" t="s">
        <v>145</v>
      </c>
    </row>
    <row r="486" spans="1:10" x14ac:dyDescent="0.3">
      <c r="A486" s="9">
        <v>1</v>
      </c>
      <c r="B486">
        <v>15276</v>
      </c>
      <c r="C486" s="9">
        <v>9816</v>
      </c>
      <c r="D486" t="s">
        <v>146</v>
      </c>
      <c r="E486" s="9">
        <v>18</v>
      </c>
      <c r="F486" s="1">
        <v>43805.592013888891</v>
      </c>
      <c r="G486">
        <v>0</v>
      </c>
      <c r="H486" s="1"/>
      <c r="I486" s="1"/>
      <c r="J486" s="1" t="s">
        <v>145</v>
      </c>
    </row>
    <row r="487" spans="1:10" x14ac:dyDescent="0.3">
      <c r="A487" s="9">
        <v>1</v>
      </c>
      <c r="B487">
        <v>15276</v>
      </c>
      <c r="C487" s="9">
        <v>9816</v>
      </c>
      <c r="D487" t="s">
        <v>146</v>
      </c>
      <c r="E487" s="9">
        <v>17</v>
      </c>
      <c r="F487" s="1">
        <v>43805.591932870368</v>
      </c>
      <c r="G487">
        <v>0</v>
      </c>
      <c r="H487" s="1"/>
      <c r="I487" s="1"/>
      <c r="J487" s="1" t="s">
        <v>145</v>
      </c>
    </row>
    <row r="488" spans="1:10" x14ac:dyDescent="0.3">
      <c r="A488" s="9">
        <v>1</v>
      </c>
      <c r="B488">
        <v>15276</v>
      </c>
      <c r="C488" s="9">
        <v>9816</v>
      </c>
      <c r="D488" t="s">
        <v>146</v>
      </c>
      <c r="E488" s="9">
        <v>16</v>
      </c>
      <c r="F488" s="1">
        <v>43805.591851851852</v>
      </c>
      <c r="G488">
        <v>0</v>
      </c>
      <c r="H488" s="1"/>
      <c r="I488" s="1"/>
      <c r="J488" s="1" t="s">
        <v>145</v>
      </c>
    </row>
    <row r="489" spans="1:10" x14ac:dyDescent="0.3">
      <c r="A489" s="9">
        <v>1</v>
      </c>
      <c r="B489">
        <v>15276</v>
      </c>
      <c r="C489" s="9">
        <v>9816</v>
      </c>
      <c r="D489" t="s">
        <v>146</v>
      </c>
      <c r="E489" s="9">
        <v>15</v>
      </c>
      <c r="F489" s="1">
        <v>43805.591770833336</v>
      </c>
      <c r="G489">
        <v>0</v>
      </c>
      <c r="H489" s="1"/>
      <c r="I489" s="1"/>
      <c r="J489" s="1" t="s">
        <v>145</v>
      </c>
    </row>
    <row r="490" spans="1:10" x14ac:dyDescent="0.3">
      <c r="A490" s="9">
        <v>1</v>
      </c>
      <c r="B490">
        <v>15276</v>
      </c>
      <c r="C490" s="9">
        <v>9816</v>
      </c>
      <c r="D490" t="s">
        <v>146</v>
      </c>
      <c r="E490" s="9">
        <v>14</v>
      </c>
      <c r="F490" s="1">
        <v>43805.591678240744</v>
      </c>
      <c r="G490">
        <v>0</v>
      </c>
      <c r="H490" s="1"/>
      <c r="I490" s="1"/>
      <c r="J490" s="1" t="s">
        <v>145</v>
      </c>
    </row>
    <row r="491" spans="1:10" x14ac:dyDescent="0.3">
      <c r="A491" s="9">
        <v>1</v>
      </c>
      <c r="B491">
        <v>15276</v>
      </c>
      <c r="C491" s="9">
        <v>9816</v>
      </c>
      <c r="D491" t="s">
        <v>146</v>
      </c>
      <c r="E491" s="9">
        <v>13</v>
      </c>
      <c r="F491" s="1">
        <v>43805.591597222221</v>
      </c>
      <c r="G491">
        <v>0</v>
      </c>
      <c r="H491" s="1"/>
      <c r="I491" s="1"/>
      <c r="J491" s="1" t="s">
        <v>145</v>
      </c>
    </row>
    <row r="492" spans="1:10" x14ac:dyDescent="0.3">
      <c r="A492" s="9">
        <v>1</v>
      </c>
      <c r="B492">
        <v>15276</v>
      </c>
      <c r="C492" s="9">
        <v>9816</v>
      </c>
      <c r="D492" t="s">
        <v>146</v>
      </c>
      <c r="E492" s="9">
        <v>12</v>
      </c>
      <c r="F492" s="1">
        <v>43805.591516203705</v>
      </c>
      <c r="G492">
        <v>0</v>
      </c>
      <c r="H492" s="1"/>
      <c r="I492" s="1"/>
      <c r="J492" s="1" t="s">
        <v>145</v>
      </c>
    </row>
    <row r="493" spans="1:10" x14ac:dyDescent="0.3">
      <c r="A493" s="9">
        <v>1</v>
      </c>
      <c r="B493">
        <v>15276</v>
      </c>
      <c r="C493" s="9">
        <v>9816</v>
      </c>
      <c r="D493" t="s">
        <v>146</v>
      </c>
      <c r="E493" s="9">
        <v>11</v>
      </c>
      <c r="F493" s="1">
        <v>43805.591435185182</v>
      </c>
      <c r="G493">
        <v>0</v>
      </c>
      <c r="H493" s="1"/>
      <c r="I493" s="1"/>
      <c r="J493" s="1" t="s">
        <v>145</v>
      </c>
    </row>
    <row r="494" spans="1:10" x14ac:dyDescent="0.3">
      <c r="A494" s="9">
        <v>1</v>
      </c>
      <c r="B494">
        <v>15276</v>
      </c>
      <c r="C494" s="9">
        <v>9816</v>
      </c>
      <c r="D494" t="s">
        <v>146</v>
      </c>
      <c r="E494" s="9">
        <v>10</v>
      </c>
      <c r="F494" s="1">
        <v>43805.591365740744</v>
      </c>
      <c r="G494">
        <v>0</v>
      </c>
      <c r="H494" s="1"/>
      <c r="I494" s="1"/>
      <c r="J494" s="1" t="s">
        <v>145</v>
      </c>
    </row>
    <row r="495" spans="1:10" x14ac:dyDescent="0.3">
      <c r="A495" s="9">
        <v>1</v>
      </c>
      <c r="B495">
        <v>15276</v>
      </c>
      <c r="C495" s="9">
        <v>9816</v>
      </c>
      <c r="D495" t="s">
        <v>146</v>
      </c>
      <c r="E495" s="9">
        <v>9</v>
      </c>
      <c r="F495" s="1">
        <v>43805.591284722221</v>
      </c>
      <c r="G495">
        <v>0</v>
      </c>
      <c r="H495" s="1"/>
      <c r="I495" s="1"/>
      <c r="J495" s="1" t="s">
        <v>145</v>
      </c>
    </row>
    <row r="496" spans="1:10" x14ac:dyDescent="0.3">
      <c r="A496" s="9">
        <v>1</v>
      </c>
      <c r="B496">
        <v>15276</v>
      </c>
      <c r="C496" s="9">
        <v>9816</v>
      </c>
      <c r="D496" t="s">
        <v>146</v>
      </c>
      <c r="E496" s="9">
        <v>8</v>
      </c>
      <c r="F496" s="1">
        <v>43805.591215277775</v>
      </c>
      <c r="G496">
        <v>0</v>
      </c>
      <c r="H496" s="1"/>
      <c r="I496" s="1"/>
      <c r="J496" s="1" t="s">
        <v>145</v>
      </c>
    </row>
    <row r="497" spans="1:10" x14ac:dyDescent="0.3">
      <c r="A497" s="9">
        <v>1</v>
      </c>
      <c r="B497">
        <v>15276</v>
      </c>
      <c r="C497" s="9">
        <v>9816</v>
      </c>
      <c r="D497" t="s">
        <v>146</v>
      </c>
      <c r="E497" s="9">
        <v>7</v>
      </c>
      <c r="F497" s="1">
        <v>43805.591134259259</v>
      </c>
      <c r="G497">
        <v>0</v>
      </c>
      <c r="H497" s="1"/>
      <c r="I497" s="1"/>
      <c r="J497" s="1" t="s">
        <v>145</v>
      </c>
    </row>
    <row r="498" spans="1:10" x14ac:dyDescent="0.3">
      <c r="A498" s="9">
        <v>1</v>
      </c>
      <c r="B498">
        <v>15276</v>
      </c>
      <c r="C498" s="9">
        <v>9816</v>
      </c>
      <c r="D498" t="s">
        <v>146</v>
      </c>
      <c r="E498" s="9">
        <v>6</v>
      </c>
      <c r="F498" s="1">
        <v>43805.591064814813</v>
      </c>
      <c r="G498">
        <v>0</v>
      </c>
      <c r="H498" s="1"/>
      <c r="I498" s="1"/>
      <c r="J498" s="1" t="s">
        <v>145</v>
      </c>
    </row>
    <row r="499" spans="1:10" x14ac:dyDescent="0.3">
      <c r="A499" s="9">
        <v>1</v>
      </c>
      <c r="B499">
        <v>15276</v>
      </c>
      <c r="C499" s="9">
        <v>9816</v>
      </c>
      <c r="D499" t="s">
        <v>146</v>
      </c>
      <c r="E499" s="9">
        <v>5</v>
      </c>
      <c r="F499" s="1">
        <v>43805.590995370374</v>
      </c>
      <c r="G499">
        <v>0</v>
      </c>
      <c r="H499" s="1"/>
      <c r="I499" s="1"/>
      <c r="J499" s="1" t="s">
        <v>145</v>
      </c>
    </row>
    <row r="500" spans="1:10" x14ac:dyDescent="0.3">
      <c r="A500" s="9">
        <v>1</v>
      </c>
      <c r="B500">
        <v>15276</v>
      </c>
      <c r="C500" s="9">
        <v>9816</v>
      </c>
      <c r="D500" t="s">
        <v>146</v>
      </c>
      <c r="E500" s="9">
        <v>4</v>
      </c>
      <c r="F500" s="1">
        <v>43805.590925925928</v>
      </c>
      <c r="G500">
        <v>0</v>
      </c>
      <c r="H500" s="1"/>
      <c r="I500" s="1"/>
      <c r="J500" s="1" t="s">
        <v>145</v>
      </c>
    </row>
    <row r="501" spans="1:10" x14ac:dyDescent="0.3">
      <c r="A501" s="9">
        <v>1</v>
      </c>
      <c r="B501">
        <v>15276</v>
      </c>
      <c r="C501" s="9">
        <v>9816</v>
      </c>
      <c r="D501" t="s">
        <v>146</v>
      </c>
      <c r="E501" s="9">
        <v>3</v>
      </c>
      <c r="F501" s="1">
        <v>43805.590856481482</v>
      </c>
      <c r="G501">
        <v>0</v>
      </c>
      <c r="H501" s="1"/>
      <c r="I501" s="1"/>
      <c r="J501" s="1" t="s">
        <v>145</v>
      </c>
    </row>
    <row r="502" spans="1:10" x14ac:dyDescent="0.3">
      <c r="A502" s="9">
        <v>1</v>
      </c>
      <c r="B502">
        <v>15276</v>
      </c>
      <c r="C502" s="9">
        <v>9816</v>
      </c>
      <c r="D502" t="s">
        <v>146</v>
      </c>
      <c r="E502" s="9">
        <v>2</v>
      </c>
      <c r="F502" s="1">
        <v>43805.590787037036</v>
      </c>
      <c r="G502">
        <v>0</v>
      </c>
      <c r="H502" s="1"/>
      <c r="I502" s="1"/>
      <c r="J502" s="1" t="s">
        <v>145</v>
      </c>
    </row>
    <row r="503" spans="1:10" x14ac:dyDescent="0.3">
      <c r="A503" s="9">
        <v>1</v>
      </c>
      <c r="B503">
        <v>15276</v>
      </c>
      <c r="C503" s="9">
        <v>9816</v>
      </c>
      <c r="D503" t="s">
        <v>146</v>
      </c>
      <c r="E503" s="9">
        <v>1</v>
      </c>
      <c r="F503" s="1">
        <v>43805.590717592589</v>
      </c>
      <c r="G503">
        <v>0</v>
      </c>
      <c r="H503" s="1"/>
      <c r="I503" s="1"/>
      <c r="J503" s="1" t="s">
        <v>145</v>
      </c>
    </row>
    <row r="504" spans="1:10" x14ac:dyDescent="0.3">
      <c r="A504" s="9">
        <v>1</v>
      </c>
      <c r="B504">
        <v>15276</v>
      </c>
      <c r="C504" s="9">
        <v>9816</v>
      </c>
      <c r="D504" t="s">
        <v>146</v>
      </c>
      <c r="E504" s="9">
        <v>0</v>
      </c>
      <c r="F504" s="1">
        <v>43805.59065972222</v>
      </c>
      <c r="G504">
        <v>0</v>
      </c>
      <c r="H504" s="1"/>
      <c r="I504" s="1"/>
      <c r="J504" s="1" t="s">
        <v>145</v>
      </c>
    </row>
    <row r="505" spans="1:10" x14ac:dyDescent="0.3">
      <c r="A505" s="9">
        <v>1</v>
      </c>
      <c r="B505">
        <v>3962</v>
      </c>
      <c r="C505" s="9">
        <v>9816</v>
      </c>
      <c r="D505" t="s">
        <v>146</v>
      </c>
      <c r="E505" s="9">
        <v>5</v>
      </c>
      <c r="F505" s="1">
        <v>43805.59</v>
      </c>
      <c r="G505">
        <v>0</v>
      </c>
      <c r="H505" s="1"/>
      <c r="I505" s="1"/>
      <c r="J505" s="1" t="s">
        <v>145</v>
      </c>
    </row>
    <row r="506" spans="1:10" x14ac:dyDescent="0.3">
      <c r="A506" s="9">
        <v>1</v>
      </c>
      <c r="B506">
        <v>3962</v>
      </c>
      <c r="C506" s="9">
        <v>9816</v>
      </c>
      <c r="D506" t="s">
        <v>146</v>
      </c>
      <c r="E506" s="9">
        <v>4</v>
      </c>
      <c r="F506" s="1">
        <v>43805.589918981481</v>
      </c>
      <c r="G506">
        <v>0</v>
      </c>
      <c r="H506" s="1"/>
      <c r="I506" s="1"/>
      <c r="J506" s="1" t="s">
        <v>145</v>
      </c>
    </row>
    <row r="507" spans="1:10" x14ac:dyDescent="0.3">
      <c r="A507" s="9">
        <v>1</v>
      </c>
      <c r="B507">
        <v>3962</v>
      </c>
      <c r="C507" s="9">
        <v>9816</v>
      </c>
      <c r="D507" t="s">
        <v>146</v>
      </c>
      <c r="E507" s="9">
        <v>3</v>
      </c>
      <c r="F507" s="1">
        <v>43805.589872685188</v>
      </c>
      <c r="G507">
        <v>0</v>
      </c>
      <c r="H507" s="1"/>
      <c r="I507" s="1"/>
      <c r="J507" s="1" t="s">
        <v>145</v>
      </c>
    </row>
    <row r="508" spans="1:10" x14ac:dyDescent="0.3">
      <c r="A508" s="9">
        <v>1</v>
      </c>
      <c r="B508">
        <v>3962</v>
      </c>
      <c r="C508" s="9">
        <v>9816</v>
      </c>
      <c r="D508" t="s">
        <v>146</v>
      </c>
      <c r="E508" s="9">
        <v>2</v>
      </c>
      <c r="F508" s="1">
        <v>43805.589826388888</v>
      </c>
      <c r="G508">
        <v>0</v>
      </c>
      <c r="H508" s="1"/>
      <c r="I508" s="1"/>
      <c r="J508" s="1" t="s">
        <v>145</v>
      </c>
    </row>
    <row r="509" spans="1:10" x14ac:dyDescent="0.3">
      <c r="A509" s="9">
        <v>1</v>
      </c>
      <c r="B509">
        <v>3962</v>
      </c>
      <c r="C509" s="9">
        <v>9816</v>
      </c>
      <c r="D509" t="s">
        <v>146</v>
      </c>
      <c r="E509" s="9">
        <v>1</v>
      </c>
      <c r="F509" s="1">
        <v>43805.589780092596</v>
      </c>
      <c r="G509">
        <v>0</v>
      </c>
      <c r="H509" s="1"/>
      <c r="I509" s="1"/>
      <c r="J509" s="1" t="s">
        <v>145</v>
      </c>
    </row>
    <row r="510" spans="1:10" x14ac:dyDescent="0.3">
      <c r="A510" s="9">
        <v>1</v>
      </c>
      <c r="B510">
        <v>3962</v>
      </c>
      <c r="C510" s="9">
        <v>9816</v>
      </c>
      <c r="D510" t="s">
        <v>146</v>
      </c>
      <c r="E510" s="9">
        <v>0</v>
      </c>
      <c r="F510" s="1">
        <v>43805.589733796296</v>
      </c>
      <c r="G510">
        <v>0</v>
      </c>
      <c r="H510" s="1"/>
      <c r="I510" s="1"/>
      <c r="J510" s="1" t="s">
        <v>145</v>
      </c>
    </row>
    <row r="511" spans="1:10" x14ac:dyDescent="0.3">
      <c r="A511" s="9">
        <v>1</v>
      </c>
      <c r="B511">
        <v>3963</v>
      </c>
      <c r="C511" s="9">
        <v>9816</v>
      </c>
      <c r="D511" t="s">
        <v>146</v>
      </c>
      <c r="E511" s="9">
        <v>23</v>
      </c>
      <c r="F511" s="1">
        <v>43805.584560185183</v>
      </c>
      <c r="G511">
        <v>0</v>
      </c>
      <c r="H511" s="1"/>
      <c r="I511" s="1"/>
      <c r="J511" s="1" t="s">
        <v>145</v>
      </c>
    </row>
    <row r="512" spans="1:10" x14ac:dyDescent="0.3">
      <c r="A512" s="9">
        <v>1</v>
      </c>
      <c r="B512">
        <v>3963</v>
      </c>
      <c r="C512" s="9">
        <v>9816</v>
      </c>
      <c r="D512" t="s">
        <v>146</v>
      </c>
      <c r="E512" s="9">
        <v>22</v>
      </c>
      <c r="F512" s="1">
        <v>43805.584537037037</v>
      </c>
      <c r="G512">
        <v>0</v>
      </c>
      <c r="H512" s="1"/>
      <c r="I512" s="1"/>
      <c r="J512" s="1" t="s">
        <v>145</v>
      </c>
    </row>
    <row r="513" spans="1:10" x14ac:dyDescent="0.3">
      <c r="A513" s="9">
        <v>1</v>
      </c>
      <c r="B513">
        <v>3963</v>
      </c>
      <c r="C513" s="9">
        <v>9816</v>
      </c>
      <c r="D513" t="s">
        <v>146</v>
      </c>
      <c r="E513" s="9">
        <v>21</v>
      </c>
      <c r="F513" s="1">
        <v>43805.584513888891</v>
      </c>
      <c r="G513">
        <v>0</v>
      </c>
      <c r="H513" s="1"/>
      <c r="I513" s="1"/>
      <c r="J513" s="1" t="s">
        <v>145</v>
      </c>
    </row>
    <row r="514" spans="1:10" x14ac:dyDescent="0.3">
      <c r="A514" s="9">
        <v>1</v>
      </c>
      <c r="B514">
        <v>3963</v>
      </c>
      <c r="C514" s="9">
        <v>9816</v>
      </c>
      <c r="D514" t="s">
        <v>146</v>
      </c>
      <c r="E514" s="9">
        <v>20</v>
      </c>
      <c r="F514" s="1">
        <v>43805.584490740737</v>
      </c>
      <c r="G514">
        <v>0</v>
      </c>
      <c r="H514" s="1"/>
      <c r="I514" s="1"/>
      <c r="J514" s="1" t="s">
        <v>145</v>
      </c>
    </row>
    <row r="515" spans="1:10" x14ac:dyDescent="0.3">
      <c r="A515" s="9">
        <v>1</v>
      </c>
      <c r="B515">
        <v>3963</v>
      </c>
      <c r="C515" s="9">
        <v>9816</v>
      </c>
      <c r="D515" t="s">
        <v>146</v>
      </c>
      <c r="E515" s="9">
        <v>19</v>
      </c>
      <c r="F515" s="1">
        <v>43805.584467592591</v>
      </c>
      <c r="G515">
        <v>0</v>
      </c>
      <c r="H515" s="1"/>
      <c r="I515" s="1"/>
      <c r="J515" s="1" t="s">
        <v>145</v>
      </c>
    </row>
    <row r="516" spans="1:10" x14ac:dyDescent="0.3">
      <c r="A516" s="9">
        <v>1</v>
      </c>
      <c r="B516">
        <v>3963</v>
      </c>
      <c r="C516" s="9">
        <v>9816</v>
      </c>
      <c r="D516" t="s">
        <v>146</v>
      </c>
      <c r="E516" s="9">
        <v>18</v>
      </c>
      <c r="F516" s="1">
        <v>43805.584444444445</v>
      </c>
      <c r="G516">
        <v>0</v>
      </c>
      <c r="H516" s="1"/>
      <c r="I516" s="1"/>
      <c r="J516" s="1" t="s">
        <v>145</v>
      </c>
    </row>
    <row r="517" spans="1:10" x14ac:dyDescent="0.3">
      <c r="A517" s="9">
        <v>1</v>
      </c>
      <c r="B517">
        <v>3963</v>
      </c>
      <c r="C517" s="9">
        <v>9816</v>
      </c>
      <c r="D517" t="s">
        <v>146</v>
      </c>
      <c r="E517" s="9">
        <v>17</v>
      </c>
      <c r="F517" s="1">
        <v>43805.584421296298</v>
      </c>
      <c r="G517">
        <v>0</v>
      </c>
      <c r="H517" s="1"/>
      <c r="I517" s="1"/>
      <c r="J517" s="1" t="s">
        <v>145</v>
      </c>
    </row>
    <row r="518" spans="1:10" x14ac:dyDescent="0.3">
      <c r="A518" s="9">
        <v>1</v>
      </c>
      <c r="B518">
        <v>3963</v>
      </c>
      <c r="C518" s="9">
        <v>9816</v>
      </c>
      <c r="D518" t="s">
        <v>146</v>
      </c>
      <c r="E518" s="9">
        <v>16</v>
      </c>
      <c r="F518" s="1">
        <v>43805.584386574075</v>
      </c>
      <c r="G518">
        <v>0</v>
      </c>
      <c r="H518" s="1"/>
      <c r="I518" s="1"/>
      <c r="J518" s="1" t="s">
        <v>145</v>
      </c>
    </row>
    <row r="519" spans="1:10" x14ac:dyDescent="0.3">
      <c r="A519" s="9">
        <v>1</v>
      </c>
      <c r="B519">
        <v>3963</v>
      </c>
      <c r="C519" s="9">
        <v>9816</v>
      </c>
      <c r="D519" t="s">
        <v>146</v>
      </c>
      <c r="E519" s="9">
        <v>15</v>
      </c>
      <c r="F519" s="1">
        <v>43805.584363425929</v>
      </c>
      <c r="G519">
        <v>0</v>
      </c>
      <c r="H519" s="1"/>
      <c r="I519" s="1"/>
      <c r="J519" s="1" t="s">
        <v>145</v>
      </c>
    </row>
    <row r="520" spans="1:10" x14ac:dyDescent="0.3">
      <c r="A520" s="9">
        <v>1</v>
      </c>
      <c r="B520">
        <v>3963</v>
      </c>
      <c r="C520" s="9">
        <v>9816</v>
      </c>
      <c r="D520" t="s">
        <v>146</v>
      </c>
      <c r="E520" s="9">
        <v>14</v>
      </c>
      <c r="F520" s="1">
        <v>43805.584340277775</v>
      </c>
      <c r="G520">
        <v>0</v>
      </c>
      <c r="H520" s="1"/>
      <c r="I520" s="1"/>
      <c r="J520" s="1" t="s">
        <v>145</v>
      </c>
    </row>
    <row r="521" spans="1:10" x14ac:dyDescent="0.3">
      <c r="A521" s="9">
        <v>1</v>
      </c>
      <c r="B521">
        <v>3963</v>
      </c>
      <c r="C521" s="9">
        <v>9816</v>
      </c>
      <c r="D521" t="s">
        <v>146</v>
      </c>
      <c r="E521" s="9">
        <v>13</v>
      </c>
      <c r="F521" s="1">
        <v>43805.584317129629</v>
      </c>
      <c r="G521">
        <v>0</v>
      </c>
      <c r="H521" s="1"/>
      <c r="I521" s="1"/>
      <c r="J521" s="1" t="s">
        <v>145</v>
      </c>
    </row>
    <row r="522" spans="1:10" x14ac:dyDescent="0.3">
      <c r="A522" s="9">
        <v>1</v>
      </c>
      <c r="B522">
        <v>3963</v>
      </c>
      <c r="C522" s="9">
        <v>9816</v>
      </c>
      <c r="D522" t="s">
        <v>146</v>
      </c>
      <c r="E522" s="9">
        <v>12</v>
      </c>
      <c r="F522" s="1">
        <v>43805.584293981483</v>
      </c>
      <c r="G522">
        <v>0</v>
      </c>
      <c r="H522" s="1"/>
      <c r="I522" s="1"/>
      <c r="J522" s="1" t="s">
        <v>145</v>
      </c>
    </row>
    <row r="523" spans="1:10" x14ac:dyDescent="0.3">
      <c r="A523" s="9">
        <v>1</v>
      </c>
      <c r="B523">
        <v>3963</v>
      </c>
      <c r="C523" s="9">
        <v>9816</v>
      </c>
      <c r="D523" t="s">
        <v>146</v>
      </c>
      <c r="E523" s="9">
        <v>11</v>
      </c>
      <c r="F523" s="1">
        <v>43805.584270833337</v>
      </c>
      <c r="G523">
        <v>0</v>
      </c>
      <c r="H523" s="1"/>
      <c r="I523" s="1"/>
      <c r="J523" s="1" t="s">
        <v>145</v>
      </c>
    </row>
    <row r="524" spans="1:10" x14ac:dyDescent="0.3">
      <c r="A524" s="9">
        <v>1</v>
      </c>
      <c r="B524">
        <v>3963</v>
      </c>
      <c r="C524" s="9">
        <v>9816</v>
      </c>
      <c r="D524" t="s">
        <v>146</v>
      </c>
      <c r="E524" s="9">
        <v>10</v>
      </c>
      <c r="F524" s="1">
        <v>43805.58425925926</v>
      </c>
      <c r="G524">
        <v>0</v>
      </c>
      <c r="H524" s="1"/>
      <c r="I524" s="1"/>
      <c r="J524" s="1" t="s">
        <v>145</v>
      </c>
    </row>
    <row r="525" spans="1:10" x14ac:dyDescent="0.3">
      <c r="A525" s="9">
        <v>1</v>
      </c>
      <c r="B525">
        <v>3963</v>
      </c>
      <c r="C525" s="9">
        <v>9816</v>
      </c>
      <c r="D525" t="s">
        <v>146</v>
      </c>
      <c r="E525" s="9">
        <v>9</v>
      </c>
      <c r="F525" s="1">
        <v>43805.584224537037</v>
      </c>
      <c r="G525">
        <v>0</v>
      </c>
      <c r="H525" s="1"/>
      <c r="I525" s="1"/>
      <c r="J525" s="1" t="s">
        <v>145</v>
      </c>
    </row>
    <row r="526" spans="1:10" x14ac:dyDescent="0.3">
      <c r="A526" s="9">
        <v>1</v>
      </c>
      <c r="B526">
        <v>3963</v>
      </c>
      <c r="C526" s="9">
        <v>9816</v>
      </c>
      <c r="D526" t="s">
        <v>146</v>
      </c>
      <c r="E526" s="9">
        <v>8</v>
      </c>
      <c r="F526" s="1">
        <v>43805.584201388891</v>
      </c>
      <c r="G526">
        <v>0</v>
      </c>
      <c r="H526" s="1"/>
      <c r="I526" s="1"/>
      <c r="J526" s="1" t="s">
        <v>145</v>
      </c>
    </row>
    <row r="527" spans="1:10" x14ac:dyDescent="0.3">
      <c r="A527" s="9">
        <v>1</v>
      </c>
      <c r="B527">
        <v>3963</v>
      </c>
      <c r="C527" s="9">
        <v>9816</v>
      </c>
      <c r="D527" t="s">
        <v>146</v>
      </c>
      <c r="E527" s="9">
        <v>7</v>
      </c>
      <c r="F527" s="1">
        <v>43805.584178240744</v>
      </c>
      <c r="G527">
        <v>0</v>
      </c>
      <c r="H527" s="1"/>
      <c r="I527" s="1"/>
      <c r="J527" s="1" t="s">
        <v>145</v>
      </c>
    </row>
    <row r="528" spans="1:10" x14ac:dyDescent="0.3">
      <c r="A528" s="9">
        <v>1</v>
      </c>
      <c r="B528">
        <v>3963</v>
      </c>
      <c r="C528" s="9">
        <v>9816</v>
      </c>
      <c r="D528" t="s">
        <v>146</v>
      </c>
      <c r="E528" s="9">
        <v>6</v>
      </c>
      <c r="F528" s="1">
        <v>43805.584143518521</v>
      </c>
      <c r="G528">
        <v>0</v>
      </c>
      <c r="H528" s="1"/>
      <c r="I528" s="1"/>
      <c r="J528" s="1" t="s">
        <v>145</v>
      </c>
    </row>
    <row r="529" spans="1:10" x14ac:dyDescent="0.3">
      <c r="A529" s="9">
        <v>1</v>
      </c>
      <c r="B529">
        <v>3963</v>
      </c>
      <c r="C529" s="9">
        <v>9816</v>
      </c>
      <c r="D529" t="s">
        <v>146</v>
      </c>
      <c r="E529" s="9">
        <v>5</v>
      </c>
      <c r="F529" s="1">
        <v>43805.584131944444</v>
      </c>
      <c r="G529">
        <v>0</v>
      </c>
      <c r="H529" s="1"/>
      <c r="I529" s="1"/>
      <c r="J529" s="1" t="s">
        <v>145</v>
      </c>
    </row>
    <row r="530" spans="1:10" x14ac:dyDescent="0.3">
      <c r="A530" s="9">
        <v>1</v>
      </c>
      <c r="B530">
        <v>3963</v>
      </c>
      <c r="C530" s="9">
        <v>9816</v>
      </c>
      <c r="D530" t="s">
        <v>146</v>
      </c>
      <c r="E530" s="9">
        <v>4</v>
      </c>
      <c r="F530" s="1">
        <v>43805.584108796298</v>
      </c>
      <c r="G530">
        <v>0</v>
      </c>
      <c r="H530" s="1"/>
      <c r="I530" s="1"/>
      <c r="J530" s="1" t="s">
        <v>145</v>
      </c>
    </row>
    <row r="531" spans="1:10" x14ac:dyDescent="0.3">
      <c r="A531" s="9">
        <v>1</v>
      </c>
      <c r="B531">
        <v>3963</v>
      </c>
      <c r="C531" s="9">
        <v>9816</v>
      </c>
      <c r="D531" t="s">
        <v>146</v>
      </c>
      <c r="E531" s="9">
        <v>3</v>
      </c>
      <c r="F531" s="1">
        <v>43805.584085648145</v>
      </c>
      <c r="G531">
        <v>0</v>
      </c>
      <c r="H531" s="1"/>
      <c r="I531" s="1"/>
      <c r="J531" s="1" t="s">
        <v>145</v>
      </c>
    </row>
    <row r="532" spans="1:10" x14ac:dyDescent="0.3">
      <c r="A532" s="9">
        <v>1</v>
      </c>
      <c r="B532">
        <v>3963</v>
      </c>
      <c r="C532" s="9">
        <v>9816</v>
      </c>
      <c r="D532" t="s">
        <v>146</v>
      </c>
      <c r="E532" s="9">
        <v>2</v>
      </c>
      <c r="F532" s="1">
        <v>43805.584062499998</v>
      </c>
      <c r="G532">
        <v>0</v>
      </c>
      <c r="H532" s="1"/>
      <c r="I532" s="1"/>
      <c r="J532" s="1" t="s">
        <v>145</v>
      </c>
    </row>
    <row r="533" spans="1:10" x14ac:dyDescent="0.3">
      <c r="A533" s="9">
        <v>1</v>
      </c>
      <c r="B533">
        <v>3963</v>
      </c>
      <c r="C533" s="9">
        <v>9816</v>
      </c>
      <c r="D533" t="s">
        <v>146</v>
      </c>
      <c r="E533" s="9">
        <v>1</v>
      </c>
      <c r="F533" s="1">
        <v>43805.584050925929</v>
      </c>
      <c r="G533">
        <v>0</v>
      </c>
      <c r="H533" s="1"/>
      <c r="I533" s="1"/>
      <c r="J533" s="1" t="s">
        <v>145</v>
      </c>
    </row>
    <row r="534" spans="1:10" x14ac:dyDescent="0.3">
      <c r="A534" s="9">
        <v>1</v>
      </c>
      <c r="B534">
        <v>3963</v>
      </c>
      <c r="C534" s="9">
        <v>9816</v>
      </c>
      <c r="D534" t="s">
        <v>146</v>
      </c>
      <c r="E534" s="9">
        <v>0</v>
      </c>
      <c r="F534" s="1">
        <v>43805.584016203706</v>
      </c>
      <c r="G534">
        <v>0</v>
      </c>
      <c r="H534" s="1"/>
      <c r="I534" s="1"/>
      <c r="J534" s="1" t="s">
        <v>145</v>
      </c>
    </row>
    <row r="535" spans="1:10" x14ac:dyDescent="0.3">
      <c r="A535" s="9">
        <v>1</v>
      </c>
      <c r="B535">
        <v>3964</v>
      </c>
      <c r="C535" s="9">
        <v>9816</v>
      </c>
      <c r="D535" t="s">
        <v>146</v>
      </c>
      <c r="E535" s="9">
        <v>23</v>
      </c>
      <c r="F535" s="1">
        <v>43805.579050925924</v>
      </c>
      <c r="G535">
        <v>0</v>
      </c>
      <c r="H535" s="1"/>
      <c r="I535" s="1"/>
      <c r="J535" s="1" t="s">
        <v>145</v>
      </c>
    </row>
    <row r="536" spans="1:10" x14ac:dyDescent="0.3">
      <c r="A536" s="9">
        <v>1</v>
      </c>
      <c r="B536">
        <v>3964</v>
      </c>
      <c r="C536" s="9">
        <v>9816</v>
      </c>
      <c r="D536" t="s">
        <v>146</v>
      </c>
      <c r="E536" s="9">
        <v>22</v>
      </c>
      <c r="F536" s="1">
        <v>43805.578993055555</v>
      </c>
      <c r="G536">
        <v>0</v>
      </c>
      <c r="H536" s="1"/>
      <c r="I536" s="1"/>
      <c r="J536" s="1" t="s">
        <v>145</v>
      </c>
    </row>
    <row r="537" spans="1:10" x14ac:dyDescent="0.3">
      <c r="A537" s="9">
        <v>1</v>
      </c>
      <c r="B537">
        <v>3964</v>
      </c>
      <c r="C537" s="9">
        <v>9816</v>
      </c>
      <c r="D537" t="s">
        <v>146</v>
      </c>
      <c r="E537" s="9">
        <v>21</v>
      </c>
      <c r="F537" s="1">
        <v>43805.578946759262</v>
      </c>
      <c r="G537">
        <v>0</v>
      </c>
      <c r="H537" s="1"/>
      <c r="I537" s="1"/>
      <c r="J537" s="1" t="s">
        <v>145</v>
      </c>
    </row>
    <row r="538" spans="1:10" x14ac:dyDescent="0.3">
      <c r="A538" s="9">
        <v>1</v>
      </c>
      <c r="B538">
        <v>3964</v>
      </c>
      <c r="C538" s="9">
        <v>9816</v>
      </c>
      <c r="D538" t="s">
        <v>146</v>
      </c>
      <c r="E538" s="9">
        <v>20</v>
      </c>
      <c r="F538" s="1">
        <v>43805.578900462962</v>
      </c>
      <c r="G538">
        <v>0</v>
      </c>
      <c r="H538" s="1"/>
      <c r="I538" s="1"/>
      <c r="J538" s="1" t="s">
        <v>145</v>
      </c>
    </row>
    <row r="539" spans="1:10" x14ac:dyDescent="0.3">
      <c r="A539" s="9">
        <v>1</v>
      </c>
      <c r="B539">
        <v>3964</v>
      </c>
      <c r="C539" s="9">
        <v>9816</v>
      </c>
      <c r="D539" t="s">
        <v>146</v>
      </c>
      <c r="E539" s="9">
        <v>19</v>
      </c>
      <c r="F539" s="1">
        <v>43805.578842592593</v>
      </c>
      <c r="G539">
        <v>0</v>
      </c>
      <c r="H539" s="1"/>
      <c r="I539" s="1"/>
      <c r="J539" s="1" t="s">
        <v>145</v>
      </c>
    </row>
    <row r="540" spans="1:10" x14ac:dyDescent="0.3">
      <c r="A540" s="9">
        <v>1</v>
      </c>
      <c r="B540">
        <v>3964</v>
      </c>
      <c r="C540" s="9">
        <v>9816</v>
      </c>
      <c r="D540" t="s">
        <v>146</v>
      </c>
      <c r="E540" s="9">
        <v>18</v>
      </c>
      <c r="F540" s="1">
        <v>43805.578796296293</v>
      </c>
      <c r="G540">
        <v>0</v>
      </c>
      <c r="H540" s="1"/>
      <c r="I540" s="1"/>
      <c r="J540" s="1" t="s">
        <v>145</v>
      </c>
    </row>
    <row r="541" spans="1:10" x14ac:dyDescent="0.3">
      <c r="A541" s="9">
        <v>1</v>
      </c>
      <c r="B541">
        <v>3964</v>
      </c>
      <c r="C541" s="9">
        <v>9816</v>
      </c>
      <c r="D541" t="s">
        <v>146</v>
      </c>
      <c r="E541" s="9">
        <v>17</v>
      </c>
      <c r="F541" s="1">
        <v>43805.578750000001</v>
      </c>
      <c r="G541">
        <v>0</v>
      </c>
      <c r="H541" s="1"/>
      <c r="I541" s="1"/>
      <c r="J541" s="1" t="s">
        <v>145</v>
      </c>
    </row>
    <row r="542" spans="1:10" x14ac:dyDescent="0.3">
      <c r="A542" s="9">
        <v>1</v>
      </c>
      <c r="B542">
        <v>3964</v>
      </c>
      <c r="C542" s="9">
        <v>9816</v>
      </c>
      <c r="D542" t="s">
        <v>146</v>
      </c>
      <c r="E542" s="9">
        <v>16</v>
      </c>
      <c r="F542" s="1">
        <v>43805.578703703701</v>
      </c>
      <c r="G542">
        <v>0</v>
      </c>
      <c r="H542" s="1"/>
      <c r="I542" s="1"/>
      <c r="J542" s="1" t="s">
        <v>145</v>
      </c>
    </row>
    <row r="543" spans="1:10" x14ac:dyDescent="0.3">
      <c r="A543" s="9">
        <v>1</v>
      </c>
      <c r="B543">
        <v>3964</v>
      </c>
      <c r="C543" s="9">
        <v>9816</v>
      </c>
      <c r="D543" t="s">
        <v>146</v>
      </c>
      <c r="E543" s="9">
        <v>15</v>
      </c>
      <c r="F543" s="1">
        <v>43805.578657407408</v>
      </c>
      <c r="G543">
        <v>0</v>
      </c>
      <c r="H543" s="1"/>
      <c r="I543" s="1"/>
      <c r="J543" s="1" t="s">
        <v>145</v>
      </c>
    </row>
    <row r="544" spans="1:10" x14ac:dyDescent="0.3">
      <c r="A544" s="9">
        <v>1</v>
      </c>
      <c r="B544">
        <v>3964</v>
      </c>
      <c r="C544" s="9">
        <v>9816</v>
      </c>
      <c r="D544" t="s">
        <v>146</v>
      </c>
      <c r="E544" s="9">
        <v>14</v>
      </c>
      <c r="F544" s="1">
        <v>43805.578611111108</v>
      </c>
      <c r="G544">
        <v>0</v>
      </c>
      <c r="H544" s="1"/>
      <c r="I544" s="1"/>
      <c r="J544" s="1" t="s">
        <v>145</v>
      </c>
    </row>
    <row r="545" spans="1:10" x14ac:dyDescent="0.3">
      <c r="A545" s="9">
        <v>1</v>
      </c>
      <c r="B545">
        <v>3964</v>
      </c>
      <c r="C545" s="9">
        <v>9816</v>
      </c>
      <c r="D545" t="s">
        <v>146</v>
      </c>
      <c r="E545" s="9">
        <v>13</v>
      </c>
      <c r="F545" s="1">
        <v>43805.578564814816</v>
      </c>
      <c r="G545">
        <v>0</v>
      </c>
      <c r="H545" s="1"/>
      <c r="I545" s="1"/>
      <c r="J545" s="1" t="s">
        <v>145</v>
      </c>
    </row>
    <row r="546" spans="1:10" x14ac:dyDescent="0.3">
      <c r="A546" s="9">
        <v>1</v>
      </c>
      <c r="B546">
        <v>3964</v>
      </c>
      <c r="C546" s="9">
        <v>9816</v>
      </c>
      <c r="D546" t="s">
        <v>146</v>
      </c>
      <c r="E546" s="9">
        <v>12</v>
      </c>
      <c r="F546" s="1">
        <v>43805.578518518516</v>
      </c>
      <c r="G546">
        <v>0</v>
      </c>
      <c r="H546" s="1"/>
      <c r="I546" s="1"/>
      <c r="J546" s="1" t="s">
        <v>145</v>
      </c>
    </row>
    <row r="547" spans="1:10" x14ac:dyDescent="0.3">
      <c r="A547" s="9">
        <v>1</v>
      </c>
      <c r="B547">
        <v>3964</v>
      </c>
      <c r="C547" s="9">
        <v>9816</v>
      </c>
      <c r="D547" t="s">
        <v>146</v>
      </c>
      <c r="E547" s="9">
        <v>11</v>
      </c>
      <c r="F547" s="1">
        <v>43805.578472222223</v>
      </c>
      <c r="G547">
        <v>0</v>
      </c>
      <c r="H547" s="1"/>
      <c r="I547" s="1"/>
      <c r="J547" s="1" t="s">
        <v>145</v>
      </c>
    </row>
    <row r="548" spans="1:10" x14ac:dyDescent="0.3">
      <c r="A548" s="9">
        <v>1</v>
      </c>
      <c r="B548">
        <v>3964</v>
      </c>
      <c r="C548" s="9">
        <v>9816</v>
      </c>
      <c r="D548" t="s">
        <v>146</v>
      </c>
      <c r="E548" s="9">
        <v>10</v>
      </c>
      <c r="F548" s="1">
        <v>43805.5784375</v>
      </c>
      <c r="G548">
        <v>0</v>
      </c>
      <c r="H548" s="1"/>
      <c r="I548" s="1"/>
      <c r="J548" s="1" t="s">
        <v>145</v>
      </c>
    </row>
    <row r="549" spans="1:10" x14ac:dyDescent="0.3">
      <c r="A549" s="9">
        <v>1</v>
      </c>
      <c r="B549">
        <v>3964</v>
      </c>
      <c r="C549" s="9">
        <v>9816</v>
      </c>
      <c r="D549" t="s">
        <v>146</v>
      </c>
      <c r="E549" s="9">
        <v>9</v>
      </c>
      <c r="F549" s="1">
        <v>43805.5783912037</v>
      </c>
      <c r="G549">
        <v>0</v>
      </c>
      <c r="H549" s="1"/>
      <c r="I549" s="1"/>
      <c r="J549" s="1" t="s">
        <v>145</v>
      </c>
    </row>
    <row r="550" spans="1:10" x14ac:dyDescent="0.3">
      <c r="A550" s="9">
        <v>1</v>
      </c>
      <c r="B550">
        <v>3964</v>
      </c>
      <c r="C550" s="9">
        <v>9816</v>
      </c>
      <c r="D550" t="s">
        <v>146</v>
      </c>
      <c r="E550" s="9">
        <v>8</v>
      </c>
      <c r="F550" s="1">
        <v>43805.578344907408</v>
      </c>
      <c r="G550">
        <v>0</v>
      </c>
      <c r="H550" s="1"/>
      <c r="I550" s="1"/>
      <c r="J550" s="1" t="s">
        <v>145</v>
      </c>
    </row>
    <row r="551" spans="1:10" x14ac:dyDescent="0.3">
      <c r="A551" s="9">
        <v>1</v>
      </c>
      <c r="B551">
        <v>3964</v>
      </c>
      <c r="C551" s="9">
        <v>9816</v>
      </c>
      <c r="D551" t="s">
        <v>146</v>
      </c>
      <c r="E551" s="9">
        <v>7</v>
      </c>
      <c r="F551" s="1">
        <v>43805.578310185185</v>
      </c>
      <c r="G551">
        <v>0</v>
      </c>
      <c r="H551" s="1"/>
      <c r="I551" s="1"/>
      <c r="J551" s="1" t="s">
        <v>145</v>
      </c>
    </row>
    <row r="552" spans="1:10" x14ac:dyDescent="0.3">
      <c r="A552" s="9">
        <v>1</v>
      </c>
      <c r="B552">
        <v>3964</v>
      </c>
      <c r="C552" s="9">
        <v>9816</v>
      </c>
      <c r="D552" t="s">
        <v>146</v>
      </c>
      <c r="E552" s="9">
        <v>6</v>
      </c>
      <c r="F552" s="1">
        <v>43805.578263888892</v>
      </c>
      <c r="G552">
        <v>0</v>
      </c>
      <c r="H552" s="1"/>
      <c r="I552" s="1"/>
      <c r="J552" s="1" t="s">
        <v>145</v>
      </c>
    </row>
    <row r="553" spans="1:10" x14ac:dyDescent="0.3">
      <c r="A553" s="9">
        <v>1</v>
      </c>
      <c r="B553">
        <v>3964</v>
      </c>
      <c r="C553" s="9">
        <v>9816</v>
      </c>
      <c r="D553" t="s">
        <v>146</v>
      </c>
      <c r="E553" s="9">
        <v>5</v>
      </c>
      <c r="F553" s="1">
        <v>43805.578229166669</v>
      </c>
      <c r="G553">
        <v>0</v>
      </c>
      <c r="H553" s="1"/>
      <c r="I553" s="1"/>
      <c r="J553" s="1" t="s">
        <v>145</v>
      </c>
    </row>
    <row r="554" spans="1:10" x14ac:dyDescent="0.3">
      <c r="A554" s="9">
        <v>1</v>
      </c>
      <c r="B554">
        <v>3964</v>
      </c>
      <c r="C554" s="9">
        <v>9816</v>
      </c>
      <c r="D554" t="s">
        <v>146</v>
      </c>
      <c r="E554" s="9">
        <v>4</v>
      </c>
      <c r="F554" s="1">
        <v>43805.578182870369</v>
      </c>
      <c r="G554">
        <v>0</v>
      </c>
      <c r="H554" s="1"/>
      <c r="I554" s="1"/>
      <c r="J554" s="1" t="s">
        <v>145</v>
      </c>
    </row>
    <row r="555" spans="1:10" x14ac:dyDescent="0.3">
      <c r="A555" s="9">
        <v>1</v>
      </c>
      <c r="B555">
        <v>3964</v>
      </c>
      <c r="C555" s="9">
        <v>9816</v>
      </c>
      <c r="D555" t="s">
        <v>146</v>
      </c>
      <c r="E555" s="9">
        <v>3</v>
      </c>
      <c r="F555" s="1">
        <v>43805.578136574077</v>
      </c>
      <c r="G555">
        <v>0</v>
      </c>
      <c r="H555" s="1"/>
      <c r="I555" s="1"/>
      <c r="J555" s="1" t="s">
        <v>145</v>
      </c>
    </row>
    <row r="556" spans="1:10" x14ac:dyDescent="0.3">
      <c r="A556" s="9">
        <v>1</v>
      </c>
      <c r="B556">
        <v>3964</v>
      </c>
      <c r="C556" s="9">
        <v>9816</v>
      </c>
      <c r="D556" t="s">
        <v>146</v>
      </c>
      <c r="E556" s="9">
        <v>2</v>
      </c>
      <c r="F556" s="1">
        <v>43805.578101851854</v>
      </c>
      <c r="G556">
        <v>0</v>
      </c>
      <c r="H556" s="1"/>
      <c r="I556" s="1"/>
      <c r="J556" s="1" t="s">
        <v>145</v>
      </c>
    </row>
    <row r="557" spans="1:10" x14ac:dyDescent="0.3">
      <c r="A557" s="9">
        <v>1</v>
      </c>
      <c r="B557">
        <v>3964</v>
      </c>
      <c r="C557" s="9">
        <v>9816</v>
      </c>
      <c r="D557" t="s">
        <v>146</v>
      </c>
      <c r="E557" s="9">
        <v>1</v>
      </c>
      <c r="F557" s="1">
        <v>43805.578067129631</v>
      </c>
      <c r="G557">
        <v>0</v>
      </c>
      <c r="H557" s="1"/>
      <c r="I557" s="1"/>
      <c r="J557" s="1" t="s">
        <v>145</v>
      </c>
    </row>
    <row r="558" spans="1:10" x14ac:dyDescent="0.3">
      <c r="A558" s="9">
        <v>1</v>
      </c>
      <c r="B558">
        <v>3964</v>
      </c>
      <c r="C558" s="9">
        <v>9816</v>
      </c>
      <c r="D558" t="s">
        <v>146</v>
      </c>
      <c r="E558" s="9">
        <v>0</v>
      </c>
      <c r="F558" s="1">
        <v>43805.578020833331</v>
      </c>
      <c r="G558">
        <v>0</v>
      </c>
      <c r="H558" s="1"/>
      <c r="I558" s="1"/>
      <c r="J558" s="1" t="s">
        <v>145</v>
      </c>
    </row>
    <row r="559" spans="1:10" x14ac:dyDescent="0.3">
      <c r="A559" s="9">
        <v>1</v>
      </c>
      <c r="B559">
        <v>18708</v>
      </c>
      <c r="C559" s="9">
        <v>9816</v>
      </c>
      <c r="D559" t="s">
        <v>144</v>
      </c>
      <c r="E559" s="9">
        <v>0</v>
      </c>
      <c r="F559" s="1">
        <v>43805.576261574075</v>
      </c>
      <c r="G559">
        <v>0</v>
      </c>
      <c r="H559" s="1"/>
      <c r="I559" s="1" t="s">
        <v>105</v>
      </c>
      <c r="J559" s="1" t="s">
        <v>145</v>
      </c>
    </row>
    <row r="560" spans="1:10" x14ac:dyDescent="0.3">
      <c r="A560" s="9">
        <v>1</v>
      </c>
      <c r="B560">
        <v>20416</v>
      </c>
      <c r="C560" s="9">
        <v>9816</v>
      </c>
      <c r="D560" t="s">
        <v>144</v>
      </c>
      <c r="E560" s="9">
        <v>0</v>
      </c>
      <c r="F560" s="1">
        <v>43805.576226851852</v>
      </c>
      <c r="G560">
        <v>0</v>
      </c>
      <c r="H560" s="1"/>
      <c r="I560" s="1" t="s">
        <v>106</v>
      </c>
      <c r="J560" s="1" t="s">
        <v>145</v>
      </c>
    </row>
    <row r="561" spans="1:10" x14ac:dyDescent="0.3">
      <c r="A561" s="9">
        <v>1</v>
      </c>
      <c r="B561">
        <v>11564</v>
      </c>
      <c r="C561" s="9">
        <v>9816</v>
      </c>
      <c r="D561" t="s">
        <v>144</v>
      </c>
      <c r="E561" s="9">
        <v>0</v>
      </c>
      <c r="F561" s="1">
        <v>43805.576192129629</v>
      </c>
      <c r="G561">
        <v>0</v>
      </c>
      <c r="H561" s="1"/>
      <c r="I561" s="1" t="s">
        <v>107</v>
      </c>
      <c r="J561" s="1" t="s">
        <v>145</v>
      </c>
    </row>
    <row r="562" spans="1:10" x14ac:dyDescent="0.3">
      <c r="A562" s="9">
        <v>1</v>
      </c>
      <c r="B562">
        <v>4492</v>
      </c>
      <c r="C562" s="9">
        <v>9816</v>
      </c>
      <c r="D562" t="s">
        <v>144</v>
      </c>
      <c r="E562" s="9">
        <v>0</v>
      </c>
      <c r="F562" s="1">
        <v>43805.576168981483</v>
      </c>
      <c r="G562">
        <v>0</v>
      </c>
      <c r="H562" s="1"/>
      <c r="I562" s="1" t="s">
        <v>108</v>
      </c>
      <c r="J562" s="1" t="s">
        <v>145</v>
      </c>
    </row>
    <row r="563" spans="1:10" x14ac:dyDescent="0.3">
      <c r="A563" s="9">
        <v>1</v>
      </c>
      <c r="B563">
        <v>19104</v>
      </c>
      <c r="C563" s="9">
        <v>9816</v>
      </c>
      <c r="D563" t="s">
        <v>144</v>
      </c>
      <c r="E563" s="9">
        <v>0</v>
      </c>
      <c r="F563" s="1">
        <v>43805.57613425926</v>
      </c>
      <c r="G563">
        <v>0</v>
      </c>
      <c r="H563" s="1"/>
      <c r="I563" s="1" t="s">
        <v>109</v>
      </c>
      <c r="J563" s="1" t="s">
        <v>145</v>
      </c>
    </row>
    <row r="564" spans="1:10" x14ac:dyDescent="0.3">
      <c r="A564" s="9">
        <v>1</v>
      </c>
      <c r="B564">
        <v>13460</v>
      </c>
      <c r="C564" s="9">
        <v>9816</v>
      </c>
      <c r="D564" t="s">
        <v>144</v>
      </c>
      <c r="E564" s="9">
        <v>0</v>
      </c>
      <c r="F564" s="1">
        <v>43805.576099537036</v>
      </c>
      <c r="G564">
        <v>0</v>
      </c>
      <c r="H564" s="1"/>
      <c r="I564" s="1" t="s">
        <v>110</v>
      </c>
      <c r="J564" s="1" t="s">
        <v>145</v>
      </c>
    </row>
    <row r="565" spans="1:10" x14ac:dyDescent="0.3">
      <c r="A565" s="9">
        <v>1</v>
      </c>
      <c r="B565">
        <v>580</v>
      </c>
      <c r="C565" s="9">
        <v>9816</v>
      </c>
      <c r="D565" t="s">
        <v>144</v>
      </c>
      <c r="E565" s="9">
        <v>0</v>
      </c>
      <c r="F565" s="1">
        <v>43805.57607638889</v>
      </c>
      <c r="G565">
        <v>0</v>
      </c>
      <c r="H565" s="1"/>
      <c r="I565" s="1" t="s">
        <v>111</v>
      </c>
      <c r="J565" s="1" t="s">
        <v>145</v>
      </c>
    </row>
    <row r="566" spans="1:10" x14ac:dyDescent="0.3">
      <c r="A566" s="9">
        <v>1</v>
      </c>
      <c r="B566">
        <v>9600</v>
      </c>
      <c r="C566" s="9">
        <v>9816</v>
      </c>
      <c r="D566" t="s">
        <v>144</v>
      </c>
      <c r="E566" s="9">
        <v>0</v>
      </c>
      <c r="F566" s="1">
        <v>43805.576041666667</v>
      </c>
      <c r="G566">
        <v>0</v>
      </c>
      <c r="H566" s="1"/>
      <c r="I566" s="1" t="s">
        <v>112</v>
      </c>
      <c r="J566" s="1" t="s">
        <v>145</v>
      </c>
    </row>
    <row r="567" spans="1:10" x14ac:dyDescent="0.3">
      <c r="A567" s="9">
        <v>1</v>
      </c>
      <c r="B567">
        <v>9815</v>
      </c>
      <c r="C567" s="9">
        <v>9816</v>
      </c>
      <c r="D567" t="s">
        <v>144</v>
      </c>
      <c r="E567" s="9">
        <v>0</v>
      </c>
      <c r="F567" s="1">
        <v>43805.576006944444</v>
      </c>
      <c r="G567">
        <v>0</v>
      </c>
      <c r="H567" s="1"/>
      <c r="I567" s="1" t="s">
        <v>113</v>
      </c>
      <c r="J567" s="1" t="s">
        <v>145</v>
      </c>
    </row>
    <row r="568" spans="1:10" x14ac:dyDescent="0.3">
      <c r="A568" s="9">
        <v>1</v>
      </c>
      <c r="B568">
        <v>12632</v>
      </c>
      <c r="C568" s="9">
        <v>9816</v>
      </c>
      <c r="D568" t="s">
        <v>144</v>
      </c>
      <c r="E568" s="9">
        <v>0</v>
      </c>
      <c r="F568" s="1">
        <v>43805.575972222221</v>
      </c>
      <c r="G568">
        <v>0</v>
      </c>
      <c r="H568" s="1"/>
      <c r="I568" s="1" t="s">
        <v>114</v>
      </c>
      <c r="J568" s="1" t="s">
        <v>145</v>
      </c>
    </row>
    <row r="569" spans="1:10" x14ac:dyDescent="0.3">
      <c r="A569" s="9">
        <v>1</v>
      </c>
      <c r="B569">
        <v>808</v>
      </c>
      <c r="C569" s="9">
        <v>9816</v>
      </c>
      <c r="D569" t="s">
        <v>144</v>
      </c>
      <c r="E569" s="9">
        <v>0</v>
      </c>
      <c r="F569" s="1">
        <v>43805.575949074075</v>
      </c>
      <c r="G569">
        <v>0</v>
      </c>
      <c r="H569" s="1"/>
      <c r="I569" s="1" t="s">
        <v>115</v>
      </c>
      <c r="J569" s="1" t="s">
        <v>145</v>
      </c>
    </row>
    <row r="570" spans="1:10" x14ac:dyDescent="0.3">
      <c r="A570" s="9">
        <v>1</v>
      </c>
      <c r="B570">
        <v>2712</v>
      </c>
      <c r="C570" s="9">
        <v>9816</v>
      </c>
      <c r="D570" t="s">
        <v>144</v>
      </c>
      <c r="E570" s="9">
        <v>0</v>
      </c>
      <c r="F570" s="1">
        <v>43805.575914351852</v>
      </c>
      <c r="G570">
        <v>0</v>
      </c>
      <c r="H570" s="1"/>
      <c r="I570" s="1" t="s">
        <v>116</v>
      </c>
      <c r="J570" s="1" t="s">
        <v>145</v>
      </c>
    </row>
    <row r="571" spans="1:10" x14ac:dyDescent="0.3">
      <c r="A571" s="9">
        <v>1</v>
      </c>
      <c r="B571">
        <v>10628</v>
      </c>
      <c r="C571" s="9">
        <v>9816</v>
      </c>
      <c r="D571" t="s">
        <v>144</v>
      </c>
      <c r="E571" s="9">
        <v>0</v>
      </c>
      <c r="F571" s="1">
        <v>43805.575879629629</v>
      </c>
      <c r="G571">
        <v>0</v>
      </c>
      <c r="H571" s="1"/>
      <c r="I571" s="1" t="s">
        <v>117</v>
      </c>
      <c r="J571" s="1" t="s">
        <v>145</v>
      </c>
    </row>
    <row r="572" spans="1:10" x14ac:dyDescent="0.3">
      <c r="A572" s="9">
        <v>1</v>
      </c>
      <c r="B572">
        <v>7456</v>
      </c>
      <c r="C572" s="9">
        <v>9816</v>
      </c>
      <c r="D572" t="s">
        <v>144</v>
      </c>
      <c r="E572" s="9">
        <v>0</v>
      </c>
      <c r="F572" s="1">
        <v>43805.575856481482</v>
      </c>
      <c r="G572">
        <v>0</v>
      </c>
      <c r="H572" s="1"/>
      <c r="I572" s="1" t="s">
        <v>118</v>
      </c>
      <c r="J572" s="1" t="s">
        <v>145</v>
      </c>
    </row>
    <row r="573" spans="1:10" x14ac:dyDescent="0.3">
      <c r="A573" s="9">
        <v>1</v>
      </c>
      <c r="B573">
        <v>10580</v>
      </c>
      <c r="C573" s="9">
        <v>9816</v>
      </c>
      <c r="D573" t="s">
        <v>144</v>
      </c>
      <c r="E573" s="9">
        <v>0</v>
      </c>
      <c r="F573" s="1">
        <v>43805.575821759259</v>
      </c>
      <c r="G573">
        <v>0</v>
      </c>
      <c r="H573" s="1"/>
      <c r="I573" s="1" t="s">
        <v>119</v>
      </c>
      <c r="J573" s="1" t="s">
        <v>145</v>
      </c>
    </row>
    <row r="574" spans="1:10" x14ac:dyDescent="0.3">
      <c r="A574" s="9">
        <v>1</v>
      </c>
      <c r="B574">
        <v>11912</v>
      </c>
      <c r="C574" s="9">
        <v>9816</v>
      </c>
      <c r="D574" t="s">
        <v>144</v>
      </c>
      <c r="E574" s="9">
        <v>0</v>
      </c>
      <c r="F574" s="1">
        <v>43805.575775462959</v>
      </c>
      <c r="G574">
        <v>0</v>
      </c>
      <c r="H574" s="1"/>
      <c r="I574" s="1" t="s">
        <v>120</v>
      </c>
      <c r="J574" s="1" t="s">
        <v>145</v>
      </c>
    </row>
    <row r="575" spans="1:10" x14ac:dyDescent="0.3">
      <c r="A575" s="9">
        <v>1</v>
      </c>
      <c r="B575">
        <v>12748</v>
      </c>
      <c r="C575" s="9">
        <v>9816</v>
      </c>
      <c r="D575" t="s">
        <v>144</v>
      </c>
      <c r="E575" s="9">
        <v>0</v>
      </c>
      <c r="F575" s="1">
        <v>43805.575752314813</v>
      </c>
      <c r="G575">
        <v>0</v>
      </c>
      <c r="H575" s="1"/>
      <c r="I575" s="1" t="s">
        <v>121</v>
      </c>
      <c r="J575" s="1" t="s">
        <v>145</v>
      </c>
    </row>
    <row r="576" spans="1:10" x14ac:dyDescent="0.3">
      <c r="A576" s="9">
        <v>1</v>
      </c>
      <c r="B576">
        <v>4852</v>
      </c>
      <c r="C576" s="9">
        <v>9816</v>
      </c>
      <c r="D576" t="s">
        <v>144</v>
      </c>
      <c r="E576" s="9">
        <v>0</v>
      </c>
      <c r="F576" s="1">
        <v>43805.57571759259</v>
      </c>
      <c r="G576">
        <v>0</v>
      </c>
      <c r="H576" s="1"/>
      <c r="I576" s="1" t="s">
        <v>122</v>
      </c>
      <c r="J576" s="1" t="s">
        <v>145</v>
      </c>
    </row>
    <row r="577" spans="1:10" x14ac:dyDescent="0.3">
      <c r="A577" s="9">
        <v>1</v>
      </c>
      <c r="B577">
        <v>4916</v>
      </c>
      <c r="C577" s="9">
        <v>9816</v>
      </c>
      <c r="D577" t="s">
        <v>144</v>
      </c>
      <c r="E577" s="9">
        <v>0</v>
      </c>
      <c r="F577" s="1">
        <v>43805.575682870367</v>
      </c>
      <c r="G577">
        <v>0</v>
      </c>
      <c r="H577" s="1"/>
      <c r="I577" s="1" t="s">
        <v>123</v>
      </c>
      <c r="J577" s="1" t="s">
        <v>145</v>
      </c>
    </row>
    <row r="578" spans="1:10" x14ac:dyDescent="0.3">
      <c r="A578" s="9">
        <v>1</v>
      </c>
      <c r="B578">
        <v>8748</v>
      </c>
      <c r="C578" s="9">
        <v>9816</v>
      </c>
      <c r="D578" t="s">
        <v>144</v>
      </c>
      <c r="E578" s="9">
        <v>0</v>
      </c>
      <c r="F578" s="1">
        <v>43805.575648148151</v>
      </c>
      <c r="G578">
        <v>0</v>
      </c>
      <c r="H578" s="1"/>
      <c r="I578" s="1" t="s">
        <v>124</v>
      </c>
      <c r="J578" s="1" t="s">
        <v>145</v>
      </c>
    </row>
    <row r="579" spans="1:10" x14ac:dyDescent="0.3">
      <c r="A579" s="9">
        <v>1</v>
      </c>
      <c r="B579">
        <v>14600</v>
      </c>
      <c r="C579" s="9">
        <v>9816</v>
      </c>
      <c r="D579" t="s">
        <v>144</v>
      </c>
      <c r="E579" s="9">
        <v>0</v>
      </c>
      <c r="F579" s="1">
        <v>43805.575624999998</v>
      </c>
      <c r="G579">
        <v>0</v>
      </c>
      <c r="H579" s="1"/>
      <c r="I579" s="1" t="s">
        <v>125</v>
      </c>
      <c r="J579" s="1" t="s">
        <v>145</v>
      </c>
    </row>
    <row r="580" spans="1:10" x14ac:dyDescent="0.3">
      <c r="A580" s="9">
        <v>1</v>
      </c>
      <c r="B580">
        <v>15672</v>
      </c>
      <c r="C580" s="9">
        <v>9816</v>
      </c>
      <c r="D580" t="s">
        <v>144</v>
      </c>
      <c r="E580" s="9">
        <v>0</v>
      </c>
      <c r="F580" s="1">
        <v>43805.575590277775</v>
      </c>
      <c r="G580">
        <v>0</v>
      </c>
      <c r="H580" s="1"/>
      <c r="I580" s="1" t="s">
        <v>126</v>
      </c>
      <c r="J580" s="1" t="s">
        <v>145</v>
      </c>
    </row>
    <row r="581" spans="1:10" x14ac:dyDescent="0.3">
      <c r="A581" s="9">
        <v>1</v>
      </c>
      <c r="B581">
        <v>2164</v>
      </c>
      <c r="C581" s="9">
        <v>9816</v>
      </c>
      <c r="D581" t="s">
        <v>144</v>
      </c>
      <c r="E581" s="9">
        <v>0</v>
      </c>
      <c r="F581" s="1">
        <v>43805.575555555559</v>
      </c>
      <c r="G581">
        <v>0</v>
      </c>
      <c r="H581" s="1"/>
      <c r="I581" s="1" t="s">
        <v>127</v>
      </c>
      <c r="J581" s="1" t="s">
        <v>145</v>
      </c>
    </row>
    <row r="582" spans="1:10" x14ac:dyDescent="0.3">
      <c r="A582" s="9">
        <v>1</v>
      </c>
      <c r="B582">
        <v>7184</v>
      </c>
      <c r="C582" s="9">
        <v>9816</v>
      </c>
      <c r="D582" t="s">
        <v>144</v>
      </c>
      <c r="E582" s="9">
        <v>0</v>
      </c>
      <c r="F582" s="1">
        <v>43805.575509259259</v>
      </c>
      <c r="G582">
        <v>0</v>
      </c>
      <c r="H582" s="1"/>
      <c r="I582" s="1" t="s">
        <v>128</v>
      </c>
      <c r="J582" s="1" t="s">
        <v>145</v>
      </c>
    </row>
    <row r="583" spans="1:10" x14ac:dyDescent="0.3">
      <c r="A583" s="9">
        <v>1</v>
      </c>
      <c r="B583">
        <v>9816</v>
      </c>
      <c r="C583" s="9">
        <v>9816</v>
      </c>
      <c r="D583" t="s">
        <v>144</v>
      </c>
      <c r="E583" s="9">
        <v>0</v>
      </c>
      <c r="F583" s="1">
        <v>43805.573101851849</v>
      </c>
      <c r="G583">
        <v>1</v>
      </c>
      <c r="H583" s="1" t="s">
        <v>454</v>
      </c>
      <c r="I583" s="1"/>
      <c r="J583" s="1" t="s">
        <v>466</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6"/>
  <sheetViews>
    <sheetView workbookViewId="0">
      <selection activeCell="B3" sqref="B3:B26"/>
    </sheetView>
  </sheetViews>
  <sheetFormatPr defaultRowHeight="14.4" x14ac:dyDescent="0.3"/>
  <cols>
    <col min="1" max="1" width="15.88671875" bestFit="1" customWidth="1"/>
    <col min="2" max="2" width="78.88671875" bestFit="1" customWidth="1"/>
  </cols>
  <sheetData>
    <row r="1" spans="1:4" x14ac:dyDescent="0.3">
      <c r="A1" s="21">
        <v>85</v>
      </c>
      <c r="B1" s="20">
        <v>14700</v>
      </c>
    </row>
    <row r="2" spans="1:4" x14ac:dyDescent="0.3">
      <c r="A2" s="19"/>
      <c r="D2" s="7"/>
    </row>
    <row r="3" spans="1:4" x14ac:dyDescent="0.3">
      <c r="A3" s="19">
        <v>43341.958333333336</v>
      </c>
      <c r="B3" t="str">
        <f>"zzz Infer "&amp;$A$1&amp;" Config/Client.xml Config/inferDS.xml "&amp;$B$1&amp;" --ds.TimeSerie.Date0="&amp;TEXT(A3,"YYYY-MM-DD-HH:MM")</f>
        <v>zzz Infer 85 Config/Client.xml Config/inferDS.xml 14700 --ds.TimeSerie.Date0=2018-08-29-23:00</v>
      </c>
      <c r="D3" s="7"/>
    </row>
    <row r="4" spans="1:4" x14ac:dyDescent="0.3">
      <c r="A4" s="19">
        <f t="shared" ref="A4:A26" si="0">+A3+1/24</f>
        <v>43342</v>
      </c>
      <c r="B4" t="str">
        <f t="shared" ref="B4:B26" si="1">"zzz Infer "&amp;$A$1&amp;" Config/Client.xml Config/inferDS.xml "&amp;$B$1&amp;" --ds.TimeSerie.Date0="&amp;TEXT(A4,"YYYY-MM-DD-HH:MM")</f>
        <v>zzz Infer 85 Config/Client.xml Config/inferDS.xml 14700 --ds.TimeSerie.Date0=2018-08-30-00:00</v>
      </c>
      <c r="D4" s="7"/>
    </row>
    <row r="5" spans="1:4" x14ac:dyDescent="0.3">
      <c r="A5" s="19">
        <f t="shared" si="0"/>
        <v>43342.041666666664</v>
      </c>
      <c r="B5" t="str">
        <f t="shared" si="1"/>
        <v>zzz Infer 85 Config/Client.xml Config/inferDS.xml 14700 --ds.TimeSerie.Date0=2018-08-30-01:00</v>
      </c>
      <c r="D5" s="7"/>
    </row>
    <row r="6" spans="1:4" x14ac:dyDescent="0.3">
      <c r="A6" s="19">
        <f t="shared" si="0"/>
        <v>43342.083333333328</v>
      </c>
      <c r="B6" t="str">
        <f t="shared" si="1"/>
        <v>zzz Infer 85 Config/Client.xml Config/inferDS.xml 14700 --ds.TimeSerie.Date0=2018-08-30-02:00</v>
      </c>
      <c r="D6" s="7"/>
    </row>
    <row r="7" spans="1:4" x14ac:dyDescent="0.3">
      <c r="A7" s="19">
        <f t="shared" si="0"/>
        <v>43342.124999999993</v>
      </c>
      <c r="B7" t="str">
        <f t="shared" si="1"/>
        <v>zzz Infer 85 Config/Client.xml Config/inferDS.xml 14700 --ds.TimeSerie.Date0=2018-08-30-03:00</v>
      </c>
      <c r="D7" s="7"/>
    </row>
    <row r="8" spans="1:4" x14ac:dyDescent="0.3">
      <c r="A8" s="19">
        <f t="shared" si="0"/>
        <v>43342.166666666657</v>
      </c>
      <c r="B8" t="str">
        <f t="shared" si="1"/>
        <v>zzz Infer 85 Config/Client.xml Config/inferDS.xml 14700 --ds.TimeSerie.Date0=2018-08-30-04:00</v>
      </c>
      <c r="D8" s="7"/>
    </row>
    <row r="9" spans="1:4" x14ac:dyDescent="0.3">
      <c r="A9" s="19">
        <f t="shared" si="0"/>
        <v>43342.208333333321</v>
      </c>
      <c r="B9" t="str">
        <f t="shared" si="1"/>
        <v>zzz Infer 85 Config/Client.xml Config/inferDS.xml 14700 --ds.TimeSerie.Date0=2018-08-30-05:00</v>
      </c>
      <c r="D9" s="7"/>
    </row>
    <row r="10" spans="1:4" x14ac:dyDescent="0.3">
      <c r="A10" s="19">
        <f t="shared" si="0"/>
        <v>43342.249999999985</v>
      </c>
      <c r="B10" t="str">
        <f t="shared" si="1"/>
        <v>zzz Infer 85 Config/Client.xml Config/inferDS.xml 14700 --ds.TimeSerie.Date0=2018-08-30-06:00</v>
      </c>
      <c r="D10" s="7"/>
    </row>
    <row r="11" spans="1:4" x14ac:dyDescent="0.3">
      <c r="A11" s="19">
        <f t="shared" si="0"/>
        <v>43342.29166666665</v>
      </c>
      <c r="B11" t="str">
        <f t="shared" si="1"/>
        <v>zzz Infer 85 Config/Client.xml Config/inferDS.xml 14700 --ds.TimeSerie.Date0=2018-08-30-07:00</v>
      </c>
    </row>
    <row r="12" spans="1:4" x14ac:dyDescent="0.3">
      <c r="A12" s="19">
        <f t="shared" si="0"/>
        <v>43342.333333333314</v>
      </c>
      <c r="B12" t="str">
        <f t="shared" si="1"/>
        <v>zzz Infer 85 Config/Client.xml Config/inferDS.xml 14700 --ds.TimeSerie.Date0=2018-08-30-08:00</v>
      </c>
    </row>
    <row r="13" spans="1:4" x14ac:dyDescent="0.3">
      <c r="A13" s="19">
        <f t="shared" si="0"/>
        <v>43342.374999999978</v>
      </c>
      <c r="B13" t="str">
        <f t="shared" si="1"/>
        <v>zzz Infer 85 Config/Client.xml Config/inferDS.xml 14700 --ds.TimeSerie.Date0=2018-08-30-09:00</v>
      </c>
    </row>
    <row r="14" spans="1:4" x14ac:dyDescent="0.3">
      <c r="A14" s="19">
        <f t="shared" si="0"/>
        <v>43342.416666666642</v>
      </c>
      <c r="B14" t="str">
        <f t="shared" si="1"/>
        <v>zzz Infer 85 Config/Client.xml Config/inferDS.xml 14700 --ds.TimeSerie.Date0=2018-08-30-10:00</v>
      </c>
    </row>
    <row r="15" spans="1:4" x14ac:dyDescent="0.3">
      <c r="A15" s="19">
        <f t="shared" si="0"/>
        <v>43342.458333333307</v>
      </c>
      <c r="B15" t="str">
        <f t="shared" si="1"/>
        <v>zzz Infer 85 Config/Client.xml Config/inferDS.xml 14700 --ds.TimeSerie.Date0=2018-08-30-11:00</v>
      </c>
    </row>
    <row r="16" spans="1:4" x14ac:dyDescent="0.3">
      <c r="A16" s="19">
        <f t="shared" si="0"/>
        <v>43342.499999999971</v>
      </c>
      <c r="B16" t="str">
        <f t="shared" si="1"/>
        <v>zzz Infer 85 Config/Client.xml Config/inferDS.xml 14700 --ds.TimeSerie.Date0=2018-08-30-12:00</v>
      </c>
    </row>
    <row r="17" spans="1:2" x14ac:dyDescent="0.3">
      <c r="A17" s="19">
        <f t="shared" si="0"/>
        <v>43342.541666666635</v>
      </c>
      <c r="B17" t="str">
        <f t="shared" si="1"/>
        <v>zzz Infer 85 Config/Client.xml Config/inferDS.xml 14700 --ds.TimeSerie.Date0=2018-08-30-13:00</v>
      </c>
    </row>
    <row r="18" spans="1:2" x14ac:dyDescent="0.3">
      <c r="A18" s="19">
        <f t="shared" si="0"/>
        <v>43342.583333333299</v>
      </c>
      <c r="B18" t="str">
        <f t="shared" si="1"/>
        <v>zzz Infer 85 Config/Client.xml Config/inferDS.xml 14700 --ds.TimeSerie.Date0=2018-08-30-14:00</v>
      </c>
    </row>
    <row r="19" spans="1:2" x14ac:dyDescent="0.3">
      <c r="A19" s="19">
        <f t="shared" si="0"/>
        <v>43342.624999999964</v>
      </c>
      <c r="B19" t="str">
        <f t="shared" si="1"/>
        <v>zzz Infer 85 Config/Client.xml Config/inferDS.xml 14700 --ds.TimeSerie.Date0=2018-08-30-15:00</v>
      </c>
    </row>
    <row r="20" spans="1:2" x14ac:dyDescent="0.3">
      <c r="A20" s="19">
        <f t="shared" si="0"/>
        <v>43342.666666666628</v>
      </c>
      <c r="B20" t="str">
        <f t="shared" si="1"/>
        <v>zzz Infer 85 Config/Client.xml Config/inferDS.xml 14700 --ds.TimeSerie.Date0=2018-08-30-16:00</v>
      </c>
    </row>
    <row r="21" spans="1:2" x14ac:dyDescent="0.3">
      <c r="A21" s="19">
        <f t="shared" si="0"/>
        <v>43342.708333333292</v>
      </c>
      <c r="B21" t="str">
        <f t="shared" si="1"/>
        <v>zzz Infer 85 Config/Client.xml Config/inferDS.xml 14700 --ds.TimeSerie.Date0=2018-08-30-17:00</v>
      </c>
    </row>
    <row r="22" spans="1:2" x14ac:dyDescent="0.3">
      <c r="A22" s="19">
        <f t="shared" si="0"/>
        <v>43342.749999999956</v>
      </c>
      <c r="B22" t="str">
        <f t="shared" si="1"/>
        <v>zzz Infer 85 Config/Client.xml Config/inferDS.xml 14700 --ds.TimeSerie.Date0=2018-08-30-18:00</v>
      </c>
    </row>
    <row r="23" spans="1:2" x14ac:dyDescent="0.3">
      <c r="A23" s="19">
        <f t="shared" si="0"/>
        <v>43342.791666666621</v>
      </c>
      <c r="B23" t="str">
        <f t="shared" si="1"/>
        <v>zzz Infer 85 Config/Client.xml Config/inferDS.xml 14700 --ds.TimeSerie.Date0=2018-08-30-19:00</v>
      </c>
    </row>
    <row r="24" spans="1:2" x14ac:dyDescent="0.3">
      <c r="A24" s="19">
        <f t="shared" si="0"/>
        <v>43342.833333333285</v>
      </c>
      <c r="B24" t="str">
        <f t="shared" si="1"/>
        <v>zzz Infer 85 Config/Client.xml Config/inferDS.xml 14700 --ds.TimeSerie.Date0=2018-08-30-20:00</v>
      </c>
    </row>
    <row r="25" spans="1:2" x14ac:dyDescent="0.3">
      <c r="A25" s="19">
        <f t="shared" si="0"/>
        <v>43342.874999999949</v>
      </c>
      <c r="B25" t="str">
        <f t="shared" si="1"/>
        <v>zzz Infer 85 Config/Client.xml Config/inferDS.xml 14700 --ds.TimeSerie.Date0=2018-08-30-21:00</v>
      </c>
    </row>
    <row r="26" spans="1:2" x14ac:dyDescent="0.3">
      <c r="A26" s="19">
        <f t="shared" si="0"/>
        <v>43342.916666666613</v>
      </c>
      <c r="B26" t="str">
        <f t="shared" si="1"/>
        <v>zzz Infer 85 Config/Client.xml Config/inferDS.xml 14700 --ds.TimeSerie.Date0=2018-08-30-22:00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48"/>
  <sheetViews>
    <sheetView workbookViewId="0"/>
  </sheetViews>
  <sheetFormatPr defaultRowHeight="14.4" x14ac:dyDescent="0.3"/>
  <cols>
    <col min="1" max="1" width="11.44140625" customWidth="1"/>
    <col min="2" max="2" width="13.33203125" customWidth="1"/>
    <col min="3" max="3" width="13.88671875" customWidth="1"/>
  </cols>
  <sheetData>
    <row r="1" spans="1:3" x14ac:dyDescent="0.3">
      <c r="A1" s="2" t="s">
        <v>143</v>
      </c>
    </row>
    <row r="2" spans="1:3" x14ac:dyDescent="0.3">
      <c r="A2" s="2" t="s">
        <v>142</v>
      </c>
      <c r="B2" s="2" t="s">
        <v>1</v>
      </c>
      <c r="C2" t="s">
        <v>141</v>
      </c>
    </row>
    <row r="3" spans="1:3" x14ac:dyDescent="0.3">
      <c r="A3">
        <v>13916</v>
      </c>
      <c r="C3" s="7">
        <v>8.6246236885763664E-5</v>
      </c>
    </row>
    <row r="4" spans="1:3" x14ac:dyDescent="0.3">
      <c r="A4">
        <v>13736</v>
      </c>
      <c r="C4" s="7">
        <v>9.5925202757502574E-5</v>
      </c>
    </row>
    <row r="5" spans="1:3" x14ac:dyDescent="0.3">
      <c r="A5">
        <v>16504</v>
      </c>
      <c r="C5" s="7">
        <v>1.0530958093664191E-4</v>
      </c>
    </row>
    <row r="6" spans="1:3" x14ac:dyDescent="0.3">
      <c r="A6">
        <v>6883</v>
      </c>
      <c r="C6" s="7">
        <v>1.058754184620614E-4</v>
      </c>
    </row>
    <row r="7" spans="1:3" x14ac:dyDescent="0.3">
      <c r="A7">
        <v>15736</v>
      </c>
      <c r="C7" s="7">
        <v>1.2141701399987601E-4</v>
      </c>
    </row>
    <row r="8" spans="1:3" x14ac:dyDescent="0.3">
      <c r="A8">
        <v>10804</v>
      </c>
      <c r="C8" s="7">
        <v>1.2843519337855751E-4</v>
      </c>
    </row>
    <row r="9" spans="1:3" x14ac:dyDescent="0.3">
      <c r="A9">
        <v>11008</v>
      </c>
      <c r="C9" s="7">
        <v>1.2934338739875229E-4</v>
      </c>
    </row>
    <row r="10" spans="1:3" x14ac:dyDescent="0.3">
      <c r="A10">
        <v>10004</v>
      </c>
      <c r="C10" s="7">
        <v>1.3333865884244237E-4</v>
      </c>
    </row>
    <row r="11" spans="1:3" x14ac:dyDescent="0.3">
      <c r="A11">
        <v>9153</v>
      </c>
      <c r="C11" s="7">
        <v>1.3644364612419005E-4</v>
      </c>
    </row>
    <row r="12" spans="1:3" x14ac:dyDescent="0.3">
      <c r="A12">
        <v>1864</v>
      </c>
      <c r="C12" s="7">
        <v>1.3749143250656125E-4</v>
      </c>
    </row>
    <row r="13" spans="1:3" x14ac:dyDescent="0.3">
      <c r="A13">
        <v>12500</v>
      </c>
      <c r="C13" s="7">
        <v>1.5592239958509861E-4</v>
      </c>
    </row>
    <row r="14" spans="1:3" x14ac:dyDescent="0.3">
      <c r="A14">
        <v>12780</v>
      </c>
      <c r="C14" s="7">
        <v>1.613619746508556E-4</v>
      </c>
    </row>
    <row r="15" spans="1:3" x14ac:dyDescent="0.3">
      <c r="A15">
        <v>14524</v>
      </c>
      <c r="C15" s="7">
        <v>1.8019632327140032E-4</v>
      </c>
    </row>
    <row r="16" spans="1:3" x14ac:dyDescent="0.3">
      <c r="A16">
        <v>2068</v>
      </c>
      <c r="C16" s="7">
        <v>1.8182754960887736E-4</v>
      </c>
    </row>
    <row r="17" spans="1:3" x14ac:dyDescent="0.3">
      <c r="A17">
        <v>11348</v>
      </c>
      <c r="C17" s="7">
        <v>1.870644784839391E-4</v>
      </c>
    </row>
    <row r="18" spans="1:3" x14ac:dyDescent="0.3">
      <c r="A18">
        <v>3084</v>
      </c>
      <c r="C18" s="7">
        <v>2.0533023446563589E-4</v>
      </c>
    </row>
    <row r="19" spans="1:3" x14ac:dyDescent="0.3">
      <c r="A19">
        <v>9652</v>
      </c>
      <c r="C19" s="7">
        <v>2.1901050210574005E-4</v>
      </c>
    </row>
    <row r="20" spans="1:3" x14ac:dyDescent="0.3">
      <c r="A20">
        <v>7828</v>
      </c>
      <c r="C20" s="7">
        <v>2.2066174525630324E-4</v>
      </c>
    </row>
    <row r="21" spans="1:3" x14ac:dyDescent="0.3">
      <c r="A21">
        <v>11184</v>
      </c>
      <c r="C21" s="7">
        <v>2.3853915774951971E-4</v>
      </c>
    </row>
    <row r="22" spans="1:3" x14ac:dyDescent="0.3">
      <c r="A22">
        <v>4196</v>
      </c>
      <c r="C22" s="7">
        <v>2.6244119775962267E-4</v>
      </c>
    </row>
    <row r="23" spans="1:3" x14ac:dyDescent="0.3">
      <c r="A23">
        <v>680</v>
      </c>
      <c r="C23" s="7">
        <v>2.7250625608140944E-4</v>
      </c>
    </row>
    <row r="24" spans="1:3" x14ac:dyDescent="0.3">
      <c r="A24">
        <v>17088</v>
      </c>
      <c r="C24" s="7">
        <v>2.7800475508507941E-4</v>
      </c>
    </row>
    <row r="25" spans="1:3" x14ac:dyDescent="0.3">
      <c r="A25">
        <v>5644</v>
      </c>
      <c r="C25" s="7">
        <v>2.8056128168442109E-4</v>
      </c>
    </row>
    <row r="26" spans="1:3" x14ac:dyDescent="0.3">
      <c r="A26">
        <v>12708</v>
      </c>
      <c r="C26" s="7">
        <v>3.0213851433295071E-4</v>
      </c>
    </row>
    <row r="27" spans="1:3" x14ac:dyDescent="0.3">
      <c r="A27">
        <v>1604</v>
      </c>
      <c r="C27" s="7">
        <v>3.1261036270541069E-4</v>
      </c>
    </row>
    <row r="28" spans="1:3" x14ac:dyDescent="0.3">
      <c r="A28">
        <v>5116</v>
      </c>
      <c r="C28" s="7">
        <v>3.2207804719606406E-4</v>
      </c>
    </row>
    <row r="29" spans="1:3" x14ac:dyDescent="0.3">
      <c r="A29">
        <v>11468</v>
      </c>
      <c r="C29" s="7">
        <v>3.6169710841845056E-4</v>
      </c>
    </row>
    <row r="30" spans="1:3" x14ac:dyDescent="0.3">
      <c r="A30">
        <v>6740</v>
      </c>
      <c r="C30" s="7">
        <v>3.6317429892707018E-4</v>
      </c>
    </row>
    <row r="31" spans="1:3" x14ac:dyDescent="0.3">
      <c r="A31">
        <v>10408</v>
      </c>
      <c r="C31" s="7">
        <v>3.6769472249645216E-4</v>
      </c>
    </row>
    <row r="32" spans="1:3" x14ac:dyDescent="0.3">
      <c r="A32">
        <v>2324</v>
      </c>
      <c r="C32" s="7">
        <v>3.6923406079830825E-4</v>
      </c>
    </row>
    <row r="33" spans="1:3" x14ac:dyDescent="0.3">
      <c r="A33">
        <v>8408</v>
      </c>
      <c r="C33" s="7">
        <v>3.741830468225441E-4</v>
      </c>
    </row>
    <row r="34" spans="1:3" x14ac:dyDescent="0.3">
      <c r="A34">
        <v>14108</v>
      </c>
      <c r="C34" s="7">
        <v>3.7422585563627906E-4</v>
      </c>
    </row>
    <row r="35" spans="1:3" x14ac:dyDescent="0.3">
      <c r="A35">
        <v>12652</v>
      </c>
      <c r="C35" s="7">
        <v>3.7715611148959497E-4</v>
      </c>
    </row>
    <row r="36" spans="1:3" x14ac:dyDescent="0.3">
      <c r="A36">
        <v>11900</v>
      </c>
      <c r="C36" s="7">
        <v>3.8117757361341009E-4</v>
      </c>
    </row>
    <row r="37" spans="1:3" x14ac:dyDescent="0.3">
      <c r="A37">
        <v>9900</v>
      </c>
      <c r="C37" s="7">
        <v>3.845154396805399E-4</v>
      </c>
    </row>
    <row r="38" spans="1:3" x14ac:dyDescent="0.3">
      <c r="A38">
        <v>14152</v>
      </c>
      <c r="C38" s="7">
        <v>4.0543260748460207E-4</v>
      </c>
    </row>
    <row r="39" spans="1:3" x14ac:dyDescent="0.3">
      <c r="A39">
        <v>9912</v>
      </c>
      <c r="C39" s="7">
        <v>4.1307693112658872E-4</v>
      </c>
    </row>
    <row r="40" spans="1:3" x14ac:dyDescent="0.3">
      <c r="A40">
        <v>6704</v>
      </c>
      <c r="C40" s="7">
        <v>4.1464901790291212E-4</v>
      </c>
    </row>
    <row r="41" spans="1:3" x14ac:dyDescent="0.3">
      <c r="A41">
        <v>9004</v>
      </c>
      <c r="C41" s="7">
        <v>4.1596351707787443E-4</v>
      </c>
    </row>
    <row r="42" spans="1:3" x14ac:dyDescent="0.3">
      <c r="A42">
        <v>7272</v>
      </c>
      <c r="C42" s="7">
        <v>4.2355296580317685E-4</v>
      </c>
    </row>
    <row r="43" spans="1:3" x14ac:dyDescent="0.3">
      <c r="A43">
        <v>9152</v>
      </c>
      <c r="C43" s="7">
        <v>4.2707324028040005E-4</v>
      </c>
    </row>
    <row r="44" spans="1:3" x14ac:dyDescent="0.3">
      <c r="A44">
        <v>12651</v>
      </c>
      <c r="C44" s="7">
        <v>4.8482882688427934E-4</v>
      </c>
    </row>
    <row r="45" spans="1:3" x14ac:dyDescent="0.3">
      <c r="A45">
        <v>14096</v>
      </c>
      <c r="C45" s="7">
        <v>4.9066498598970788E-4</v>
      </c>
    </row>
    <row r="46" spans="1:3" x14ac:dyDescent="0.3">
      <c r="A46">
        <v>12320</v>
      </c>
      <c r="C46" s="7">
        <v>4.9070908617506034E-4</v>
      </c>
    </row>
    <row r="47" spans="1:3" x14ac:dyDescent="0.3">
      <c r="A47">
        <v>16724</v>
      </c>
      <c r="C47" s="7">
        <v>4.9293870943985935E-4</v>
      </c>
    </row>
    <row r="48" spans="1:3" x14ac:dyDescent="0.3">
      <c r="A48">
        <v>7004</v>
      </c>
      <c r="C48" s="7">
        <v>4.9461331987360902E-4</v>
      </c>
    </row>
    <row r="49" spans="1:3" x14ac:dyDescent="0.3">
      <c r="A49">
        <v>6132</v>
      </c>
      <c r="C49" s="7">
        <v>4.946887197944226E-4</v>
      </c>
    </row>
    <row r="50" spans="1:3" x14ac:dyDescent="0.3">
      <c r="A50">
        <v>12424</v>
      </c>
      <c r="C50" s="7">
        <v>4.9590272396966525E-4</v>
      </c>
    </row>
    <row r="51" spans="1:3" x14ac:dyDescent="0.3">
      <c r="A51">
        <v>11808</v>
      </c>
      <c r="C51" s="7">
        <v>4.9950757147808973E-4</v>
      </c>
    </row>
    <row r="52" spans="1:3" x14ac:dyDescent="0.3">
      <c r="A52">
        <v>8852</v>
      </c>
      <c r="C52" s="7">
        <v>5.0331816994258257E-4</v>
      </c>
    </row>
    <row r="53" spans="1:3" x14ac:dyDescent="0.3">
      <c r="A53">
        <v>10312</v>
      </c>
      <c r="C53" s="7">
        <v>5.1236192813778854E-4</v>
      </c>
    </row>
    <row r="54" spans="1:3" x14ac:dyDescent="0.3">
      <c r="A54">
        <v>7816</v>
      </c>
      <c r="C54" s="7">
        <v>5.1587998039745073E-4</v>
      </c>
    </row>
    <row r="55" spans="1:3" x14ac:dyDescent="0.3">
      <c r="A55">
        <v>10746</v>
      </c>
      <c r="C55" s="7">
        <v>5.1659383421425061E-4</v>
      </c>
    </row>
    <row r="56" spans="1:3" x14ac:dyDescent="0.3">
      <c r="A56">
        <v>10784</v>
      </c>
      <c r="C56" s="7">
        <v>5.1872166887611344E-4</v>
      </c>
    </row>
    <row r="57" spans="1:3" x14ac:dyDescent="0.3">
      <c r="A57">
        <v>5384</v>
      </c>
      <c r="C57" s="7">
        <v>5.3100776442610662E-4</v>
      </c>
    </row>
    <row r="58" spans="1:3" x14ac:dyDescent="0.3">
      <c r="A58">
        <v>1556</v>
      </c>
      <c r="C58" s="7">
        <v>5.4514793601378574E-4</v>
      </c>
    </row>
    <row r="59" spans="1:3" x14ac:dyDescent="0.3">
      <c r="A59">
        <v>16612</v>
      </c>
      <c r="C59" s="7">
        <v>5.4681077857743246E-4</v>
      </c>
    </row>
    <row r="60" spans="1:3" x14ac:dyDescent="0.3">
      <c r="A60">
        <v>8448</v>
      </c>
      <c r="C60" s="7">
        <v>5.4752438592486029E-4</v>
      </c>
    </row>
    <row r="61" spans="1:3" x14ac:dyDescent="0.3">
      <c r="A61">
        <v>17292</v>
      </c>
      <c r="C61" s="7">
        <v>5.4764453648437181E-4</v>
      </c>
    </row>
    <row r="62" spans="1:3" x14ac:dyDescent="0.3">
      <c r="A62">
        <v>15412</v>
      </c>
      <c r="C62" s="7">
        <v>5.4783479778871321E-4</v>
      </c>
    </row>
    <row r="63" spans="1:3" x14ac:dyDescent="0.3">
      <c r="A63">
        <v>9632</v>
      </c>
      <c r="C63" s="7">
        <v>5.4795479923841874E-4</v>
      </c>
    </row>
    <row r="64" spans="1:3" x14ac:dyDescent="0.3">
      <c r="A64">
        <v>396</v>
      </c>
      <c r="C64" s="7">
        <v>5.4880367949487383E-4</v>
      </c>
    </row>
    <row r="65" spans="1:3" x14ac:dyDescent="0.3">
      <c r="A65">
        <v>15096</v>
      </c>
      <c r="C65" s="7">
        <v>5.4974340111297519E-4</v>
      </c>
    </row>
    <row r="66" spans="1:3" x14ac:dyDescent="0.3">
      <c r="A66">
        <v>9728</v>
      </c>
      <c r="C66" s="7">
        <v>5.5199250211815311E-4</v>
      </c>
    </row>
    <row r="67" spans="1:3" x14ac:dyDescent="0.3">
      <c r="A67">
        <v>9680</v>
      </c>
      <c r="C67" s="7">
        <v>5.5789565781564526E-4</v>
      </c>
    </row>
    <row r="68" spans="1:3" x14ac:dyDescent="0.3">
      <c r="A68">
        <v>19392</v>
      </c>
      <c r="C68" s="7">
        <v>5.5947131509693929E-4</v>
      </c>
    </row>
    <row r="69" spans="1:3" x14ac:dyDescent="0.3">
      <c r="A69">
        <v>14944</v>
      </c>
      <c r="C69" s="7">
        <v>5.6392405906126688E-4</v>
      </c>
    </row>
    <row r="70" spans="1:3" x14ac:dyDescent="0.3">
      <c r="A70">
        <v>14800</v>
      </c>
      <c r="C70" s="7">
        <v>5.6411234164865009E-4</v>
      </c>
    </row>
    <row r="71" spans="1:3" x14ac:dyDescent="0.3">
      <c r="A71">
        <v>10620</v>
      </c>
      <c r="C71" s="7">
        <v>5.6949338692724688E-4</v>
      </c>
    </row>
    <row r="72" spans="1:3" x14ac:dyDescent="0.3">
      <c r="A72">
        <v>17220</v>
      </c>
      <c r="C72" s="7">
        <v>5.6963533727174913E-4</v>
      </c>
    </row>
    <row r="73" spans="1:3" x14ac:dyDescent="0.3">
      <c r="A73">
        <v>10508</v>
      </c>
      <c r="C73" s="7">
        <v>5.6980020545126741E-4</v>
      </c>
    </row>
    <row r="74" spans="1:3" x14ac:dyDescent="0.3">
      <c r="A74">
        <v>11191</v>
      </c>
      <c r="C74" s="7">
        <v>5.8868680919303684E-4</v>
      </c>
    </row>
    <row r="75" spans="1:3" x14ac:dyDescent="0.3">
      <c r="A75">
        <v>7622</v>
      </c>
      <c r="C75" s="7">
        <v>6.0853254693065556E-4</v>
      </c>
    </row>
    <row r="76" spans="1:3" x14ac:dyDescent="0.3">
      <c r="A76">
        <v>3340</v>
      </c>
      <c r="C76" s="7">
        <v>6.1204762728618665E-4</v>
      </c>
    </row>
    <row r="77" spans="1:3" x14ac:dyDescent="0.3">
      <c r="A77">
        <v>11683</v>
      </c>
      <c r="C77" s="7">
        <v>6.220536456182827E-4</v>
      </c>
    </row>
    <row r="78" spans="1:3" x14ac:dyDescent="0.3">
      <c r="A78">
        <v>6000</v>
      </c>
      <c r="C78" s="7">
        <v>6.266893300555333E-4</v>
      </c>
    </row>
    <row r="79" spans="1:3" x14ac:dyDescent="0.3">
      <c r="A79">
        <v>12047</v>
      </c>
      <c r="C79" s="7">
        <v>6.5641351077944305E-4</v>
      </c>
    </row>
    <row r="80" spans="1:3" x14ac:dyDescent="0.3">
      <c r="A80">
        <v>16792</v>
      </c>
      <c r="C80" s="7">
        <v>6.5726009814523489E-4</v>
      </c>
    </row>
    <row r="81" spans="1:3" x14ac:dyDescent="0.3">
      <c r="A81">
        <v>16175</v>
      </c>
      <c r="C81" s="7">
        <v>6.6056790565752622E-4</v>
      </c>
    </row>
    <row r="82" spans="1:3" x14ac:dyDescent="0.3">
      <c r="A82">
        <v>14592</v>
      </c>
      <c r="C82" s="7">
        <v>6.8609371835074795E-4</v>
      </c>
    </row>
    <row r="83" spans="1:3" x14ac:dyDescent="0.3">
      <c r="A83">
        <v>16008</v>
      </c>
      <c r="C83" s="7">
        <v>7.1087552796767839E-4</v>
      </c>
    </row>
    <row r="84" spans="1:3" x14ac:dyDescent="0.3">
      <c r="A84">
        <v>12575</v>
      </c>
      <c r="C84" s="7">
        <v>7.2673835893845046E-4</v>
      </c>
    </row>
    <row r="85" spans="1:3" x14ac:dyDescent="0.3">
      <c r="A85">
        <v>15040</v>
      </c>
      <c r="C85" s="7">
        <v>7.3847545087893135E-4</v>
      </c>
    </row>
    <row r="86" spans="1:3" x14ac:dyDescent="0.3">
      <c r="A86">
        <v>10012</v>
      </c>
      <c r="C86" s="7">
        <v>7.607656165301113E-4</v>
      </c>
    </row>
    <row r="87" spans="1:3" x14ac:dyDescent="0.3">
      <c r="A87">
        <v>9140</v>
      </c>
      <c r="C87" s="7">
        <v>7.6086577348709057E-4</v>
      </c>
    </row>
    <row r="88" spans="1:3" x14ac:dyDescent="0.3">
      <c r="A88">
        <v>13796</v>
      </c>
      <c r="C88" s="7">
        <v>7.6276278798987057E-4</v>
      </c>
    </row>
    <row r="89" spans="1:3" x14ac:dyDescent="0.3">
      <c r="A89">
        <v>1092</v>
      </c>
      <c r="C89" s="7">
        <v>7.7673438087331071E-4</v>
      </c>
    </row>
    <row r="90" spans="1:3" x14ac:dyDescent="0.3">
      <c r="A90">
        <v>14360</v>
      </c>
      <c r="C90" s="7">
        <v>7.8185016403904976E-4</v>
      </c>
    </row>
    <row r="91" spans="1:3" x14ac:dyDescent="0.3">
      <c r="A91">
        <v>15200</v>
      </c>
      <c r="C91" s="7">
        <v>8.1261481153833102E-4</v>
      </c>
    </row>
    <row r="92" spans="1:3" x14ac:dyDescent="0.3">
      <c r="A92">
        <v>11696</v>
      </c>
      <c r="C92" s="7">
        <v>8.2402068398604886E-4</v>
      </c>
    </row>
    <row r="93" spans="1:3" x14ac:dyDescent="0.3">
      <c r="A93">
        <v>6116</v>
      </c>
      <c r="C93" s="7">
        <v>8.2449249328421363E-4</v>
      </c>
    </row>
    <row r="94" spans="1:3" x14ac:dyDescent="0.3">
      <c r="A94">
        <v>1284</v>
      </c>
      <c r="C94" s="7">
        <v>8.3533894683477826E-4</v>
      </c>
    </row>
    <row r="95" spans="1:3" x14ac:dyDescent="0.3">
      <c r="A95">
        <v>6628</v>
      </c>
      <c r="C95" s="7">
        <v>8.8420093556179549E-4</v>
      </c>
    </row>
    <row r="96" spans="1:3" x14ac:dyDescent="0.3">
      <c r="A96">
        <v>4612</v>
      </c>
      <c r="C96" s="7">
        <v>1.1062819845119043E-3</v>
      </c>
    </row>
    <row r="97" spans="1:3" x14ac:dyDescent="0.3">
      <c r="A97">
        <v>11360</v>
      </c>
      <c r="C97" s="7">
        <v>1.106344172858373E-3</v>
      </c>
    </row>
    <row r="98" spans="1:3" x14ac:dyDescent="0.3">
      <c r="A98">
        <v>3395</v>
      </c>
      <c r="C98" s="7">
        <v>1.3318195474359995E-3</v>
      </c>
    </row>
    <row r="99" spans="1:3" x14ac:dyDescent="0.3">
      <c r="A99">
        <v>3948</v>
      </c>
      <c r="C99" s="7">
        <v>1.5092086175050594E-3</v>
      </c>
    </row>
    <row r="100" spans="1:3" x14ac:dyDescent="0.3">
      <c r="A100">
        <v>4515</v>
      </c>
      <c r="C100" s="7">
        <v>1.5344874135369241E-3</v>
      </c>
    </row>
    <row r="101" spans="1:3" x14ac:dyDescent="0.3">
      <c r="A101">
        <v>13607</v>
      </c>
      <c r="C101" s="7">
        <v>1.5840724833613576E-3</v>
      </c>
    </row>
    <row r="102" spans="1:3" x14ac:dyDescent="0.3">
      <c r="A102">
        <v>7538</v>
      </c>
      <c r="C102" s="7">
        <v>1.5856810009234419E-3</v>
      </c>
    </row>
    <row r="103" spans="1:3" x14ac:dyDescent="0.3">
      <c r="A103">
        <v>12964</v>
      </c>
      <c r="C103" s="7">
        <v>1.680768565459755E-3</v>
      </c>
    </row>
    <row r="104" spans="1:3" x14ac:dyDescent="0.3">
      <c r="A104">
        <v>8984</v>
      </c>
      <c r="C104" s="7">
        <v>1.7445202921318437E-3</v>
      </c>
    </row>
    <row r="105" spans="1:3" x14ac:dyDescent="0.3">
      <c r="A105">
        <v>12184</v>
      </c>
      <c r="C105" s="7">
        <v>1.8356875965072651E-3</v>
      </c>
    </row>
    <row r="106" spans="1:3" x14ac:dyDescent="0.3">
      <c r="A106">
        <v>10500</v>
      </c>
      <c r="C106" s="7">
        <v>1.921775216344678E-3</v>
      </c>
    </row>
    <row r="107" spans="1:3" x14ac:dyDescent="0.3">
      <c r="A107">
        <v>11884</v>
      </c>
      <c r="C107" s="7">
        <v>2.2796371306650987E-3</v>
      </c>
    </row>
    <row r="108" spans="1:3" x14ac:dyDescent="0.3">
      <c r="A108">
        <v>9196</v>
      </c>
      <c r="C108" s="7">
        <v>6.1525567702049033E-3</v>
      </c>
    </row>
    <row r="109" spans="1:3" x14ac:dyDescent="0.3">
      <c r="A109">
        <v>8352</v>
      </c>
      <c r="C109" s="7">
        <v>6.157832872565292E-3</v>
      </c>
    </row>
    <row r="110" spans="1:3" x14ac:dyDescent="0.3">
      <c r="A110">
        <v>11410</v>
      </c>
      <c r="C110" s="7">
        <v>7.3858411203947651E-3</v>
      </c>
    </row>
    <row r="111" spans="1:3" x14ac:dyDescent="0.3">
      <c r="A111">
        <v>13263</v>
      </c>
      <c r="C111" s="7">
        <v>1.2704054542238684E-2</v>
      </c>
    </row>
    <row r="112" spans="1:3" x14ac:dyDescent="0.3">
      <c r="A112">
        <v>12450</v>
      </c>
      <c r="C112" s="7">
        <v>1.3719616254604257E-2</v>
      </c>
    </row>
    <row r="113" spans="1:3" x14ac:dyDescent="0.3">
      <c r="A113">
        <v>5411</v>
      </c>
      <c r="C113" s="7">
        <v>1.6870793697040129E-2</v>
      </c>
    </row>
    <row r="114" spans="1:3" x14ac:dyDescent="0.3">
      <c r="A114">
        <v>2772</v>
      </c>
      <c r="C114" s="7">
        <v>2.2757106935347222E-2</v>
      </c>
    </row>
    <row r="115" spans="1:3" x14ac:dyDescent="0.3">
      <c r="A115">
        <v>6912</v>
      </c>
      <c r="C115" s="7">
        <v>2.4700388562855852E-2</v>
      </c>
    </row>
    <row r="116" spans="1:3" x14ac:dyDescent="0.3">
      <c r="A116">
        <v>6956</v>
      </c>
      <c r="C116" s="7">
        <v>0.74291422644948057</v>
      </c>
    </row>
    <row r="117" spans="1:3" x14ac:dyDescent="0.3">
      <c r="A117">
        <v>9636</v>
      </c>
      <c r="C117" s="7">
        <v>1.6892851625539247</v>
      </c>
    </row>
    <row r="118" spans="1:3" x14ac:dyDescent="0.3">
      <c r="A118">
        <v>11988</v>
      </c>
      <c r="C118" s="7">
        <v>3.9948693750993516</v>
      </c>
    </row>
    <row r="119" spans="1:3" x14ac:dyDescent="0.3">
      <c r="A119">
        <v>1919</v>
      </c>
      <c r="C119" s="7">
        <v>982.67911347935137</v>
      </c>
    </row>
    <row r="120" spans="1:3" x14ac:dyDescent="0.3">
      <c r="A120">
        <v>10088</v>
      </c>
      <c r="C120" s="7">
        <v>999.1451118829757</v>
      </c>
    </row>
    <row r="121" spans="1:3" x14ac:dyDescent="0.3">
      <c r="A121">
        <v>14274</v>
      </c>
      <c r="C121" s="7">
        <v>1022.1130269805506</v>
      </c>
    </row>
    <row r="122" spans="1:3" x14ac:dyDescent="0.3">
      <c r="A122">
        <v>1488</v>
      </c>
      <c r="C122" s="7">
        <v>1039.529376524275</v>
      </c>
    </row>
    <row r="123" spans="1:3" x14ac:dyDescent="0.3">
      <c r="A123">
        <v>15723</v>
      </c>
      <c r="C123" s="7">
        <v>1045.8836308475388</v>
      </c>
    </row>
    <row r="124" spans="1:3" x14ac:dyDescent="0.3">
      <c r="A124">
        <v>5800</v>
      </c>
      <c r="C124" s="7">
        <v>1045.8839962391996</v>
      </c>
    </row>
    <row r="125" spans="1:3" x14ac:dyDescent="0.3">
      <c r="A125">
        <v>10498</v>
      </c>
      <c r="C125" s="7">
        <v>1045.8843632567998</v>
      </c>
    </row>
    <row r="126" spans="1:3" x14ac:dyDescent="0.3">
      <c r="A126">
        <v>7126</v>
      </c>
      <c r="C126" s="7">
        <v>1046.5777105486773</v>
      </c>
    </row>
    <row r="127" spans="1:3" x14ac:dyDescent="0.3">
      <c r="A127">
        <v>12176</v>
      </c>
      <c r="C127" s="7">
        <v>1048.6713567019979</v>
      </c>
    </row>
    <row r="128" spans="1:3" x14ac:dyDescent="0.3">
      <c r="A128">
        <v>4512</v>
      </c>
      <c r="C128" s="7">
        <v>1049.3699124305963</v>
      </c>
    </row>
    <row r="129" spans="1:3" x14ac:dyDescent="0.3">
      <c r="A129">
        <v>9439</v>
      </c>
      <c r="C129" s="7">
        <v>1049.3702357986608</v>
      </c>
    </row>
    <row r="130" spans="1:3" x14ac:dyDescent="0.3">
      <c r="A130">
        <v>15812</v>
      </c>
      <c r="C130" s="7">
        <v>1049.3703831308326</v>
      </c>
    </row>
    <row r="131" spans="1:3" x14ac:dyDescent="0.3">
      <c r="A131">
        <v>1895</v>
      </c>
      <c r="C131" s="7">
        <v>1049.3705362247745</v>
      </c>
    </row>
    <row r="132" spans="1:3" x14ac:dyDescent="0.3">
      <c r="A132">
        <v>1404</v>
      </c>
      <c r="C132" s="7">
        <v>1049.37071900146</v>
      </c>
    </row>
    <row r="133" spans="1:3" x14ac:dyDescent="0.3">
      <c r="A133">
        <v>13388</v>
      </c>
      <c r="C133" s="7">
        <v>1052.8795483395209</v>
      </c>
    </row>
    <row r="134" spans="1:3" x14ac:dyDescent="0.3">
      <c r="A134">
        <v>3048</v>
      </c>
      <c r="C134" s="7">
        <v>7345.5790274160145</v>
      </c>
    </row>
    <row r="135" spans="1:3" x14ac:dyDescent="0.3">
      <c r="A135">
        <v>8603</v>
      </c>
      <c r="C135" s="7">
        <v>7779.50215960285</v>
      </c>
    </row>
    <row r="136" spans="1:3" x14ac:dyDescent="0.3">
      <c r="A136">
        <v>13884</v>
      </c>
      <c r="C136" s="7">
        <v>7833.1861491473746</v>
      </c>
    </row>
    <row r="137" spans="1:3" x14ac:dyDescent="0.3">
      <c r="A137">
        <v>15660</v>
      </c>
      <c r="C137" s="7">
        <v>7896.0569709948004</v>
      </c>
    </row>
    <row r="138" spans="1:3" x14ac:dyDescent="0.3">
      <c r="A138">
        <v>14644</v>
      </c>
      <c r="C138" s="7">
        <v>7896.0570200755874</v>
      </c>
    </row>
    <row r="139" spans="1:3" x14ac:dyDescent="0.3">
      <c r="A139">
        <v>11593</v>
      </c>
      <c r="C139" s="7">
        <v>7896.0570396031917</v>
      </c>
    </row>
    <row r="140" spans="1:3" x14ac:dyDescent="0.3">
      <c r="A140">
        <v>12292</v>
      </c>
      <c r="C140" s="7">
        <v>399867.16144042712</v>
      </c>
    </row>
    <row r="141" spans="1:3" x14ac:dyDescent="0.3">
      <c r="A141">
        <v>0</v>
      </c>
      <c r="C141" s="7">
        <v>494951.9123523818</v>
      </c>
    </row>
    <row r="142" spans="1:3" x14ac:dyDescent="0.3">
      <c r="A142">
        <v>14308</v>
      </c>
      <c r="C142" s="7">
        <v>786966.44146208081</v>
      </c>
    </row>
    <row r="143" spans="1:3" x14ac:dyDescent="0.3">
      <c r="A143">
        <v>10280</v>
      </c>
      <c r="C143" s="7">
        <v>2946057.5281121861</v>
      </c>
    </row>
    <row r="144" spans="1:3" x14ac:dyDescent="0.3">
      <c r="A144">
        <v>4400</v>
      </c>
      <c r="C144" s="7">
        <v>7691447.514652187</v>
      </c>
    </row>
    <row r="145" spans="1:3" x14ac:dyDescent="0.3">
      <c r="A145">
        <v>10580</v>
      </c>
      <c r="C145" s="7">
        <v>8045676.1382270763</v>
      </c>
    </row>
    <row r="146" spans="1:3" x14ac:dyDescent="0.3">
      <c r="A146">
        <v>16320</v>
      </c>
      <c r="C146" s="7">
        <v>8134018.150337372</v>
      </c>
    </row>
    <row r="147" spans="1:3" x14ac:dyDescent="0.3">
      <c r="A147">
        <v>12300</v>
      </c>
      <c r="C147" s="7">
        <v>8204036.5501205744</v>
      </c>
    </row>
    <row r="148" spans="1:3" x14ac:dyDescent="0.3">
      <c r="A148" t="s">
        <v>38</v>
      </c>
      <c r="C148" s="7">
        <v>375219.4386960069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18"/>
  <sheetViews>
    <sheetView workbookViewId="0"/>
  </sheetViews>
  <sheetFormatPr defaultRowHeight="14.4" x14ac:dyDescent="0.3"/>
  <cols>
    <col min="1" max="1" width="10.88671875" customWidth="1"/>
    <col min="2" max="2" width="71.5546875" customWidth="1"/>
    <col min="3" max="4" width="66.5546875" customWidth="1"/>
    <col min="5" max="5" width="12.33203125" customWidth="1"/>
    <col min="6" max="8" width="61.88671875" customWidth="1"/>
    <col min="9" max="9" width="62" bestFit="1" customWidth="1"/>
  </cols>
  <sheetData>
    <row r="1" spans="1:5" x14ac:dyDescent="0.3">
      <c r="A1">
        <v>13869</v>
      </c>
    </row>
    <row r="2" spans="1:5" x14ac:dyDescent="0.3">
      <c r="A2">
        <v>6635</v>
      </c>
    </row>
    <row r="3" spans="1:5" x14ac:dyDescent="0.3">
      <c r="A3" t="s">
        <v>322</v>
      </c>
      <c r="B3" t="s">
        <v>321</v>
      </c>
      <c r="C3" t="s">
        <v>320</v>
      </c>
      <c r="D3" t="s">
        <v>319</v>
      </c>
      <c r="E3" t="s">
        <v>318</v>
      </c>
    </row>
    <row r="4" spans="1:5" x14ac:dyDescent="0.3">
      <c r="A4" t="s">
        <v>156</v>
      </c>
      <c r="B4" t="s">
        <v>317</v>
      </c>
      <c r="C4" t="s">
        <v>208</v>
      </c>
      <c r="D4" t="s">
        <v>179</v>
      </c>
      <c r="E4" t="s">
        <v>314</v>
      </c>
    </row>
    <row r="5" spans="1:5" x14ac:dyDescent="0.3">
      <c r="A5" t="s">
        <v>156</v>
      </c>
      <c r="B5" t="s">
        <v>316</v>
      </c>
      <c r="C5" t="s">
        <v>315</v>
      </c>
      <c r="D5" t="s">
        <v>177</v>
      </c>
      <c r="E5" t="s">
        <v>314</v>
      </c>
    </row>
    <row r="6" spans="1:5" hidden="1" x14ac:dyDescent="0.3">
      <c r="A6" t="s">
        <v>294</v>
      </c>
      <c r="B6" t="s">
        <v>313</v>
      </c>
      <c r="C6" t="s">
        <v>182</v>
      </c>
      <c r="D6" t="s">
        <v>182</v>
      </c>
    </row>
    <row r="7" spans="1:5" hidden="1" x14ac:dyDescent="0.3">
      <c r="A7" t="s">
        <v>294</v>
      </c>
      <c r="B7" t="s">
        <v>312</v>
      </c>
      <c r="C7" t="s">
        <v>165</v>
      </c>
      <c r="D7" t="s">
        <v>165</v>
      </c>
    </row>
    <row r="8" spans="1:5" hidden="1" x14ac:dyDescent="0.3">
      <c r="A8" t="s">
        <v>294</v>
      </c>
      <c r="B8" t="s">
        <v>311</v>
      </c>
      <c r="C8" t="s">
        <v>163</v>
      </c>
      <c r="D8" t="s">
        <v>163</v>
      </c>
    </row>
    <row r="9" spans="1:5" hidden="1" x14ac:dyDescent="0.3">
      <c r="A9" t="s">
        <v>294</v>
      </c>
      <c r="B9" t="s">
        <v>310</v>
      </c>
      <c r="C9" t="s">
        <v>309</v>
      </c>
      <c r="D9" t="s">
        <v>309</v>
      </c>
    </row>
    <row r="10" spans="1:5" hidden="1" x14ac:dyDescent="0.3">
      <c r="A10" t="s">
        <v>294</v>
      </c>
      <c r="B10" t="s">
        <v>308</v>
      </c>
      <c r="C10" t="s">
        <v>307</v>
      </c>
      <c r="D10" t="s">
        <v>307</v>
      </c>
    </row>
    <row r="11" spans="1:5" hidden="1" x14ac:dyDescent="0.3">
      <c r="A11" t="s">
        <v>294</v>
      </c>
      <c r="B11" t="s">
        <v>306</v>
      </c>
      <c r="C11" t="s">
        <v>163</v>
      </c>
      <c r="D11" t="s">
        <v>163</v>
      </c>
    </row>
    <row r="12" spans="1:5" hidden="1" x14ac:dyDescent="0.3">
      <c r="A12" t="s">
        <v>294</v>
      </c>
      <c r="B12" t="s">
        <v>305</v>
      </c>
      <c r="C12" t="s">
        <v>182</v>
      </c>
      <c r="D12" t="s">
        <v>182</v>
      </c>
    </row>
    <row r="13" spans="1:5" hidden="1" x14ac:dyDescent="0.3">
      <c r="A13" t="s">
        <v>294</v>
      </c>
      <c r="B13" t="s">
        <v>304</v>
      </c>
      <c r="C13" t="s">
        <v>303</v>
      </c>
      <c r="D13" t="s">
        <v>303</v>
      </c>
    </row>
    <row r="14" spans="1:5" hidden="1" x14ac:dyDescent="0.3">
      <c r="A14" t="s">
        <v>294</v>
      </c>
      <c r="B14" t="s">
        <v>302</v>
      </c>
      <c r="C14" t="s">
        <v>163</v>
      </c>
      <c r="D14" t="s">
        <v>163</v>
      </c>
    </row>
    <row r="15" spans="1:5" hidden="1" x14ac:dyDescent="0.3">
      <c r="A15" t="s">
        <v>294</v>
      </c>
      <c r="B15" t="s">
        <v>301</v>
      </c>
      <c r="C15" t="s">
        <v>159</v>
      </c>
      <c r="D15" t="s">
        <v>159</v>
      </c>
    </row>
    <row r="16" spans="1:5" hidden="1" x14ac:dyDescent="0.3">
      <c r="A16" t="s">
        <v>294</v>
      </c>
      <c r="B16" t="s">
        <v>300</v>
      </c>
      <c r="C16" t="s">
        <v>173</v>
      </c>
      <c r="D16" t="s">
        <v>173</v>
      </c>
    </row>
    <row r="17" spans="1:4" hidden="1" x14ac:dyDescent="0.3">
      <c r="A17" t="s">
        <v>294</v>
      </c>
      <c r="B17" t="s">
        <v>299</v>
      </c>
      <c r="C17" t="s">
        <v>229</v>
      </c>
      <c r="D17" t="s">
        <v>229</v>
      </c>
    </row>
    <row r="18" spans="1:4" hidden="1" x14ac:dyDescent="0.3">
      <c r="A18" t="s">
        <v>294</v>
      </c>
      <c r="B18" t="s">
        <v>298</v>
      </c>
      <c r="C18" t="s">
        <v>227</v>
      </c>
      <c r="D18" t="s">
        <v>227</v>
      </c>
    </row>
    <row r="19" spans="1:4" hidden="1" x14ac:dyDescent="0.3">
      <c r="A19" t="s">
        <v>294</v>
      </c>
      <c r="B19" t="s">
        <v>297</v>
      </c>
      <c r="C19" t="s">
        <v>225</v>
      </c>
      <c r="D19" t="s">
        <v>225</v>
      </c>
    </row>
    <row r="20" spans="1:4" hidden="1" x14ac:dyDescent="0.3">
      <c r="A20" t="s">
        <v>294</v>
      </c>
      <c r="B20" t="s">
        <v>296</v>
      </c>
      <c r="C20" t="s">
        <v>219</v>
      </c>
      <c r="D20" t="s">
        <v>219</v>
      </c>
    </row>
    <row r="21" spans="1:4" hidden="1" x14ac:dyDescent="0.3">
      <c r="A21" t="s">
        <v>294</v>
      </c>
      <c r="B21" t="s">
        <v>295</v>
      </c>
      <c r="C21" t="s">
        <v>167</v>
      </c>
      <c r="D21" t="s">
        <v>167</v>
      </c>
    </row>
    <row r="22" spans="1:4" hidden="1" x14ac:dyDescent="0.3">
      <c r="A22" t="s">
        <v>294</v>
      </c>
      <c r="B22" t="s">
        <v>293</v>
      </c>
      <c r="C22" t="s">
        <v>219</v>
      </c>
      <c r="D22" t="s">
        <v>219</v>
      </c>
    </row>
    <row r="23" spans="1:4" x14ac:dyDescent="0.3">
      <c r="A23" t="s">
        <v>246</v>
      </c>
      <c r="B23" t="s">
        <v>292</v>
      </c>
      <c r="C23" t="s">
        <v>290</v>
      </c>
      <c r="D23" t="s">
        <v>290</v>
      </c>
    </row>
    <row r="24" spans="1:4" x14ac:dyDescent="0.3">
      <c r="A24" t="s">
        <v>246</v>
      </c>
      <c r="B24" t="s">
        <v>291</v>
      </c>
      <c r="C24" t="s">
        <v>290</v>
      </c>
      <c r="D24" t="s">
        <v>290</v>
      </c>
    </row>
    <row r="25" spans="1:4" x14ac:dyDescent="0.3">
      <c r="A25" t="s">
        <v>246</v>
      </c>
      <c r="B25" t="s">
        <v>289</v>
      </c>
      <c r="C25" t="s">
        <v>288</v>
      </c>
      <c r="D25" t="s">
        <v>288</v>
      </c>
    </row>
    <row r="26" spans="1:4" x14ac:dyDescent="0.3">
      <c r="A26" t="s">
        <v>246</v>
      </c>
      <c r="B26" t="s">
        <v>287</v>
      </c>
      <c r="C26" t="s">
        <v>286</v>
      </c>
      <c r="D26" t="s">
        <v>286</v>
      </c>
    </row>
    <row r="27" spans="1:4" x14ac:dyDescent="0.3">
      <c r="A27" t="s">
        <v>246</v>
      </c>
      <c r="B27" t="s">
        <v>285</v>
      </c>
      <c r="C27" t="s">
        <v>159</v>
      </c>
      <c r="D27" t="s">
        <v>159</v>
      </c>
    </row>
    <row r="28" spans="1:4" x14ac:dyDescent="0.3">
      <c r="A28" t="s">
        <v>246</v>
      </c>
      <c r="B28" t="s">
        <v>284</v>
      </c>
      <c r="C28" t="s">
        <v>167</v>
      </c>
      <c r="D28" t="s">
        <v>167</v>
      </c>
    </row>
    <row r="29" spans="1:4" x14ac:dyDescent="0.3">
      <c r="A29" t="s">
        <v>246</v>
      </c>
      <c r="B29" t="s">
        <v>283</v>
      </c>
      <c r="C29" t="s">
        <v>167</v>
      </c>
      <c r="D29" t="s">
        <v>167</v>
      </c>
    </row>
    <row r="30" spans="1:4" x14ac:dyDescent="0.3">
      <c r="A30" t="s">
        <v>246</v>
      </c>
      <c r="B30" t="s">
        <v>282</v>
      </c>
      <c r="C30" t="s">
        <v>281</v>
      </c>
      <c r="D30" t="s">
        <v>281</v>
      </c>
    </row>
    <row r="31" spans="1:4" x14ac:dyDescent="0.3">
      <c r="A31" t="s">
        <v>246</v>
      </c>
      <c r="B31" t="s">
        <v>280</v>
      </c>
      <c r="C31" t="s">
        <v>279</v>
      </c>
      <c r="D31" t="s">
        <v>279</v>
      </c>
    </row>
    <row r="32" spans="1:4" x14ac:dyDescent="0.3">
      <c r="A32" t="s">
        <v>246</v>
      </c>
      <c r="B32" t="s">
        <v>278</v>
      </c>
      <c r="C32" t="s">
        <v>277</v>
      </c>
      <c r="D32" t="s">
        <v>277</v>
      </c>
    </row>
    <row r="33" spans="1:4" x14ac:dyDescent="0.3">
      <c r="A33" t="s">
        <v>246</v>
      </c>
      <c r="B33" t="s">
        <v>276</v>
      </c>
      <c r="C33" t="s">
        <v>275</v>
      </c>
      <c r="D33" t="s">
        <v>275</v>
      </c>
    </row>
    <row r="34" spans="1:4" x14ac:dyDescent="0.3">
      <c r="A34" t="s">
        <v>246</v>
      </c>
      <c r="B34" t="s">
        <v>274</v>
      </c>
      <c r="C34" t="s">
        <v>273</v>
      </c>
      <c r="D34" t="s">
        <v>273</v>
      </c>
    </row>
    <row r="35" spans="1:4" x14ac:dyDescent="0.3">
      <c r="A35" t="s">
        <v>246</v>
      </c>
      <c r="B35" t="s">
        <v>272</v>
      </c>
      <c r="C35" t="s">
        <v>167</v>
      </c>
      <c r="D35" t="s">
        <v>167</v>
      </c>
    </row>
    <row r="36" spans="1:4" x14ac:dyDescent="0.3">
      <c r="A36" t="s">
        <v>246</v>
      </c>
      <c r="B36" t="s">
        <v>271</v>
      </c>
      <c r="C36" t="s">
        <v>167</v>
      </c>
      <c r="D36" t="s">
        <v>167</v>
      </c>
    </row>
    <row r="37" spans="1:4" x14ac:dyDescent="0.3">
      <c r="A37" t="s">
        <v>246</v>
      </c>
      <c r="B37" t="s">
        <v>270</v>
      </c>
      <c r="C37" t="s">
        <v>269</v>
      </c>
      <c r="D37" t="s">
        <v>269</v>
      </c>
    </row>
    <row r="38" spans="1:4" hidden="1" x14ac:dyDescent="0.3">
      <c r="A38" t="s">
        <v>246</v>
      </c>
      <c r="B38" t="s">
        <v>268</v>
      </c>
      <c r="C38" t="s">
        <v>240</v>
      </c>
      <c r="D38" t="s">
        <v>240</v>
      </c>
    </row>
    <row r="39" spans="1:4" hidden="1" x14ac:dyDescent="0.3">
      <c r="A39" t="s">
        <v>246</v>
      </c>
      <c r="B39" t="s">
        <v>267</v>
      </c>
      <c r="C39" t="s">
        <v>238</v>
      </c>
      <c r="D39" t="s">
        <v>238</v>
      </c>
    </row>
    <row r="40" spans="1:4" hidden="1" x14ac:dyDescent="0.3">
      <c r="A40" t="s">
        <v>246</v>
      </c>
      <c r="B40" t="s">
        <v>266</v>
      </c>
      <c r="C40" t="s">
        <v>236</v>
      </c>
      <c r="D40" t="s">
        <v>236</v>
      </c>
    </row>
    <row r="41" spans="1:4" hidden="1" x14ac:dyDescent="0.3">
      <c r="A41" t="s">
        <v>246</v>
      </c>
      <c r="B41" t="s">
        <v>265</v>
      </c>
      <c r="C41" t="s">
        <v>234</v>
      </c>
      <c r="D41" t="s">
        <v>234</v>
      </c>
    </row>
    <row r="42" spans="1:4" hidden="1" x14ac:dyDescent="0.3">
      <c r="A42" t="s">
        <v>246</v>
      </c>
      <c r="B42" t="s">
        <v>264</v>
      </c>
      <c r="C42" t="s">
        <v>232</v>
      </c>
      <c r="D42" t="s">
        <v>232</v>
      </c>
    </row>
    <row r="43" spans="1:4" hidden="1" x14ac:dyDescent="0.3">
      <c r="A43" t="s">
        <v>246</v>
      </c>
      <c r="B43" t="s">
        <v>263</v>
      </c>
      <c r="C43" t="s">
        <v>173</v>
      </c>
      <c r="D43" t="s">
        <v>173</v>
      </c>
    </row>
    <row r="44" spans="1:4" hidden="1" x14ac:dyDescent="0.3">
      <c r="A44" t="s">
        <v>246</v>
      </c>
      <c r="B44" t="s">
        <v>262</v>
      </c>
      <c r="C44" t="s">
        <v>229</v>
      </c>
      <c r="D44" t="s">
        <v>229</v>
      </c>
    </row>
    <row r="45" spans="1:4" hidden="1" x14ac:dyDescent="0.3">
      <c r="A45" t="s">
        <v>246</v>
      </c>
      <c r="B45" t="s">
        <v>261</v>
      </c>
      <c r="C45" t="s">
        <v>227</v>
      </c>
      <c r="D45" t="s">
        <v>227</v>
      </c>
    </row>
    <row r="46" spans="1:4" hidden="1" x14ac:dyDescent="0.3">
      <c r="A46" t="s">
        <v>246</v>
      </c>
      <c r="B46" t="s">
        <v>260</v>
      </c>
      <c r="C46" t="s">
        <v>225</v>
      </c>
      <c r="D46" t="s">
        <v>225</v>
      </c>
    </row>
    <row r="47" spans="1:4" hidden="1" x14ac:dyDescent="0.3">
      <c r="A47" t="s">
        <v>246</v>
      </c>
      <c r="B47" t="s">
        <v>259</v>
      </c>
      <c r="C47" t="s">
        <v>219</v>
      </c>
      <c r="D47" t="s">
        <v>219</v>
      </c>
    </row>
    <row r="48" spans="1:4" hidden="1" x14ac:dyDescent="0.3">
      <c r="A48" t="s">
        <v>246</v>
      </c>
      <c r="B48" t="s">
        <v>258</v>
      </c>
      <c r="C48" t="s">
        <v>219</v>
      </c>
      <c r="D48" t="s">
        <v>219</v>
      </c>
    </row>
    <row r="49" spans="1:4" hidden="1" x14ac:dyDescent="0.3">
      <c r="A49" t="s">
        <v>246</v>
      </c>
      <c r="B49" t="s">
        <v>257</v>
      </c>
      <c r="C49" t="s">
        <v>219</v>
      </c>
      <c r="D49" t="s">
        <v>219</v>
      </c>
    </row>
    <row r="50" spans="1:4" hidden="1" x14ac:dyDescent="0.3">
      <c r="A50" t="s">
        <v>246</v>
      </c>
      <c r="B50" t="s">
        <v>256</v>
      </c>
      <c r="C50" t="s">
        <v>219</v>
      </c>
      <c r="D50" t="s">
        <v>219</v>
      </c>
    </row>
    <row r="51" spans="1:4" hidden="1" x14ac:dyDescent="0.3">
      <c r="A51" t="s">
        <v>246</v>
      </c>
      <c r="B51" t="s">
        <v>255</v>
      </c>
      <c r="C51" t="s">
        <v>219</v>
      </c>
      <c r="D51" t="s">
        <v>219</v>
      </c>
    </row>
    <row r="52" spans="1:4" hidden="1" x14ac:dyDescent="0.3">
      <c r="A52" t="s">
        <v>246</v>
      </c>
      <c r="B52" t="s">
        <v>254</v>
      </c>
      <c r="C52" t="s">
        <v>167</v>
      </c>
      <c r="D52" t="s">
        <v>167</v>
      </c>
    </row>
    <row r="53" spans="1:4" x14ac:dyDescent="0.3">
      <c r="A53" t="s">
        <v>246</v>
      </c>
      <c r="B53" t="s">
        <v>253</v>
      </c>
      <c r="C53" t="s">
        <v>159</v>
      </c>
      <c r="D53" t="s">
        <v>159</v>
      </c>
    </row>
    <row r="54" spans="1:4" hidden="1" x14ac:dyDescent="0.3">
      <c r="A54" t="s">
        <v>246</v>
      </c>
      <c r="B54" t="s">
        <v>252</v>
      </c>
      <c r="C54" t="s">
        <v>173</v>
      </c>
      <c r="D54" t="s">
        <v>173</v>
      </c>
    </row>
    <row r="55" spans="1:4" hidden="1" x14ac:dyDescent="0.3">
      <c r="A55" t="s">
        <v>246</v>
      </c>
      <c r="B55" t="s">
        <v>251</v>
      </c>
      <c r="C55" t="s">
        <v>229</v>
      </c>
      <c r="D55" t="s">
        <v>229</v>
      </c>
    </row>
    <row r="56" spans="1:4" hidden="1" x14ac:dyDescent="0.3">
      <c r="A56" t="s">
        <v>246</v>
      </c>
      <c r="B56" t="s">
        <v>250</v>
      </c>
      <c r="C56" t="s">
        <v>227</v>
      </c>
      <c r="D56" t="s">
        <v>227</v>
      </c>
    </row>
    <row r="57" spans="1:4" hidden="1" x14ac:dyDescent="0.3">
      <c r="A57" t="s">
        <v>246</v>
      </c>
      <c r="B57" t="s">
        <v>249</v>
      </c>
      <c r="C57" t="s">
        <v>225</v>
      </c>
      <c r="D57" t="s">
        <v>225</v>
      </c>
    </row>
    <row r="58" spans="1:4" hidden="1" x14ac:dyDescent="0.3">
      <c r="A58" t="s">
        <v>246</v>
      </c>
      <c r="B58" t="s">
        <v>248</v>
      </c>
      <c r="C58" t="s">
        <v>219</v>
      </c>
      <c r="D58" t="s">
        <v>219</v>
      </c>
    </row>
    <row r="59" spans="1:4" hidden="1" x14ac:dyDescent="0.3">
      <c r="A59" t="s">
        <v>246</v>
      </c>
      <c r="B59" t="s">
        <v>247</v>
      </c>
      <c r="C59" t="s">
        <v>167</v>
      </c>
      <c r="D59" t="s">
        <v>167</v>
      </c>
    </row>
    <row r="60" spans="1:4" x14ac:dyDescent="0.3">
      <c r="A60" t="s">
        <v>246</v>
      </c>
      <c r="B60" t="s">
        <v>245</v>
      </c>
      <c r="C60" t="s">
        <v>244</v>
      </c>
      <c r="D60" t="s">
        <v>244</v>
      </c>
    </row>
    <row r="61" spans="1:4" hidden="1" x14ac:dyDescent="0.3">
      <c r="A61" t="s">
        <v>156</v>
      </c>
      <c r="B61" t="s">
        <v>243</v>
      </c>
      <c r="C61" t="s">
        <v>242</v>
      </c>
      <c r="D61" t="s">
        <v>242</v>
      </c>
    </row>
    <row r="62" spans="1:4" hidden="1" x14ac:dyDescent="0.3">
      <c r="A62" t="s">
        <v>156</v>
      </c>
      <c r="B62" t="s">
        <v>241</v>
      </c>
      <c r="C62" t="s">
        <v>240</v>
      </c>
      <c r="D62" t="s">
        <v>240</v>
      </c>
    </row>
    <row r="63" spans="1:4" hidden="1" x14ac:dyDescent="0.3">
      <c r="A63" t="s">
        <v>156</v>
      </c>
      <c r="B63" t="s">
        <v>239</v>
      </c>
      <c r="C63" t="s">
        <v>238</v>
      </c>
      <c r="D63" t="s">
        <v>238</v>
      </c>
    </row>
    <row r="64" spans="1:4" hidden="1" x14ac:dyDescent="0.3">
      <c r="A64" t="s">
        <v>156</v>
      </c>
      <c r="B64" t="s">
        <v>237</v>
      </c>
      <c r="C64" t="s">
        <v>236</v>
      </c>
      <c r="D64" t="s">
        <v>236</v>
      </c>
    </row>
    <row r="65" spans="1:4" hidden="1" x14ac:dyDescent="0.3">
      <c r="A65" t="s">
        <v>156</v>
      </c>
      <c r="B65" t="s">
        <v>235</v>
      </c>
      <c r="C65" t="s">
        <v>234</v>
      </c>
      <c r="D65" t="s">
        <v>234</v>
      </c>
    </row>
    <row r="66" spans="1:4" hidden="1" x14ac:dyDescent="0.3">
      <c r="A66" t="s">
        <v>156</v>
      </c>
      <c r="B66" t="s">
        <v>233</v>
      </c>
      <c r="C66" t="s">
        <v>232</v>
      </c>
      <c r="D66" t="s">
        <v>232</v>
      </c>
    </row>
    <row r="67" spans="1:4" hidden="1" x14ac:dyDescent="0.3">
      <c r="A67" t="s">
        <v>156</v>
      </c>
      <c r="B67" t="s">
        <v>231</v>
      </c>
      <c r="C67" t="s">
        <v>173</v>
      </c>
      <c r="D67" t="s">
        <v>173</v>
      </c>
    </row>
    <row r="68" spans="1:4" hidden="1" x14ac:dyDescent="0.3">
      <c r="A68" t="s">
        <v>156</v>
      </c>
      <c r="B68" t="s">
        <v>230</v>
      </c>
      <c r="C68" t="s">
        <v>229</v>
      </c>
      <c r="D68" t="s">
        <v>229</v>
      </c>
    </row>
    <row r="69" spans="1:4" hidden="1" x14ac:dyDescent="0.3">
      <c r="A69" t="s">
        <v>156</v>
      </c>
      <c r="B69" t="s">
        <v>228</v>
      </c>
      <c r="C69" t="s">
        <v>227</v>
      </c>
      <c r="D69" t="s">
        <v>227</v>
      </c>
    </row>
    <row r="70" spans="1:4" hidden="1" x14ac:dyDescent="0.3">
      <c r="A70" t="s">
        <v>156</v>
      </c>
      <c r="B70" t="s">
        <v>226</v>
      </c>
      <c r="C70" t="s">
        <v>225</v>
      </c>
      <c r="D70" t="s">
        <v>225</v>
      </c>
    </row>
    <row r="71" spans="1:4" hidden="1" x14ac:dyDescent="0.3">
      <c r="A71" t="s">
        <v>156</v>
      </c>
      <c r="B71" t="s">
        <v>224</v>
      </c>
      <c r="C71" t="s">
        <v>219</v>
      </c>
      <c r="D71" t="s">
        <v>219</v>
      </c>
    </row>
    <row r="72" spans="1:4" hidden="1" x14ac:dyDescent="0.3">
      <c r="A72" t="s">
        <v>156</v>
      </c>
      <c r="B72" t="s">
        <v>223</v>
      </c>
      <c r="C72" t="s">
        <v>167</v>
      </c>
      <c r="D72" t="s">
        <v>167</v>
      </c>
    </row>
    <row r="73" spans="1:4" hidden="1" x14ac:dyDescent="0.3">
      <c r="A73" t="s">
        <v>156</v>
      </c>
      <c r="B73" t="s">
        <v>222</v>
      </c>
      <c r="C73" t="s">
        <v>219</v>
      </c>
      <c r="D73" t="s">
        <v>219</v>
      </c>
    </row>
    <row r="74" spans="1:4" hidden="1" x14ac:dyDescent="0.3">
      <c r="A74" t="s">
        <v>156</v>
      </c>
      <c r="B74" t="s">
        <v>221</v>
      </c>
      <c r="C74" t="s">
        <v>219</v>
      </c>
      <c r="D74" t="s">
        <v>219</v>
      </c>
    </row>
    <row r="75" spans="1:4" hidden="1" x14ac:dyDescent="0.3">
      <c r="A75" t="s">
        <v>156</v>
      </c>
      <c r="B75" t="s">
        <v>220</v>
      </c>
      <c r="C75" t="s">
        <v>219</v>
      </c>
      <c r="D75" t="s">
        <v>219</v>
      </c>
    </row>
    <row r="76" spans="1:4" hidden="1" x14ac:dyDescent="0.3">
      <c r="A76" t="s">
        <v>156</v>
      </c>
      <c r="B76" t="s">
        <v>218</v>
      </c>
      <c r="C76" t="s">
        <v>167</v>
      </c>
      <c r="D76" t="s">
        <v>167</v>
      </c>
    </row>
    <row r="77" spans="1:4" x14ac:dyDescent="0.3">
      <c r="A77" t="s">
        <v>156</v>
      </c>
      <c r="B77" t="s">
        <v>217</v>
      </c>
      <c r="C77" t="s">
        <v>159</v>
      </c>
      <c r="D77" t="s">
        <v>159</v>
      </c>
    </row>
    <row r="78" spans="1:4" x14ac:dyDescent="0.3">
      <c r="A78" t="s">
        <v>156</v>
      </c>
      <c r="B78" t="s">
        <v>216</v>
      </c>
      <c r="C78" t="s">
        <v>215</v>
      </c>
      <c r="D78" t="s">
        <v>215</v>
      </c>
    </row>
    <row r="79" spans="1:4" x14ac:dyDescent="0.3">
      <c r="A79" t="s">
        <v>156</v>
      </c>
      <c r="B79" t="s">
        <v>214</v>
      </c>
      <c r="C79" t="s">
        <v>167</v>
      </c>
      <c r="D79" t="s">
        <v>167</v>
      </c>
    </row>
    <row r="80" spans="1:4" x14ac:dyDescent="0.3">
      <c r="A80" t="s">
        <v>156</v>
      </c>
      <c r="B80" t="s">
        <v>213</v>
      </c>
      <c r="C80" t="s">
        <v>212</v>
      </c>
      <c r="D80" t="s">
        <v>212</v>
      </c>
    </row>
    <row r="81" spans="1:4" x14ac:dyDescent="0.3">
      <c r="A81" t="s">
        <v>156</v>
      </c>
      <c r="B81" t="s">
        <v>211</v>
      </c>
      <c r="C81" t="s">
        <v>210</v>
      </c>
      <c r="D81" t="s">
        <v>210</v>
      </c>
    </row>
    <row r="82" spans="1:4" x14ac:dyDescent="0.3">
      <c r="A82" t="s">
        <v>156</v>
      </c>
      <c r="B82" t="s">
        <v>209</v>
      </c>
      <c r="C82" t="s">
        <v>208</v>
      </c>
      <c r="D82" t="s">
        <v>208</v>
      </c>
    </row>
    <row r="83" spans="1:4" x14ac:dyDescent="0.3">
      <c r="A83" t="s">
        <v>156</v>
      </c>
      <c r="B83" t="s">
        <v>207</v>
      </c>
      <c r="C83" t="s">
        <v>206</v>
      </c>
      <c r="D83" t="s">
        <v>206</v>
      </c>
    </row>
    <row r="84" spans="1:4" x14ac:dyDescent="0.3">
      <c r="A84" t="s">
        <v>156</v>
      </c>
      <c r="B84" t="s">
        <v>205</v>
      </c>
      <c r="C84" t="s">
        <v>173</v>
      </c>
      <c r="D84" t="s">
        <v>173</v>
      </c>
    </row>
    <row r="85" spans="1:4" x14ac:dyDescent="0.3">
      <c r="A85" t="s">
        <v>156</v>
      </c>
      <c r="B85" t="s">
        <v>204</v>
      </c>
      <c r="C85" t="s">
        <v>171</v>
      </c>
      <c r="D85" t="s">
        <v>171</v>
      </c>
    </row>
    <row r="86" spans="1:4" x14ac:dyDescent="0.3">
      <c r="A86" t="s">
        <v>156</v>
      </c>
      <c r="B86" t="s">
        <v>203</v>
      </c>
      <c r="C86" t="s">
        <v>169</v>
      </c>
      <c r="D86" t="s">
        <v>169</v>
      </c>
    </row>
    <row r="87" spans="1:4" x14ac:dyDescent="0.3">
      <c r="A87" t="s">
        <v>156</v>
      </c>
      <c r="B87" t="s">
        <v>202</v>
      </c>
      <c r="C87" t="s">
        <v>167</v>
      </c>
      <c r="D87" t="s">
        <v>167</v>
      </c>
    </row>
    <row r="88" spans="1:4" x14ac:dyDescent="0.3">
      <c r="A88" t="s">
        <v>156</v>
      </c>
      <c r="B88" t="s">
        <v>201</v>
      </c>
      <c r="C88" t="s">
        <v>165</v>
      </c>
      <c r="D88" t="s">
        <v>165</v>
      </c>
    </row>
    <row r="89" spans="1:4" x14ac:dyDescent="0.3">
      <c r="A89" t="s">
        <v>156</v>
      </c>
      <c r="B89" t="s">
        <v>200</v>
      </c>
      <c r="C89" t="s">
        <v>163</v>
      </c>
      <c r="D89" t="s">
        <v>163</v>
      </c>
    </row>
    <row r="90" spans="1:4" x14ac:dyDescent="0.3">
      <c r="A90" t="s">
        <v>156</v>
      </c>
      <c r="B90" t="s">
        <v>199</v>
      </c>
      <c r="C90" t="s">
        <v>182</v>
      </c>
      <c r="D90" t="s">
        <v>182</v>
      </c>
    </row>
    <row r="91" spans="1:4" x14ac:dyDescent="0.3">
      <c r="A91" t="s">
        <v>156</v>
      </c>
      <c r="B91" t="s">
        <v>198</v>
      </c>
      <c r="C91" t="s">
        <v>173</v>
      </c>
      <c r="D91" t="s">
        <v>173</v>
      </c>
    </row>
    <row r="92" spans="1:4" x14ac:dyDescent="0.3">
      <c r="A92" t="s">
        <v>156</v>
      </c>
      <c r="B92" t="s">
        <v>197</v>
      </c>
      <c r="C92" t="s">
        <v>171</v>
      </c>
      <c r="D92" t="s">
        <v>171</v>
      </c>
    </row>
    <row r="93" spans="1:4" x14ac:dyDescent="0.3">
      <c r="A93" t="s">
        <v>156</v>
      </c>
      <c r="B93" t="s">
        <v>196</v>
      </c>
      <c r="C93" t="s">
        <v>169</v>
      </c>
      <c r="D93" t="s">
        <v>169</v>
      </c>
    </row>
    <row r="94" spans="1:4" x14ac:dyDescent="0.3">
      <c r="A94" t="s">
        <v>156</v>
      </c>
      <c r="B94" t="s">
        <v>195</v>
      </c>
      <c r="C94" t="s">
        <v>167</v>
      </c>
      <c r="D94" t="s">
        <v>167</v>
      </c>
    </row>
    <row r="95" spans="1:4" x14ac:dyDescent="0.3">
      <c r="A95" t="s">
        <v>156</v>
      </c>
      <c r="B95" t="s">
        <v>194</v>
      </c>
      <c r="C95" t="s">
        <v>193</v>
      </c>
      <c r="D95" t="s">
        <v>193</v>
      </c>
    </row>
    <row r="96" spans="1:4" x14ac:dyDescent="0.3">
      <c r="A96" t="s">
        <v>156</v>
      </c>
      <c r="B96" t="s">
        <v>192</v>
      </c>
      <c r="C96" t="s">
        <v>163</v>
      </c>
      <c r="D96" t="s">
        <v>163</v>
      </c>
    </row>
    <row r="97" spans="1:4" x14ac:dyDescent="0.3">
      <c r="A97" t="s">
        <v>156</v>
      </c>
      <c r="B97" t="s">
        <v>191</v>
      </c>
      <c r="C97" t="s">
        <v>161</v>
      </c>
      <c r="D97" t="s">
        <v>161</v>
      </c>
    </row>
    <row r="98" spans="1:4" x14ac:dyDescent="0.3">
      <c r="A98" t="s">
        <v>156</v>
      </c>
      <c r="B98" t="s">
        <v>190</v>
      </c>
      <c r="C98" t="s">
        <v>173</v>
      </c>
      <c r="D98" t="s">
        <v>173</v>
      </c>
    </row>
    <row r="99" spans="1:4" x14ac:dyDescent="0.3">
      <c r="A99" t="s">
        <v>156</v>
      </c>
      <c r="B99" t="s">
        <v>189</v>
      </c>
      <c r="C99" t="s">
        <v>171</v>
      </c>
      <c r="D99" t="s">
        <v>171</v>
      </c>
    </row>
    <row r="100" spans="1:4" x14ac:dyDescent="0.3">
      <c r="A100" t="s">
        <v>156</v>
      </c>
      <c r="B100" t="s">
        <v>188</v>
      </c>
      <c r="C100" t="s">
        <v>169</v>
      </c>
      <c r="D100" t="s">
        <v>169</v>
      </c>
    </row>
    <row r="101" spans="1:4" x14ac:dyDescent="0.3">
      <c r="A101" t="s">
        <v>156</v>
      </c>
      <c r="B101" t="s">
        <v>187</v>
      </c>
      <c r="C101" t="s">
        <v>167</v>
      </c>
      <c r="D101" t="s">
        <v>167</v>
      </c>
    </row>
    <row r="102" spans="1:4" x14ac:dyDescent="0.3">
      <c r="A102" t="s">
        <v>156</v>
      </c>
      <c r="B102" t="s">
        <v>186</v>
      </c>
      <c r="C102" t="s">
        <v>185</v>
      </c>
      <c r="D102" t="s">
        <v>185</v>
      </c>
    </row>
    <row r="103" spans="1:4" x14ac:dyDescent="0.3">
      <c r="A103" t="s">
        <v>156</v>
      </c>
      <c r="B103" t="s">
        <v>184</v>
      </c>
      <c r="C103" t="s">
        <v>163</v>
      </c>
      <c r="D103" t="s">
        <v>163</v>
      </c>
    </row>
    <row r="104" spans="1:4" x14ac:dyDescent="0.3">
      <c r="A104" t="s">
        <v>156</v>
      </c>
      <c r="B104" t="s">
        <v>183</v>
      </c>
      <c r="C104" t="s">
        <v>182</v>
      </c>
      <c r="D104" t="s">
        <v>182</v>
      </c>
    </row>
    <row r="105" spans="1:4" x14ac:dyDescent="0.3">
      <c r="A105" t="s">
        <v>156</v>
      </c>
      <c r="B105" t="s">
        <v>181</v>
      </c>
      <c r="C105" t="s">
        <v>159</v>
      </c>
      <c r="D105" t="s">
        <v>159</v>
      </c>
    </row>
    <row r="106" spans="1:4" x14ac:dyDescent="0.3">
      <c r="A106" t="s">
        <v>156</v>
      </c>
      <c r="B106" t="s">
        <v>180</v>
      </c>
      <c r="C106" t="s">
        <v>179</v>
      </c>
      <c r="D106" t="s">
        <v>179</v>
      </c>
    </row>
    <row r="107" spans="1:4" x14ac:dyDescent="0.3">
      <c r="A107" t="s">
        <v>156</v>
      </c>
      <c r="B107" t="s">
        <v>178</v>
      </c>
      <c r="C107" t="s">
        <v>177</v>
      </c>
      <c r="D107" t="s">
        <v>177</v>
      </c>
    </row>
    <row r="108" spans="1:4" x14ac:dyDescent="0.3">
      <c r="A108" t="s">
        <v>156</v>
      </c>
      <c r="B108" t="s">
        <v>176</v>
      </c>
      <c r="C108" t="s">
        <v>175</v>
      </c>
      <c r="D108" t="s">
        <v>175</v>
      </c>
    </row>
    <row r="109" spans="1:4" x14ac:dyDescent="0.3">
      <c r="A109" t="s">
        <v>156</v>
      </c>
      <c r="B109" t="s">
        <v>174</v>
      </c>
      <c r="C109" t="s">
        <v>173</v>
      </c>
      <c r="D109" t="s">
        <v>173</v>
      </c>
    </row>
    <row r="110" spans="1:4" x14ac:dyDescent="0.3">
      <c r="A110" t="s">
        <v>156</v>
      </c>
      <c r="B110" t="s">
        <v>172</v>
      </c>
      <c r="C110" t="s">
        <v>171</v>
      </c>
      <c r="D110" t="s">
        <v>171</v>
      </c>
    </row>
    <row r="111" spans="1:4" x14ac:dyDescent="0.3">
      <c r="A111" t="s">
        <v>156</v>
      </c>
      <c r="B111" t="s">
        <v>170</v>
      </c>
      <c r="C111" t="s">
        <v>169</v>
      </c>
      <c r="D111" t="s">
        <v>169</v>
      </c>
    </row>
    <row r="112" spans="1:4" x14ac:dyDescent="0.3">
      <c r="A112" t="s">
        <v>156</v>
      </c>
      <c r="B112" t="s">
        <v>168</v>
      </c>
      <c r="C112" t="s">
        <v>167</v>
      </c>
      <c r="D112" t="s">
        <v>167</v>
      </c>
    </row>
    <row r="113" spans="1:4" x14ac:dyDescent="0.3">
      <c r="A113" t="s">
        <v>156</v>
      </c>
      <c r="B113" t="s">
        <v>166</v>
      </c>
      <c r="C113" t="s">
        <v>165</v>
      </c>
      <c r="D113" t="s">
        <v>165</v>
      </c>
    </row>
    <row r="114" spans="1:4" x14ac:dyDescent="0.3">
      <c r="A114" t="s">
        <v>156</v>
      </c>
      <c r="B114" t="s">
        <v>164</v>
      </c>
      <c r="C114" t="s">
        <v>163</v>
      </c>
      <c r="D114" t="s">
        <v>163</v>
      </c>
    </row>
    <row r="115" spans="1:4" x14ac:dyDescent="0.3">
      <c r="A115" t="s">
        <v>156</v>
      </c>
      <c r="B115" t="s">
        <v>162</v>
      </c>
      <c r="C115" t="s">
        <v>161</v>
      </c>
      <c r="D115" t="s">
        <v>161</v>
      </c>
    </row>
    <row r="116" spans="1:4" x14ac:dyDescent="0.3">
      <c r="A116" t="s">
        <v>156</v>
      </c>
      <c r="B116" t="s">
        <v>160</v>
      </c>
      <c r="C116" t="s">
        <v>159</v>
      </c>
      <c r="D116" t="s">
        <v>159</v>
      </c>
    </row>
    <row r="117" spans="1:4" x14ac:dyDescent="0.3">
      <c r="A117" t="s">
        <v>156</v>
      </c>
      <c r="B117" t="s">
        <v>158</v>
      </c>
      <c r="C117" t="s">
        <v>157</v>
      </c>
      <c r="D117" t="s">
        <v>157</v>
      </c>
    </row>
    <row r="118" spans="1:4" x14ac:dyDescent="0.3">
      <c r="A118" t="s">
        <v>156</v>
      </c>
      <c r="B118" t="s">
        <v>155</v>
      </c>
      <c r="C118" t="s">
        <v>154</v>
      </c>
      <c r="D118" t="s">
        <v>154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4"/>
  <sheetViews>
    <sheetView workbookViewId="0">
      <selection activeCell="A12" sqref="A12"/>
    </sheetView>
  </sheetViews>
  <sheetFormatPr defaultRowHeight="14.4" x14ac:dyDescent="0.3"/>
  <cols>
    <col min="1" max="1" width="16.109375" customWidth="1"/>
    <col min="2" max="2" width="18.44140625" customWidth="1"/>
    <col min="3" max="3" width="18.6640625" customWidth="1"/>
    <col min="4" max="4" width="20.6640625" customWidth="1"/>
    <col min="5" max="5" width="25.88671875" bestFit="1" customWidth="1"/>
    <col min="6" max="6" width="25.88671875" customWidth="1"/>
    <col min="7" max="7" width="11.33203125" bestFit="1" customWidth="1"/>
  </cols>
  <sheetData>
    <row r="1" spans="1:4" x14ac:dyDescent="0.3">
      <c r="B1" s="2" t="s">
        <v>153</v>
      </c>
    </row>
    <row r="2" spans="1:4" x14ac:dyDescent="0.3">
      <c r="A2" s="2" t="s">
        <v>142</v>
      </c>
      <c r="B2" t="s">
        <v>324</v>
      </c>
      <c r="C2" t="s">
        <v>323</v>
      </c>
      <c r="D2" t="s">
        <v>507</v>
      </c>
    </row>
    <row r="3" spans="1:4" x14ac:dyDescent="0.3">
      <c r="A3">
        <v>9656</v>
      </c>
      <c r="B3" s="22">
        <v>52</v>
      </c>
      <c r="C3" s="23">
        <v>4.0829088538885108E-3</v>
      </c>
      <c r="D3" s="22">
        <v>60</v>
      </c>
    </row>
    <row r="4" spans="1:4" x14ac:dyDescent="0.3">
      <c r="A4">
        <v>9816</v>
      </c>
      <c r="B4" s="22">
        <v>52</v>
      </c>
      <c r="C4" s="23">
        <v>9.2276437208056433E-3</v>
      </c>
      <c r="D4" s="22">
        <v>43</v>
      </c>
    </row>
    <row r="5" spans="1:4" x14ac:dyDescent="0.3">
      <c r="A5">
        <v>11911</v>
      </c>
      <c r="B5" s="22">
        <v>52</v>
      </c>
      <c r="C5" s="23">
        <v>7.6218005269765863E-3</v>
      </c>
      <c r="D5" s="22">
        <v>51</v>
      </c>
    </row>
    <row r="6" spans="1:4" x14ac:dyDescent="0.3">
      <c r="A6">
        <v>11944</v>
      </c>
      <c r="B6" s="22">
        <v>12</v>
      </c>
      <c r="C6" s="23">
        <v>1.14439874887466E-2</v>
      </c>
      <c r="D6" s="22">
        <v>49</v>
      </c>
    </row>
    <row r="7" spans="1:4" x14ac:dyDescent="0.3">
      <c r="A7">
        <v>12300</v>
      </c>
      <c r="B7" s="22">
        <v>52</v>
      </c>
      <c r="C7" s="23">
        <v>1.0839935392141295E-2</v>
      </c>
      <c r="D7" s="22">
        <v>87</v>
      </c>
    </row>
    <row r="8" spans="1:4" x14ac:dyDescent="0.3">
      <c r="A8">
        <v>13512</v>
      </c>
      <c r="B8" s="22">
        <v>52</v>
      </c>
      <c r="C8" s="23">
        <v>8.5967006161808985E-3</v>
      </c>
      <c r="D8" s="22">
        <v>19</v>
      </c>
    </row>
    <row r="9" spans="1:4" x14ac:dyDescent="0.3">
      <c r="A9">
        <v>16648</v>
      </c>
      <c r="B9" s="22">
        <v>52</v>
      </c>
      <c r="C9" s="23">
        <v>9.6237603574991209E-3</v>
      </c>
      <c r="D9" s="22">
        <v>19</v>
      </c>
    </row>
    <row r="10" spans="1:4" x14ac:dyDescent="0.3">
      <c r="A10">
        <v>20232</v>
      </c>
      <c r="B10" s="22">
        <v>52</v>
      </c>
      <c r="C10" s="23">
        <v>9.9344030022621172E-3</v>
      </c>
      <c r="D10" s="22">
        <v>11</v>
      </c>
    </row>
    <row r="11" spans="1:4" x14ac:dyDescent="0.3">
      <c r="A11">
        <v>14700</v>
      </c>
      <c r="B11" s="22">
        <v>52</v>
      </c>
      <c r="C11" s="23">
        <v>9.1671245172619802E-3</v>
      </c>
      <c r="D11" s="22">
        <v>49</v>
      </c>
    </row>
    <row r="12" spans="1:4" x14ac:dyDescent="0.3">
      <c r="A12">
        <v>19720</v>
      </c>
      <c r="B12" s="22">
        <v>36</v>
      </c>
      <c r="C12" s="23">
        <v>9.3638589605689031E-3</v>
      </c>
      <c r="D12" s="22">
        <v>49</v>
      </c>
    </row>
    <row r="13" spans="1:4" x14ac:dyDescent="0.3">
      <c r="A13">
        <v>16588</v>
      </c>
      <c r="B13" s="22">
        <v>84</v>
      </c>
      <c r="C13" s="23">
        <v>7.7873836271464807E-3</v>
      </c>
      <c r="D13" s="22">
        <v>49</v>
      </c>
    </row>
    <row r="14" spans="1:4" x14ac:dyDescent="0.3">
      <c r="A14" t="s">
        <v>38</v>
      </c>
      <c r="B14" s="22">
        <v>548</v>
      </c>
      <c r="C14" s="23">
        <v>8.61582007381494E-3</v>
      </c>
      <c r="D14" s="22">
        <v>43.970802919708028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NN_Topology</vt:lpstr>
      <vt:lpstr>MSE</vt:lpstr>
      <vt:lpstr>New_TRS</vt:lpstr>
      <vt:lpstr>New_TR</vt:lpstr>
      <vt:lpstr>New_BASE</vt:lpstr>
      <vt:lpstr>ForecasterError</vt:lpstr>
      <vt:lpstr>ClientInfo</vt:lpstr>
      <vt:lpstr>Clipboard</vt:lpstr>
      <vt:lpstr>FullRunLog</vt:lpstr>
      <vt:lpstr>Config</vt:lpstr>
      <vt:lpstr>Engines</vt:lpstr>
      <vt:lpstr>Config!ExternalData_1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2019-12-06T11:35:11Z</dcterms:created>
  <dcterms:modified xsi:type="dcterms:W3CDTF">2019-12-13T13:56:11Z</dcterms:modified>
</cp:coreProperties>
</file>