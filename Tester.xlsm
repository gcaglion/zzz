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5"/>
  </bookViews>
  <sheets>
    <sheet name="NN_Topology" sheetId="35" r:id="rId1"/>
    <sheet name="MSE" sheetId="1" r:id="rId2"/>
    <sheet name="Run_TRS" sheetId="27" r:id="rId3"/>
    <sheet name="Run_TR" sheetId="28" r:id="rId4"/>
    <sheet name="Run_BASE" sheetId="29" r:id="rId5"/>
    <sheet name="TradeError" sheetId="23" r:id="rId6"/>
    <sheet name="RunErrVsMSER" sheetId="32" r:id="rId7"/>
    <sheet name="TestEnvironment" sheetId="15" r:id="rId8"/>
    <sheet name="ClientInfo" sheetId="6" r:id="rId9"/>
    <sheet name="Config" sheetId="34" r:id="rId10"/>
    <sheet name="Engines" sheetId="36" r:id="rId11"/>
    <sheet name="vXMLconfigs" sheetId="30" r:id="rId12"/>
    <sheet name="Overview" sheetId="20" r:id="rId13"/>
    <sheet name="Overview2" sheetId="31" r:id="rId14"/>
    <sheet name="Fix_Engine_Scripts" sheetId="22" r:id="rId15"/>
    <sheet name="Internals-SCGD" sheetId="17" r:id="rId16"/>
    <sheet name="MSE_vs_Err" sheetId="13" r:id="rId17"/>
    <sheet name="MSE-Err_Chart" sheetId="14" r:id="rId18"/>
    <sheet name="Engine" sheetId="8" r:id="rId19"/>
  </sheets>
  <definedNames>
    <definedName name="ExternalData_1" localSheetId="9" hidden="1">Config!$A$3:$E$92</definedName>
    <definedName name="ExternalData_2" localSheetId="9" hidden="1">Config!#REF!</definedName>
    <definedName name="Query_from_Algo" localSheetId="8" hidden="1">ClientInfo!$A$1:$J$1237</definedName>
    <definedName name="Query_from_Algo" localSheetId="18" hidden="1">Engine!$A$1:$F$21</definedName>
    <definedName name="Query_from_Algo" localSheetId="11" hidden="1">vXMLconfigs!$A$1:$O$36</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QUENCEID1">#N/A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20"/>
    <pivotCache cacheId="1" r:id="rId21"/>
    <pivotCache cacheId="2" r:id="rId22"/>
    <pivotCache cacheId="3" r:id="rId23"/>
    <pivotCache cacheId="5" r:id="rId24"/>
    <pivotCache cacheId="73" r:id="rId25"/>
    <pivotCache cacheId="89" r:id="rId26"/>
    <pivotCache cacheId="91"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LPS=8192;"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LPS=8192;" command="select clientpid,sessionid,ticketid,enginepid, lastbart, lastbarh, lastbarl,_x000d__x000a_lag(forecasth) over(order by clientpid,sessionid,ticketid,enginepid,lastbart) forecastH_prev,_x000d__x000a_--decode((lag(forecasth) over(order by clientpid,sessionid,ticketid,enginepid,lastbart)),null,null,abs(lastbarh-(lag(forecasth) over(order by clientpid,sessionid,ticketid,enginepid,lastbart)))) errH,_x000d__x000a_lag(forecastl) over(order by clientpid,sessionid,ticketid,enginepid,lastbart) forecastL_prev_x000d__x000a_--decode((lag(forecastl) over(order by clientpid,sessionid,ticketid,enginepid,lastbart)),null,null,abs(lastbarl-(lag(forecastl) over(order by clientpid,sessionid,ticketid,enginepid,lastbart)))) errL_x000d__x000a_from tradeinfo where _x000d__x000a_clientpid=?_x000d__x000a_order by 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<sst xmlns="http://schemas.openxmlformats.org/spreadsheetml/2006/main" count="3510" uniqueCount="463">
  <si>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</si>
  <si>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</si>
  <si>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</si>
  <si>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</si>
  <si>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</si>
  <si>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</si>
  <si>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</si>
  <si>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</si>
  <si>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</si>
  <si>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</si>
  <si>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</si>
  <si>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</si>
  <si>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</si>
  <si>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</si>
  <si>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</si>
  <si>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</si>
  <si>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</si>
  <si>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</si>
  <si>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</si>
  <si>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</si>
  <si>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</si>
  <si>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</si>
  <si>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</si>
  <si>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</si>
  <si>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</si>
  <si>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</si>
  <si>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</si>
  <si>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</si>
  <si>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</si>
  <si>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</si>
  <si>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</si>
  <si>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</si>
  <si>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</si>
  <si>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</si>
  <si>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</si>
  <si>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</si>
  <si>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</si>
  <si>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</si>
  <si>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</si>
  <si>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</si>
  <si>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</si>
  <si>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</si>
  <si>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</si>
  <si>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</si>
  <si>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</si>
  <si>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</si>
  <si>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</si>
  <si>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</si>
  <si>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</si>
  <si>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</si>
  <si>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</si>
  <si>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</si>
  <si>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</si>
  <si>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</si>
  <si>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</si>
  <si>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</si>
  <si>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</si>
  <si>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</si>
  <si>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</si>
  <si>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</si>
  <si>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</si>
  <si>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</si>
  <si>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</si>
  <si>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</si>
  <si>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</si>
  <si>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</si>
  <si>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</si>
  <si>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</si>
  <si>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</si>
  <si>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</si>
  <si>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</si>
  <si>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</si>
  <si>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</si>
  <si>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</si>
  <si>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</si>
  <si>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</si>
  <si>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</si>
  <si>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</si>
  <si>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</si>
  <si>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</si>
  <si>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</si>
  <si>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</si>
  <si>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</si>
  <si>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</si>
  <si>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</si>
  <si>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</si>
  <si>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</si>
  <si>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</si>
  <si>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</si>
  <si>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</si>
  <si>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</si>
  <si>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</si>
  <si>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</si>
  <si>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</si>
  <si>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</si>
  <si>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</si>
  <si>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</si>
  <si>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</si>
  <si>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</si>
  <si>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</si>
  <si>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</si>
  <si>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</si>
  <si>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</si>
  <si>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</si>
  <si>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</si>
  <si>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</si>
  <si>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</si>
  <si>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</si>
  <si>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</si>
  <si>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</si>
  <si>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</si>
  <si>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</si>
  <si>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</si>
  <si>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</si>
  <si>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</si>
  <si>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</si>
  <si>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</si>
  <si>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</si>
  <si>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</si>
  <si>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</si>
  <si>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</si>
  <si>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</si>
  <si>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</si>
  <si>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</si>
  <si>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</si>
  <si>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</si>
  <si>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</si>
  <si>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</si>
  <si>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</si>
  <si>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</si>
  <si>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</si>
  <si>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</si>
  <si>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</si>
  <si>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</si>
  <si>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</si>
  <si>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</si>
  <si>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</si>
  <si>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</si>
  <si>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</si>
  <si>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</si>
  <si>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</si>
  <si>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</si>
  <si>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</si>
  <si>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</si>
  <si>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</si>
  <si>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</si>
  <si>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</si>
  <si>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</si>
  <si>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</si>
  <si>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</si>
  <si>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</si>
  <si>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</si>
  <si>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</si>
  <si>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</si>
  <si>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</si>
  <si>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</si>
  <si>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</si>
  <si>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</si>
  <si>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</si>
  <si>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</si>
  <si>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</si>
  <si>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</si>
  <si>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</si>
  <si>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</si>
  <si>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</si>
  <si>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</si>
  <si>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</si>
  <si>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</si>
  <si>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</si>
  <si>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</si>
  <si>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</si>
  <si>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</si>
  <si>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</si>
  <si>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</si>
  <si>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</si>
  <si>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</si>
  <si>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</si>
  <si>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</si>
  <si>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</si>
  <si>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</si>
  <si>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</si>
  <si>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</si>
  <si>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</si>
  <si>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</si>
  <si>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</si>
  <si>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</si>
  <si>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</si>
  <si>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</si>
  <si>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</si>
  <si>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</si>
  <si>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</si>
  <si>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</si>
  <si>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</si>
  <si>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</si>
  <si>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</si>
  <si>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</si>
  <si>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</si>
  <si>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</si>
  <si>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</si>
  <si>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</si>
  <si>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</si>
  <si>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</si>
  <si>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</si>
  <si>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</si>
  <si>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</si>
  <si>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</si>
  <si>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</si>
  <si>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</si>
  <si>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</si>
  <si>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</si>
  <si>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</si>
  <si>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</si>
  <si>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</si>
  <si>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</si>
  <si>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</si>
  <si>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</si>
  <si>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</si>
  <si>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</si>
  <si>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</si>
  <si>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</si>
  <si>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</si>
  <si>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</si>
  <si>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</si>
  <si>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</si>
  <si>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</si>
  <si>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</si>
  <si>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</si>
  <si>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</si>
  <si>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</si>
  <si>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</si>
  <si>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</si>
  <si>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</si>
  <si>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</si>
  <si>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</si>
  <si>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</si>
  <si>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</si>
  <si>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</si>
  <si>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</si>
  <si>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</si>
  <si>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</si>
  <si>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</si>
  <si>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</si>
  <si>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</si>
  <si>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</si>
  <si>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</si>
  <si>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</si>
  <si>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</si>
  <si>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</si>
  <si>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</si>
  <si>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</si>
  <si>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</si>
  <si>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</si>
  <si>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</si>
  <si>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</si>
  <si>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</si>
  <si>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</si>
  <si>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</si>
  <si>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</si>
  <si>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</si>
  <si>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</si>
  <si>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</si>
  <si>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</si>
  <si>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</si>
  <si>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</si>
  <si>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</si>
  <si>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</si>
  <si>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</si>
  <si>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</si>
  <si>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</si>
  <si>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</si>
  <si>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</si>
  <si>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</si>
  <si>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</si>
  <si>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</si>
  <si>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</si>
  <si>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</si>
  <si>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</si>
  <si>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</si>
  <si>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</si>
  <si>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</si>
  <si>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</si>
  <si>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</si>
  <si>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</si>
  <si>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</si>
  <si>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</si>
  <si>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</si>
  <si>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</si>
  <si>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</si>
  <si>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</si>
  <si>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</si>
  <si>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</si>
  <si>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</si>
  <si>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</si>
  <si>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</si>
  <si>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</si>
  <si>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</si>
  <si>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</si>
  <si>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</si>
  <si>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</si>
  <si>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</si>
  <si>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</si>
  <si>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</si>
  <si>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</si>
  <si>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</si>
  <si>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</si>
  <si>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</si>
  <si>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</si>
  <si>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</si>
  <si>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</si>
  <si>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</si>
  <si>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</si>
  <si>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</si>
  <si>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</si>
  <si>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</si>
  <si>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</si>
  <si>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</si>
  <si>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</si>
  <si>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</si>
  <si>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</si>
  <si>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</si>
  <si>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</si>
  <si>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</si>
  <si>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</si>
  <si>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</si>
  <si>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</si>
  <si>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</si>
  <si>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</si>
  <si>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</si>
  <si>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</si>
  <si>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</si>
  <si>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</si>
  <si>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</si>
  <si>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</si>
  <si>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</si>
  <si>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</si>
  <si>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</si>
  <si>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</si>
  <si>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</si>
  <si>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2018-07-25-07:00</t>
  </si>
  <si>
    <t>2018-07-25-12:00</t>
  </si>
  <si>
    <t>2018-07-25-13:00</t>
  </si>
  <si>
    <t>2018-07-25-15:00</t>
  </si>
  <si>
    <t>2018-07-25-16:00</t>
  </si>
  <si>
    <t>2018-07-25-17:00</t>
  </si>
  <si>
    <t>2018-07-25-18:00</t>
  </si>
  <si>
    <t>2018-07-25-19:00</t>
  </si>
  <si>
    <t>2018-07-25-20:00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</si>
  <si>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</si>
  <si>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</si>
  <si>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</si>
  <si>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</si>
  <si>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</si>
  <si>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</si>
  <si>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</si>
  <si>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</si>
  <si>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</si>
  <si>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</si>
  <si>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</si>
  <si>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</si>
  <si>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</si>
  <si>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</si>
  <si>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</si>
  <si>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</si>
  <si>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</si>
  <si>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</si>
  <si>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</si>
  <si>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</si>
  <si>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</si>
  <si>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</si>
  <si>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</si>
  <si>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</si>
  <si>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</si>
  <si>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</si>
  <si>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</si>
  <si>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</si>
  <si>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</si>
  <si>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</si>
  <si>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</si>
  <si>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</si>
  <si>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</si>
  <si>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</si>
  <si>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</si>
  <si>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</si>
  <si>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</si>
  <si>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</si>
  <si>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</si>
  <si>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</si>
  <si>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</si>
  <si>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</si>
  <si>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</si>
  <si>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</si>
  <si>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2018-07-30-01:00</t>
  </si>
  <si>
    <t>2018-07-30-02:00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</si>
  <si>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</si>
  <si>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</si>
  <si>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</si>
  <si>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</si>
  <si>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</si>
  <si>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</si>
  <si>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</si>
  <si>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</si>
  <si>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00:01:33</t>
  </si>
  <si>
    <t>00:00:25</t>
  </si>
  <si>
    <t>00:01:09</t>
  </si>
  <si>
    <t>00:00:47</t>
  </si>
  <si>
    <t>2018-07-22-19:00</t>
  </si>
  <si>
    <t>Average of FORECASTH_PREV</t>
  </si>
  <si>
    <t>Average of LASTBARH</t>
  </si>
  <si>
    <t>Average of errH</t>
  </si>
  <si>
    <t>2018-07-30-03:00</t>
  </si>
  <si>
    <t>2018-07-30-04:00</t>
  </si>
  <si>
    <t>2018-07-30-05:00</t>
  </si>
  <si>
    <t>2018-07-30-06:00</t>
  </si>
  <si>
    <t>2018-07-30-07:00</t>
  </si>
  <si>
    <t>2018-07-30-08:00</t>
  </si>
  <si>
    <t>2018-07-30-09:00</t>
  </si>
  <si>
    <t>2018-07-30-10:00</t>
  </si>
  <si>
    <t>00:00:10</t>
  </si>
  <si>
    <t>(blank)</t>
  </si>
  <si>
    <t>Count of PROCESSID</t>
  </si>
  <si>
    <t>DATASAMPLELEN</t>
  </si>
  <si>
    <t>DATAPREDICTIONLEN</t>
  </si>
  <si>
    <t>DATABATCHSIZE</t>
  </si>
  <si>
    <t>Total</t>
  </si>
  <si>
    <t>2017-08-07-09:00</t>
  </si>
  <si>
    <t>2018-07-23-19:00</t>
  </si>
  <si>
    <t>2018-07-23-18:00</t>
  </si>
  <si>
    <t>2018-07-23-17:00</t>
  </si>
  <si>
    <t>2018-07-23-16:00</t>
  </si>
  <si>
    <t>2018-07-23-15:00</t>
  </si>
  <si>
    <t>2018-07-23-14:00</t>
  </si>
  <si>
    <t>2018-07-23-13:00</t>
  </si>
  <si>
    <t>2018-07-23-12:00</t>
  </si>
  <si>
    <t>2018-07-23-22:00</t>
  </si>
  <si>
    <t>2018-07-24-05:00</t>
  </si>
  <si>
    <t>00:51:59</t>
  </si>
  <si>
    <t>00:03:51</t>
  </si>
  <si>
    <t>00:03:33</t>
  </si>
  <si>
    <t>00:03:32</t>
  </si>
  <si>
    <t>00:09:24</t>
  </si>
  <si>
    <t>00:09:18</t>
  </si>
  <si>
    <t>2015-12-29-16:00</t>
  </si>
  <si>
    <t>2018-07-19-13:00</t>
  </si>
  <si>
    <t>2018-07-27-17:00</t>
  </si>
  <si>
    <t>2018-07-27-18:00</t>
  </si>
  <si>
    <t>2018-07-27-19:00</t>
  </si>
  <si>
    <t>2018-07-27-20:00</t>
  </si>
  <si>
    <t>2018-07-27-21:00</t>
  </si>
  <si>
    <t>2018-07-27-22:00</t>
  </si>
  <si>
    <t>2018-07-27-23:00</t>
  </si>
  <si>
    <t>2018-08-28-01:00</t>
  </si>
  <si>
    <t>2018-08-28-02:00</t>
  </si>
  <si>
    <t>2018-08-28-03:00</t>
  </si>
  <si>
    <t>2018-08-28-04:00</t>
  </si>
  <si>
    <t>2018-08-28-05:00</t>
  </si>
  <si>
    <t>2018-08-28-06:00</t>
  </si>
  <si>
    <t>2018-08-28-07:00</t>
  </si>
  <si>
    <t>2018-08-28-08:00</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</si>
  <si>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</si>
  <si>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</si>
  <si>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</si>
  <si>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00:04:48</t>
  </si>
  <si>
    <t>00:04:43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</si>
</sst>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cellXfs>
  <cellStyles count="2">
    <cellStyle name="Hyperlink" xfId="1" builtinId="8"/>
    <cellStyle name="Normal" xfId="0" builtinId="0"/>
  </cellStyles>
  <dxfs count="49">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ill>
        <patternFill patternType="solid">
          <bgColor rgb="FFFFFF00"/>
        </patternFill>
      </fill>
    </dxf>
    <dxf>
      <fill>
        <patternFill patternType="solid">
          <bgColor rgb="FFFFFF00"/>
        </patternFill>
      </fill>
    </dxf>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microsoft.com/office/2007/relationships/slicerCache" Target="slicerCaches/slicerCache15.xml"/><Relationship Id="rId47" Type="http://schemas.microsoft.com/office/2007/relationships/slicerCache" Target="slicerCaches/slicerCache20.xml"/><Relationship Id="rId63" Type="http://schemas.microsoft.com/office/2007/relationships/slicerCache" Target="slicerCaches/slicerCache36.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3" Type="http://schemas.microsoft.com/office/2007/relationships/slicerCache" Target="slicerCaches/slicerCache26.xml"/><Relationship Id="rId58" Type="http://schemas.microsoft.com/office/2007/relationships/slicerCache" Target="slicerCaches/slicerCache31.xml"/><Relationship Id="rId66" Type="http://schemas.microsoft.com/office/2007/relationships/slicerCache" Target="slicerCaches/slicerCache39.xml"/><Relationship Id="rId5" Type="http://schemas.openxmlformats.org/officeDocument/2006/relationships/worksheet" Target="worksheets/sheet5.xml"/><Relationship Id="rId61" Type="http://schemas.microsoft.com/office/2007/relationships/slicerCache" Target="slicerCaches/slicerCache34.xml"/><Relationship Id="rId19" Type="http://schemas.openxmlformats.org/officeDocument/2006/relationships/worksheet" Target="worksheets/sheet18.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microsoft.com/office/2007/relationships/slicerCache" Target="slicerCaches/slicerCache29.xml"/><Relationship Id="rId64" Type="http://schemas.microsoft.com/office/2007/relationships/slicerCache" Target="slicerCaches/slicerCache37.xml"/><Relationship Id="rId69"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24.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59" Type="http://schemas.microsoft.com/office/2007/relationships/slicerCache" Target="slicerCaches/slicerCache32.xml"/><Relationship Id="rId67" Type="http://schemas.microsoft.com/office/2007/relationships/slicerCache" Target="slicerCaches/slicerCache40.xml"/><Relationship Id="rId20" Type="http://schemas.openxmlformats.org/officeDocument/2006/relationships/pivotCacheDefinition" Target="pivotCache/pivotCacheDefinition1.xml"/><Relationship Id="rId41" Type="http://schemas.microsoft.com/office/2007/relationships/slicerCache" Target="slicerCaches/slicerCache14.xml"/><Relationship Id="rId54" Type="http://schemas.microsoft.com/office/2007/relationships/slicerCache" Target="slicerCaches/slicerCache27.xml"/><Relationship Id="rId62" Type="http://schemas.microsoft.com/office/2007/relationships/slicerCache" Target="slicerCaches/slicerCache35.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2.xml"/><Relationship Id="rId57" Type="http://schemas.microsoft.com/office/2007/relationships/slicerCache" Target="slicerCaches/slicerCache30.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7.xml"/><Relationship Id="rId52" Type="http://schemas.microsoft.com/office/2007/relationships/slicerCache" Target="slicerCaches/slicerCache25.xml"/><Relationship Id="rId60" Type="http://schemas.microsoft.com/office/2007/relationships/slicerCache" Target="slicerCaches/slicerCache33.xml"/><Relationship Id="rId65" Type="http://schemas.microsoft.com/office/2007/relationships/slicerCache" Target="slicerCaches/slicerCache38.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chartsheet" Target="chartsheets/sheet1.xml"/><Relationship Id="rId39" Type="http://schemas.microsoft.com/office/2007/relationships/slicerCache" Target="slicerCaches/slicerCache12.xml"/><Relationship Id="rId34" Type="http://schemas.microsoft.com/office/2007/relationships/slicerCache" Target="slicerCaches/slicerCache7.xml"/><Relationship Id="rId50" Type="http://schemas.microsoft.com/office/2007/relationships/slicerCache" Target="slicerCaches/slicerCache23.xml"/><Relationship Id="rId55" Type="http://schemas.microsoft.com/office/2007/relationships/slicerCache" Target="slicerCaches/slicerCache28.xml"/><Relationship Id="rId7" Type="http://schemas.openxmlformats.org/officeDocument/2006/relationships/worksheet" Target="worksheets/sheet7.xml"/><Relationship Id="rId71"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7.5544430874288099E-3</c:v>
                </c:pt>
                <c:pt idx="1">
                  <c:v>4.5651360414922203E-3</c:v>
                </c:pt>
                <c:pt idx="2">
                  <c:v>3.6444794386625299E-3</c:v>
                </c:pt>
                <c:pt idx="3">
                  <c:v>3.5057824570685599E-3</c:v>
                </c:pt>
                <c:pt idx="4">
                  <c:v>3.44414566643536E-3</c:v>
                </c:pt>
                <c:pt idx="5">
                  <c:v>3.3924982417374802E-3</c:v>
                </c:pt>
                <c:pt idx="6">
                  <c:v>3.4142783842980901E-3</c:v>
                </c:pt>
                <c:pt idx="7">
                  <c:v>3.3333995379507498E-3</c:v>
                </c:pt>
                <c:pt idx="8">
                  <c:v>3.3221947960555601E-3</c:v>
                </c:pt>
                <c:pt idx="9">
                  <c:v>3.3175505232065899E-3</c:v>
                </c:pt>
                <c:pt idx="10">
                  <c:v>3.2938378863036598E-3</c:v>
                </c:pt>
                <c:pt idx="11">
                  <c:v>3.2995224464684699E-3</c:v>
                </c:pt>
                <c:pt idx="12">
                  <c:v>3.30204167403281E-3</c:v>
                </c:pt>
                <c:pt idx="13">
                  <c:v>3.27929644845426E-3</c:v>
                </c:pt>
                <c:pt idx="14">
                  <c:v>3.2878278288990298E-3</c:v>
                </c:pt>
                <c:pt idx="15">
                  <c:v>3.2782184425741399E-3</c:v>
                </c:pt>
                <c:pt idx="16">
                  <c:v>3.26258619315922E-3</c:v>
                </c:pt>
                <c:pt idx="17">
                  <c:v>3.2980507239699398E-3</c:v>
                </c:pt>
                <c:pt idx="18">
                  <c:v>3.2734442502260199E-3</c:v>
                </c:pt>
                <c:pt idx="19">
                  <c:v>3.25151020660996E-3</c:v>
                </c:pt>
                <c:pt idx="20">
                  <c:v>3.2974563073366902E-3</c:v>
                </c:pt>
                <c:pt idx="21">
                  <c:v>3.2704742625355699E-3</c:v>
                </c:pt>
                <c:pt idx="22">
                  <c:v>3.2521013636141998E-3</c:v>
                </c:pt>
                <c:pt idx="23">
                  <c:v>3.2594201620668199E-3</c:v>
                </c:pt>
                <c:pt idx="24">
                  <c:v>3.2639205455779999E-3</c:v>
                </c:pt>
                <c:pt idx="25">
                  <c:v>3.2460934016853601E-3</c:v>
                </c:pt>
                <c:pt idx="26">
                  <c:v>3.2484675757586999E-3</c:v>
                </c:pt>
                <c:pt idx="27">
                  <c:v>3.28436587005854E-3</c:v>
                </c:pt>
                <c:pt idx="28">
                  <c:v>3.2714845146983901E-3</c:v>
                </c:pt>
                <c:pt idx="29">
                  <c:v>3.2495772466063499E-3</c:v>
                </c:pt>
                <c:pt idx="30">
                  <c:v>3.2885356340557302E-3</c:v>
                </c:pt>
                <c:pt idx="31">
                  <c:v>3.2487197313457701E-3</c:v>
                </c:pt>
                <c:pt idx="32">
                  <c:v>3.2520166132599098E-3</c:v>
                </c:pt>
                <c:pt idx="33">
                  <c:v>3.2858541235327699E-3</c:v>
                </c:pt>
                <c:pt idx="34">
                  <c:v>3.2409075647592501E-3</c:v>
                </c:pt>
                <c:pt idx="35">
                  <c:v>3.23455827310681E-3</c:v>
                </c:pt>
                <c:pt idx="36">
                  <c:v>3.2504927366972E-3</c:v>
                </c:pt>
                <c:pt idx="37">
                  <c:v>3.2414866145700199E-3</c:v>
                </c:pt>
                <c:pt idx="38">
                  <c:v>3.2408782280981502E-3</c:v>
                </c:pt>
                <c:pt idx="39">
                  <c:v>3.2925701234489701E-3</c:v>
                </c:pt>
                <c:pt idx="40">
                  <c:v>3.2639387063682101E-3</c:v>
                </c:pt>
                <c:pt idx="41">
                  <c:v>3.2485534902662E-3</c:v>
                </c:pt>
                <c:pt idx="42">
                  <c:v>3.2740072347223802E-3</c:v>
                </c:pt>
                <c:pt idx="43">
                  <c:v>3.2453942112624602E-3</c:v>
                </c:pt>
                <c:pt idx="44">
                  <c:v>3.2223928719759E-3</c:v>
                </c:pt>
                <c:pt idx="45">
                  <c:v>3.2343869097530798E-3</c:v>
                </c:pt>
                <c:pt idx="46">
                  <c:v>3.23796691372991E-3</c:v>
                </c:pt>
                <c:pt idx="47">
                  <c:v>3.2230094075202899E-3</c:v>
                </c:pt>
                <c:pt idx="48">
                  <c:v>3.2366181258112201E-3</c:v>
                </c:pt>
                <c:pt idx="49">
                  <c:v>3.2731858082115698E-3</c:v>
                </c:pt>
                <c:pt idx="50">
                  <c:v>3.2624483574181799E-3</c:v>
                </c:pt>
                <c:pt idx="51">
                  <c:v>3.2983398996293501E-3</c:v>
                </c:pt>
                <c:pt idx="52">
                  <c:v>3.2645033206790699E-3</c:v>
                </c:pt>
                <c:pt idx="53">
                  <c:v>3.2495155464857799E-3</c:v>
                </c:pt>
                <c:pt idx="54">
                  <c:v>3.2539004459977098E-3</c:v>
                </c:pt>
                <c:pt idx="55">
                  <c:v>3.2412298023700701E-3</c:v>
                </c:pt>
                <c:pt idx="56">
                  <c:v>3.2210845965892098E-3</c:v>
                </c:pt>
                <c:pt idx="57">
                  <c:v>3.2712952233850999E-3</c:v>
                </c:pt>
                <c:pt idx="58">
                  <c:v>3.2346700318157699E-3</c:v>
                </c:pt>
                <c:pt idx="59">
                  <c:v>3.3088922500610399E-3</c:v>
                </c:pt>
                <c:pt idx="60">
                  <c:v>3.26272286474705E-3</c:v>
                </c:pt>
                <c:pt idx="61">
                  <c:v>3.2191337086260301E-3</c:v>
                </c:pt>
                <c:pt idx="62">
                  <c:v>3.2114225905388598E-3</c:v>
                </c:pt>
                <c:pt idx="63">
                  <c:v>3.2169693149626298E-3</c:v>
                </c:pt>
                <c:pt idx="64">
                  <c:v>3.2624043524265298E-3</c:v>
                </c:pt>
                <c:pt idx="65">
                  <c:v>3.23755759745836E-3</c:v>
                </c:pt>
                <c:pt idx="66">
                  <c:v>3.30847897566855E-3</c:v>
                </c:pt>
                <c:pt idx="67">
                  <c:v>3.2724766060710001E-3</c:v>
                </c:pt>
                <c:pt idx="68">
                  <c:v>3.2482137903571098E-3</c:v>
                </c:pt>
                <c:pt idx="69">
                  <c:v>3.2673254609108002E-3</c:v>
                </c:pt>
                <c:pt idx="70">
                  <c:v>3.2514804042875801E-3</c:v>
                </c:pt>
                <c:pt idx="71">
                  <c:v>3.24232433922589E-3</c:v>
                </c:pt>
                <c:pt idx="72">
                  <c:v>3.3130862284451701E-3</c:v>
                </c:pt>
                <c:pt idx="73">
                  <c:v>3.2158568501472499E-3</c:v>
                </c:pt>
                <c:pt idx="74">
                  <c:v>3.2473220489919199E-3</c:v>
                </c:pt>
                <c:pt idx="75">
                  <c:v>3.26227839104831E-3</c:v>
                </c:pt>
                <c:pt idx="76">
                  <c:v>3.2189348712563502E-3</c:v>
                </c:pt>
                <c:pt idx="77">
                  <c:v>3.2716649584472201E-3</c:v>
                </c:pt>
                <c:pt idx="78">
                  <c:v>3.3103195019066299E-3</c:v>
                </c:pt>
                <c:pt idx="79">
                  <c:v>3.25495563447475E-3</c:v>
                </c:pt>
                <c:pt idx="80">
                  <c:v>3.2500762026757002E-3</c:v>
                </c:pt>
                <c:pt idx="81">
                  <c:v>3.2530801836401198E-3</c:v>
                </c:pt>
                <c:pt idx="82">
                  <c:v>3.2669047359377098E-3</c:v>
                </c:pt>
                <c:pt idx="83">
                  <c:v>3.2350101973861499E-3</c:v>
                </c:pt>
                <c:pt idx="84">
                  <c:v>3.2550280448049298E-3</c:v>
                </c:pt>
                <c:pt idx="85">
                  <c:v>3.2533751800656301E-3</c:v>
                </c:pt>
                <c:pt idx="86">
                  <c:v>3.2138794194906898E-3</c:v>
                </c:pt>
                <c:pt idx="87">
                  <c:v>3.2447027042508099E-3</c:v>
                </c:pt>
                <c:pt idx="88">
                  <c:v>3.21363587863743E-3</c:v>
                </c:pt>
                <c:pt idx="89">
                  <c:v>3.2041112426668401E-3</c:v>
                </c:pt>
                <c:pt idx="90">
                  <c:v>3.2493935432285101E-3</c:v>
                </c:pt>
                <c:pt idx="91">
                  <c:v>3.2459180802106901E-3</c:v>
                </c:pt>
                <c:pt idx="92">
                  <c:v>3.2311400864273301E-3</c:v>
                </c:pt>
                <c:pt idx="93">
                  <c:v>3.2334586139768401E-3</c:v>
                </c:pt>
                <c:pt idx="94">
                  <c:v>3.2408251427114001E-3</c:v>
                </c:pt>
                <c:pt idx="95">
                  <c:v>3.2034921459853601E-3</c:v>
                </c:pt>
                <c:pt idx="96">
                  <c:v>3.2157916575670199E-3</c:v>
                </c:pt>
                <c:pt idx="97">
                  <c:v>3.2561675179749701E-3</c:v>
                </c:pt>
                <c:pt idx="98">
                  <c:v>3.21924244053662E-3</c:v>
                </c:pt>
                <c:pt idx="99">
                  <c:v>3.2458901405334499E-3</c:v>
                </c:pt>
                <c:pt idx="100">
                  <c:v>3.26872430741787E-3</c:v>
                </c:pt>
                <c:pt idx="101">
                  <c:v>3.2196312677115202E-3</c:v>
                </c:pt>
                <c:pt idx="102">
                  <c:v>3.2275759149342801E-3</c:v>
                </c:pt>
                <c:pt idx="103">
                  <c:v>3.24372225441039E-3</c:v>
                </c:pt>
                <c:pt idx="104">
                  <c:v>3.2041803933680101E-3</c:v>
                </c:pt>
                <c:pt idx="105">
                  <c:v>3.2116447109729099E-3</c:v>
                </c:pt>
                <c:pt idx="106">
                  <c:v>3.26586281880736E-3</c:v>
                </c:pt>
                <c:pt idx="107">
                  <c:v>3.2286436762660698E-3</c:v>
                </c:pt>
                <c:pt idx="108">
                  <c:v>3.2680977601558E-3</c:v>
                </c:pt>
                <c:pt idx="109">
                  <c:v>3.3874369692057401E-3</c:v>
                </c:pt>
                <c:pt idx="110">
                  <c:v>3.2397396862506901E-3</c:v>
                </c:pt>
                <c:pt idx="111">
                  <c:v>3.2115394715219701E-3</c:v>
                </c:pt>
                <c:pt idx="112">
                  <c:v>3.2077841460704799E-3</c:v>
                </c:pt>
                <c:pt idx="113">
                  <c:v>3.1953947618603702E-3</c:v>
                </c:pt>
                <c:pt idx="114">
                  <c:v>3.1871395185589799E-3</c:v>
                </c:pt>
                <c:pt idx="115">
                  <c:v>3.1941074412316101E-3</c:v>
                </c:pt>
                <c:pt idx="116">
                  <c:v>3.1915295403450701E-3</c:v>
                </c:pt>
                <c:pt idx="117">
                  <c:v>3.2091755419969602E-3</c:v>
                </c:pt>
                <c:pt idx="118">
                  <c:v>3.2732249237597002E-3</c:v>
                </c:pt>
                <c:pt idx="119">
                  <c:v>3.2391748391091802E-3</c:v>
                </c:pt>
                <c:pt idx="120">
                  <c:v>3.2883340027183299E-3</c:v>
                </c:pt>
                <c:pt idx="121">
                  <c:v>3.2898467034101499E-3</c:v>
                </c:pt>
                <c:pt idx="122">
                  <c:v>3.2706838101148601E-3</c:v>
                </c:pt>
                <c:pt idx="123">
                  <c:v>3.2376025337725899E-3</c:v>
                </c:pt>
                <c:pt idx="124">
                  <c:v>3.25208553113043E-3</c:v>
                </c:pt>
                <c:pt idx="125">
                  <c:v>3.2276124693453299E-3</c:v>
                </c:pt>
                <c:pt idx="126">
                  <c:v>3.2070730812847601E-3</c:v>
                </c:pt>
                <c:pt idx="127">
                  <c:v>3.2152808271348498E-3</c:v>
                </c:pt>
                <c:pt idx="128">
                  <c:v>3.21434950456023E-3</c:v>
                </c:pt>
                <c:pt idx="129">
                  <c:v>3.19666042923927E-3</c:v>
                </c:pt>
                <c:pt idx="130">
                  <c:v>3.28161614015698E-3</c:v>
                </c:pt>
                <c:pt idx="131">
                  <c:v>3.2164272852242002E-3</c:v>
                </c:pt>
                <c:pt idx="132">
                  <c:v>3.21280583739281E-3</c:v>
                </c:pt>
                <c:pt idx="133">
                  <c:v>3.25030251406133E-3</c:v>
                </c:pt>
                <c:pt idx="134">
                  <c:v>3.2146489247679702E-3</c:v>
                </c:pt>
                <c:pt idx="135">
                  <c:v>3.1954473815858399E-3</c:v>
                </c:pt>
                <c:pt idx="136">
                  <c:v>3.2264713663607801E-3</c:v>
                </c:pt>
                <c:pt idx="137">
                  <c:v>3.1954825390130299E-3</c:v>
                </c:pt>
                <c:pt idx="138">
                  <c:v>3.2173134386539498E-3</c:v>
                </c:pt>
                <c:pt idx="139">
                  <c:v>3.23623814620078E-3</c:v>
                </c:pt>
                <c:pt idx="140">
                  <c:v>3.1869166996330001E-3</c:v>
                </c:pt>
                <c:pt idx="141">
                  <c:v>3.18005098961294E-3</c:v>
                </c:pt>
                <c:pt idx="142">
                  <c:v>3.2110319007188099E-3</c:v>
                </c:pt>
                <c:pt idx="143">
                  <c:v>3.18978726863861E-3</c:v>
                </c:pt>
                <c:pt idx="144">
                  <c:v>3.1974834855645899E-3</c:v>
                </c:pt>
                <c:pt idx="145">
                  <c:v>3.1945023220032501E-3</c:v>
                </c:pt>
                <c:pt idx="146">
                  <c:v>3.1926599331200101E-3</c:v>
                </c:pt>
                <c:pt idx="147">
                  <c:v>3.19007318466902E-3</c:v>
                </c:pt>
                <c:pt idx="148">
                  <c:v>3.2086856663227099E-3</c:v>
                </c:pt>
                <c:pt idx="149">
                  <c:v>3.1952834688127002E-3</c:v>
                </c:pt>
              </c:numCache>
            </c:numRef>
          </c:val>
          <c:smooth val="0"/>
        </c:ser>
        <c:dLbls>
          <c:showLegendKey val="0"/>
          <c:showVal val="0"/>
          <c:showCatName val="0"/>
          <c:showSerName val="0"/>
          <c:showPercent val="0"/>
          <c:showBubbleSize val="0"/>
        </c:dLbls>
        <c:marker val="1"/>
        <c:smooth val="0"/>
        <c:axId val="-1611903120"/>
        <c:axId val="-1611906384"/>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MSE!$C$2:$C$152</c:f>
              <c:numCache>
                <c:formatCode>0</c:formatCode>
                <c:ptCount val="150"/>
                <c:pt idx="0">
                  <c:v>1844</c:v>
                </c:pt>
                <c:pt idx="1">
                  <c:v>1803</c:v>
                </c:pt>
                <c:pt idx="2">
                  <c:v>1805</c:v>
                </c:pt>
                <c:pt idx="3">
                  <c:v>1823</c:v>
                </c:pt>
                <c:pt idx="4">
                  <c:v>1804</c:v>
                </c:pt>
                <c:pt idx="5">
                  <c:v>1827</c:v>
                </c:pt>
                <c:pt idx="6">
                  <c:v>1898</c:v>
                </c:pt>
                <c:pt idx="7">
                  <c:v>1804</c:v>
                </c:pt>
                <c:pt idx="8">
                  <c:v>1804</c:v>
                </c:pt>
                <c:pt idx="9">
                  <c:v>1802</c:v>
                </c:pt>
                <c:pt idx="10">
                  <c:v>1819</c:v>
                </c:pt>
                <c:pt idx="11">
                  <c:v>1911</c:v>
                </c:pt>
                <c:pt idx="12">
                  <c:v>1829</c:v>
                </c:pt>
                <c:pt idx="13">
                  <c:v>1802</c:v>
                </c:pt>
                <c:pt idx="14">
                  <c:v>1806</c:v>
                </c:pt>
                <c:pt idx="15">
                  <c:v>1866</c:v>
                </c:pt>
                <c:pt idx="16">
                  <c:v>1803</c:v>
                </c:pt>
                <c:pt idx="17">
                  <c:v>1940</c:v>
                </c:pt>
                <c:pt idx="18">
                  <c:v>1807</c:v>
                </c:pt>
                <c:pt idx="19">
                  <c:v>1804</c:v>
                </c:pt>
                <c:pt idx="20">
                  <c:v>1803</c:v>
                </c:pt>
                <c:pt idx="21">
                  <c:v>1807</c:v>
                </c:pt>
                <c:pt idx="22">
                  <c:v>1828</c:v>
                </c:pt>
                <c:pt idx="23">
                  <c:v>1801</c:v>
                </c:pt>
                <c:pt idx="24">
                  <c:v>1968</c:v>
                </c:pt>
                <c:pt idx="25">
                  <c:v>1846</c:v>
                </c:pt>
                <c:pt idx="26">
                  <c:v>1819</c:v>
                </c:pt>
                <c:pt idx="27">
                  <c:v>1803</c:v>
                </c:pt>
                <c:pt idx="28">
                  <c:v>1805</c:v>
                </c:pt>
                <c:pt idx="29">
                  <c:v>1803</c:v>
                </c:pt>
                <c:pt idx="30">
                  <c:v>1804</c:v>
                </c:pt>
                <c:pt idx="31">
                  <c:v>1805</c:v>
                </c:pt>
                <c:pt idx="32">
                  <c:v>1858</c:v>
                </c:pt>
                <c:pt idx="33">
                  <c:v>1950</c:v>
                </c:pt>
                <c:pt idx="34">
                  <c:v>1801</c:v>
                </c:pt>
                <c:pt idx="35">
                  <c:v>1804</c:v>
                </c:pt>
                <c:pt idx="36">
                  <c:v>1808</c:v>
                </c:pt>
                <c:pt idx="37">
                  <c:v>1806</c:v>
                </c:pt>
                <c:pt idx="38">
                  <c:v>1802</c:v>
                </c:pt>
                <c:pt idx="39">
                  <c:v>1802</c:v>
                </c:pt>
                <c:pt idx="40">
                  <c:v>1893</c:v>
                </c:pt>
                <c:pt idx="41">
                  <c:v>1806</c:v>
                </c:pt>
                <c:pt idx="42">
                  <c:v>1948</c:v>
                </c:pt>
                <c:pt idx="43">
                  <c:v>1933</c:v>
                </c:pt>
                <c:pt idx="44">
                  <c:v>1816</c:v>
                </c:pt>
                <c:pt idx="45">
                  <c:v>1869</c:v>
                </c:pt>
                <c:pt idx="46">
                  <c:v>1813</c:v>
                </c:pt>
                <c:pt idx="47">
                  <c:v>1816</c:v>
                </c:pt>
                <c:pt idx="48">
                  <c:v>1831</c:v>
                </c:pt>
                <c:pt idx="49">
                  <c:v>1819</c:v>
                </c:pt>
                <c:pt idx="50">
                  <c:v>1831</c:v>
                </c:pt>
                <c:pt idx="51">
                  <c:v>1839</c:v>
                </c:pt>
                <c:pt idx="52">
                  <c:v>1806</c:v>
                </c:pt>
                <c:pt idx="53">
                  <c:v>1809</c:v>
                </c:pt>
                <c:pt idx="54">
                  <c:v>1820</c:v>
                </c:pt>
                <c:pt idx="55">
                  <c:v>1819</c:v>
                </c:pt>
                <c:pt idx="56">
                  <c:v>1817</c:v>
                </c:pt>
                <c:pt idx="57">
                  <c:v>1806</c:v>
                </c:pt>
                <c:pt idx="58">
                  <c:v>1808</c:v>
                </c:pt>
                <c:pt idx="59">
                  <c:v>1805</c:v>
                </c:pt>
                <c:pt idx="60">
                  <c:v>1842</c:v>
                </c:pt>
                <c:pt idx="61">
                  <c:v>1810</c:v>
                </c:pt>
                <c:pt idx="62">
                  <c:v>1864</c:v>
                </c:pt>
                <c:pt idx="63">
                  <c:v>1808</c:v>
                </c:pt>
                <c:pt idx="64">
                  <c:v>1909</c:v>
                </c:pt>
                <c:pt idx="65">
                  <c:v>1812</c:v>
                </c:pt>
                <c:pt idx="66">
                  <c:v>1818</c:v>
                </c:pt>
                <c:pt idx="67">
                  <c:v>1803</c:v>
                </c:pt>
                <c:pt idx="68">
                  <c:v>1806</c:v>
                </c:pt>
                <c:pt idx="69">
                  <c:v>1807</c:v>
                </c:pt>
                <c:pt idx="70">
                  <c:v>1874</c:v>
                </c:pt>
                <c:pt idx="71">
                  <c:v>1869</c:v>
                </c:pt>
                <c:pt idx="72">
                  <c:v>1835</c:v>
                </c:pt>
                <c:pt idx="73">
                  <c:v>1808</c:v>
                </c:pt>
                <c:pt idx="74">
                  <c:v>1805</c:v>
                </c:pt>
                <c:pt idx="75">
                  <c:v>1821</c:v>
                </c:pt>
                <c:pt idx="76">
                  <c:v>1815</c:v>
                </c:pt>
                <c:pt idx="77">
                  <c:v>1809</c:v>
                </c:pt>
                <c:pt idx="78">
                  <c:v>1804</c:v>
                </c:pt>
                <c:pt idx="79">
                  <c:v>1803</c:v>
                </c:pt>
                <c:pt idx="80">
                  <c:v>1903</c:v>
                </c:pt>
                <c:pt idx="81">
                  <c:v>1845</c:v>
                </c:pt>
                <c:pt idx="82">
                  <c:v>1843</c:v>
                </c:pt>
                <c:pt idx="83">
                  <c:v>1820</c:v>
                </c:pt>
                <c:pt idx="84">
                  <c:v>1812</c:v>
                </c:pt>
                <c:pt idx="85">
                  <c:v>1815</c:v>
                </c:pt>
                <c:pt idx="86">
                  <c:v>1820</c:v>
                </c:pt>
                <c:pt idx="87">
                  <c:v>1813</c:v>
                </c:pt>
                <c:pt idx="88">
                  <c:v>1825</c:v>
                </c:pt>
                <c:pt idx="89">
                  <c:v>1815</c:v>
                </c:pt>
                <c:pt idx="90">
                  <c:v>1817</c:v>
                </c:pt>
                <c:pt idx="91">
                  <c:v>1817</c:v>
                </c:pt>
                <c:pt idx="92">
                  <c:v>1826</c:v>
                </c:pt>
                <c:pt idx="93">
                  <c:v>1817</c:v>
                </c:pt>
                <c:pt idx="94">
                  <c:v>1869</c:v>
                </c:pt>
                <c:pt idx="95">
                  <c:v>1813</c:v>
                </c:pt>
                <c:pt idx="96">
                  <c:v>1816</c:v>
                </c:pt>
                <c:pt idx="97">
                  <c:v>1901</c:v>
                </c:pt>
                <c:pt idx="98">
                  <c:v>1817</c:v>
                </c:pt>
                <c:pt idx="99">
                  <c:v>1816</c:v>
                </c:pt>
                <c:pt idx="100">
                  <c:v>1818</c:v>
                </c:pt>
                <c:pt idx="101">
                  <c:v>1845</c:v>
                </c:pt>
                <c:pt idx="102">
                  <c:v>1832</c:v>
                </c:pt>
                <c:pt idx="103">
                  <c:v>1815</c:v>
                </c:pt>
                <c:pt idx="104">
                  <c:v>1857</c:v>
                </c:pt>
                <c:pt idx="105">
                  <c:v>1840</c:v>
                </c:pt>
                <c:pt idx="106">
                  <c:v>1837</c:v>
                </c:pt>
                <c:pt idx="107">
                  <c:v>1826</c:v>
                </c:pt>
                <c:pt idx="108">
                  <c:v>1847</c:v>
                </c:pt>
                <c:pt idx="109">
                  <c:v>1819</c:v>
                </c:pt>
                <c:pt idx="110">
                  <c:v>1823</c:v>
                </c:pt>
                <c:pt idx="111">
                  <c:v>1877</c:v>
                </c:pt>
                <c:pt idx="112">
                  <c:v>1818</c:v>
                </c:pt>
                <c:pt idx="113">
                  <c:v>1861</c:v>
                </c:pt>
                <c:pt idx="114">
                  <c:v>1825</c:v>
                </c:pt>
                <c:pt idx="115">
                  <c:v>1818</c:v>
                </c:pt>
                <c:pt idx="116">
                  <c:v>1816</c:v>
                </c:pt>
                <c:pt idx="117">
                  <c:v>1837</c:v>
                </c:pt>
                <c:pt idx="118">
                  <c:v>1895</c:v>
                </c:pt>
                <c:pt idx="119">
                  <c:v>1816</c:v>
                </c:pt>
                <c:pt idx="120">
                  <c:v>1815</c:v>
                </c:pt>
                <c:pt idx="121">
                  <c:v>1814</c:v>
                </c:pt>
                <c:pt idx="122">
                  <c:v>1834</c:v>
                </c:pt>
                <c:pt idx="123">
                  <c:v>1818</c:v>
                </c:pt>
                <c:pt idx="124">
                  <c:v>1817</c:v>
                </c:pt>
                <c:pt idx="125">
                  <c:v>1812</c:v>
                </c:pt>
                <c:pt idx="126">
                  <c:v>1915</c:v>
                </c:pt>
                <c:pt idx="127">
                  <c:v>1871</c:v>
                </c:pt>
                <c:pt idx="128">
                  <c:v>1877</c:v>
                </c:pt>
                <c:pt idx="129">
                  <c:v>1838</c:v>
                </c:pt>
                <c:pt idx="130">
                  <c:v>1821</c:v>
                </c:pt>
                <c:pt idx="131">
                  <c:v>1894</c:v>
                </c:pt>
                <c:pt idx="132">
                  <c:v>1816</c:v>
                </c:pt>
                <c:pt idx="133">
                  <c:v>1844</c:v>
                </c:pt>
                <c:pt idx="134">
                  <c:v>1818</c:v>
                </c:pt>
                <c:pt idx="135">
                  <c:v>1821</c:v>
                </c:pt>
                <c:pt idx="136">
                  <c:v>1818</c:v>
                </c:pt>
                <c:pt idx="137">
                  <c:v>1949</c:v>
                </c:pt>
                <c:pt idx="138">
                  <c:v>1815</c:v>
                </c:pt>
                <c:pt idx="139">
                  <c:v>1816</c:v>
                </c:pt>
                <c:pt idx="140">
                  <c:v>1839</c:v>
                </c:pt>
                <c:pt idx="141">
                  <c:v>1823</c:v>
                </c:pt>
                <c:pt idx="142">
                  <c:v>1946</c:v>
                </c:pt>
                <c:pt idx="143">
                  <c:v>1820</c:v>
                </c:pt>
                <c:pt idx="144">
                  <c:v>1840</c:v>
                </c:pt>
                <c:pt idx="145">
                  <c:v>1816</c:v>
                </c:pt>
                <c:pt idx="146">
                  <c:v>1831</c:v>
                </c:pt>
                <c:pt idx="147">
                  <c:v>1818</c:v>
                </c:pt>
                <c:pt idx="148">
                  <c:v>1844</c:v>
                </c:pt>
                <c:pt idx="149">
                  <c:v>1830</c:v>
                </c:pt>
              </c:numCache>
            </c:numRef>
          </c:val>
          <c:smooth val="0"/>
        </c:ser>
        <c:dLbls>
          <c:showLegendKey val="0"/>
          <c:showVal val="0"/>
          <c:showCatName val="0"/>
          <c:showSerName val="0"/>
          <c:showPercent val="0"/>
          <c:showBubbleSize val="0"/>
        </c:dLbls>
        <c:marker val="1"/>
        <c:smooth val="0"/>
        <c:axId val="-1611909104"/>
        <c:axId val="-1611908560"/>
      </c:lineChart>
      <c:catAx>
        <c:axId val="-161190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06384"/>
        <c:crosses val="autoZero"/>
        <c:auto val="1"/>
        <c:lblAlgn val="ctr"/>
        <c:lblOffset val="100"/>
        <c:noMultiLvlLbl val="0"/>
      </c:catAx>
      <c:valAx>
        <c:axId val="-16119063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03120"/>
        <c:crosses val="autoZero"/>
        <c:crossBetween val="between"/>
      </c:valAx>
      <c:valAx>
        <c:axId val="-161190856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09104"/>
        <c:crosses val="max"/>
        <c:crossBetween val="between"/>
      </c:valAx>
      <c:catAx>
        <c:axId val="-1611909104"/>
        <c:scaling>
          <c:orientation val="minMax"/>
        </c:scaling>
        <c:delete val="1"/>
        <c:axPos val="b"/>
        <c:numFmt formatCode="General" sourceLinked="1"/>
        <c:majorTickMark val="out"/>
        <c:minorTickMark val="none"/>
        <c:tickLblPos val="nextTo"/>
        <c:crossAx val="-161190856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Run_TRS!$B$4:$B$76</c:f>
              <c:numCache>
                <c:formatCode>General</c:formatCode>
                <c:ptCount val="72"/>
                <c:pt idx="0">
                  <c:v>2.0873779430985475E-2</c:v>
                </c:pt>
                <c:pt idx="1">
                  <c:v>7.8267596662044484E-2</c:v>
                </c:pt>
                <c:pt idx="2">
                  <c:v>1.7289031296968453E-2</c:v>
                </c:pt>
                <c:pt idx="3">
                  <c:v>1.5854073688387749E-2</c:v>
                </c:pt>
                <c:pt idx="4">
                  <c:v>3.1927964650094502E-2</c:v>
                </c:pt>
                <c:pt idx="5">
                  <c:v>5.9562608599662878E-2</c:v>
                </c:pt>
                <c:pt idx="6">
                  <c:v>-5.105426139198245E-2</c:v>
                </c:pt>
                <c:pt idx="7">
                  <c:v>-2.5985991582274451E-2</c:v>
                </c:pt>
                <c:pt idx="8">
                  <c:v>4.51566921547054E-2</c:v>
                </c:pt>
                <c:pt idx="9">
                  <c:v>9.0836969204246831E-2</c:v>
                </c:pt>
                <c:pt idx="10">
                  <c:v>9.7644768655300002E-2</c:v>
                </c:pt>
                <c:pt idx="11">
                  <c:v>0.11077697947621333</c:v>
                </c:pt>
                <c:pt idx="12">
                  <c:v>8.7281238287687385E-2</c:v>
                </c:pt>
                <c:pt idx="13">
                  <c:v>2.0916976965963875E-2</c:v>
                </c:pt>
                <c:pt idx="14">
                  <c:v>3.4806355834007388E-2</c:v>
                </c:pt>
                <c:pt idx="15">
                  <c:v>7.1014865301549476E-2</c:v>
                </c:pt>
                <c:pt idx="16">
                  <c:v>3.3137292601168246E-2</c:v>
                </c:pt>
                <c:pt idx="17">
                  <c:v>3.2618120545521247E-2</c:v>
                </c:pt>
                <c:pt idx="18">
                  <c:v>2.2144648246467152E-2</c:v>
                </c:pt>
                <c:pt idx="19">
                  <c:v>2.9590427409857623E-2</c:v>
                </c:pt>
                <c:pt idx="20">
                  <c:v>2.0899282302707347E-2</c:v>
                </c:pt>
                <c:pt idx="21">
                  <c:v>3.1666125636548005E-2</c:v>
                </c:pt>
                <c:pt idx="22">
                  <c:v>2.3851768113672622E-2</c:v>
                </c:pt>
                <c:pt idx="23">
                  <c:v>1.5630471520125772E-2</c:v>
                </c:pt>
                <c:pt idx="24">
                  <c:v>-1.4600239694118625E-2</c:v>
                </c:pt>
                <c:pt idx="25">
                  <c:v>-5.0833243876696769E-3</c:v>
                </c:pt>
                <c:pt idx="26">
                  <c:v>2.9482940211892253E-2</c:v>
                </c:pt>
                <c:pt idx="27">
                  <c:v>2.3662102408707052E-2</c:v>
                </c:pt>
                <c:pt idx="28">
                  <c:v>5.2048931829630773E-3</c:v>
                </c:pt>
                <c:pt idx="29">
                  <c:v>-7.0479417219758117E-2</c:v>
                </c:pt>
                <c:pt idx="30">
                  <c:v>-6.5445627085864475E-2</c:v>
                </c:pt>
                <c:pt idx="31">
                  <c:v>-2.2468492388725295E-2</c:v>
                </c:pt>
                <c:pt idx="32">
                  <c:v>3.2994667068123928E-2</c:v>
                </c:pt>
                <c:pt idx="33">
                  <c:v>3.7131782621145151E-2</c:v>
                </c:pt>
                <c:pt idx="34">
                  <c:v>-2.086923178285369E-2</c:v>
                </c:pt>
                <c:pt idx="35">
                  <c:v>3.3953282982111897E-3</c:v>
                </c:pt>
                <c:pt idx="36">
                  <c:v>2.9278330970555575E-2</c:v>
                </c:pt>
                <c:pt idx="37">
                  <c:v>1.7147549893707047E-2</c:v>
                </c:pt>
                <c:pt idx="38">
                  <c:v>2.6523591019213102E-2</c:v>
                </c:pt>
                <c:pt idx="39">
                  <c:v>3.8885086774825925E-2</c:v>
                </c:pt>
                <c:pt idx="40">
                  <c:v>3.3623741008341326E-2</c:v>
                </c:pt>
                <c:pt idx="41">
                  <c:v>3.2522112131118677E-2</c:v>
                </c:pt>
                <c:pt idx="42">
                  <c:v>5.6742651388049077E-2</c:v>
                </c:pt>
                <c:pt idx="43">
                  <c:v>4.6583255752921007E-2</c:v>
                </c:pt>
                <c:pt idx="44">
                  <c:v>1.6873960616067035E-2</c:v>
                </c:pt>
                <c:pt idx="45">
                  <c:v>1.887196768075235E-2</c:v>
                </c:pt>
                <c:pt idx="46">
                  <c:v>2.3114024195820048E-2</c:v>
                </c:pt>
                <c:pt idx="47">
                  <c:v>4.6593132428824922E-2</c:v>
                </c:pt>
                <c:pt idx="48">
                  <c:v>-3.3975386526435628E-2</c:v>
                </c:pt>
                <c:pt idx="49">
                  <c:v>-1.478813216090212E-2</c:v>
                </c:pt>
                <c:pt idx="50">
                  <c:v>3.3149386290460742E-2</c:v>
                </c:pt>
                <c:pt idx="51">
                  <c:v>2.8260052669793249E-2</c:v>
                </c:pt>
                <c:pt idx="52">
                  <c:v>5.4586707614362399E-2</c:v>
                </c:pt>
                <c:pt idx="53">
                  <c:v>0.10705772228538994</c:v>
                </c:pt>
                <c:pt idx="54">
                  <c:v>7.3158303275704273E-2</c:v>
                </c:pt>
                <c:pt idx="55">
                  <c:v>3.14735909923912E-2</c:v>
                </c:pt>
                <c:pt idx="56">
                  <c:v>3.6373900249600348E-2</c:v>
                </c:pt>
                <c:pt idx="57">
                  <c:v>3.5512334667146171E-2</c:v>
                </c:pt>
                <c:pt idx="58">
                  <c:v>3.175415424630032E-2</c:v>
                </c:pt>
                <c:pt idx="59">
                  <c:v>3.8241556845605477E-2</c:v>
                </c:pt>
                <c:pt idx="60">
                  <c:v>2.3933721706271199E-2</c:v>
                </c:pt>
                <c:pt idx="61">
                  <c:v>2.7083788067102505E-2</c:v>
                </c:pt>
                <c:pt idx="62">
                  <c:v>4.0526934899389647E-2</c:v>
                </c:pt>
                <c:pt idx="63">
                  <c:v>3.4005735069513224E-2</c:v>
                </c:pt>
                <c:pt idx="64">
                  <c:v>3.2037182711064802E-2</c:v>
                </c:pt>
                <c:pt idx="65">
                  <c:v>1.9162373151630177E-2</c:v>
                </c:pt>
                <c:pt idx="66">
                  <c:v>1.3676744885742626E-2</c:v>
                </c:pt>
                <c:pt idx="67">
                  <c:v>2.2717464715242514E-2</c:v>
                </c:pt>
                <c:pt idx="68">
                  <c:v>4.0707162581384196E-2</c:v>
                </c:pt>
                <c:pt idx="69">
                  <c:v>5.3319371305406198E-2</c:v>
                </c:pt>
                <c:pt idx="70">
                  <c:v>2.6439028792083277E-2</c:v>
                </c:pt>
                <c:pt idx="71">
                  <c:v>4.4144225306808775E-2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Run_TRS!$C$4:$C$76</c:f>
              <c:numCache>
                <c:formatCode>General</c:formatCode>
                <c:ptCount val="72"/>
                <c:pt idx="50">
                  <c:v>3.2001253683120047E-2</c:v>
                </c:pt>
                <c:pt idx="51">
                  <c:v>2.8584494721144577E-2</c:v>
                </c:pt>
                <c:pt idx="52">
                  <c:v>5.9962481725960998E-2</c:v>
                </c:pt>
                <c:pt idx="53">
                  <c:v>0.10664502857252958</c:v>
                </c:pt>
                <c:pt idx="54">
                  <c:v>7.3705727583728703E-2</c:v>
                </c:pt>
                <c:pt idx="55">
                  <c:v>3.2341605750843827E-2</c:v>
                </c:pt>
                <c:pt idx="56">
                  <c:v>3.4503113478422075E-2</c:v>
                </c:pt>
                <c:pt idx="57">
                  <c:v>3.5567809827625696E-2</c:v>
                </c:pt>
                <c:pt idx="58">
                  <c:v>3.0632921028882376E-2</c:v>
                </c:pt>
                <c:pt idx="59">
                  <c:v>3.9798942394554677E-2</c:v>
                </c:pt>
                <c:pt idx="60">
                  <c:v>2.5236437562853025E-2</c:v>
                </c:pt>
                <c:pt idx="61">
                  <c:v>2.385884965769948E-2</c:v>
                </c:pt>
                <c:pt idx="62">
                  <c:v>4.1847082786261924E-2</c:v>
                </c:pt>
                <c:pt idx="63">
                  <c:v>3.187891375273455E-2</c:v>
                </c:pt>
                <c:pt idx="64">
                  <c:v>3.2269860152155251E-2</c:v>
                </c:pt>
                <c:pt idx="65">
                  <c:v>1.7891438677907077E-2</c:v>
                </c:pt>
                <c:pt idx="66">
                  <c:v>7.8773575369269003E-3</c:v>
                </c:pt>
                <c:pt idx="67">
                  <c:v>2.9568376659881379E-2</c:v>
                </c:pt>
                <c:pt idx="68">
                  <c:v>3.8636718876659926E-2</c:v>
                </c:pt>
                <c:pt idx="69">
                  <c:v>1.7032151110470399E-2</c:v>
                </c:pt>
                <c:pt idx="70">
                  <c:v>4.2933870572596754E-2</c:v>
                </c:pt>
                <c:pt idx="71">
                  <c:v>1.7007617047056542E-2</c:v>
                </c:pt>
              </c:numCache>
            </c:numRef>
          </c:val>
          <c:smooth val="0"/>
        </c:ser>
        <c:dLbls>
          <c:showLegendKey val="0"/>
          <c:showVal val="0"/>
          <c:showCatName val="0"/>
          <c:showSerName val="0"/>
          <c:showPercent val="0"/>
          <c:showBubbleSize val="0"/>
        </c:dLbls>
        <c:marker val="1"/>
        <c:smooth val="0"/>
        <c:axId val="-1611902032"/>
        <c:axId val="-1611908016"/>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Run_TRS!$D$4:$D$76</c:f>
              <c:numCache>
                <c:formatCode>General</c:formatCode>
                <c:ptCount val="72"/>
                <c:pt idx="50">
                  <c:v>2.0136106759308997E-3</c:v>
                </c:pt>
                <c:pt idx="51">
                  <c:v>2.7514742687342751E-3</c:v>
                </c:pt>
                <c:pt idx="52">
                  <c:v>5.3757741115986E-3</c:v>
                </c:pt>
                <c:pt idx="53">
                  <c:v>1.142675522714675E-3</c:v>
                </c:pt>
                <c:pt idx="54">
                  <c:v>7.5923282420262174E-3</c:v>
                </c:pt>
                <c:pt idx="55">
                  <c:v>5.4181443993003746E-3</c:v>
                </c:pt>
                <c:pt idx="56">
                  <c:v>1.870786771178275E-3</c:v>
                </c:pt>
                <c:pt idx="57">
                  <c:v>6.1579905450343747E-3</c:v>
                </c:pt>
                <c:pt idx="58">
                  <c:v>6.4468262717130003E-3</c:v>
                </c:pt>
                <c:pt idx="59">
                  <c:v>2.2194441407919503E-3</c:v>
                </c:pt>
                <c:pt idx="60">
                  <c:v>4.8151840455831251E-3</c:v>
                </c:pt>
                <c:pt idx="61">
                  <c:v>7.3549703229219702E-3</c:v>
                </c:pt>
                <c:pt idx="62">
                  <c:v>3.735948354005775E-3</c:v>
                </c:pt>
                <c:pt idx="63">
                  <c:v>5.1205055788159249E-3</c:v>
                </c:pt>
                <c:pt idx="64">
                  <c:v>3.96222760900845E-3</c:v>
                </c:pt>
                <c:pt idx="65">
                  <c:v>7.6214880682528505E-3</c:v>
                </c:pt>
                <c:pt idx="66">
                  <c:v>1.2020171387121227E-2</c:v>
                </c:pt>
                <c:pt idx="67">
                  <c:v>1.2428677349816964E-2</c:v>
                </c:pt>
                <c:pt idx="68">
                  <c:v>2.4672765284776254E-3</c:v>
                </c:pt>
                <c:pt idx="69">
                  <c:v>3.6287220194935799E-2</c:v>
                </c:pt>
                <c:pt idx="70">
                  <c:v>4.0518571157008375E-2</c:v>
                </c:pt>
                <c:pt idx="71">
                  <c:v>7.1327732177451239E-2</c:v>
                </c:pt>
              </c:numCache>
            </c:numRef>
          </c:val>
          <c:smooth val="0"/>
        </c:ser>
        <c:dLbls>
          <c:showLegendKey val="0"/>
          <c:showVal val="0"/>
          <c:showCatName val="0"/>
          <c:showSerName val="0"/>
          <c:showPercent val="0"/>
          <c:showBubbleSize val="0"/>
        </c:dLbls>
        <c:marker val="1"/>
        <c:smooth val="0"/>
        <c:axId val="-1337315248"/>
        <c:axId val="-1337330480"/>
      </c:lineChart>
      <c:catAx>
        <c:axId val="-161190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08016"/>
        <c:crosses val="autoZero"/>
        <c:auto val="1"/>
        <c:lblAlgn val="ctr"/>
        <c:lblOffset val="100"/>
        <c:noMultiLvlLbl val="0"/>
      </c:catAx>
      <c:valAx>
        <c:axId val="-161190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02032"/>
        <c:crosses val="autoZero"/>
        <c:crossBetween val="between"/>
      </c:valAx>
      <c:valAx>
        <c:axId val="-13373304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315248"/>
        <c:crosses val="max"/>
        <c:crossBetween val="between"/>
      </c:valAx>
      <c:catAx>
        <c:axId val="-1337315248"/>
        <c:scaling>
          <c:orientation val="minMax"/>
        </c:scaling>
        <c:delete val="1"/>
        <c:axPos val="b"/>
        <c:numFmt formatCode="General" sourceLinked="1"/>
        <c:majorTickMark val="out"/>
        <c:minorTickMark val="none"/>
        <c:tickLblPos val="nextTo"/>
        <c:crossAx val="-133733048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Run_TR!$B$2:$B$74</c:f>
              <c:numCache>
                <c:formatCode>0.00000</c:formatCode>
                <c:ptCount val="72"/>
                <c:pt idx="0">
                  <c:v>-1.9255281949881448E-4</c:v>
                </c:pt>
                <c:pt idx="1">
                  <c:v>9.0003012155648299E-4</c:v>
                </c:pt>
                <c:pt idx="2">
                  <c:v>-2.2000074000061442E-4</c:v>
                </c:pt>
                <c:pt idx="3">
                  <c:v>-3.2249095420411322E-4</c:v>
                </c:pt>
                <c:pt idx="4">
                  <c:v>5.9962286741210731E-5</c:v>
                </c:pt>
                <c:pt idx="5">
                  <c:v>5.4252150584943571E-4</c:v>
                </c:pt>
                <c:pt idx="6">
                  <c:v>-1.5225112438201902E-3</c:v>
                </c:pt>
                <c:pt idx="7">
                  <c:v>-1.1375249050615821E-3</c:v>
                </c:pt>
                <c:pt idx="8">
                  <c:v>2.7754902112064872E-4</c:v>
                </c:pt>
                <c:pt idx="9">
                  <c:v>1.1675059795379637E-3</c:v>
                </c:pt>
                <c:pt idx="10">
                  <c:v>1.302480719459707E-3</c:v>
                </c:pt>
                <c:pt idx="11">
                  <c:v>1.5850066120037792E-3</c:v>
                </c:pt>
                <c:pt idx="12">
                  <c:v>1.1174976825714092E-3</c:v>
                </c:pt>
                <c:pt idx="13">
                  <c:v>-2.1499397553270653E-4</c:v>
                </c:pt>
                <c:pt idx="14">
                  <c:v>7.2479277150705579E-5</c:v>
                </c:pt>
                <c:pt idx="15">
                  <c:v>7.8251960803754628E-4</c:v>
                </c:pt>
                <c:pt idx="16">
                  <c:v>7.2479259188185232E-5</c:v>
                </c:pt>
                <c:pt idx="17">
                  <c:v>3.4987917160833563E-5</c:v>
                </c:pt>
                <c:pt idx="18">
                  <c:v>-1.6248229803750302E-4</c:v>
                </c:pt>
                <c:pt idx="19">
                  <c:v>-1.7493962332082403E-5</c:v>
                </c:pt>
                <c:pt idx="20">
                  <c:v>-1.9750001342799806E-4</c:v>
                </c:pt>
                <c:pt idx="21">
                  <c:v>3.7491303373826498E-5</c:v>
                </c:pt>
                <c:pt idx="22">
                  <c:v>-1.1250379611737999E-4</c:v>
                </c:pt>
                <c:pt idx="23">
                  <c:v>-3.1244758974935399E-4</c:v>
                </c:pt>
                <c:pt idx="24">
                  <c:v>-8.3503123460104472E-4</c:v>
                </c:pt>
                <c:pt idx="25">
                  <c:v>-7.1749093694961803E-4</c:v>
                </c:pt>
                <c:pt idx="26">
                  <c:v>-2.4974351617856994E-5</c:v>
                </c:pt>
                <c:pt idx="27">
                  <c:v>-1.4001127215124137E-4</c:v>
                </c:pt>
                <c:pt idx="28">
                  <c:v>-4.4253471241972918E-4</c:v>
                </c:pt>
                <c:pt idx="29">
                  <c:v>-1.9575059122871599E-3</c:v>
                </c:pt>
                <c:pt idx="30">
                  <c:v>-1.8424689769744851E-3</c:v>
                </c:pt>
                <c:pt idx="31">
                  <c:v>-1.1025070962205072E-3</c:v>
                </c:pt>
                <c:pt idx="32">
                  <c:v>4.4971740862820026E-5</c:v>
                </c:pt>
                <c:pt idx="33">
                  <c:v>1.3253094948595376E-4</c:v>
                </c:pt>
                <c:pt idx="34">
                  <c:v>-9.7501280833967138E-4</c:v>
                </c:pt>
                <c:pt idx="35">
                  <c:v>-5.6999920161615526E-4</c:v>
                </c:pt>
                <c:pt idx="36">
                  <c:v>-3.4987903063665726E-5</c:v>
                </c:pt>
                <c:pt idx="37">
                  <c:v>-2.4747848306105874E-4</c:v>
                </c:pt>
                <c:pt idx="38">
                  <c:v>-8.7529400843777884E-5</c:v>
                </c:pt>
                <c:pt idx="39">
                  <c:v>1.7499927162134538E-4</c:v>
                </c:pt>
                <c:pt idx="40">
                  <c:v>5.7488661695970249E-5</c:v>
                </c:pt>
                <c:pt idx="41">
                  <c:v>4.7504887334071249E-5</c:v>
                </c:pt>
                <c:pt idx="42">
                  <c:v>5.0747396744554873E-4</c:v>
                </c:pt>
                <c:pt idx="43">
                  <c:v>3.1250714528141549E-4</c:v>
                </c:pt>
                <c:pt idx="44">
                  <c:v>-2.6747583615360771E-4</c:v>
                </c:pt>
                <c:pt idx="45">
                  <c:v>-2.0751353986270279E-4</c:v>
                </c:pt>
                <c:pt idx="46">
                  <c:v>-1.2496114959503762E-4</c:v>
                </c:pt>
                <c:pt idx="47">
                  <c:v>2.8496984941739362E-4</c:v>
                </c:pt>
                <c:pt idx="48">
                  <c:v>-1.2000202805211319E-3</c:v>
                </c:pt>
                <c:pt idx="49">
                  <c:v>-9.3749162988388121E-4</c:v>
                </c:pt>
                <c:pt idx="50">
                  <c:v>4.7504921440122321E-5</c:v>
                </c:pt>
                <c:pt idx="51">
                  <c:v>-4.2498084440012442E-5</c:v>
                </c:pt>
                <c:pt idx="52">
                  <c:v>4.9498672160552706E-4</c:v>
                </c:pt>
                <c:pt idx="53">
                  <c:v>1.4799833588767799E-3</c:v>
                </c:pt>
                <c:pt idx="54">
                  <c:v>8.2501776705612385E-4</c:v>
                </c:pt>
                <c:pt idx="55">
                  <c:v>3.7491301554837305E-5</c:v>
                </c:pt>
                <c:pt idx="56">
                  <c:v>1.2254715329618201E-4</c:v>
                </c:pt>
                <c:pt idx="57">
                  <c:v>7.7456235885620253E-5</c:v>
                </c:pt>
                <c:pt idx="58">
                  <c:v>5.0067801566908694E-6</c:v>
                </c:pt>
                <c:pt idx="59">
                  <c:v>1.5252826415235179E-4</c:v>
                </c:pt>
                <c:pt idx="60">
                  <c:v>-1.2001394952676496E-4</c:v>
                </c:pt>
                <c:pt idx="61">
                  <c:v>-6.2495477322954752E-5</c:v>
                </c:pt>
                <c:pt idx="62">
                  <c:v>1.8498302415537158E-4</c:v>
                </c:pt>
                <c:pt idx="63">
                  <c:v>7.0005680754547803E-5</c:v>
                </c:pt>
                <c:pt idx="64">
                  <c:v>3.7491359762498218E-5</c:v>
                </c:pt>
                <c:pt idx="65">
                  <c:v>-1.9997358685941449E-4</c:v>
                </c:pt>
                <c:pt idx="66">
                  <c:v>-3.3250452179345297E-4</c:v>
                </c:pt>
                <c:pt idx="67">
                  <c:v>-1.7502902665000877E-4</c:v>
                </c:pt>
                <c:pt idx="68">
                  <c:v>2.0000342374260072E-4</c:v>
                </c:pt>
                <c:pt idx="69">
                  <c:v>4.5502180910261803E-4</c:v>
                </c:pt>
                <c:pt idx="70">
                  <c:v>-5.501508348970655E-5</c:v>
                </c:pt>
                <c:pt idx="71">
                  <c:v>2.7501584554556725E-4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Run_TR!$C$2:$C$74</c:f>
              <c:numCache>
                <c:formatCode>0.00000</c:formatCode>
                <c:ptCount val="72"/>
                <c:pt idx="50">
                  <c:v>2.8509898584161511E-5</c:v>
                </c:pt>
                <c:pt idx="51">
                  <c:v>-4.1502915337332375E-5</c:v>
                </c:pt>
                <c:pt idx="52">
                  <c:v>5.9970595123104236E-4</c:v>
                </c:pt>
                <c:pt idx="53">
                  <c:v>1.4725931105203924E-3</c:v>
                </c:pt>
                <c:pt idx="54">
                  <c:v>8.2418281817808704E-4</c:v>
                </c:pt>
                <c:pt idx="55">
                  <c:v>4.3898857256863253E-5</c:v>
                </c:pt>
                <c:pt idx="56">
                  <c:v>8.6322179413400509E-5</c:v>
                </c:pt>
                <c:pt idx="57">
                  <c:v>8.5694671724922955E-5</c:v>
                </c:pt>
                <c:pt idx="58">
                  <c:v>-5.0829942779273653E-6</c:v>
                </c:pt>
                <c:pt idx="59">
                  <c:v>1.863223184557227E-4</c:v>
                </c:pt>
                <c:pt idx="60">
                  <c:v>-9.8853680356114556E-5</c:v>
                </c:pt>
                <c:pt idx="61">
                  <c:v>-1.4176565400703101E-4</c:v>
                </c:pt>
                <c:pt idx="62">
                  <c:v>2.1794168969790949E-4</c:v>
                </c:pt>
                <c:pt idx="63">
                  <c:v>3.2952271794783869E-5</c:v>
                </c:pt>
                <c:pt idx="64">
                  <c:v>3.8419988413807181E-5</c:v>
                </c:pt>
                <c:pt idx="65">
                  <c:v>-2.3774896908435026E-4</c:v>
                </c:pt>
                <c:pt idx="66">
                  <c:v>-4.3078904855065048E-4</c:v>
                </c:pt>
                <c:pt idx="67">
                  <c:v>-2.3651604351471002E-5</c:v>
                </c:pt>
                <c:pt idx="68">
                  <c:v>1.5998650292203812E-4</c:v>
                </c:pt>
                <c:pt idx="69">
                  <c:v>-2.5921659835148597E-4</c:v>
                </c:pt>
                <c:pt idx="70">
                  <c:v>2.3940789833432072E-4</c:v>
                </c:pt>
                <c:pt idx="71">
                  <c:v>-2.5566178510416643E-4</c:v>
                </c:pt>
              </c:numCache>
            </c:numRef>
          </c:val>
          <c:smooth val="0"/>
        </c:ser>
        <c:dLbls>
          <c:showLegendKey val="0"/>
          <c:showVal val="0"/>
          <c:showCatName val="0"/>
          <c:showSerName val="0"/>
          <c:showPercent val="0"/>
          <c:showBubbleSize val="0"/>
        </c:dLbls>
        <c:marker val="1"/>
        <c:smooth val="0"/>
        <c:axId val="-1611904752"/>
        <c:axId val="-161190584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Run_TR!$A$2:$A$74</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Run_TR!$D$2:$D$74</c:f>
              <c:numCache>
                <c:formatCode>0.00000</c:formatCode>
                <c:ptCount val="72"/>
                <c:pt idx="50">
                  <c:v>3.7986435472703157E-5</c:v>
                </c:pt>
                <c:pt idx="51">
                  <c:v>5.4449996241601428E-5</c:v>
                </c:pt>
                <c:pt idx="52">
                  <c:v>1.0471922962551523E-4</c:v>
                </c:pt>
                <c:pt idx="53">
                  <c:v>2.3028900614007501E-5</c:v>
                </c:pt>
                <c:pt idx="54">
                  <c:v>1.4696056678076128E-4</c:v>
                </c:pt>
                <c:pt idx="55">
                  <c:v>1.0584478332020794E-4</c:v>
                </c:pt>
                <c:pt idx="56">
                  <c:v>3.6224973882781504E-5</c:v>
                </c:pt>
                <c:pt idx="57">
                  <c:v>1.1791925135185019E-4</c:v>
                </c:pt>
                <c:pt idx="58">
                  <c:v>1.2564862817043826E-4</c:v>
                </c:pt>
                <c:pt idx="59">
                  <c:v>4.5650521911966246E-5</c:v>
                </c:pt>
                <c:pt idx="60">
                  <c:v>9.2980679255560904E-5</c:v>
                </c:pt>
                <c:pt idx="61">
                  <c:v>1.4928403015801423E-4</c:v>
                </c:pt>
                <c:pt idx="62">
                  <c:v>7.3827966843964396E-5</c:v>
                </c:pt>
                <c:pt idx="63">
                  <c:v>1.0336351806472491E-4</c:v>
                </c:pt>
                <c:pt idx="64">
                  <c:v>7.5526289947447448E-5</c:v>
                </c:pt>
                <c:pt idx="65">
                  <c:v>1.5297788195312023E-4</c:v>
                </c:pt>
                <c:pt idx="66">
                  <c:v>2.2341557269101047E-4</c:v>
                </c:pt>
                <c:pt idx="67">
                  <c:v>2.4449822012684324E-4</c:v>
                </c:pt>
                <c:pt idx="68">
                  <c:v>4.8806757831698592E-5</c:v>
                </c:pt>
                <c:pt idx="69">
                  <c:v>7.1423840745410405E-4</c:v>
                </c:pt>
                <c:pt idx="70">
                  <c:v>8.2654856305452973E-4</c:v>
                </c:pt>
                <c:pt idx="71">
                  <c:v>1.4358311441355909E-3</c:v>
                </c:pt>
              </c:numCache>
            </c:numRef>
          </c:val>
          <c:smooth val="0"/>
        </c:ser>
        <c:dLbls>
          <c:showLegendKey val="0"/>
          <c:showVal val="0"/>
          <c:showCatName val="0"/>
          <c:showSerName val="0"/>
          <c:showPercent val="0"/>
          <c:showBubbleSize val="0"/>
        </c:dLbls>
        <c:marker val="1"/>
        <c:smooth val="0"/>
        <c:axId val="-1337323952"/>
        <c:axId val="-1337342448"/>
      </c:lineChart>
      <c:catAx>
        <c:axId val="-1611904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05840"/>
        <c:crosses val="autoZero"/>
        <c:auto val="1"/>
        <c:lblAlgn val="ctr"/>
        <c:lblOffset val="100"/>
        <c:tickLblSkip val="1"/>
        <c:noMultiLvlLbl val="0"/>
      </c:catAx>
      <c:valAx>
        <c:axId val="-16119058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04752"/>
        <c:crosses val="autoZero"/>
        <c:crossBetween val="between"/>
      </c:valAx>
      <c:valAx>
        <c:axId val="-133734244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323952"/>
        <c:crosses val="max"/>
        <c:crossBetween val="between"/>
      </c:valAx>
      <c:catAx>
        <c:axId val="-1337323952"/>
        <c:scaling>
          <c:orientation val="minMax"/>
        </c:scaling>
        <c:delete val="1"/>
        <c:axPos val="b"/>
        <c:numFmt formatCode="General" sourceLinked="1"/>
        <c:majorTickMark val="out"/>
        <c:minorTickMark val="none"/>
        <c:tickLblPos val="nextTo"/>
        <c:crossAx val="-1337342448"/>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Run_BASE!$A$2:$A$74</c:f>
              <c:strCache>
                <c:ptCount val="72"/>
                <c:pt idx="0">
                  <c:v>2018-07-25-11:00</c:v>
                </c:pt>
                <c:pt idx="1">
                  <c:v>2018-07-25-12:00</c:v>
                </c:pt>
                <c:pt idx="2">
                  <c:v>2018-07-25-13:00</c:v>
                </c:pt>
                <c:pt idx="3">
                  <c:v>2018-07-25-14:00</c:v>
                </c:pt>
                <c:pt idx="4">
                  <c:v>2018-07-25-15:00</c:v>
                </c:pt>
                <c:pt idx="5">
                  <c:v>2018-07-25-16:00</c:v>
                </c:pt>
                <c:pt idx="6">
                  <c:v>2018-07-25-17:00</c:v>
                </c:pt>
                <c:pt idx="7">
                  <c:v>2018-07-25-18:00</c:v>
                </c:pt>
                <c:pt idx="8">
                  <c:v>2018-07-25-19:00</c:v>
                </c:pt>
                <c:pt idx="9">
                  <c:v>2018-07-25-20:00</c:v>
                </c:pt>
                <c:pt idx="10">
                  <c:v>2018-07-25-21:00</c:v>
                </c:pt>
                <c:pt idx="11">
                  <c:v>2018-07-25-22:00</c:v>
                </c:pt>
                <c:pt idx="12">
                  <c:v>2018-07-25-23:00</c:v>
                </c:pt>
                <c:pt idx="13">
                  <c:v>2018-07-26-00:00</c:v>
                </c:pt>
                <c:pt idx="14">
                  <c:v>2018-07-26-01:00</c:v>
                </c:pt>
                <c:pt idx="15">
                  <c:v>2018-07-26-02:00</c:v>
                </c:pt>
                <c:pt idx="16">
                  <c:v>2018-07-26-03:00</c:v>
                </c:pt>
                <c:pt idx="17">
                  <c:v>2018-07-26-04:00</c:v>
                </c:pt>
                <c:pt idx="18">
                  <c:v>2018-07-26-05:00</c:v>
                </c:pt>
                <c:pt idx="19">
                  <c:v>2018-07-26-06:00</c:v>
                </c:pt>
                <c:pt idx="20">
                  <c:v>2018-07-26-07:00</c:v>
                </c:pt>
                <c:pt idx="21">
                  <c:v>2018-07-26-08:00</c:v>
                </c:pt>
                <c:pt idx="22">
                  <c:v>2018-07-26-09:00</c:v>
                </c:pt>
                <c:pt idx="23">
                  <c:v>2018-07-26-10:00</c:v>
                </c:pt>
                <c:pt idx="24">
                  <c:v>2018-07-26-11:00</c:v>
                </c:pt>
                <c:pt idx="25">
                  <c:v>2018-07-26-12:00</c:v>
                </c:pt>
                <c:pt idx="26">
                  <c:v>2018-07-26-13:00</c:v>
                </c:pt>
                <c:pt idx="27">
                  <c:v>2018-07-26-14:00</c:v>
                </c:pt>
                <c:pt idx="28">
                  <c:v>2018-07-26-15:00</c:v>
                </c:pt>
                <c:pt idx="29">
                  <c:v>2018-07-26-16:00</c:v>
                </c:pt>
                <c:pt idx="30">
                  <c:v>2018-07-26-17:00</c:v>
                </c:pt>
                <c:pt idx="31">
                  <c:v>2018-07-26-18:00</c:v>
                </c:pt>
                <c:pt idx="32">
                  <c:v>2018-07-26-19:00</c:v>
                </c:pt>
                <c:pt idx="33">
                  <c:v>2018-07-26-20:00</c:v>
                </c:pt>
                <c:pt idx="34">
                  <c:v>2018-07-26-21:00</c:v>
                </c:pt>
                <c:pt idx="35">
                  <c:v>2018-07-26-22:00</c:v>
                </c:pt>
                <c:pt idx="36">
                  <c:v>2018-07-26-23:00</c:v>
                </c:pt>
                <c:pt idx="37">
                  <c:v>2018-07-27-00:00</c:v>
                </c:pt>
                <c:pt idx="38">
                  <c:v>2018-07-27-01:00</c:v>
                </c:pt>
                <c:pt idx="39">
                  <c:v>2018-07-27-02:00</c:v>
                </c:pt>
                <c:pt idx="40">
                  <c:v>2018-07-27-03:00</c:v>
                </c:pt>
                <c:pt idx="41">
                  <c:v>2018-07-27-04:00</c:v>
                </c:pt>
                <c:pt idx="42">
                  <c:v>2018-07-27-05:00</c:v>
                </c:pt>
                <c:pt idx="43">
                  <c:v>2018-07-27-06:00</c:v>
                </c:pt>
                <c:pt idx="44">
                  <c:v>2018-07-27-07:00</c:v>
                </c:pt>
                <c:pt idx="45">
                  <c:v>2018-07-27-08:00</c:v>
                </c:pt>
                <c:pt idx="46">
                  <c:v>2018-07-27-09:00</c:v>
                </c:pt>
                <c:pt idx="47">
                  <c:v>2018-07-27-10:00</c:v>
                </c:pt>
                <c:pt idx="48">
                  <c:v>2018-07-27-11:00</c:v>
                </c:pt>
                <c:pt idx="49">
                  <c:v>2018-07-27-12:00</c:v>
                </c:pt>
                <c:pt idx="50">
                  <c:v>2018-07-27-13:00</c:v>
                </c:pt>
                <c:pt idx="51">
                  <c:v>2018-07-27-14:00</c:v>
                </c:pt>
                <c:pt idx="52">
                  <c:v>2018-07-27-15:00</c:v>
                </c:pt>
                <c:pt idx="53">
                  <c:v>2018-07-27-16:00</c:v>
                </c:pt>
                <c:pt idx="54">
                  <c:v>2018-07-27-17:00</c:v>
                </c:pt>
                <c:pt idx="55">
                  <c:v>2018-07-27-18:00</c:v>
                </c:pt>
                <c:pt idx="56">
                  <c:v>2018-07-27-19:00</c:v>
                </c:pt>
                <c:pt idx="57">
                  <c:v>2018-07-27-20:00</c:v>
                </c:pt>
                <c:pt idx="58">
                  <c:v>2018-07-27-21:00</c:v>
                </c:pt>
                <c:pt idx="59">
                  <c:v>2018-07-27-22:00</c:v>
                </c:pt>
                <c:pt idx="60">
                  <c:v>2018-07-27-23:00</c:v>
                </c:pt>
                <c:pt idx="61">
                  <c:v>2018-07-30-00:00</c:v>
                </c:pt>
                <c:pt idx="62">
                  <c:v>2018-07-30-01:00</c:v>
                </c:pt>
                <c:pt idx="63">
                  <c:v>2018-07-30-02:00</c:v>
                </c:pt>
                <c:pt idx="64">
                  <c:v>2018-07-30-03:00</c:v>
                </c:pt>
                <c:pt idx="65">
                  <c:v>2018-07-30-04:00</c:v>
                </c:pt>
                <c:pt idx="66">
                  <c:v>2018-07-30-05:00</c:v>
                </c:pt>
                <c:pt idx="67">
                  <c:v>2018-07-30-06:00</c:v>
                </c:pt>
                <c:pt idx="68">
                  <c:v>2018-07-30-07:00</c:v>
                </c:pt>
                <c:pt idx="69">
                  <c:v>2018-07-30-08:00</c:v>
                </c:pt>
                <c:pt idx="70">
                  <c:v>2018-07-30-09:00</c:v>
                </c:pt>
                <c:pt idx="71">
                  <c:v>2018-07-30-10:00</c:v>
                </c:pt>
              </c:strCache>
            </c:strRef>
          </c:cat>
          <c:val>
            <c:numRef>
              <c:f>Run_BASE!$B$2:$B$74</c:f>
              <c:numCache>
                <c:formatCode>0.00000</c:formatCode>
                <c:ptCount val="72"/>
                <c:pt idx="0">
                  <c:v>1.1690249741077401</c:v>
                </c:pt>
                <c:pt idx="1">
                  <c:v>1.1699250042438525</c:v>
                </c:pt>
                <c:pt idx="2">
                  <c:v>1.1697050034999874</c:v>
                </c:pt>
                <c:pt idx="3">
                  <c:v>1.1693825125694275</c:v>
                </c:pt>
                <c:pt idx="4">
                  <c:v>1.1694424748420724</c:v>
                </c:pt>
                <c:pt idx="5">
                  <c:v>1.1699849963188149</c:v>
                </c:pt>
                <c:pt idx="6">
                  <c:v>1.1684624850749949</c:v>
                </c:pt>
                <c:pt idx="7">
                  <c:v>1.1673249602317801</c:v>
                </c:pt>
                <c:pt idx="8">
                  <c:v>1.1676025092601776</c:v>
                </c:pt>
                <c:pt idx="9">
                  <c:v>1.1687700152397149</c:v>
                </c:pt>
                <c:pt idx="10">
                  <c:v>1.1700724959373476</c:v>
                </c:pt>
                <c:pt idx="11">
                  <c:v>1.171657502651215</c:v>
                </c:pt>
                <c:pt idx="12">
                  <c:v>1.1727750003337849</c:v>
                </c:pt>
                <c:pt idx="13">
                  <c:v>1.1725600063800825</c:v>
                </c:pt>
                <c:pt idx="14">
                  <c:v>1.1726324856281276</c:v>
                </c:pt>
                <c:pt idx="15">
                  <c:v>1.1734150052070624</c:v>
                </c:pt>
                <c:pt idx="16">
                  <c:v>1.17348748445511</c:v>
                </c:pt>
                <c:pt idx="17">
                  <c:v>1.1735224723815925</c:v>
                </c:pt>
                <c:pt idx="18">
                  <c:v>1.173359990119935</c:v>
                </c:pt>
                <c:pt idx="19">
                  <c:v>1.1733424961566925</c:v>
                </c:pt>
                <c:pt idx="20">
                  <c:v>1.1731449961662275</c:v>
                </c:pt>
                <c:pt idx="21">
                  <c:v>1.1731824874877925</c:v>
                </c:pt>
                <c:pt idx="22">
                  <c:v>1.1730699837207774</c:v>
                </c:pt>
                <c:pt idx="23">
                  <c:v>1.1727575361728675</c:v>
                </c:pt>
                <c:pt idx="24">
                  <c:v>1.1719225049018875</c:v>
                </c:pt>
                <c:pt idx="25">
                  <c:v>1.1712050139904024</c:v>
                </c:pt>
                <c:pt idx="26">
                  <c:v>1.1711800396442427</c:v>
                </c:pt>
                <c:pt idx="27">
                  <c:v>1.1710400283336648</c:v>
                </c:pt>
                <c:pt idx="28">
                  <c:v>1.1705974936485299</c:v>
                </c:pt>
                <c:pt idx="29">
                  <c:v>1.1686399877071376</c:v>
                </c:pt>
                <c:pt idx="30">
                  <c:v>1.1667975187301625</c:v>
                </c:pt>
                <c:pt idx="31">
                  <c:v>1.1656950116157498</c:v>
                </c:pt>
                <c:pt idx="32">
                  <c:v>1.1657399833202375</c:v>
                </c:pt>
                <c:pt idx="33">
                  <c:v>1.165872514247895</c:v>
                </c:pt>
                <c:pt idx="34">
                  <c:v>1.1648975014686573</c:v>
                </c:pt>
                <c:pt idx="35">
                  <c:v>1.1643275022506725</c:v>
                </c:pt>
                <c:pt idx="36">
                  <c:v>1.1642925143241873</c:v>
                </c:pt>
                <c:pt idx="37">
                  <c:v>1.1640450358390799</c:v>
                </c:pt>
                <c:pt idx="38">
                  <c:v>1.1639575064182275</c:v>
                </c:pt>
                <c:pt idx="39">
                  <c:v>1.16413250565529</c:v>
                </c:pt>
                <c:pt idx="40">
                  <c:v>1.164189994335175</c:v>
                </c:pt>
                <c:pt idx="41">
                  <c:v>1.1642374992370623</c:v>
                </c:pt>
                <c:pt idx="42">
                  <c:v>1.16474497318268</c:v>
                </c:pt>
                <c:pt idx="43">
                  <c:v>1.1650574803352352</c:v>
                </c:pt>
                <c:pt idx="44">
                  <c:v>1.1647900044918049</c:v>
                </c:pt>
                <c:pt idx="45">
                  <c:v>1.1645824909210225</c:v>
                </c:pt>
                <c:pt idx="46">
                  <c:v>1.16445752978325</c:v>
                </c:pt>
                <c:pt idx="47">
                  <c:v>1.16474249958992</c:v>
                </c:pt>
                <c:pt idx="48">
                  <c:v>1.1635424792766575</c:v>
                </c:pt>
                <c:pt idx="49">
                  <c:v>1.1626049876213076</c:v>
                </c:pt>
                <c:pt idx="50">
                  <c:v>1.1626524925231951</c:v>
                </c:pt>
                <c:pt idx="51">
                  <c:v>1.1626099944114676</c:v>
                </c:pt>
                <c:pt idx="52">
                  <c:v>1.1631049811840048</c:v>
                </c:pt>
                <c:pt idx="53">
                  <c:v>1.16458496451378</c:v>
                </c:pt>
                <c:pt idx="54">
                  <c:v>1.165409982204435</c:v>
                </c:pt>
                <c:pt idx="55">
                  <c:v>1.1654474735260001</c:v>
                </c:pt>
                <c:pt idx="56">
                  <c:v>1.1655700206756601</c:v>
                </c:pt>
                <c:pt idx="57">
                  <c:v>1.165647476911545</c:v>
                </c:pt>
                <c:pt idx="58">
                  <c:v>1.165652483701705</c:v>
                </c:pt>
                <c:pt idx="59">
                  <c:v>1.1658050119876848</c:v>
                </c:pt>
                <c:pt idx="60">
                  <c:v>1.16568499803543</c:v>
                </c:pt>
                <c:pt idx="61">
                  <c:v>1.1656225025653848</c:v>
                </c:pt>
                <c:pt idx="62">
                  <c:v>1.1658074855804426</c:v>
                </c:pt>
                <c:pt idx="63">
                  <c:v>1.1658774912357326</c:v>
                </c:pt>
                <c:pt idx="64">
                  <c:v>1.165914982557295</c:v>
                </c:pt>
                <c:pt idx="65">
                  <c:v>1.1657150089740751</c:v>
                </c:pt>
                <c:pt idx="66">
                  <c:v>1.1653825044631976</c:v>
                </c:pt>
                <c:pt idx="67">
                  <c:v>1.1652074754238124</c:v>
                </c:pt>
                <c:pt idx="68">
                  <c:v>1.1654074788093574</c:v>
                </c:pt>
                <c:pt idx="69">
                  <c:v>1.16586250066757</c:v>
                </c:pt>
                <c:pt idx="70">
                  <c:v>1.1658074855804426</c:v>
                </c:pt>
                <c:pt idx="71">
                  <c:v>1.1660825014114375</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Run_BASE!$A$2:$A$74</c:f>
              <c:strCache>
                <c:ptCount val="72"/>
                <c:pt idx="0">
                  <c:v>2018-07-25-11:00</c:v>
                </c:pt>
                <c:pt idx="1">
                  <c:v>2018-07-25-12:00</c:v>
                </c:pt>
                <c:pt idx="2">
                  <c:v>2018-07-25-13:00</c:v>
                </c:pt>
                <c:pt idx="3">
                  <c:v>2018-07-25-14:00</c:v>
                </c:pt>
                <c:pt idx="4">
                  <c:v>2018-07-25-15:00</c:v>
                </c:pt>
                <c:pt idx="5">
                  <c:v>2018-07-25-16:00</c:v>
                </c:pt>
                <c:pt idx="6">
                  <c:v>2018-07-25-17:00</c:v>
                </c:pt>
                <c:pt idx="7">
                  <c:v>2018-07-25-18:00</c:v>
                </c:pt>
                <c:pt idx="8">
                  <c:v>2018-07-25-19:00</c:v>
                </c:pt>
                <c:pt idx="9">
                  <c:v>2018-07-25-20:00</c:v>
                </c:pt>
                <c:pt idx="10">
                  <c:v>2018-07-25-21:00</c:v>
                </c:pt>
                <c:pt idx="11">
                  <c:v>2018-07-25-22:00</c:v>
                </c:pt>
                <c:pt idx="12">
                  <c:v>2018-07-25-23:00</c:v>
                </c:pt>
                <c:pt idx="13">
                  <c:v>2018-07-26-00:00</c:v>
                </c:pt>
                <c:pt idx="14">
                  <c:v>2018-07-26-01:00</c:v>
                </c:pt>
                <c:pt idx="15">
                  <c:v>2018-07-26-02:00</c:v>
                </c:pt>
                <c:pt idx="16">
                  <c:v>2018-07-26-03:00</c:v>
                </c:pt>
                <c:pt idx="17">
                  <c:v>2018-07-26-04:00</c:v>
                </c:pt>
                <c:pt idx="18">
                  <c:v>2018-07-26-05:00</c:v>
                </c:pt>
                <c:pt idx="19">
                  <c:v>2018-07-26-06:00</c:v>
                </c:pt>
                <c:pt idx="20">
                  <c:v>2018-07-26-07:00</c:v>
                </c:pt>
                <c:pt idx="21">
                  <c:v>2018-07-26-08:00</c:v>
                </c:pt>
                <c:pt idx="22">
                  <c:v>2018-07-26-09:00</c:v>
                </c:pt>
                <c:pt idx="23">
                  <c:v>2018-07-26-10:00</c:v>
                </c:pt>
                <c:pt idx="24">
                  <c:v>2018-07-26-11:00</c:v>
                </c:pt>
                <c:pt idx="25">
                  <c:v>2018-07-26-12:00</c:v>
                </c:pt>
                <c:pt idx="26">
                  <c:v>2018-07-26-13:00</c:v>
                </c:pt>
                <c:pt idx="27">
                  <c:v>2018-07-26-14:00</c:v>
                </c:pt>
                <c:pt idx="28">
                  <c:v>2018-07-26-15:00</c:v>
                </c:pt>
                <c:pt idx="29">
                  <c:v>2018-07-26-16:00</c:v>
                </c:pt>
                <c:pt idx="30">
                  <c:v>2018-07-26-17:00</c:v>
                </c:pt>
                <c:pt idx="31">
                  <c:v>2018-07-26-18:00</c:v>
                </c:pt>
                <c:pt idx="32">
                  <c:v>2018-07-26-19:00</c:v>
                </c:pt>
                <c:pt idx="33">
                  <c:v>2018-07-26-20:00</c:v>
                </c:pt>
                <c:pt idx="34">
                  <c:v>2018-07-26-21:00</c:v>
                </c:pt>
                <c:pt idx="35">
                  <c:v>2018-07-26-22:00</c:v>
                </c:pt>
                <c:pt idx="36">
                  <c:v>2018-07-26-23:00</c:v>
                </c:pt>
                <c:pt idx="37">
                  <c:v>2018-07-27-00:00</c:v>
                </c:pt>
                <c:pt idx="38">
                  <c:v>2018-07-27-01:00</c:v>
                </c:pt>
                <c:pt idx="39">
                  <c:v>2018-07-27-02:00</c:v>
                </c:pt>
                <c:pt idx="40">
                  <c:v>2018-07-27-03:00</c:v>
                </c:pt>
                <c:pt idx="41">
                  <c:v>2018-07-27-04:00</c:v>
                </c:pt>
                <c:pt idx="42">
                  <c:v>2018-07-27-05:00</c:v>
                </c:pt>
                <c:pt idx="43">
                  <c:v>2018-07-27-06:00</c:v>
                </c:pt>
                <c:pt idx="44">
                  <c:v>2018-07-27-07:00</c:v>
                </c:pt>
                <c:pt idx="45">
                  <c:v>2018-07-27-08:00</c:v>
                </c:pt>
                <c:pt idx="46">
                  <c:v>2018-07-27-09:00</c:v>
                </c:pt>
                <c:pt idx="47">
                  <c:v>2018-07-27-10:00</c:v>
                </c:pt>
                <c:pt idx="48">
                  <c:v>2018-07-27-11:00</c:v>
                </c:pt>
                <c:pt idx="49">
                  <c:v>2018-07-27-12:00</c:v>
                </c:pt>
                <c:pt idx="50">
                  <c:v>2018-07-27-13:00</c:v>
                </c:pt>
                <c:pt idx="51">
                  <c:v>2018-07-27-14:00</c:v>
                </c:pt>
                <c:pt idx="52">
                  <c:v>2018-07-27-15:00</c:v>
                </c:pt>
                <c:pt idx="53">
                  <c:v>2018-07-27-16:00</c:v>
                </c:pt>
                <c:pt idx="54">
                  <c:v>2018-07-27-17:00</c:v>
                </c:pt>
                <c:pt idx="55">
                  <c:v>2018-07-27-18:00</c:v>
                </c:pt>
                <c:pt idx="56">
                  <c:v>2018-07-27-19:00</c:v>
                </c:pt>
                <c:pt idx="57">
                  <c:v>2018-07-27-20:00</c:v>
                </c:pt>
                <c:pt idx="58">
                  <c:v>2018-07-27-21:00</c:v>
                </c:pt>
                <c:pt idx="59">
                  <c:v>2018-07-27-22:00</c:v>
                </c:pt>
                <c:pt idx="60">
                  <c:v>2018-07-27-23:00</c:v>
                </c:pt>
                <c:pt idx="61">
                  <c:v>2018-07-30-00:00</c:v>
                </c:pt>
                <c:pt idx="62">
                  <c:v>2018-07-30-01:00</c:v>
                </c:pt>
                <c:pt idx="63">
                  <c:v>2018-07-30-02:00</c:v>
                </c:pt>
                <c:pt idx="64">
                  <c:v>2018-07-30-03:00</c:v>
                </c:pt>
                <c:pt idx="65">
                  <c:v>2018-07-30-04:00</c:v>
                </c:pt>
                <c:pt idx="66">
                  <c:v>2018-07-30-05:00</c:v>
                </c:pt>
                <c:pt idx="67">
                  <c:v>2018-07-30-06:00</c:v>
                </c:pt>
                <c:pt idx="68">
                  <c:v>2018-07-30-07:00</c:v>
                </c:pt>
                <c:pt idx="69">
                  <c:v>2018-07-30-08:00</c:v>
                </c:pt>
                <c:pt idx="70">
                  <c:v>2018-07-30-09:00</c:v>
                </c:pt>
                <c:pt idx="71">
                  <c:v>2018-07-30-10:00</c:v>
                </c:pt>
              </c:strCache>
            </c:strRef>
          </c:cat>
          <c:val>
            <c:numRef>
              <c:f>Run_BASE!$C$2:$C$74</c:f>
              <c:numCache>
                <c:formatCode>0.00000</c:formatCode>
                <c:ptCount val="72"/>
                <c:pt idx="50">
                  <c:v>1.1626335084438351</c:v>
                </c:pt>
                <c:pt idx="51">
                  <c:v>1.1626110076904299</c:v>
                </c:pt>
                <c:pt idx="52">
                  <c:v>1.1632097065448774</c:v>
                </c:pt>
                <c:pt idx="53">
                  <c:v>1.1645775437355026</c:v>
                </c:pt>
                <c:pt idx="54">
                  <c:v>1.1654091179370876</c:v>
                </c:pt>
                <c:pt idx="55">
                  <c:v>1.1654538512229926</c:v>
                </c:pt>
                <c:pt idx="56">
                  <c:v>1.1655337810516351</c:v>
                </c:pt>
                <c:pt idx="57">
                  <c:v>1.1656557023525225</c:v>
                </c:pt>
                <c:pt idx="58">
                  <c:v>1.16564241051674</c:v>
                </c:pt>
                <c:pt idx="59">
                  <c:v>1.1658387780189523</c:v>
                </c:pt>
                <c:pt idx="60">
                  <c:v>1.1657061576843275</c:v>
                </c:pt>
                <c:pt idx="61">
                  <c:v>1.1655432283878326</c:v>
                </c:pt>
                <c:pt idx="62">
                  <c:v>1.1658404171466823</c:v>
                </c:pt>
                <c:pt idx="63">
                  <c:v>1.1658403873443599</c:v>
                </c:pt>
                <c:pt idx="64">
                  <c:v>1.1659158766269699</c:v>
                </c:pt>
                <c:pt idx="65">
                  <c:v>1.1656772494316101</c:v>
                </c:pt>
                <c:pt idx="66">
                  <c:v>1.1652842164039625</c:v>
                </c:pt>
                <c:pt idx="67">
                  <c:v>1.1653588712215426</c:v>
                </c:pt>
                <c:pt idx="68">
                  <c:v>1.1653674244880676</c:v>
                </c:pt>
                <c:pt idx="69">
                  <c:v>1.1651482582092274</c:v>
                </c:pt>
                <c:pt idx="70">
                  <c:v>1.16610187292099</c:v>
                </c:pt>
                <c:pt idx="71">
                  <c:v>1.1655518114566825</c:v>
                </c:pt>
              </c:numCache>
            </c:numRef>
          </c:val>
          <c:smooth val="0"/>
        </c:ser>
        <c:dLbls>
          <c:showLegendKey val="0"/>
          <c:showVal val="0"/>
          <c:showCatName val="0"/>
          <c:showSerName val="0"/>
          <c:showPercent val="0"/>
          <c:showBubbleSize val="0"/>
        </c:dLbls>
        <c:marker val="1"/>
        <c:smooth val="0"/>
        <c:axId val="-1611902576"/>
        <c:axId val="-1611910192"/>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Run_BASE!$A$2:$A$74</c:f>
              <c:strCache>
                <c:ptCount val="72"/>
                <c:pt idx="0">
                  <c:v>2018-07-25-11:00</c:v>
                </c:pt>
                <c:pt idx="1">
                  <c:v>2018-07-25-12:00</c:v>
                </c:pt>
                <c:pt idx="2">
                  <c:v>2018-07-25-13:00</c:v>
                </c:pt>
                <c:pt idx="3">
                  <c:v>2018-07-25-14:00</c:v>
                </c:pt>
                <c:pt idx="4">
                  <c:v>2018-07-25-15:00</c:v>
                </c:pt>
                <c:pt idx="5">
                  <c:v>2018-07-25-16:00</c:v>
                </c:pt>
                <c:pt idx="6">
                  <c:v>2018-07-25-17:00</c:v>
                </c:pt>
                <c:pt idx="7">
                  <c:v>2018-07-25-18:00</c:v>
                </c:pt>
                <c:pt idx="8">
                  <c:v>2018-07-25-19:00</c:v>
                </c:pt>
                <c:pt idx="9">
                  <c:v>2018-07-25-20:00</c:v>
                </c:pt>
                <c:pt idx="10">
                  <c:v>2018-07-25-21:00</c:v>
                </c:pt>
                <c:pt idx="11">
                  <c:v>2018-07-25-22:00</c:v>
                </c:pt>
                <c:pt idx="12">
                  <c:v>2018-07-25-23:00</c:v>
                </c:pt>
                <c:pt idx="13">
                  <c:v>2018-07-26-00:00</c:v>
                </c:pt>
                <c:pt idx="14">
                  <c:v>2018-07-26-01:00</c:v>
                </c:pt>
                <c:pt idx="15">
                  <c:v>2018-07-26-02:00</c:v>
                </c:pt>
                <c:pt idx="16">
                  <c:v>2018-07-26-03:00</c:v>
                </c:pt>
                <c:pt idx="17">
                  <c:v>2018-07-26-04:00</c:v>
                </c:pt>
                <c:pt idx="18">
                  <c:v>2018-07-26-05:00</c:v>
                </c:pt>
                <c:pt idx="19">
                  <c:v>2018-07-26-06:00</c:v>
                </c:pt>
                <c:pt idx="20">
                  <c:v>2018-07-26-07:00</c:v>
                </c:pt>
                <c:pt idx="21">
                  <c:v>2018-07-26-08:00</c:v>
                </c:pt>
                <c:pt idx="22">
                  <c:v>2018-07-26-09:00</c:v>
                </c:pt>
                <c:pt idx="23">
                  <c:v>2018-07-26-10:00</c:v>
                </c:pt>
                <c:pt idx="24">
                  <c:v>2018-07-26-11:00</c:v>
                </c:pt>
                <c:pt idx="25">
                  <c:v>2018-07-26-12:00</c:v>
                </c:pt>
                <c:pt idx="26">
                  <c:v>2018-07-26-13:00</c:v>
                </c:pt>
                <c:pt idx="27">
                  <c:v>2018-07-26-14:00</c:v>
                </c:pt>
                <c:pt idx="28">
                  <c:v>2018-07-26-15:00</c:v>
                </c:pt>
                <c:pt idx="29">
                  <c:v>2018-07-26-16:00</c:v>
                </c:pt>
                <c:pt idx="30">
                  <c:v>2018-07-26-17:00</c:v>
                </c:pt>
                <c:pt idx="31">
                  <c:v>2018-07-26-18:00</c:v>
                </c:pt>
                <c:pt idx="32">
                  <c:v>2018-07-26-19:00</c:v>
                </c:pt>
                <c:pt idx="33">
                  <c:v>2018-07-26-20:00</c:v>
                </c:pt>
                <c:pt idx="34">
                  <c:v>2018-07-26-21:00</c:v>
                </c:pt>
                <c:pt idx="35">
                  <c:v>2018-07-26-22:00</c:v>
                </c:pt>
                <c:pt idx="36">
                  <c:v>2018-07-26-23:00</c:v>
                </c:pt>
                <c:pt idx="37">
                  <c:v>2018-07-27-00:00</c:v>
                </c:pt>
                <c:pt idx="38">
                  <c:v>2018-07-27-01:00</c:v>
                </c:pt>
                <c:pt idx="39">
                  <c:v>2018-07-27-02:00</c:v>
                </c:pt>
                <c:pt idx="40">
                  <c:v>2018-07-27-03:00</c:v>
                </c:pt>
                <c:pt idx="41">
                  <c:v>2018-07-27-04:00</c:v>
                </c:pt>
                <c:pt idx="42">
                  <c:v>2018-07-27-05:00</c:v>
                </c:pt>
                <c:pt idx="43">
                  <c:v>2018-07-27-06:00</c:v>
                </c:pt>
                <c:pt idx="44">
                  <c:v>2018-07-27-07:00</c:v>
                </c:pt>
                <c:pt idx="45">
                  <c:v>2018-07-27-08:00</c:v>
                </c:pt>
                <c:pt idx="46">
                  <c:v>2018-07-27-09:00</c:v>
                </c:pt>
                <c:pt idx="47">
                  <c:v>2018-07-27-10:00</c:v>
                </c:pt>
                <c:pt idx="48">
                  <c:v>2018-07-27-11:00</c:v>
                </c:pt>
                <c:pt idx="49">
                  <c:v>2018-07-27-12:00</c:v>
                </c:pt>
                <c:pt idx="50">
                  <c:v>2018-07-27-13:00</c:v>
                </c:pt>
                <c:pt idx="51">
                  <c:v>2018-07-27-14:00</c:v>
                </c:pt>
                <c:pt idx="52">
                  <c:v>2018-07-27-15:00</c:v>
                </c:pt>
                <c:pt idx="53">
                  <c:v>2018-07-27-16:00</c:v>
                </c:pt>
                <c:pt idx="54">
                  <c:v>2018-07-27-17:00</c:v>
                </c:pt>
                <c:pt idx="55">
                  <c:v>2018-07-27-18:00</c:v>
                </c:pt>
                <c:pt idx="56">
                  <c:v>2018-07-27-19:00</c:v>
                </c:pt>
                <c:pt idx="57">
                  <c:v>2018-07-27-20:00</c:v>
                </c:pt>
                <c:pt idx="58">
                  <c:v>2018-07-27-21:00</c:v>
                </c:pt>
                <c:pt idx="59">
                  <c:v>2018-07-27-22:00</c:v>
                </c:pt>
                <c:pt idx="60">
                  <c:v>2018-07-27-23:00</c:v>
                </c:pt>
                <c:pt idx="61">
                  <c:v>2018-07-30-00:00</c:v>
                </c:pt>
                <c:pt idx="62">
                  <c:v>2018-07-30-01:00</c:v>
                </c:pt>
                <c:pt idx="63">
                  <c:v>2018-07-30-02:00</c:v>
                </c:pt>
                <c:pt idx="64">
                  <c:v>2018-07-30-03:00</c:v>
                </c:pt>
                <c:pt idx="65">
                  <c:v>2018-07-30-04:00</c:v>
                </c:pt>
                <c:pt idx="66">
                  <c:v>2018-07-30-05:00</c:v>
                </c:pt>
                <c:pt idx="67">
                  <c:v>2018-07-30-06:00</c:v>
                </c:pt>
                <c:pt idx="68">
                  <c:v>2018-07-30-07:00</c:v>
                </c:pt>
                <c:pt idx="69">
                  <c:v>2018-07-30-08:00</c:v>
                </c:pt>
                <c:pt idx="70">
                  <c:v>2018-07-30-09:00</c:v>
                </c:pt>
                <c:pt idx="71">
                  <c:v>2018-07-30-10:00</c:v>
                </c:pt>
              </c:strCache>
            </c:strRef>
          </c:cat>
          <c:val>
            <c:numRef>
              <c:f>Run_BASE!$D$2:$D$74</c:f>
              <c:numCache>
                <c:formatCode>0.00000</c:formatCode>
                <c:ptCount val="72"/>
                <c:pt idx="50">
                  <c:v>3.7997961045000005E-5</c:v>
                </c:pt>
                <c:pt idx="51">
                  <c:v>5.44190406825E-5</c:v>
                </c:pt>
                <c:pt idx="52">
                  <c:v>1.047253608725E-4</c:v>
                </c:pt>
                <c:pt idx="53">
                  <c:v>2.3037195207499999E-5</c:v>
                </c:pt>
                <c:pt idx="54">
                  <c:v>1.4695525169750002E-4</c:v>
                </c:pt>
                <c:pt idx="55">
                  <c:v>1.058578491225E-4</c:v>
                </c:pt>
                <c:pt idx="56">
                  <c:v>3.6239624024999998E-5</c:v>
                </c:pt>
                <c:pt idx="57">
                  <c:v>1.1789798736749999E-4</c:v>
                </c:pt>
                <c:pt idx="58">
                  <c:v>1.2564659118999999E-4</c:v>
                </c:pt>
                <c:pt idx="59">
                  <c:v>4.5627355577499996E-5</c:v>
                </c:pt>
                <c:pt idx="60">
                  <c:v>9.2983245847500005E-5</c:v>
                </c:pt>
                <c:pt idx="61">
                  <c:v>1.4925003051750001E-4</c:v>
                </c:pt>
                <c:pt idx="62">
                  <c:v>7.3820352555E-5</c:v>
                </c:pt>
                <c:pt idx="63">
                  <c:v>1.0338425636249999E-4</c:v>
                </c:pt>
                <c:pt idx="64">
                  <c:v>7.5519084929999997E-5</c:v>
                </c:pt>
                <c:pt idx="65">
                  <c:v>1.5297532081499999E-4</c:v>
                </c:pt>
                <c:pt idx="66">
                  <c:v>2.2339820861999997E-4</c:v>
                </c:pt>
                <c:pt idx="67">
                  <c:v>2.4449825287000001E-4</c:v>
                </c:pt>
                <c:pt idx="68">
                  <c:v>4.8816204070000002E-5</c:v>
                </c:pt>
                <c:pt idx="69">
                  <c:v>7.1424245834249994E-4</c:v>
                </c:pt>
                <c:pt idx="70">
                  <c:v>8.2653760910250001E-4</c:v>
                </c:pt>
                <c:pt idx="71">
                  <c:v>1.435846090315E-3</c:v>
                </c:pt>
              </c:numCache>
            </c:numRef>
          </c:val>
          <c:smooth val="0"/>
        </c:ser>
        <c:dLbls>
          <c:showLegendKey val="0"/>
          <c:showVal val="0"/>
          <c:showCatName val="0"/>
          <c:showSerName val="0"/>
          <c:showPercent val="0"/>
          <c:showBubbleSize val="0"/>
        </c:dLbls>
        <c:marker val="1"/>
        <c:smooth val="0"/>
        <c:axId val="-1337304912"/>
        <c:axId val="-1337301104"/>
      </c:lineChart>
      <c:catAx>
        <c:axId val="-161190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10192"/>
        <c:crosses val="autoZero"/>
        <c:auto val="1"/>
        <c:lblAlgn val="ctr"/>
        <c:lblOffset val="100"/>
        <c:tickLblSkip val="1"/>
        <c:noMultiLvlLbl val="0"/>
      </c:catAx>
      <c:valAx>
        <c:axId val="-16119101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902576"/>
        <c:crosses val="autoZero"/>
        <c:crossBetween val="between"/>
      </c:valAx>
      <c:valAx>
        <c:axId val="-13373011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304912"/>
        <c:crosses val="max"/>
        <c:crossBetween val="between"/>
      </c:valAx>
      <c:catAx>
        <c:axId val="-1337304912"/>
        <c:scaling>
          <c:orientation val="minMax"/>
        </c:scaling>
        <c:delete val="1"/>
        <c:axPos val="b"/>
        <c:numFmt formatCode="General" sourceLinked="1"/>
        <c:majorTickMark val="out"/>
        <c:minorTickMark val="none"/>
        <c:tickLblPos val="nextTo"/>
        <c:crossAx val="-1337301104"/>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TradeError!$B$2</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TradeError!$A$3:$A$27</c:f>
              <c:strCache>
                <c:ptCount val="25"/>
                <c:pt idx="0">
                  <c:v>2018-07-27 21:00</c:v>
                </c:pt>
                <c:pt idx="1">
                  <c:v>2018-07-27 22:00</c:v>
                </c:pt>
                <c:pt idx="2">
                  <c:v>2018-07-27 23:00</c:v>
                </c:pt>
                <c:pt idx="3">
                  <c:v>2018-07-30 00:00</c:v>
                </c:pt>
                <c:pt idx="4">
                  <c:v>2018-07-30 01:00</c:v>
                </c:pt>
                <c:pt idx="5">
                  <c:v>2018-07-30 02:00</c:v>
                </c:pt>
                <c:pt idx="6">
                  <c:v>2018-07-30 03:00</c:v>
                </c:pt>
                <c:pt idx="7">
                  <c:v>2018-07-30 04:00</c:v>
                </c:pt>
                <c:pt idx="8">
                  <c:v>2018-07-30 05:00</c:v>
                </c:pt>
                <c:pt idx="9">
                  <c:v>2018-07-30 06:00</c:v>
                </c:pt>
                <c:pt idx="10">
                  <c:v>2018-07-30 07:00</c:v>
                </c:pt>
                <c:pt idx="11">
                  <c:v>2018-07-30 08:00</c:v>
                </c:pt>
                <c:pt idx="12">
                  <c:v>2018-07-30 09:00</c:v>
                </c:pt>
                <c:pt idx="13">
                  <c:v>2018-07-30 10:00</c:v>
                </c:pt>
                <c:pt idx="14">
                  <c:v>2018-07-30 11:00</c:v>
                </c:pt>
                <c:pt idx="15">
                  <c:v>2018-07-30 12:00</c:v>
                </c:pt>
                <c:pt idx="16">
                  <c:v>2018-07-30 13:00</c:v>
                </c:pt>
                <c:pt idx="17">
                  <c:v>2018-07-30 14:00</c:v>
                </c:pt>
                <c:pt idx="18">
                  <c:v>2018-07-30 15:00</c:v>
                </c:pt>
                <c:pt idx="19">
                  <c:v>2018-07-30 16:00</c:v>
                </c:pt>
                <c:pt idx="20">
                  <c:v>2018-07-30 17:00</c:v>
                </c:pt>
                <c:pt idx="21">
                  <c:v>2018-07-30 18:00</c:v>
                </c:pt>
                <c:pt idx="22">
                  <c:v>2018-07-30 19:00</c:v>
                </c:pt>
                <c:pt idx="23">
                  <c:v>2018-07-30 20:00</c:v>
                </c:pt>
                <c:pt idx="24">
                  <c:v>2018-07-30 21:00</c:v>
                </c:pt>
              </c:strCache>
            </c:strRef>
          </c:cat>
          <c:val>
            <c:numRef>
              <c:f>TradeError!$B$3:$B$27</c:f>
              <c:numCache>
                <c:formatCode>0.00000</c:formatCode>
                <c:ptCount val="25"/>
                <c:pt idx="0">
                  <c:v>1.16595</c:v>
                </c:pt>
                <c:pt idx="1">
                  <c:v>1.1663600000000001</c:v>
                </c:pt>
                <c:pt idx="2">
                  <c:v>1.1660200000000001</c:v>
                </c:pt>
                <c:pt idx="3">
                  <c:v>1.1658500000000001</c:v>
                </c:pt>
                <c:pt idx="4">
                  <c:v>1.16597</c:v>
                </c:pt>
                <c:pt idx="5">
                  <c:v>1.16597</c:v>
                </c:pt>
                <c:pt idx="6">
                  <c:v>1.1664099999999999</c:v>
                </c:pt>
                <c:pt idx="7">
                  <c:v>1.16608</c:v>
                </c:pt>
                <c:pt idx="8">
                  <c:v>1.1657900000000001</c:v>
                </c:pt>
                <c:pt idx="9">
                  <c:v>1.1654500000000001</c:v>
                </c:pt>
                <c:pt idx="10">
                  <c:v>1.1656299999999999</c:v>
                </c:pt>
                <c:pt idx="11">
                  <c:v>1.16642</c:v>
                </c:pt>
                <c:pt idx="12">
                  <c:v>1.16631</c:v>
                </c:pt>
                <c:pt idx="13">
                  <c:v>1.1673199999999999</c:v>
                </c:pt>
                <c:pt idx="14">
                  <c:v>1.16761</c:v>
                </c:pt>
                <c:pt idx="15">
                  <c:v>1.1692</c:v>
                </c:pt>
                <c:pt idx="16">
                  <c:v>1.16862</c:v>
                </c:pt>
                <c:pt idx="17">
                  <c:v>1.1687000000000001</c:v>
                </c:pt>
                <c:pt idx="18">
                  <c:v>1.1694599999999999</c:v>
                </c:pt>
                <c:pt idx="19">
                  <c:v>1.17099</c:v>
                </c:pt>
                <c:pt idx="20">
                  <c:v>1.17154</c:v>
                </c:pt>
                <c:pt idx="21">
                  <c:v>1.1718</c:v>
                </c:pt>
                <c:pt idx="22">
                  <c:v>1.17171</c:v>
                </c:pt>
                <c:pt idx="23">
                  <c:v>1.17167</c:v>
                </c:pt>
                <c:pt idx="24">
                  <c:v>1.17134</c:v>
                </c:pt>
              </c:numCache>
            </c:numRef>
          </c:val>
          <c:smooth val="0"/>
        </c:ser>
        <c:ser>
          <c:idx val="1"/>
          <c:order val="1"/>
          <c:tx>
            <c:strRef>
              <c:f>TradeError!$C$2</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TradeError!$A$3:$A$27</c:f>
              <c:strCache>
                <c:ptCount val="25"/>
                <c:pt idx="0">
                  <c:v>2018-07-27 21:00</c:v>
                </c:pt>
                <c:pt idx="1">
                  <c:v>2018-07-27 22:00</c:v>
                </c:pt>
                <c:pt idx="2">
                  <c:v>2018-07-27 23:00</c:v>
                </c:pt>
                <c:pt idx="3">
                  <c:v>2018-07-30 00:00</c:v>
                </c:pt>
                <c:pt idx="4">
                  <c:v>2018-07-30 01:00</c:v>
                </c:pt>
                <c:pt idx="5">
                  <c:v>2018-07-30 02:00</c:v>
                </c:pt>
                <c:pt idx="6">
                  <c:v>2018-07-30 03:00</c:v>
                </c:pt>
                <c:pt idx="7">
                  <c:v>2018-07-30 04:00</c:v>
                </c:pt>
                <c:pt idx="8">
                  <c:v>2018-07-30 05:00</c:v>
                </c:pt>
                <c:pt idx="9">
                  <c:v>2018-07-30 06:00</c:v>
                </c:pt>
                <c:pt idx="10">
                  <c:v>2018-07-30 07:00</c:v>
                </c:pt>
                <c:pt idx="11">
                  <c:v>2018-07-30 08:00</c:v>
                </c:pt>
                <c:pt idx="12">
                  <c:v>2018-07-30 09:00</c:v>
                </c:pt>
                <c:pt idx="13">
                  <c:v>2018-07-30 10:00</c:v>
                </c:pt>
                <c:pt idx="14">
                  <c:v>2018-07-30 11:00</c:v>
                </c:pt>
                <c:pt idx="15">
                  <c:v>2018-07-30 12:00</c:v>
                </c:pt>
                <c:pt idx="16">
                  <c:v>2018-07-30 13:00</c:v>
                </c:pt>
                <c:pt idx="17">
                  <c:v>2018-07-30 14:00</c:v>
                </c:pt>
                <c:pt idx="18">
                  <c:v>2018-07-30 15:00</c:v>
                </c:pt>
                <c:pt idx="19">
                  <c:v>2018-07-30 16:00</c:v>
                </c:pt>
                <c:pt idx="20">
                  <c:v>2018-07-30 17:00</c:v>
                </c:pt>
                <c:pt idx="21">
                  <c:v>2018-07-30 18:00</c:v>
                </c:pt>
                <c:pt idx="22">
                  <c:v>2018-07-30 19:00</c:v>
                </c:pt>
                <c:pt idx="23">
                  <c:v>2018-07-30 20:00</c:v>
                </c:pt>
                <c:pt idx="24">
                  <c:v>2018-07-30 21:00</c:v>
                </c:pt>
              </c:strCache>
            </c:strRef>
          </c:cat>
          <c:val>
            <c:numRef>
              <c:f>TradeError!$C$3:$C$27</c:f>
              <c:numCache>
                <c:formatCode>0.00000</c:formatCode>
                <c:ptCount val="25"/>
                <c:pt idx="0">
                  <c:v>1.166906</c:v>
                </c:pt>
                <c:pt idx="1">
                  <c:v>1.165872</c:v>
                </c:pt>
                <c:pt idx="2">
                  <c:v>1.1663790000000001</c:v>
                </c:pt>
                <c:pt idx="3">
                  <c:v>1.165694</c:v>
                </c:pt>
                <c:pt idx="4">
                  <c:v>1.16588</c:v>
                </c:pt>
                <c:pt idx="6">
                  <c:v>1.1661969999999999</c:v>
                </c:pt>
                <c:pt idx="7">
                  <c:v>1.1664140000000001</c:v>
                </c:pt>
                <c:pt idx="8">
                  <c:v>1.165988</c:v>
                </c:pt>
                <c:pt idx="9">
                  <c:v>1.1660239999999999</c:v>
                </c:pt>
                <c:pt idx="10">
                  <c:v>1.1651560000000001</c:v>
                </c:pt>
                <c:pt idx="11">
                  <c:v>1.1655249999999999</c:v>
                </c:pt>
                <c:pt idx="12">
                  <c:v>1.165799</c:v>
                </c:pt>
                <c:pt idx="13">
                  <c:v>1.1659930000000001</c:v>
                </c:pt>
                <c:pt idx="14">
                  <c:v>1.1675180000000001</c:v>
                </c:pt>
                <c:pt idx="15">
                  <c:v>1.168121</c:v>
                </c:pt>
                <c:pt idx="16">
                  <c:v>1.1690940000000001</c:v>
                </c:pt>
                <c:pt idx="17">
                  <c:v>1.1684140000000001</c:v>
                </c:pt>
                <c:pt idx="18">
                  <c:v>1.1687829999999999</c:v>
                </c:pt>
                <c:pt idx="19">
                  <c:v>1.1703650000000001</c:v>
                </c:pt>
                <c:pt idx="20">
                  <c:v>1.1715949999999999</c:v>
                </c:pt>
                <c:pt idx="21">
                  <c:v>1.1714690000000001</c:v>
                </c:pt>
                <c:pt idx="22">
                  <c:v>1.171821</c:v>
                </c:pt>
                <c:pt idx="23">
                  <c:v>1.1717089999999999</c:v>
                </c:pt>
                <c:pt idx="24">
                  <c:v>1.171225</c:v>
                </c:pt>
              </c:numCache>
            </c:numRef>
          </c:val>
          <c:smooth val="0"/>
        </c:ser>
        <c:dLbls>
          <c:showLegendKey val="0"/>
          <c:showVal val="0"/>
          <c:showCatName val="0"/>
          <c:showSerName val="0"/>
          <c:showPercent val="0"/>
          <c:showBubbleSize val="0"/>
        </c:dLbls>
        <c:marker val="1"/>
        <c:smooth val="0"/>
        <c:axId val="-1611897680"/>
        <c:axId val="-1611898768"/>
      </c:lineChart>
      <c:lineChart>
        <c:grouping val="standard"/>
        <c:varyColors val="0"/>
        <c:ser>
          <c:idx val="2"/>
          <c:order val="2"/>
          <c:tx>
            <c:strRef>
              <c:f>TradeError!$D$2</c:f>
              <c:strCache>
                <c:ptCount val="1"/>
                <c:pt idx="0">
                  <c:v>Average of 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TradeError!$A$3:$A$27</c:f>
              <c:strCache>
                <c:ptCount val="25"/>
                <c:pt idx="0">
                  <c:v>2018-07-27 21:00</c:v>
                </c:pt>
                <c:pt idx="1">
                  <c:v>2018-07-27 22:00</c:v>
                </c:pt>
                <c:pt idx="2">
                  <c:v>2018-07-27 23:00</c:v>
                </c:pt>
                <c:pt idx="3">
                  <c:v>2018-07-30 00:00</c:v>
                </c:pt>
                <c:pt idx="4">
                  <c:v>2018-07-30 01:00</c:v>
                </c:pt>
                <c:pt idx="5">
                  <c:v>2018-07-30 02:00</c:v>
                </c:pt>
                <c:pt idx="6">
                  <c:v>2018-07-30 03:00</c:v>
                </c:pt>
                <c:pt idx="7">
                  <c:v>2018-07-30 04:00</c:v>
                </c:pt>
                <c:pt idx="8">
                  <c:v>2018-07-30 05:00</c:v>
                </c:pt>
                <c:pt idx="9">
                  <c:v>2018-07-30 06:00</c:v>
                </c:pt>
                <c:pt idx="10">
                  <c:v>2018-07-30 07:00</c:v>
                </c:pt>
                <c:pt idx="11">
                  <c:v>2018-07-30 08:00</c:v>
                </c:pt>
                <c:pt idx="12">
                  <c:v>2018-07-30 09:00</c:v>
                </c:pt>
                <c:pt idx="13">
                  <c:v>2018-07-30 10:00</c:v>
                </c:pt>
                <c:pt idx="14">
                  <c:v>2018-07-30 11:00</c:v>
                </c:pt>
                <c:pt idx="15">
                  <c:v>2018-07-30 12:00</c:v>
                </c:pt>
                <c:pt idx="16">
                  <c:v>2018-07-30 13:00</c:v>
                </c:pt>
                <c:pt idx="17">
                  <c:v>2018-07-30 14:00</c:v>
                </c:pt>
                <c:pt idx="18">
                  <c:v>2018-07-30 15:00</c:v>
                </c:pt>
                <c:pt idx="19">
                  <c:v>2018-07-30 16:00</c:v>
                </c:pt>
                <c:pt idx="20">
                  <c:v>2018-07-30 17:00</c:v>
                </c:pt>
                <c:pt idx="21">
                  <c:v>2018-07-30 18:00</c:v>
                </c:pt>
                <c:pt idx="22">
                  <c:v>2018-07-30 19:00</c:v>
                </c:pt>
                <c:pt idx="23">
                  <c:v>2018-07-30 20:00</c:v>
                </c:pt>
                <c:pt idx="24">
                  <c:v>2018-07-30 21:00</c:v>
                </c:pt>
              </c:strCache>
            </c:strRef>
          </c:cat>
          <c:val>
            <c:numRef>
              <c:f>TradeError!$D$3:$D$27</c:f>
              <c:numCache>
                <c:formatCode>0.00000</c:formatCode>
                <c:ptCount val="25"/>
                <c:pt idx="0">
                  <c:v>9.5599999999995688E-4</c:v>
                </c:pt>
                <c:pt idx="1">
                  <c:v>4.8800000000004395E-4</c:v>
                </c:pt>
                <c:pt idx="2">
                  <c:v>3.5899999999999821E-4</c:v>
                </c:pt>
                <c:pt idx="3">
                  <c:v>1.5600000000004499E-4</c:v>
                </c:pt>
                <c:pt idx="4">
                  <c:v>8.9999999999923475E-5</c:v>
                </c:pt>
                <c:pt idx="5">
                  <c:v>0</c:v>
                </c:pt>
                <c:pt idx="6">
                  <c:v>2.1300000000001873E-4</c:v>
                </c:pt>
                <c:pt idx="7">
                  <c:v>3.3400000000005647E-4</c:v>
                </c:pt>
                <c:pt idx="8">
                  <c:v>1.9799999999992046E-4</c:v>
                </c:pt>
                <c:pt idx="9">
                  <c:v>5.7399999999985241E-4</c:v>
                </c:pt>
                <c:pt idx="10">
                  <c:v>4.7399999999986342E-4</c:v>
                </c:pt>
                <c:pt idx="11">
                  <c:v>8.9500000000009017E-4</c:v>
                </c:pt>
                <c:pt idx="12">
                  <c:v>5.1099999999992818E-4</c:v>
                </c:pt>
                <c:pt idx="13">
                  <c:v>1.3269999999998561E-3</c:v>
                </c:pt>
                <c:pt idx="14">
                  <c:v>9.1999999999980986E-5</c:v>
                </c:pt>
                <c:pt idx="15">
                  <c:v>1.0790000000000521E-3</c:v>
                </c:pt>
                <c:pt idx="16">
                  <c:v>4.7400000000008546E-4</c:v>
                </c:pt>
                <c:pt idx="17">
                  <c:v>2.8600000000000847E-4</c:v>
                </c:pt>
                <c:pt idx="18">
                  <c:v>6.7700000000003868E-4</c:v>
                </c:pt>
                <c:pt idx="19">
                  <c:v>6.2499999999987566E-4</c:v>
                </c:pt>
                <c:pt idx="20">
                  <c:v>5.4999999999916227E-5</c:v>
                </c:pt>
                <c:pt idx="21">
                  <c:v>3.3099999999985918E-4</c:v>
                </c:pt>
                <c:pt idx="22">
                  <c:v>1.1099999999997223E-4</c:v>
                </c:pt>
                <c:pt idx="23">
                  <c:v>3.8999999999900226E-5</c:v>
                </c:pt>
                <c:pt idx="24">
                  <c:v>1.1500000000008725E-4</c:v>
                </c:pt>
              </c:numCache>
            </c:numRef>
          </c:val>
          <c:smooth val="0"/>
        </c:ser>
        <c:dLbls>
          <c:showLegendKey val="0"/>
          <c:showVal val="0"/>
          <c:showCatName val="0"/>
          <c:showSerName val="0"/>
          <c:showPercent val="0"/>
          <c:showBubbleSize val="0"/>
        </c:dLbls>
        <c:marker val="1"/>
        <c:smooth val="0"/>
        <c:axId val="-1539113376"/>
        <c:axId val="-1539115552"/>
      </c:lineChart>
      <c:catAx>
        <c:axId val="-161189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898768"/>
        <c:crosses val="autoZero"/>
        <c:auto val="1"/>
        <c:lblAlgn val="ctr"/>
        <c:lblOffset val="100"/>
        <c:noMultiLvlLbl val="0"/>
      </c:catAx>
      <c:valAx>
        <c:axId val="-16118987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897680"/>
        <c:crosses val="autoZero"/>
        <c:crossBetween val="between"/>
      </c:valAx>
      <c:valAx>
        <c:axId val="-153911555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113376"/>
        <c:crosses val="max"/>
        <c:crossBetween val="between"/>
      </c:valAx>
      <c:catAx>
        <c:axId val="-1539113376"/>
        <c:scaling>
          <c:orientation val="minMax"/>
        </c:scaling>
        <c:delete val="1"/>
        <c:axPos val="b"/>
        <c:numFmt formatCode="General" sourceLinked="1"/>
        <c:majorTickMark val="out"/>
        <c:minorTickMark val="none"/>
        <c:tickLblPos val="nextTo"/>
        <c:crossAx val="-153911555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RunErrVsMSER!$A$5:$A$15</c:f>
              <c:strCache>
                <c:ptCount val="10"/>
                <c:pt idx="0">
                  <c:v>1837.82482910156</c:v>
                </c:pt>
                <c:pt idx="1">
                  <c:v>1837.44165039063</c:v>
                </c:pt>
                <c:pt idx="2">
                  <c:v>0.00220556370913982</c:v>
                </c:pt>
                <c:pt idx="3">
                  <c:v>0.000886423920746893</c:v>
                </c:pt>
                <c:pt idx="4">
                  <c:v>0.000723170931451023</c:v>
                </c:pt>
                <c:pt idx="5">
                  <c:v>0.000193357598618604</c:v>
                </c:pt>
                <c:pt idx="6">
                  <c:v>0.00018424546578899</c:v>
                </c:pt>
                <c:pt idx="7">
                  <c:v>0.000131790220621042</c:v>
                </c:pt>
                <c:pt idx="8">
                  <c:v>0.000131275417516008</c:v>
                </c:pt>
                <c:pt idx="9">
                  <c:v>0.0000819600827526301</c:v>
                </c:pt>
              </c:strCache>
            </c:strRef>
          </c:cat>
          <c:val>
            <c:numRef>
              <c:f>RunErrVsMSER!$B$5:$B$15</c:f>
              <c:numCache>
                <c:formatCode>General</c:formatCode>
                <c:ptCount val="10"/>
                <c:pt idx="0">
                  <c:v>0</c:v>
                </c:pt>
                <c:pt idx="1">
                  <c:v>29.500946766527537</c:v>
                </c:pt>
                <c:pt idx="2">
                  <c:v>4.2914626439437956E-2</c:v>
                </c:pt>
                <c:pt idx="3">
                  <c:v>2.7686349460220114E-2</c:v>
                </c:pt>
                <c:pt idx="4">
                  <c:v>2.7599447171351935E-2</c:v>
                </c:pt>
                <c:pt idx="5">
                  <c:v>1.2377320276667207E-2</c:v>
                </c:pt>
                <c:pt idx="6">
                  <c:v>9.9299798499897906E-3</c:v>
                </c:pt>
                <c:pt idx="7">
                  <c:v>9.5890030841639454E-3</c:v>
                </c:pt>
                <c:pt idx="8">
                  <c:v>6.9752211158205539E-3</c:v>
                </c:pt>
                <c:pt idx="9">
                  <c:v>8.8641707420306689E-3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RunErrVsMSER!$A$5:$A$15</c:f>
              <c:strCache>
                <c:ptCount val="10"/>
                <c:pt idx="0">
                  <c:v>1837.82482910156</c:v>
                </c:pt>
                <c:pt idx="1">
                  <c:v>1837.44165039063</c:v>
                </c:pt>
                <c:pt idx="2">
                  <c:v>0.00220556370913982</c:v>
                </c:pt>
                <c:pt idx="3">
                  <c:v>0.000886423920746893</c:v>
                </c:pt>
                <c:pt idx="4">
                  <c:v>0.000723170931451023</c:v>
                </c:pt>
                <c:pt idx="5">
                  <c:v>0.000193357598618604</c:v>
                </c:pt>
                <c:pt idx="6">
                  <c:v>0.00018424546578899</c:v>
                </c:pt>
                <c:pt idx="7">
                  <c:v>0.000131790220621042</c:v>
                </c:pt>
                <c:pt idx="8">
                  <c:v>0.000131275417516008</c:v>
                </c:pt>
                <c:pt idx="9">
                  <c:v>0.0000819600827526301</c:v>
                </c:pt>
              </c:strCache>
            </c:strRef>
          </c:cat>
          <c:val>
            <c:numRef>
              <c:f>RunErrVsMSER!$C$5:$C$15</c:f>
              <c:numCache>
                <c:formatCode>General</c:formatCode>
                <c:ptCount val="10"/>
                <c:pt idx="0">
                  <c:v>0</c:v>
                </c:pt>
                <c:pt idx="1">
                  <c:v>0.57471468391403568</c:v>
                </c:pt>
                <c:pt idx="2">
                  <c:v>8.381152631113495E-4</c:v>
                </c:pt>
                <c:pt idx="3">
                  <c:v>5.372318611565869E-4</c:v>
                </c:pt>
                <c:pt idx="4">
                  <c:v>5.4419862771159057E-4</c:v>
                </c:pt>
                <c:pt idx="5">
                  <c:v>2.4022474059301393E-4</c:v>
                </c:pt>
                <c:pt idx="6">
                  <c:v>1.9365602718694159E-4</c:v>
                </c:pt>
                <c:pt idx="7">
                  <c:v>1.8814043191671802E-4</c:v>
                </c:pt>
                <c:pt idx="8">
                  <c:v>1.3521187022919317E-4</c:v>
                </c:pt>
                <c:pt idx="9">
                  <c:v>1.7518954483622623E-4</c:v>
                </c:pt>
              </c:numCache>
            </c:numRef>
          </c:val>
          <c:smooth val="0"/>
        </c:ser>
        <c:dLbls>
          <c:showLegendKey val="0"/>
          <c:showVal val="0"/>
          <c:showCatName val="0"/>
          <c:showSerName val="0"/>
          <c:showPercent val="0"/>
          <c:showBubbleSize val="0"/>
        </c:dLbls>
        <c:marker val="1"/>
        <c:smooth val="0"/>
        <c:axId val="-1607376400"/>
        <c:axId val="-1607375312"/>
      </c:lineChart>
      <c:catAx>
        <c:axId val="-160737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75312"/>
        <c:crosses val="autoZero"/>
        <c:auto val="1"/>
        <c:lblAlgn val="ctr"/>
        <c:lblOffset val="100"/>
        <c:noMultiLvlLbl val="0"/>
      </c:catAx>
      <c:valAx>
        <c:axId val="-1607375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7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1607388912"/>
        <c:axId val="-1607382384"/>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1607380208"/>
        <c:axId val="-1607385648"/>
      </c:lineChart>
      <c:catAx>
        <c:axId val="-160738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82384"/>
        <c:crosses val="autoZero"/>
        <c:auto val="1"/>
        <c:lblAlgn val="ctr"/>
        <c:lblOffset val="100"/>
        <c:noMultiLvlLbl val="0"/>
      </c:catAx>
      <c:valAx>
        <c:axId val="-1607382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88912"/>
        <c:crosses val="autoZero"/>
        <c:crossBetween val="between"/>
      </c:valAx>
      <c:valAx>
        <c:axId val="-16073856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80208"/>
        <c:crosses val="max"/>
        <c:crossBetween val="between"/>
      </c:valAx>
      <c:catAx>
        <c:axId val="-1607380208"/>
        <c:scaling>
          <c:orientation val="minMax"/>
        </c:scaling>
        <c:delete val="1"/>
        <c:axPos val="b"/>
        <c:numFmt formatCode="General" sourceLinked="1"/>
        <c:majorTickMark val="out"/>
        <c:minorTickMark val="none"/>
        <c:tickLblPos val="nextTo"/>
        <c:crossAx val="-16073856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607388368"/>
        <c:axId val="-1607380752"/>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607387824"/>
        <c:axId val="-1607379664"/>
      </c:lineChart>
      <c:catAx>
        <c:axId val="-160738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80752"/>
        <c:crosses val="autoZero"/>
        <c:auto val="1"/>
        <c:lblAlgn val="ctr"/>
        <c:lblOffset val="100"/>
        <c:noMultiLvlLbl val="0"/>
      </c:catAx>
      <c:valAx>
        <c:axId val="-1607380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88368"/>
        <c:crosses val="autoZero"/>
        <c:crossBetween val="between"/>
      </c:valAx>
      <c:valAx>
        <c:axId val="-16073796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87824"/>
        <c:crosses val="max"/>
        <c:crossBetween val="between"/>
      </c:valAx>
      <c:catAx>
        <c:axId val="-1607387824"/>
        <c:scaling>
          <c:orientation val="minMax"/>
        </c:scaling>
        <c:delete val="1"/>
        <c:axPos val="b"/>
        <c:numFmt formatCode="General" sourceLinked="1"/>
        <c:majorTickMark val="out"/>
        <c:minorTickMark val="none"/>
        <c:tickLblPos val="nextTo"/>
        <c:crossAx val="-16073796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607374768"/>
        <c:axId val="-160738945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607384560"/>
        <c:axId val="-1607379120"/>
      </c:lineChart>
      <c:catAx>
        <c:axId val="-1607374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89456"/>
        <c:crosses val="autoZero"/>
        <c:auto val="1"/>
        <c:lblAlgn val="ctr"/>
        <c:lblOffset val="100"/>
        <c:noMultiLvlLbl val="0"/>
      </c:catAx>
      <c:valAx>
        <c:axId val="-160738945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74768"/>
        <c:crosses val="autoZero"/>
        <c:crossBetween val="between"/>
      </c:valAx>
      <c:valAx>
        <c:axId val="-160737912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384560"/>
        <c:crosses val="max"/>
        <c:crossBetween val="between"/>
      </c:valAx>
      <c:catAx>
        <c:axId val="-1607384560"/>
        <c:scaling>
          <c:orientation val="minMax"/>
        </c:scaling>
        <c:delete val="1"/>
        <c:axPos val="b"/>
        <c:numFmt formatCode="General" sourceLinked="1"/>
        <c:majorTickMark val="out"/>
        <c:minorTickMark val="none"/>
        <c:tickLblPos val="nextTo"/>
        <c:crossAx val="-16073791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158563</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14</xdr:row>
      <xdr:rowOff>133350</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44</xdr:row>
      <xdr:rowOff>45944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952565" y="842794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29</xdr:row>
      <xdr:rowOff>112059</xdr:rowOff>
    </xdr:from>
    <xdr:to>
      <xdr:col>7</xdr:col>
      <xdr:colOff>113739</xdr:colOff>
      <xdr:row>41</xdr:row>
      <xdr:rowOff>67235</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5636559"/>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2524125"/>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7</xdr:col>
      <xdr:colOff>123825</xdr:colOff>
      <xdr:row>1</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1</xdr:row>
      <xdr:rowOff>156210</xdr:rowOff>
    </xdr:from>
    <xdr:to>
      <xdr:col>21</xdr:col>
      <xdr:colOff>390523</xdr:colOff>
      <xdr:row>31</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14</xdr:row>
      <xdr:rowOff>123825</xdr:rowOff>
    </xdr:from>
    <xdr:to>
      <xdr:col>10</xdr:col>
      <xdr:colOff>361950</xdr:colOff>
      <xdr:row>25</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25</xdr:row>
      <xdr:rowOff>22860</xdr:rowOff>
    </xdr:from>
    <xdr:to>
      <xdr:col>10</xdr:col>
      <xdr:colOff>335280</xdr:colOff>
      <xdr:row>35</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539564</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13.996290277777" createdVersion="5" refreshedVersion="5" minRefreshableVersion="3" recordCount="25">
  <cacheSource type="external" connectionId="3"/>
  <cacheFields count="14">
    <cacheField name="PROCESSID" numFmtId="0" sqlType="6">
      <sharedItems containsSemiMixedTypes="0" containsString="0" containsNumber="1" containsInteger="1" minValue="1604" maxValue="14360" count="25">
        <n v="6132"/>
        <n v="10016"/>
        <n v="10408"/>
        <n v="1604"/>
        <n v="14108"/>
        <n v="12652"/>
        <n v="6704"/>
        <n v="9900"/>
        <n v="11900"/>
        <n v="7272"/>
        <n v="11184"/>
        <n v="12500"/>
        <n v="8352"/>
        <n v="12651"/>
        <n v="14360"/>
        <n v="9004"/>
        <n v="6956"/>
        <n v="11808"/>
        <n v="2504"/>
        <n v="9912"/>
        <n v="12292"/>
        <n v="8408"/>
        <n v="5644"/>
        <n v="9652"/>
        <n v="6912"/>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0" maxValue="50" count="3">
        <n v="20"/>
        <n v="50"/>
        <n v="10"/>
      </sharedItems>
    </cacheField>
    <cacheField name="DATAPREDICTIONLEN" numFmtId="0" sqlType="6">
      <sharedItems containsSemiMixedTypes="0" containsString="0" containsNumber="1" containsInteger="1" minValue="1" maxValue="10" count="4">
        <n v="5"/>
        <n v="3"/>
        <n v="10"/>
        <n v="1"/>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20" count="4">
        <n v="1"/>
        <m/>
        <n v="20"/>
        <n v="1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21.870861226853" createdVersion="5" refreshedVersion="5" minRefreshableVersion="3" recordCount="2140">
  <cacheSource type="external" connectionId="4"/>
  <cacheFields count="7">
    <cacheField name="SIMULATIONID" numFmtId="0" sqlType="6">
      <sharedItems containsSemiMixedTypes="0" containsString="0" containsNumber="1" containsInteger="1" minValue="1" maxValue="101" count="46">
        <n v="83"/>
        <n v="30"/>
        <n v="70"/>
        <n v="20"/>
        <n v="40"/>
        <n v="80"/>
        <n v="50"/>
        <n v="81"/>
        <n v="77"/>
        <n v="82"/>
        <n v="90"/>
        <n v="96" u="1"/>
        <n v="100" u="1"/>
        <n v="5" u="1"/>
        <n v="87" u="1"/>
        <n v="66" u="1"/>
        <n v="15" u="1"/>
        <n v="95" u="1"/>
        <n v="2" u="1"/>
        <n v="99" u="1"/>
        <n v="6" u="1"/>
        <n v="48" u="1"/>
        <n v="86" u="1"/>
        <n v="7" u="1"/>
        <n v="94" u="1"/>
        <n v="21" u="1"/>
        <n v="98" u="1"/>
        <n v="22" u="1"/>
        <n v="1" u="1"/>
        <n v="3" u="1"/>
        <n v="8" u="1"/>
        <n v="85" u="1"/>
        <n v="89" u="1"/>
        <n v="9" u="1"/>
        <n v="97" u="1"/>
        <n v="10" u="1"/>
        <n v="101" u="1"/>
        <n v="49" u="1"/>
        <n v="84" u="1"/>
        <n v="11" u="1"/>
        <n v="51" u="1"/>
        <n v="88" u="1"/>
        <n v="31" u="1"/>
        <n v="4" u="1"/>
        <n v="12" u="1"/>
        <n v="32" u="1"/>
      </sharedItems>
    </cacheField>
    <cacheField name="PROCESSID" numFmtId="0" sqlType="6">
      <sharedItems containsSemiMixedTypes="0" containsString="0" containsNumber="1" containsInteger="1" minValue="32" maxValue="89824" count="614">
        <n v="1284"/>
        <n v="5644"/>
        <n v="6132"/>
        <n v="6704"/>
        <n v="6912"/>
        <n v="6956"/>
        <n v="7272"/>
        <n v="8352"/>
        <n v="8408"/>
        <n v="9004"/>
        <n v="9652"/>
        <n v="9900"/>
        <n v="9912"/>
        <n v="10012"/>
        <n v="10408"/>
        <n v="11184"/>
        <n v="11808"/>
        <n v="11900"/>
        <n v="12292"/>
        <n v="12500"/>
        <n v="12651"/>
        <n v="12652"/>
        <n v="13796"/>
        <n v="14096"/>
        <n v="14108"/>
        <n v="14308"/>
        <n v="14360"/>
        <n v="14524"/>
        <n v="15200"/>
        <n v="16504"/>
        <n v="8816" u="1"/>
        <n v="7464" u="1"/>
        <n v="10124" u="1"/>
        <n v="3700" u="1"/>
        <n v="6495" u="1"/>
        <n v="2140" u="1"/>
        <n v="8312" u="1"/>
        <n v="1964" u="1"/>
        <n v="7472" u="1"/>
        <n v="4935" u="1"/>
        <n v="6952" u="1"/>
        <n v="6692" u="1"/>
        <n v="6172" u="1"/>
        <n v="1444" u="1"/>
        <n v="9163" u="1"/>
        <n v="11180" u="1"/>
        <n v="5392" u="1"/>
        <n v="9620" u="1"/>
        <n v="1184" u="1"/>
        <n v="4612" u="1"/>
        <n v="4352" u="1"/>
        <n v="3964" u="1"/>
        <n v="11448" u="1"/>
        <n v="7283" u="1"/>
        <n v="9888" u="1"/>
        <n v="9368" u="1"/>
        <n v="1576" u="1"/>
        <n v="5920" u="1"/>
        <n v="4620" u="1"/>
        <n v="410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1173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4052" u="1"/>
        <n v="7719" u="1"/>
        <n v="9720" u="1"/>
        <n v="7656" u="1"/>
        <n v="14148" u="1"/>
        <n v="10508" u="1"/>
        <n v="3276" u="1"/>
        <n v="6364" u="1"/>
        <n v="5844" u="1"/>
        <n v="10004" u="1"/>
        <n v="4804" u="1"/>
        <n v="9484" u="1"/>
        <n v="8444" u="1"/>
        <n v="3800" u="1"/>
        <n v="3540" u="1"/>
        <n v="10272" u="1"/>
        <n v="9752" u="1"/>
        <n v="9232" u="1"/>
        <n v="6435" u="1"/>
        <n v="6892" u="1"/>
        <n v="13140" u="1"/>
        <n v="1624" u="1"/>
        <n v="6112"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3056" u="1"/>
        <n v="10936" u="1"/>
        <n v="9896" u="1"/>
        <n v="8856" u="1"/>
        <n v="1772" u="1"/>
        <n v="1252" u="1"/>
        <n v="9644" u="1"/>
        <n v="9124" u="1"/>
        <n v="10952" u="1"/>
        <n v="2280" u="1"/>
        <n v="8012" u="1"/>
        <n v="3907" u="1"/>
        <n v="7232" u="1"/>
        <n v="6712" u="1"/>
        <n v="5932" u="1"/>
        <n v="11740" u="1"/>
        <n v="4112" u="1"/>
        <n v="944" u="1"/>
        <n v="13568" u="1"/>
        <n v="10968" u="1"/>
        <n v="7760" u="1"/>
        <n v="6460" u="1"/>
        <n v="1516" u="1"/>
        <n v="5940" u="1"/>
        <n v="11756" u="1"/>
        <n v="10196" u="1"/>
        <n v="8636" u="1"/>
        <n v="232" u="1"/>
        <n v="14104" u="1"/>
        <n v="880" u="1"/>
        <n v="3068" u="1"/>
        <n v="1908" u="1"/>
        <n v="6208" u="1"/>
        <n v="5688" u="1"/>
        <n v="1388" u="1"/>
        <n v="8195" u="1"/>
        <n v="9172" u="1"/>
        <n v="13868" u="1"/>
        <n v="11268" u="1"/>
        <n v="5176" u="1"/>
        <n v="10228"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11884" u="1"/>
        <n v="8244" u="1"/>
        <n v="13192" u="1"/>
        <n v="3100" u="1"/>
        <n v="11632" u="1"/>
        <n v="10592" u="1"/>
        <n v="2580" u="1"/>
        <n v="1924" u="1"/>
        <n v="6792" u="1"/>
        <n v="5752" u="1"/>
        <n v="2844" u="1"/>
        <n v="9568" u="1"/>
        <n v="9048" u="1"/>
        <n v="2064" u="1"/>
        <n v="7580" u="1"/>
        <n v="12956" u="1"/>
        <n v="4980" u="1"/>
        <n v="9836" u="1"/>
        <n v="12184" u="1"/>
        <n v="2848" u="1"/>
        <n v="10104" u="1"/>
        <n v="6548" u="1"/>
        <n v="5768" u="1"/>
        <n v="1408" u="1"/>
        <n v="3892" u="1"/>
        <n v="956" u="1"/>
        <n v="14280" u="1"/>
        <n v="10120" u="1"/>
        <n v="6556" u="1"/>
        <n v="6296" u="1"/>
        <n v="5776" u="1"/>
        <n v="8308" u="1"/>
        <n v="14296" u="1"/>
        <n v="10136" u="1"/>
        <n v="8576" u="1"/>
        <n v="6564" u="1"/>
        <n v="5004" u="1"/>
        <n v="9884" u="1"/>
        <n v="8324" u="1"/>
        <n v="3120" u="1"/>
        <n v="7415" u="1"/>
        <n v="10152" u="1"/>
        <n v="8592" u="1"/>
        <n v="8132" u="1"/>
        <n v="7612" u="1"/>
        <n v="11460" u="1"/>
        <n v="5532" u="1"/>
        <n v="10420" u="1"/>
        <n v="9380"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9728" u="1"/>
        <n v="6880" u="1"/>
        <n v="12076" u="1"/>
        <n v="9996" u="1"/>
        <n v="14944" u="1"/>
        <n v="13652" u="1"/>
        <n v="13132" u="1"/>
        <n v="5848" u="1"/>
        <n v="8972" u="1"/>
        <n v="8200" u="1"/>
        <n v="7936" u="1"/>
        <n v="7156" u="1"/>
        <n v="5856" u="1"/>
        <n v="11588" u="1"/>
        <n v="11068" u="1"/>
        <n v="5076" u="1"/>
        <n v="9508" u="1"/>
        <n v="8988" u="1"/>
        <n v="8216" u="1"/>
        <n v="7944" u="1"/>
        <n v="6644" u="1"/>
        <n v="6384" u="1"/>
        <n v="5084" u="1"/>
        <n v="10044" u="1"/>
        <n v="42336" u="1"/>
        <n v="2707" u="1"/>
        <n v="10580" u="1"/>
        <n v="8500" u="1"/>
        <n v="3424" u="1"/>
        <n v="10328" u="1"/>
        <n v="9288" u="1"/>
        <n v="7440" u="1"/>
        <n v="6920" u="1"/>
        <n v="6400" u="1"/>
        <n v="11116" u="1"/>
        <n v="3688" u="1"/>
        <n v="11904" u="1"/>
        <n v="1828" u="1"/>
        <n v="7188" u="1"/>
        <n v="13212" u="1"/>
        <n v="416" u="1"/>
        <n v="5368" u="1"/>
        <n v="4848" u="1"/>
        <n v="9572"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708" maxValue="16960" count="30">
        <n v="10360"/>
        <n v="5432"/>
        <n v="15888"/>
        <n v="6132"/>
        <n v="16340"/>
        <n v="11548"/>
        <n v="12888"/>
        <n v="15764"/>
        <n v="1996"/>
        <n v="11580"/>
        <n v="5940"/>
        <n v="6864"/>
        <n v="708"/>
        <n v="15120"/>
        <n v="13176"/>
        <n v="11500"/>
        <n v="11684"/>
        <n v="3672"/>
        <n v="6656"/>
        <n v="11320"/>
        <n v="5364"/>
        <n v="7980"/>
        <n v="15036"/>
        <n v="3904"/>
        <n v="11064"/>
        <n v="13336"/>
        <n v="7084"/>
        <n v="14788"/>
        <n v="4124"/>
        <n v="1696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453" u="1"/>
        <n v="1781" u="1"/>
        <n v="3531" u="1"/>
        <n v="4983" u="1"/>
        <n v="1716" u="1"/>
        <n v="3401" u="1"/>
        <n v="4723" u="1"/>
        <n v="1651" u="1"/>
        <n v="3271" u="1"/>
        <n v="446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457" u="1"/>
        <n v="1797" u="1"/>
        <n v="3563" u="1"/>
        <n v="1732" u="1"/>
        <n v="3433" u="1"/>
        <n v="4787" u="1"/>
        <n v="1667" u="1"/>
        <n v="3303" u="1"/>
        <n v="4527"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461" u="1"/>
        <n v="1813" u="1"/>
        <n v="3595" u="1"/>
        <n v="1748" u="1"/>
        <n v="3465" u="1"/>
        <n v="4851" u="1"/>
        <n v="1683" u="1"/>
        <n v="3335" u="1"/>
        <n v="4591"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465" u="1"/>
        <n v="1829" u="1"/>
        <n v="3627" u="1"/>
        <n v="1764" u="1"/>
        <n v="3497" u="1"/>
        <n v="4915" u="1"/>
        <n v="1699" u="1"/>
        <n v="3367" u="1"/>
        <n v="4655"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441" u="1"/>
        <n v="1733" u="1"/>
        <n v="3435" u="1"/>
        <n v="4791" u="1"/>
        <n v="1668" u="1"/>
        <n v="3305" u="1"/>
        <n v="4531" u="1"/>
        <n v="1603" u="1"/>
        <n v="3175" u="1"/>
        <n v="4271"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445" u="1"/>
        <n v="1749" u="1"/>
        <n v="3467" u="1"/>
        <n v="4855" u="1"/>
        <n v="1684" u="1"/>
        <n v="3337" u="1"/>
        <n v="4595" u="1"/>
        <n v="1619" u="1"/>
        <n v="3207" u="1"/>
        <n v="4335"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449" u="1"/>
        <n v="1765" u="1"/>
        <n v="3499" u="1"/>
        <n v="4919" u="1"/>
        <n v="1700" u="1"/>
        <n v="3369" u="1"/>
        <n v="4659" u="1"/>
        <n v="1635" u="1"/>
        <n v="3239" u="1"/>
        <n v="4399"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74" maxValue="16385"/>
    </cacheField>
    <cacheField name="MSE_T" numFmtId="0" sqlType="6">
      <sharedItems containsSemiMixedTypes="0" containsString="0" containsNumber="1" minValue="1.00165052572265E-5" maxValue="1.19542255997658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21.917317476851" createdVersion="5" refreshedVersion="5" minRefreshableVersion="3" recordCount="124320">
  <cacheSource type="external" connectionId="9"/>
  <cacheFields count="20">
    <cacheField name="PROCESSID" numFmtId="0" sqlType="6">
      <sharedItems containsSemiMixedTypes="0" containsString="0" containsNumber="1" containsInteger="1" minValue="32" maxValue="16380" count="312">
        <n v="13852"/>
        <n v="1325"/>
        <n v="7896"/>
        <n v="6984"/>
        <n v="1284"/>
        <n v="10304"/>
        <n v="15756"/>
        <n v="4312"/>
        <n v="14308"/>
        <n v="10552"/>
        <n v="1980"/>
        <n v="8072"/>
        <n v="11840"/>
        <n v="13560"/>
        <n v="14044"/>
        <n v="10040" u="1"/>
        <n v="11460" u="1"/>
        <n v="12099" u="1"/>
        <n v="12880" u="1"/>
        <n v="14868" u="1"/>
        <n v="15720" u="1"/>
        <n v="2720" u="1"/>
        <n v="14092" u="1"/>
        <n v="7204" u="1"/>
        <n v="7488" u="1"/>
        <n v="11612" u="1"/>
        <n v="1196" u="1"/>
        <n v="3468" u="1"/>
        <n v="7171" u="1"/>
        <n v="13108" u="1"/>
        <n v="14812" u="1"/>
        <n v="1596" u="1"/>
        <n v="5576" u="1"/>
        <n v="12048" u="1"/>
        <n v="12332" u="1"/>
        <n v="15172" u="1"/>
        <n v="10988" u="1"/>
        <n v="13544" u="1"/>
        <n v="12484" u="1"/>
        <n v="13336" u="1"/>
        <n v="12276" u="1"/>
        <n v="13128" u="1"/>
        <n v="548" u="1"/>
        <n v="7432" u="1"/>
        <n v="8944" u="1"/>
        <n v="12636" u="1"/>
        <n v="5624" u="1"/>
        <n v="11576" u="1"/>
        <n v="4100" u="1"/>
        <n v="8244" u="1"/>
        <n v="11723" u="1"/>
        <n v="12788" u="1"/>
        <n v="13640" u="1"/>
        <n v="13924" u="1"/>
        <n v="14208" u="1"/>
        <n v="10308" u="1"/>
        <n v="11444" u="1"/>
        <n v="12012" u="1"/>
        <n v="12651" u="1"/>
        <n v="11804" u="1"/>
        <n v="14360" u="1"/>
        <n v="6912" u="1"/>
        <n v="15004" u="1"/>
        <n v="8406" u="1"/>
        <n v="4432" u="1"/>
        <n v="11464" u="1"/>
        <n v="14096" u="1"/>
        <n v="2740" u="1"/>
        <n v="4508" u="1"/>
        <n v="8776" u="1"/>
        <n v="9628" u="1"/>
        <n v="10480" u="1"/>
        <n v="11900" u="1"/>
        <n v="12468" u="1"/>
        <n v="12260" u="1"/>
        <n v="12828" u="1"/>
        <n v="13680" u="1"/>
        <n v="15952" u="1"/>
        <n v="16028" u="1"/>
        <n v="4004" u="1"/>
        <n v="8172" u="1"/>
        <n v="9288" u="1"/>
        <n v="12128" u="1"/>
        <n v="13548" u="1"/>
        <n v="1296" u="1"/>
        <n v="5512" u="1"/>
        <n v="11428" u="1"/>
        <n v="13132" u="1"/>
        <n v="1244" u="1"/>
        <n v="10368" u="1"/>
        <n v="10936" u="1"/>
        <n v="11788" u="1"/>
        <n v="15764" u="1"/>
        <n v="1999" u="1"/>
        <n v="2944" u="1"/>
        <n v="3512" u="1"/>
        <n v="8740" u="1"/>
        <n v="12787" u="1"/>
        <n v="13000" u="1"/>
        <n v="13284" u="1"/>
        <n v="13568" u="1"/>
        <n v="3460" u="1"/>
        <n v="11372" u="1"/>
        <n v="11940" u="1"/>
        <n v="13360" u="1"/>
        <n v="13928" u="1"/>
        <n v="14851" u="1"/>
        <n v="3692" u="1"/>
        <n v="5915" u="1"/>
        <n v="10596" u="1"/>
        <n v="11164" u="1"/>
        <n v="11448" u="1"/>
        <n v="12016" u="1"/>
        <n v="15140" u="1"/>
        <n v="656" u="1"/>
        <n v="1708" u="1"/>
        <n v="4888" u="1"/>
        <n v="10104" u="1"/>
        <n v="11808" u="1"/>
        <n v="13583" u="1"/>
        <n v="9896" u="1"/>
        <n v="14156" u="1"/>
        <n v="6952" u="1"/>
        <n v="8088" u="1"/>
        <n v="1488" u="1"/>
        <n v="2561" u="1"/>
        <n v="4052" u="1"/>
        <n v="7700" u="1"/>
        <n v="8912" u="1"/>
        <n v="13172" u="1"/>
        <n v="9556" u="1"/>
        <n v="9840" u="1"/>
        <n v="10408" u="1"/>
        <n v="11260" u="1"/>
        <n v="12396" u="1"/>
        <n v="12467" u="1"/>
        <n v="244" u="1"/>
        <n v="5504" u="1"/>
        <n v="10768" u="1"/>
        <n v="12472" u="1"/>
        <n v="13892" u="1"/>
        <n v="1268" u="1"/>
        <n v="6536" u="1"/>
        <n v="13968" u="1"/>
        <n v="14252" u="1"/>
        <n v="14536" u="1"/>
        <n v="16240" u="1"/>
        <n v="1952" u="1"/>
        <n v="3560" u="1"/>
        <n v="7568" u="1"/>
        <n v="11204" u="1"/>
        <n v="11772" u="1"/>
        <n v="16032" u="1"/>
        <n v="2088" u="1"/>
        <n v="6896" u="1"/>
        <n v="7464" u="1"/>
        <n v="10712" u="1"/>
        <n v="10996" u="1"/>
        <n v="11280" u="1"/>
        <n v="13836" u="1"/>
        <n v="3740" u="1"/>
        <n v="5656" u="1"/>
        <n v="5940" u="1"/>
        <n v="6792" u="1"/>
        <n v="7928" u="1"/>
        <n v="9652" u="1"/>
        <n v="11427" u="1"/>
        <n v="13912" u="1"/>
        <n v="3972" u="1"/>
        <n v="13136" u="1"/>
        <n v="13988" u="1"/>
        <n v="14272" u="1"/>
        <n v="1848" u="1"/>
        <n v="4880" u="1"/>
        <n v="5164" u="1"/>
        <n v="9236" u="1"/>
        <n v="12360" u="1"/>
        <n v="13212" u="1"/>
        <n v="15200" u="1"/>
        <n v="7228" u="1"/>
        <n v="8536" u="1"/>
        <n v="9104" u="1"/>
        <n v="12796" u="1"/>
        <n v="13648" u="1"/>
        <n v="16204" u="1"/>
        <n v="5704" u="1"/>
        <n v="12588" u="1"/>
        <n v="14292" u="1"/>
        <n v="16280" u="1"/>
        <n v="6168" u="1"/>
        <n v="7020" u="1"/>
        <n v="12096" u="1"/>
        <n v="12948" u="1"/>
        <n v="13232" u="1"/>
        <n v="14368" u="1"/>
        <n v="2240" u="1"/>
        <n v="7484" u="1"/>
        <n v="10468" u="1"/>
        <n v="11036" u="1"/>
        <n v="13308" u="1"/>
        <n v="14160" u="1"/>
        <n v="8272" u="1"/>
        <n v="12816" u="1"/>
        <n v="13100" u="1"/>
        <n v="13668" u="1"/>
        <n v="14520" u="1"/>
        <n v="14804" u="1"/>
        <n v="11756" u="1"/>
        <n v="12040" u="1"/>
        <n v="13176" u="1"/>
        <n v="13744" u="1"/>
        <n v="14312" u="1"/>
        <n v="4900" u="1"/>
        <n v="7172" u="1"/>
        <n v="5364" u="1"/>
        <n v="5648" u="1"/>
        <n v="10488" u="1"/>
        <n v="11908" u="1"/>
        <n v="8292" u="1"/>
        <n v="8576" u="1"/>
        <n v="10280" u="1"/>
        <n v="11700" u="1"/>
        <n v="13688" u="1"/>
        <n v="10356" u="1"/>
        <n v="12060" u="1"/>
        <n v="1252" u="1"/>
        <n v="1936" u="1"/>
        <n v="10295" u="1"/>
        <n v="14200" u="1"/>
        <n v="15052" u="1"/>
        <n v="8312" u="1"/>
        <n v="10300" u="1"/>
        <n v="14276" u="1"/>
        <n v="14844" u="1"/>
        <n v="1600" u="1"/>
        <n v="2572" u="1"/>
        <n v="8148" u="1"/>
        <n v="2000" u="1"/>
        <n v="7760" u="1"/>
        <n v="10452" u="1"/>
        <n v="12724" u="1"/>
        <n v="14144" u="1"/>
        <n v="4532" u="1"/>
        <n v="5100" u="1"/>
        <n v="5952" u="1"/>
        <n v="11380" u="1"/>
        <n v="12800" u="1"/>
        <n v="6132" u="1"/>
        <n v="9468" u="1"/>
        <n v="7732" u="1"/>
        <n v="9828" u="1"/>
        <n v="12100" u="1"/>
        <n v="13307" u="1"/>
        <n v="7628" u="1"/>
        <n v="15300" u="1"/>
        <n v="7808" u="1"/>
        <n v="8092" u="1"/>
        <n v="15944" u="1"/>
        <n v="4296" u="1"/>
        <n v="8352" u="1"/>
        <n v="9204" u="1"/>
        <n v="10340" u="1"/>
        <n v="11192" u="1"/>
        <n v="13180" u="1"/>
        <n v="3008" u="1"/>
        <n v="8428" u="1"/>
        <n v="15244" u="1"/>
        <n v="16380" u="1"/>
        <n v="1224" u="1"/>
        <n v="8220" u="1"/>
        <n v="11912" u="1"/>
        <n v="13616" u="1"/>
        <n v="232" u="1"/>
        <n v="2052" u="1"/>
        <n v="8580" u="1"/>
        <n v="11704" u="1"/>
        <n v="13124" u="1"/>
        <n v="13976" u="1"/>
        <n v="14260" u="1"/>
        <n v="956" u="1"/>
        <n v="5300" u="1"/>
        <n v="8372" u="1"/>
        <n v="10076" u="1"/>
        <n v="12064" u="1"/>
        <n v="14620" u="1"/>
        <n v="7539" u="1"/>
        <n v="15548" u="1"/>
        <n v="8240" u="1"/>
        <n v="9944" u="1"/>
        <n v="12500" u="1"/>
        <n v="13068" u="1"/>
        <n v="16192" u="1"/>
        <n v="12576" u="1"/>
        <n v="12860" u="1"/>
        <n v="14564" u="1"/>
        <n v="14848" u="1"/>
        <n v="3496" u="1"/>
        <n v="7156" u="1"/>
        <n v="14924" u="1"/>
        <n v="1468" u="1"/>
        <n v="5916" u="1"/>
        <n v="14148" u="1"/>
        <n v="16136" u="1"/>
        <n v="32" u="1"/>
        <n v="1020" u="1"/>
        <n v="3392" u="1"/>
        <n v="4960" u="1"/>
        <n v="6948" u="1"/>
        <n v="7232" u="1"/>
        <n v="8544" u="1"/>
        <n v="9964" u="1"/>
        <n v="10248" u="1"/>
      </sharedItems>
    </cacheField>
    <cacheField name="THREADID" numFmtId="0" sqlType="6">
      <sharedItems containsSemiMixedTypes="0" containsString="0" containsNumber="1" containsInteger="1" minValue="100" maxValue="16360" count="670">
        <n v="5164"/>
        <n v="10064"/>
        <n v="12036"/>
        <n v="6996"/>
        <n v="14284"/>
        <n v="6592"/>
        <n v="9200"/>
        <n v="2876"/>
        <n v="16044"/>
        <n v="4340"/>
        <n v="15708"/>
        <n v="12016"/>
        <n v="3428"/>
        <n v="12928"/>
        <n v="11152"/>
        <n v="15844" u="1"/>
        <n v="6684" u="1"/>
        <n v="12204" u="1"/>
        <n v="5644" u="1"/>
        <n v="5384" u="1"/>
        <n v="8564" u="1"/>
        <n v="13512" u="1"/>
        <n v="2400" u="1"/>
        <n v="15860" u="1"/>
        <n v="13780" u="1"/>
        <n v="6692" u="1"/>
        <n v="10660" u="1"/>
        <n v="15088" u="1"/>
        <n v="9888" u="1"/>
        <n v="8000" u="1"/>
        <n v="7480" u="1"/>
        <n v="14316" u="1"/>
        <n v="11716" u="1"/>
        <n v="5400" u="1"/>
        <n v="10676" u="1"/>
        <n v="9636" u="1"/>
        <n v="4620" u="1"/>
        <n v="15624" u="1"/>
        <n v="14584" u="1"/>
        <n v="2928" u="1"/>
        <n v="7748" u="1"/>
        <n v="13812" u="1"/>
        <n v="1708" u="1"/>
        <n v="12252" u="1"/>
        <n v="5928" u="1"/>
        <n v="11732" u="1"/>
        <n v="11212" u="1"/>
        <n v="10172" u="1"/>
        <n v="13560" u="1"/>
        <n v="12520" u="1"/>
        <n v="10960" u="1"/>
        <n v="10440" u="1"/>
        <n v="14868" u="1"/>
        <n v="12788" u="1"/>
        <n v="6196" u="1"/>
        <n v="10188" u="1"/>
        <n v="9148" u="1"/>
        <n v="240" u="1"/>
        <n v="14616" u="1"/>
        <n v="14096" u="1"/>
        <n v="13576" u="1"/>
        <n v="2936" u="1"/>
        <n v="11496" u="1"/>
        <n v="10456" u="1"/>
        <n v="2416" u="1"/>
        <n v="8896" u="1"/>
        <n v="14884" u="1"/>
        <n v="13844" u="1"/>
        <n v="6464" u="1"/>
        <n v="4904" u="1"/>
        <n v="15672" u="1"/>
        <n v="14112" u="1"/>
        <n v="224" u="1"/>
        <n v="13072" u="1"/>
        <n v="3200" u="1"/>
        <n v="11512" u="1"/>
        <n v="10992" u="1"/>
        <n v="420" u="1"/>
        <n v="8660" u="1"/>
        <n v="15168" u="1"/>
        <n v="12568" u="1"/>
        <n v="14396" u="1"/>
        <n v="12836" u="1"/>
        <n v="11276" u="1"/>
        <n v="1196" u="1"/>
        <n v="4660" u="1"/>
        <n v="4140" u="1"/>
        <n v="3988" u="1"/>
        <n v="15184" u="1"/>
        <n v="2688" u="1"/>
        <n v="9984" u="1"/>
        <n v="8048" u="1"/>
        <n v="7788" u="1"/>
        <n v="7268" u="1"/>
        <n v="6488" u="1"/>
        <n v="6228" u="1"/>
        <n v="5708" u="1"/>
        <n v="14680" u="1"/>
        <n v="14160" u="1"/>
        <n v="3212" u="1"/>
        <n v="12080" u="1"/>
        <n v="11040" u="1"/>
        <n v="9480" u="1"/>
        <n v="13908" u="1"/>
        <n v="13388" u="1"/>
        <n v="5716" u="1"/>
        <n v="5196" u="1"/>
        <n v="10268" u="1"/>
        <n v="4156" u="1"/>
        <n v="12616" u="1"/>
        <n v="2176" u="1"/>
        <n v="14964" u="1"/>
        <n v="12884" u="1"/>
        <n v="11844" u="1"/>
        <n v="11324" u="1"/>
        <n v="8724" u="1"/>
        <n v="14192" u="1"/>
        <n v="13420" u="1"/>
        <n v="11860" u="1"/>
        <n v="1464" u="1"/>
        <n v="10820" u="1"/>
        <n v="5212" u="1"/>
        <n v="4432" u="1"/>
        <n v="16288" u="1"/>
        <n v="13168" u="1"/>
        <n v="12648" u="1"/>
        <n v="10568" u="1"/>
        <n v="4180" u="1"/>
        <n v="7828" u="1"/>
        <n v="14492" u="1"/>
        <n v="11892" u="1"/>
        <n v="14240" u="1"/>
        <n v="13720" u="1"/>
        <n v="9560" u="1"/>
        <n v="16068" u="1"/>
        <n v="15028" u="1"/>
        <n v="12948" u="1"/>
        <n v="1600" u="1"/>
        <n v="11388" u="1"/>
        <n v="5496" u="1"/>
        <n v="4716" u="1"/>
        <n v="4016" u="1"/>
        <n v="3756" u="1"/>
        <n v="12696" u="1"/>
        <n v="2456" u="1"/>
        <n v="9576" u="1"/>
        <n v="9056" u="1"/>
        <n v="16084" u="1"/>
        <n v="15044" u="1"/>
        <n v="14004" u="1"/>
        <n v="13484" u="1"/>
        <n v="12444" u="1"/>
        <n v="6024" u="1"/>
        <n v="3500" u="1"/>
        <n v="11672" u="1"/>
        <n v="2720" u="1"/>
        <n v="8552" u="1"/>
        <n v="7332" u="1"/>
        <n v="7072" u="1"/>
        <n v="14020" u="1"/>
        <n v="13500" u="1"/>
        <n v="6032" u="1"/>
        <n v="11420" u="1"/>
        <n v="15328" u="1"/>
        <n v="3504" u="1"/>
        <n v="12208" u="1"/>
        <n v="10648" u="1"/>
        <n v="14036" u="1"/>
        <n v="6040" u="1"/>
        <n v="11956" u="1"/>
        <n v="14304" u="1"/>
        <n v="13784" u="1"/>
        <n v="12744" u="1"/>
        <n v="10664" u="1"/>
        <n v="7608" u="1"/>
        <n v="13012" u="1"/>
        <n v="12492" u="1"/>
        <n v="11972" u="1"/>
        <n v="11452" u="1"/>
        <n v="3512" u="1"/>
        <n v="2992" u="1"/>
        <n v="10680" u="1"/>
        <n v="10160" u="1"/>
        <n v="2212" u="1"/>
        <n v="2000" u="1"/>
        <n v="15628" u="1"/>
        <n v="7356" u="1"/>
        <n v="1740" u="1"/>
        <n v="6836" u="1"/>
        <n v="13548" u="1"/>
        <n v="5276" u="1"/>
        <n v="8868" u="1"/>
        <n v="13296" u="1"/>
        <n v="3256" u="1"/>
        <n v="2996" u="1"/>
        <n v="10696" u="1"/>
        <n v="9136" u="1"/>
        <n v="2216" u="1"/>
        <n v="8144" u="1"/>
        <n v="7104" u="1"/>
        <n v="12004" u="1"/>
        <n v="10444" u="1"/>
        <n v="5024" u="1"/>
        <n v="15912" u="1"/>
        <n v="12272" u="1"/>
        <n v="7632" u="1"/>
        <n v="13580" u="1"/>
        <n v="13060" u="1"/>
        <n v="11500" u="1"/>
        <n v="5032" u="1"/>
        <n v="9420" u="1"/>
        <n v="14368" u="1"/>
        <n v="228" u="1"/>
        <n v="2484" u="1"/>
        <n v="7640" u="1"/>
        <n v="15156" u="1"/>
        <n v="7380" u="1"/>
        <n v="6080" u="1"/>
        <n v="1356" u="1"/>
        <n v="9436" u="1"/>
        <n v="3268" u="1"/>
        <n v="12824" u="1"/>
        <n v="3008" u="1"/>
        <n v="11784" u="1"/>
        <n v="2748" u="1"/>
        <n v="10744" u="1"/>
        <n v="9704" u="1"/>
        <n v="7388" u="1"/>
        <n v="14652" u="1"/>
        <n v="1748" u="1"/>
        <n v="12572" u="1"/>
        <n v="11532" u="1"/>
        <n v="5568" u="1"/>
        <n v="9972" u="1"/>
        <n v="4528" u="1"/>
        <n v="996" u="1"/>
        <n v="12320" u="1"/>
        <n v="2492" u="1"/>
        <n v="14148" u="1"/>
        <n v="6616" u="1"/>
        <n v="12068" u="1"/>
        <n v="5576" u="1"/>
        <n v="10776" u="1"/>
        <n v="2236" u="1"/>
        <n v="7144" u="1"/>
        <n v="12084" u="1"/>
        <n v="1492" u="1"/>
        <n v="5844" u="1"/>
        <n v="11564" u="1"/>
        <n v="3540" u="1"/>
        <n v="13392" u="1"/>
        <n v="12352" u="1"/>
        <n v="10272" u="1"/>
        <n v="9752" u="1"/>
        <n v="9232" u="1"/>
        <n v="14700" u="1"/>
        <n v="6892" u="1"/>
        <n v="13660" u="1"/>
        <n v="6632" u="1"/>
        <n v="13140" u="1"/>
        <n v="6112" u="1"/>
        <n v="10540" u="1"/>
        <n v="8460" u="1"/>
        <n v="15488" u="1"/>
        <n v="14968" u="1"/>
        <n v="13928" u="1"/>
        <n v="12888" u="1"/>
        <n v="11848" u="1"/>
        <n v="11328" u="1"/>
        <n v="10288" u="1"/>
        <n v="8728" u="1"/>
        <n v="544" u="1"/>
        <n v="14196" u="1"/>
        <n v="12636" u="1"/>
        <n v="5860" u="1"/>
        <n v="1236" u="1"/>
        <n v="4300" u="1"/>
        <n v="8476" u="1"/>
        <n v="3808" u="1"/>
        <n v="14984" u="1"/>
        <n v="13424" u="1"/>
        <n v="12384" u="1"/>
        <n v="2768" u="1"/>
        <n v="10824" u="1"/>
        <n v="2248" u="1"/>
        <n v="7948" u="1"/>
        <n v="7688" u="1"/>
        <n v="10052" u="1"/>
        <n v="4828" u="1"/>
        <n v="9012" u="1"/>
        <n v="11360" u="1"/>
        <n v="2512" u="1"/>
        <n v="9800" u="1"/>
        <n v="2252" u="1"/>
        <n v="1240" u="1"/>
        <n v="12936" u="1"/>
        <n v="12416" u="1"/>
        <n v="10856" u="1"/>
        <n v="7704" u="1"/>
        <n v="14244" u="1"/>
        <n v="12684" u="1"/>
        <n v="5884" u="1"/>
        <n v="11644" u="1"/>
        <n v="8524" u="1"/>
        <n v="15552" u="1"/>
        <n v="11912" u="1"/>
        <n v="11392" u="1"/>
        <n v="10872" u="1"/>
        <n v="15300" u="1"/>
        <n v="7192" u="1"/>
        <n v="12700" u="1"/>
        <n v="5632" u="1"/>
        <n v="10620" u="1"/>
        <n v="8540" u="1"/>
        <n v="3824" u="1"/>
        <n v="15048" u="1"/>
        <n v="14008" u="1"/>
        <n v="13488" u="1"/>
        <n v="8808" u="1"/>
        <n v="14276" u="1"/>
        <n v="13236" u="1"/>
        <n v="10636" u="1"/>
        <n v="10116" u="1"/>
        <n v="4088" u="1"/>
        <n v="15584" u="1"/>
        <n v="15064" u="1"/>
        <n v="14544" u="1"/>
        <n v="11424" u="1"/>
        <n v="10904" u="1"/>
        <n v="9864" u="1"/>
        <n v="15852" u="1"/>
        <n v="11692" u="1"/>
        <n v="4092" u="1"/>
        <n v="12480" u="1"/>
        <n v="15348" u="1"/>
        <n v="5916" u="1"/>
        <n v="5396" u="1"/>
        <n v="8588" u="1"/>
        <n v="15616" u="1"/>
        <n v="14576" u="1"/>
        <n v="12496" u="1"/>
        <n v="10936" u="1"/>
        <n v="15364" u="1"/>
        <n v="13284" u="1"/>
        <n v="6444" u="1"/>
        <n v="9124" u="1"/>
        <n v="4364" u="1"/>
        <n v="14592" u="1"/>
        <n v="13032" u="1"/>
        <n v="12512" u="1"/>
        <n v="8352" u="1"/>
        <n v="15900" u="1"/>
        <n v="13820" u="1"/>
        <n v="6192" u="1"/>
        <n v="11740" u="1"/>
        <n v="9140" u="1"/>
        <n v="8620" u="1"/>
        <n v="3844" u="1"/>
        <n v="944" u="1"/>
        <n v="10448" u="1"/>
        <n v="9928" u="1"/>
        <n v="9408" u="1"/>
        <n v="8020" u="1"/>
        <n v="15916" u="1"/>
        <n v="15396" u="1"/>
        <n v="13836" u="1"/>
        <n v="12796" u="1"/>
        <n v="12276" u="1"/>
        <n v="4640" u="1"/>
        <n v="4380" u="1"/>
        <n v="14104" u="1"/>
        <n v="13584" u="1"/>
        <n v="10464" u="1"/>
        <n v="9424" u="1"/>
        <n v="1908" u="1"/>
        <n v="14892" u="1"/>
        <n v="14372" u="1"/>
        <n v="436" u="1"/>
        <n v="6728" u="1"/>
        <n v="13332" u="1"/>
        <n v="12292" u="1"/>
        <n v="9692" u="1"/>
        <n v="4388" u="1"/>
        <n v="15680" u="1"/>
        <n v="3592" u="1"/>
        <n v="14120" u="1"/>
        <n v="12560" u="1"/>
        <n v="11520" u="1"/>
        <n v="8400" u="1"/>
        <n v="7776" u="1"/>
        <n v="7516" u="1"/>
        <n v="12828" u="1"/>
        <n v="11788" u="1"/>
        <n v="11268" u="1"/>
        <n v="10748" u="1"/>
        <n v="9188" u="1"/>
        <n v="8668" u="1"/>
        <n v="4136" u="1"/>
        <n v="1012" u="1"/>
        <n v="10496" u="1"/>
        <n v="8936" u="1"/>
        <n v="8416" u="1"/>
        <n v="6744" u="1"/>
        <n v="4924" u="1"/>
        <n v="4664" u="1"/>
        <n v="9204" u="1"/>
        <n v="4144" u="1"/>
        <n v="7792" u="1"/>
        <n v="14420" u="1"/>
        <n v="6752" u="1"/>
        <n v="6232" u="1"/>
        <n v="9740" u="1"/>
        <n v="14688" u="1"/>
        <n v="13128" u="1"/>
        <n v="12088" u="1"/>
        <n v="11568" u="1"/>
        <n v="10008" u="1"/>
        <n v="7280" u="1"/>
        <n v="9236" u="1"/>
        <n v="1136" u="1"/>
        <n v="16264" u="1"/>
        <n v="13144" u="1"/>
        <n v="10544" u="1"/>
        <n v="7028" u="1"/>
        <n v="6508" u="1"/>
        <n v="12372" u="1"/>
        <n v="11852" u="1"/>
        <n v="11332" u="1"/>
        <n v="16280" u="1"/>
        <n v="15240" u="1"/>
        <n v="14200" u="1"/>
        <n v="10560" u="1"/>
        <n v="8076" u="1"/>
        <n v="12908" u="1"/>
        <n v="6256" u="1"/>
        <n v="5996" u="1"/>
        <n v="5476" u="1"/>
        <n v="4956" u="1"/>
        <n v="4436" u="1"/>
        <n v="4176" u="1"/>
        <n v="12656" u="1"/>
        <n v="12136" u="1"/>
        <n v="2576" u="1"/>
        <n v="9016" u="1"/>
        <n v="8496" u="1"/>
        <n v="7824" u="1"/>
        <n v="6784" u="1"/>
        <n v="6264" u="1"/>
        <n v="12404" u="1"/>
        <n v="11884" u="1"/>
        <n v="10324" u="1"/>
        <n v="14752" u="1"/>
        <n v="13712" u="1"/>
        <n v="13192" u="1"/>
        <n v="12672" u="1"/>
        <n v="2840" u="1"/>
        <n v="16060" u="1"/>
        <n v="1924" u="1"/>
        <n v="13980" u="1"/>
        <n v="6792" u="1"/>
        <n v="12420" u="1"/>
        <n v="5752" u="1"/>
        <n v="10860" u="1"/>
        <n v="10340" u="1"/>
        <n v="9300" u="1"/>
        <n v="8780" u="1"/>
        <n v="10608" u="1"/>
        <n v="6800" u="1"/>
        <n v="10876" u="1"/>
        <n v="10356" u="1"/>
        <n v="16344" u="1"/>
        <n v="15304" u="1"/>
        <n v="3628" u="1"/>
        <n v="13224" u="1"/>
        <n v="12704" u="1"/>
        <n v="12184" u="1"/>
        <n v="2848" u="1"/>
        <n v="11144" u="1"/>
        <n v="9584" u="1"/>
        <n v="8108" u="1"/>
        <n v="15572" u="1"/>
        <n v="15052" u="1"/>
        <n v="13492" u="1"/>
        <n v="1668" u="1"/>
        <n v="6548" u="1"/>
        <n v="12972" u="1"/>
        <n v="100" u="1"/>
        <n v="11412" u="1"/>
        <n v="4728" u="1"/>
        <n v="16360" u="1"/>
        <n v="14280" u="1"/>
        <n v="13760" u="1"/>
        <n v="13240" u="1"/>
        <n v="11680" u="1"/>
        <n v="11160" u="1"/>
        <n v="10120" u="1"/>
        <n v="2332" u="1"/>
        <n v="1800" u="1"/>
        <n v="13508" u="1"/>
        <n v="6036" u="1"/>
        <n v="5516" u="1"/>
        <n v="344" u="1"/>
        <n v="9348" u="1"/>
        <n v="3896" u="1"/>
        <n v="14816" u="1"/>
        <n v="13776" u="1"/>
        <n v="13256" u="1"/>
        <n v="14044" u="1"/>
        <n v="6304" u="1"/>
        <n v="11444" u="1"/>
        <n v="15872" u="1"/>
        <n v="15352" u="1"/>
        <n v="11712" u="1"/>
        <n v="2080" u="1"/>
        <n v="15100" u="1"/>
        <n v="7352" u="1"/>
        <n v="12500" u="1"/>
        <n v="11460" u="1"/>
        <n v="15888" u="1"/>
        <n v="3644" u="1"/>
        <n v="13808" u="1"/>
        <n v="13288" u="1"/>
        <n v="764" u="1"/>
        <n v="11728" u="1"/>
        <n v="2604" u="1"/>
        <n v="10168" u="1"/>
        <n v="16156" u="1"/>
        <n v="7880" u="1"/>
        <n v="15636" u="1"/>
        <n v="14596" u="1"/>
        <n v="14076" u="1"/>
        <n v="13556" u="1"/>
        <n v="5020" u="1"/>
        <n v="4760" u="1"/>
        <n v="15904" u="1"/>
        <n v="252" u="1"/>
        <n v="14864" u="1"/>
        <n v="3388" u="1"/>
        <n v="12784" u="1"/>
        <n v="8624" u="1"/>
        <n v="2088" u="1"/>
        <n v="14092" u="1"/>
        <n v="6848" u="1"/>
        <n v="6328" u="1"/>
        <n v="6068" u="1"/>
        <n v="12012" u="1"/>
        <n v="11492" u="1"/>
        <n v="1288" u="1"/>
        <n v="3912" u="1"/>
        <n v="11760" u="1"/>
        <n v="8640" u="1"/>
        <n v="7376" u="1"/>
        <n v="14108" u="1"/>
        <n v="6856" u="1"/>
        <n v="13588" u="1"/>
        <n v="12548" u="1"/>
        <n v="11508" u="1"/>
        <n v="5556" u="1"/>
        <n v="8388" u="1"/>
        <n v="3136" u="1"/>
        <n v="10216" u="1"/>
        <n v="9696" u="1"/>
        <n v="14124" u="1"/>
        <n v="13604" u="1"/>
        <n v="12564" u="1"/>
        <n v="6084" u="1"/>
        <n v="8924" u="1"/>
        <n v="1032" u="1"/>
        <n v="3920" u="1"/>
        <n v="3140" u="1"/>
        <n v="12312" u="1"/>
        <n v="11792" u="1"/>
        <n v="10752" u="1"/>
        <n v="2360" u="1"/>
        <n v="8172" u="1"/>
        <n v="7912" u="1"/>
        <n v="7652" u="1"/>
        <n v="14140" u="1"/>
        <n v="13100" u="1"/>
        <n v="5572" u="1"/>
        <n v="9980" u="1"/>
        <n v="8420" u="1"/>
        <n v="15968" u="1"/>
        <n v="12328" u="1"/>
        <n v="11288" u="1"/>
        <n v="10248" u="1"/>
        <n v="7920" u="1"/>
        <n v="15196" u="1"/>
        <n v="13636" u="1"/>
        <n v="6100" u="1"/>
        <n v="9996" u="1"/>
        <n v="3928" u="1"/>
        <n v="15464" u="1"/>
        <n v="12864" u="1"/>
        <n v="13652" u="1"/>
        <n v="12092" u="1"/>
        <n v="11572" u="1"/>
        <n v="11052" u="1"/>
        <n v="10532" u="1"/>
        <n v="9492" u="1"/>
        <n v="4548" u="1"/>
        <n v="8972" u="1"/>
        <n v="8452" u="1"/>
        <n v="14960" u="1"/>
        <n v="13400" u="1"/>
        <n v="11840" u="1"/>
        <n v="11320" u="1"/>
        <n v="9240" u="1"/>
        <n v="14708" u="1"/>
        <n v="14188" u="1"/>
        <n v="13668" u="1"/>
        <n v="1560" u="1"/>
        <n v="11588" u="1"/>
        <n v="10548" u="1"/>
        <n v="9508" u="1"/>
        <n v="14456" u="1"/>
        <n v="3416" u="1"/>
        <n v="13416" u="1"/>
        <n v="11856" u="1"/>
        <n v="10816" u="1"/>
        <n v="1952" u="1"/>
        <n v="15244" u="1"/>
        <n v="7424" u="1"/>
        <n v="14724" u="1"/>
        <n v="14204" u="1"/>
        <n v="1692" u="1"/>
        <n v="6644" u="1"/>
        <n v="10564" u="1"/>
        <n v="3680" u="1"/>
        <n v="14472" u="1"/>
        <n v="10312" u="1"/>
        <n v="9792" u="1"/>
        <n v="13700" u="1"/>
        <n v="6392" u="1"/>
        <n v="5872" u="1"/>
        <n v="13968" u="1"/>
        <n v="2904" u="1"/>
        <n v="9808" u="1"/>
        <n v="9288" u="1"/>
        <n v="8768" u="1"/>
        <n v="16316" u="1"/>
        <n v="1956" u="1"/>
        <n v="13196" u="1"/>
        <n v="6140" u="1"/>
        <n v="12156" u="1"/>
        <n v="1436" u="1"/>
        <n v="11116" u="1"/>
        <n v="4580" u="1"/>
        <n v="9036" u="1"/>
        <n v="8516" u="1"/>
        <n v="16064" u="1"/>
        <n v="9824" u="1"/>
        <n v="9304" u="1"/>
        <n v="1828" u="1"/>
        <n v="6668" u="1"/>
        <n v="12692" u="1"/>
        <n v="11132" u="1"/>
        <n v="4588" u="1"/>
        <n v="15040" u="1"/>
        <n v="2392" u="1"/>
        <n v="8800" u="1"/>
        <n v="15828" u="1"/>
        <n v="7196" u="1"/>
        <n v="14268" u="1"/>
        <n v="13228" u="1"/>
        <n v="5376" u="1"/>
        <n v="10628" u="1"/>
        <n v="12976" u="1"/>
        <n v="11936" u="1"/>
        <n v="10896" u="1"/>
      </sharedItems>
    </cacheField>
    <cacheField name="SEQUENCEID" numFmtId="0" sqlType="6">
      <sharedItems containsSemiMixedTypes="0" containsString="0" containsNumber="1" containsInteger="1" minValue="0" maxValue="24" count="25">
        <n v="0"/>
        <n v="13" u="1"/>
        <n v="5" u="1"/>
        <n v="14" u="1"/>
        <n v="15" u="1"/>
        <n v="2" u="1"/>
        <n v="6" u="1"/>
        <n v="16" u="1"/>
        <n v="17" u="1"/>
        <n v="18" u="1"/>
        <n v="19" u="1"/>
        <n v="7" u="1"/>
        <n v="20" u="1"/>
        <n v="21" u="1"/>
        <n v="22" u="1"/>
        <n v="1" u="1"/>
        <n v="23" u="1"/>
        <n v="3" u="1"/>
        <n v="8" u="1"/>
        <n v="24" u="1"/>
        <n v="9" u="1"/>
        <n v="10" u="1"/>
        <n v="11" u="1"/>
        <n v="4" u="1"/>
        <n v="12" u="1"/>
      </sharedItems>
    </cacheField>
    <cacheField name="NETPROCESSID" numFmtId="0" sqlType="6">
      <sharedItems containsSemiMixedTypes="0" containsString="0" containsNumber="1" containsInteger="1" minValue="0" maxValue="16204" count="138">
        <n v="1284"/>
        <n v="14308"/>
        <n v="0" u="1"/>
        <n v="10040" u="1"/>
        <n v="11460" u="1"/>
        <n v="1196" u="1"/>
        <n v="3468" u="1"/>
        <n v="1596" u="1"/>
        <n v="13128" u="1"/>
        <n v="548" u="1"/>
        <n v="7896" u="1"/>
        <n v="4100" u="1"/>
        <n v="8244" u="1"/>
        <n v="12788" u="1"/>
        <n v="13924" u="1"/>
        <n v="10308" u="1"/>
        <n v="11444" u="1"/>
        <n v="12012" u="1"/>
        <n v="12651" u="1"/>
        <n v="11804" u="1"/>
        <n v="14360" u="1"/>
        <n v="6912" u="1"/>
        <n v="15004" u="1"/>
        <n v="14096" u="1"/>
        <n v="2740" u="1"/>
        <n v="8776" u="1"/>
        <n v="9628" u="1"/>
        <n v="11900" u="1"/>
        <n v="8172" u="1"/>
        <n v="9288" u="1"/>
        <n v="12128" u="1"/>
        <n v="13132" u="1"/>
        <n v="1244" u="1"/>
        <n v="10936" u="1"/>
        <n v="12787" u="1"/>
        <n v="13568" u="1"/>
        <n v="11372" u="1"/>
        <n v="13928" u="1"/>
        <n v="11164" u="1"/>
        <n v="11448" u="1"/>
        <n v="15140" u="1"/>
        <n v="11808" u="1"/>
        <n v="9896" u="1"/>
        <n v="14156" u="1"/>
        <n v="6952" u="1"/>
        <n v="8088" u="1"/>
        <n v="1488" u="1"/>
        <n v="4052" u="1"/>
        <n v="13172" u="1"/>
        <n v="9840" u="1"/>
        <n v="10408" u="1"/>
        <n v="12396" u="1"/>
        <n v="10768" u="1"/>
        <n v="12472" u="1"/>
        <n v="13892" u="1"/>
        <n v="1268" u="1"/>
        <n v="6536" u="1"/>
        <n v="14252" u="1"/>
        <n v="1952" u="1"/>
        <n v="3560" u="1"/>
        <n v="11204" u="1"/>
        <n v="11772" u="1"/>
        <n v="16032" u="1"/>
        <n v="2088" u="1"/>
        <n v="6896" u="1"/>
        <n v="10712" u="1"/>
        <n v="3740" u="1"/>
        <n v="6792" u="1"/>
        <n v="7928" u="1"/>
        <n v="9652" u="1"/>
        <n v="13912" u="1"/>
        <n v="3972" u="1"/>
        <n v="13136" u="1"/>
        <n v="14272" u="1"/>
        <n v="4880" u="1"/>
        <n v="5164" u="1"/>
        <n v="9236" u="1"/>
        <n v="12360" u="1"/>
        <n v="13212" u="1"/>
        <n v="15200"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6132" u="1"/>
        <n v="9468" u="1"/>
        <n v="7732" u="1"/>
        <n v="7628" u="1"/>
        <n v="15300" u="1"/>
        <n v="15944" u="1"/>
        <n v="4296" u="1"/>
        <n v="8352" u="1"/>
        <n v="10340" u="1"/>
        <n v="11192" u="1"/>
        <n v="13180" u="1"/>
        <n v="8220" u="1"/>
        <n v="232" u="1"/>
        <n v="13124" u="1"/>
        <n v="13976" u="1"/>
        <n v="5300" u="1"/>
        <n v="8372" u="1"/>
        <n v="12500" u="1"/>
        <n v="12292"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10360" maxValue="13336" count="2">
        <n v="10360"/>
        <n v="13336"/>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538">
        <n v="8.8642392074689302E-4"/>
        <n v="1837.44165039063"/>
        <n v="1837.82482910156"/>
        <n v="1.3179022062104201E-4"/>
        <n v="2.20556370913982E-3"/>
        <n v="1.3127541751600799E-4"/>
        <n v="8.1960082752630101E-5"/>
        <n v="7.2317093145102295E-4"/>
        <n v="1.93357598618604E-4"/>
        <n v="1.8424546578898999E-4"/>
        <n v="3.32746049389243E-3" u="1"/>
        <n v="0.13907459378242501" u="1"/>
        <n v="3.0078948475420501E-3" u="1"/>
        <n v="6.4356178045272799E-2" u="1"/>
        <n v="3.8119740784168202E-2" u="1"/>
        <n v="5.45318871736526E-2" u="1"/>
        <n v="6.0924282297492001E-3" u="1"/>
        <n v="1999647" u="1"/>
        <n v="8.7471198639832396E-5" u="1"/>
        <n v="6.8663796409964596E-3" u="1"/>
        <n v="4.7846185043454196E-3" u="1"/>
        <n v="9.3915509060025198E-3" u="1"/>
        <n v="6.9644287228584303E-2" u="1"/>
        <n v="8.1430068239569699E-3" u="1"/>
        <n v="1.11488094553351E-2" u="1"/>
        <n v="2.25128121674061E-2" u="1"/>
        <n v="2.9666482005268301E-3" u="1"/>
        <n v="0.26762863993644698" u="1"/>
        <n v="3.0381444375962002E-3" u="1"/>
        <n v="6.6882692277431502E-2" u="1"/>
        <n v="4.6422313898801804E-3" u="1"/>
        <n v="1.53880240395665E-2" u="1"/>
        <n v="3.00051318481565E-3" u="1"/>
        <n v="1.06531232595444E-2" u="1"/>
        <n v="3.7642791867256199E-2" u="1"/>
        <n v="4.9421489238739E-2" u="1"/>
        <n v="8.8948598131537403E-3" u="1"/>
        <n v="0.10138213634491" u="1"/>
        <n v="2.23632045090199E-2" u="1"/>
        <n v="2.5233626365661599E-3"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7.9221429768949704E-4" u="1"/>
        <n v="2.2574020549654999E-2" u="1"/>
        <n v="6.9194003008306E-3" u="1"/>
        <n v="4.1017923504114203E-3" u="1"/>
        <n v="2.9596248641610098E-3" u="1"/>
        <n v="3.1359547283500398E-3" u="1"/>
        <n v="0.112694442272186"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8.4908008575439505E-3" u="1"/>
        <n v="7.8899646177887899E-3" u="1"/>
        <n v="1.7888940870761899E-2" u="1"/>
        <n v="7.6322459790389998E-5" u="1"/>
        <n v="1.14963790401816E-2" u="1"/>
        <n v="4.9126382917165798E-2" u="1"/>
        <n v="3.4180120564997201E-3" u="1"/>
        <n v="1.14016489533242E-4" u="1"/>
        <n v="5.8150403201579999E-2" u="1"/>
        <n v="3.75149757019244E-5" u="1"/>
        <n v="8.7330099195241893E-3" u="1"/>
        <n v="3775.46850585938" u="1"/>
        <n v="1.14018577733077E-4" u="1"/>
        <n v="659.066162109375" u="1"/>
        <n v="1.0310555808246099E-2" u="1"/>
        <n v="1.1242379434406801E-2" u="1"/>
        <n v="3.4825425595045097E-2" u="1"/>
        <n v="4.59832511842251E-3" u="1"/>
        <n v="1.2279257643967899E-3" u="1"/>
        <n v="0.140096619725227" u="1"/>
        <n v="3.7105281080585E-5" u="1"/>
        <n v="2.2807196364738001E-4" u="1"/>
        <n v="1.3989728176966301E-3" u="1"/>
        <n v="3.97422863170505E-3" u="1"/>
        <n v="9.1238059103488905E-3" u="1"/>
        <n v="4.8113185912370703E-2" u="1"/>
        <n v="8.6723277345299703E-3" u="1"/>
        <n v="659.06604003906295" u="1"/>
        <n v="1.0761433281004399E-2" u="1"/>
        <n v="3.9897868409752802E-3" u="1"/>
        <n v="1.3408453669398999E-3" u="1"/>
        <n v="2.2488504648208601E-2" u="1"/>
        <n v="3.9897677488624998E-3" u="1"/>
        <n v="1.53448209166527E-2" u="1"/>
        <n v="4.87713478505611E-2" u="1"/>
        <n v="5.5689834058284801E-2" u="1"/>
        <n v="5.9592876583337798E-2" u="1"/>
        <n v="1.3990575680509201E-3" u="1"/>
        <n v="2.18683984712698E-4" u="1"/>
        <n v="2.2698862478136999E-2" u="1"/>
        <n v="1.6000303439795999E-3" u="1"/>
        <n v="1.0491791181266299E-2" u="1"/>
        <n v="3.0936501920223201E-2" u="1"/>
        <n v="6.6915199160575894E-2" u="1"/>
        <n v="4.7942907549440904E-3" u="1"/>
        <n v="5.3879595361650001E-4" u="1"/>
        <n v="99980520" u="1"/>
        <n v="7.2920337319374098E-2" u="1"/>
        <n v="99980584" u="1"/>
        <n v="99980648" u="1"/>
        <n v="99980776" u="1"/>
        <n v="6.00037383264862E-5" u="1"/>
        <n v="1.1108611710369601E-2" u="1"/>
        <n v="1.33707222994417E-3" u="1"/>
        <n v="3.7812962546013302E-5" u="1"/>
        <n v="99980384" u="1"/>
        <n v="99980576" u="1"/>
        <n v="3.0486937612295199E-2" u="1"/>
        <n v="99980768" u="1"/>
        <n v="2.2792423143982901E-2" u="1"/>
        <n v="99980832" u="1"/>
        <n v="1.14679774269462E-2" u="1"/>
        <n v="99980376" u="1"/>
        <n v="9.4659408205188797E-5" u="1"/>
        <n v="2.7540927752852402E-2" u="1"/>
        <n v="99980568" u="1"/>
        <n v="4.7788950614631202E-3" u="1"/>
        <n v="99980632" u="1"/>
        <n v="4.4687058776617099E-2" u="1"/>
        <n v="4.1631506755948101E-3" u="1"/>
        <n v="4.2743988160509603E-5" u="1"/>
        <n v="8.2927334005944404E-5" u="1"/>
        <n v="5.8038525283336598E-2" u="1"/>
        <n v="1.08732795342803E-3" u="1"/>
        <n v="6.7314383340999495E-4" u="1"/>
        <n v="8.6389429867267595E-2" u="1"/>
        <n v="5.0046145915985099E-3" u="1"/>
        <n v="99983704" u="1"/>
        <n v="0.24374139308929399" u="1"/>
        <n v="3.2849919050931903E-2" u="1"/>
        <n v="3.0352545436471701E-3" u="1"/>
        <n v="6.8605691194534302E-3" u="1"/>
        <n v="99980488" u="1"/>
        <n v="99980616" u="1"/>
        <n v="4.7942921519279497E-3" u="1"/>
        <n v="2.2463271394372E-2" u="1"/>
        <n v="0.13075289130210899" u="1"/>
        <n v="1.40667275991291E-3" u="1"/>
        <n v="3.00177093595266E-3" u="1"/>
        <n v="4.3159809138160199E-5" u="1"/>
        <n v="99980352" u="1"/>
        <n v="99980416" u="1"/>
        <n v="99980544" u="1"/>
        <n v="0.41545334458351102" u="1"/>
        <n v="5.4849866777658497E-2" u="1"/>
        <n v="3.03932535462081E-3" u="1"/>
        <n v="6.0566286556422702E-3" u="1"/>
        <n v="1.4593017112929401E-4" u="1"/>
        <n v="4.5291692018508897E-2" u="1"/>
        <n v="3.0094101093709499E-3" u="1"/>
        <n v="1.40489614568651E-3" u="1"/>
        <n v="1.1979308328591299E-4" u="1"/>
        <n v="2.7501201257109599E-3" u="1"/>
        <n v="2.0238088443875299E-2" u="1"/>
        <n v="99980408" u="1"/>
        <n v="99980472" u="1"/>
        <n v="99980536" u="1"/>
        <n v="99980600" u="1"/>
        <n v="1.92174389958382E-2" u="1"/>
        <n v="3.6100439727306401E-2" u="1"/>
        <n v="1.60215760115534E-3" u="1"/>
        <n v="4.2317351326346397E-3" u="1"/>
        <n v="5.0655584782362002E-3" u="1"/>
        <n v="2.48329737223685E-3" u="1"/>
        <n v="3.01326555199921E-3" u="1"/>
        <n v="3.02081881090999E-3" u="1"/>
        <n v="6.9442920386791201E-2" u="1"/>
        <n v="6.6029766458086697E-5" u="1"/>
        <n v="9.3522351235151308E-3" u="1"/>
        <n v="3.8867346942424802E-2" u="1"/>
        <n v="5.8821089565753902E-2" u="1"/>
        <n v="2.6401599869132E-2" u="1"/>
        <n v="7.1495920419692993E-2" u="1"/>
        <n v="7.0187780074775202E-3" u="1"/>
        <n v="2.24957726895809E-2" u="1"/>
        <n v="2.2975675761699701E-2" u="1"/>
        <n v="3.0547736212611198E-2" u="1"/>
        <n v="3.4378890413790898E-3" u="1"/>
        <n v="5.7619608938694E-2" u="1"/>
        <n v="3.6043547093868297E-2" u="1"/>
        <n v="5.5015832185745196E-4" u="1"/>
        <n v="5.8301578974351298E-4" u="1"/>
        <n v="1.14042610221077E-4" u="1"/>
        <n v="5.4024032579036402E-5" u="1"/>
        <n v="1.3975246110931E-3" u="1"/>
        <n v="7.9689249396324192E-3" u="1"/>
        <n v="1.2628244236111599E-2" u="1"/>
        <n v="1.13144114948227E-5" u="1"/>
        <n v="0.11429512500762901" u="1"/>
        <n v="4.10759646911174E-4" u="1"/>
        <n v="3.5984296351671198E-2" u="1"/>
        <n v="2.5772130116820301E-2" u="1"/>
        <n v="3.6040931940078701E-2" u="1"/>
        <n v="4.3425694457255298E-4" u="1"/>
        <n v="5.1368441432714497E-2" u="1"/>
        <n v="1.6078896587714601E-3" u="1"/>
        <n v="1.1877576820552301E-2" u="1"/>
        <n v="8.4512569010257704E-3" u="1"/>
        <n v="3.1334829982370099E-3" u="1"/>
        <n v="3.1958598643541301E-2" u="1"/>
        <n v="9.6917196060530801E-5" u="1"/>
        <n v="1.0390235111117399E-2" u="1"/>
        <n v="1.1516430415213099E-2" u="1"/>
        <n v="3.5986114293336903E-2" u="1"/>
        <n v="3.9464952424168604E-3" u="1"/>
        <n v="1.3975850306451299E-3" u="1"/>
        <n v="3.0096268747001899E-3" u="1"/>
        <n v="2.26767994463444E-2" u="1"/>
        <n v="1.3469773693941501E-4" u="1"/>
        <n v="2.24979910999537E-2" u="1"/>
        <n v="1.2811231135856401E-4" u="1"/>
        <n v="2.45746807195246E-3" u="1"/>
        <n v="1.9191913306713101E-2" u="1"/>
        <n v="1.0360063984990101E-2" u="1"/>
        <n v="7.2467938065528897E-2" u="1"/>
        <n v="0.124162152409554" u="1"/>
        <n v="3.1033072620630299E-2" u="1"/>
        <n v="4.3932250264333602E-5" u="1"/>
        <n v="3.9694658480584604E-3" u="1"/>
        <n v="2.4764209520071702E-3" u="1"/>
        <n v="7.3794566094875294E-2" u="1"/>
        <n v="3.9172647520899799E-3" u="1"/>
        <n v="2.24683340638876E-2" u="1"/>
        <n v="1.4107666211202699E-3" u="1"/>
        <n v="3.02125979214907E-3" u="1"/>
        <n v="6.1713308095932E-2" u="1"/>
        <n v="1.5403536381199999E-3" u="1"/>
        <n v="2.2979527420830001E-4" u="1"/>
        <n v="1.31679512560368E-3" u="1"/>
        <n v="9.1283247456885901E-5" u="1"/>
        <n v="1.7809288576245301E-2" u="1"/>
        <n v="2.2744202578906E-4" u="1"/>
        <n v="0.12200907617807399" u="1"/>
        <n v="2.1829555043950701E-4" u="1"/>
        <n v="1.5215536579489699E-2" u="1"/>
        <n v="1.59121394972317E-4" u="1"/>
        <n v="4.4733155518770201E-3" u="1"/>
        <n v="3332693.25" u="1"/>
        <n v="0.51187664270401001" u="1"/>
        <n v="7.2502727562095997E-5" u="1"/>
        <n v="3.6292392760515199E-2" u="1"/>
        <n v="8.3025656640529598E-3" u="1"/>
        <n v="5.63797494396567E-3" u="1"/>
        <n v="2.2499192506074898E-2" u="1"/>
        <n v="4.4462294317781898E-4" u="1"/>
        <n v="1.0692243464291099E-2" u="1"/>
        <n v="3.7194777280092198E-2" u="1"/>
        <n v="3332697" u="1"/>
        <n v="3.0324605759233202E-3" u="1"/>
        <n v="1.1277460493147399E-2" u="1"/>
        <n v="3.63388127880171E-4" u="1"/>
        <n v="1.4291341358330101E-4" u="1"/>
        <n v="1.0915813036263E-3" u="1"/>
        <n v="4.35349624603987E-3" u="1"/>
        <n v="4.45838831365108E-2" u="1"/>
        <n v="3332676.75" u="1"/>
        <n v="3332682.75" u="1"/>
        <n v="3332684.75" u="1"/>
        <n v="1.9330194918438801E-3" u="1"/>
        <n v="1.04364100843668E-2" u="1"/>
        <n v="3332698.75" u="1"/>
        <n v="3332700.75" u="1"/>
        <n v="1.0105469264090099E-2" u="1"/>
        <n v="7.8136071562767001E-2" u="1"/>
        <n v="3.2019815989770002E-5" u="1"/>
        <n v="3.00995609723032E-3" u="1"/>
        <n v="1.7812889069318799E-2" u="1"/>
        <n v="1.3939592463430001E-4" u="1"/>
        <n v="3332670.5" u="1"/>
        <n v="6.9227553904056497E-3" u="1"/>
        <n v="3332686.5" u="1"/>
        <n v="3332694.5" u="1"/>
        <n v="3332698.5" u="1"/>
        <n v="5.8136897860094905E-4" u="1"/>
        <n v="4.4225484132766703E-2" u="1"/>
        <n v="3.07346433401108E-2" u="1"/>
        <n v="2.2559328004717799E-2" u="1"/>
        <n v="3.7979118525981903E-2" u="1"/>
        <n v="6.9832704029977304E-3" u="1"/>
        <n v="2.51037231646478E-3" u="1"/>
        <n v="3332676.25" u="1"/>
        <n v="3332680.25" u="1"/>
        <n v="3332686.25" u="1"/>
        <n v="4.1126757860183698E-3" u="1"/>
        <n v="5.5706850253045602E-3" u="1"/>
        <n v="3.4421812742948502E-3" u="1"/>
        <n v="3332706.25" u="1"/>
        <n v="5.4145250469446203E-2" u="1"/>
        <n v="0.11119163036346399" u="1"/>
        <n v="2.27122996002436E-2" u="1"/>
        <n v="3.0591832473874101E-3" u="1"/>
        <n v="3332672" u="1"/>
        <n v="3332788.5" u="1"/>
        <n v="2.76553560979664E-4" u="1"/>
        <n v="8.21292586624622E-3" u="1"/>
        <n v="1.74205601215363E-2" u="1"/>
        <n v="2.4879705160856199E-3" u="1"/>
        <n v="7.0136059075593896E-3" u="1"/>
        <n v="3.0214919243007898E-3" u="1"/>
        <n v="9.74057329585776E-5" u="1"/>
        <n v="2.7548284269869302E-3" u="1"/>
        <n v="3.4613508731126799E-2" u="1"/>
        <n v="3332780.25" u="1"/>
        <n v="3332669.75" u="1"/>
        <n v="2.4844959843903802E-3" u="1"/>
        <n v="3332683.75" u="1"/>
        <n v="8.2427337765693699E-3" u="1"/>
        <n v="2.9535794630646699E-2" u="1"/>
        <n v="3332691.75" u="1"/>
        <n v="3332693.75" u="1"/>
        <n v="3332695.75" u="1"/>
        <n v="3332697.75" u="1"/>
        <n v="2.9715454205870601E-2" u="1"/>
        <n v="3332711.75" u="1"/>
        <n v="2.2532440721988699E-2" u="1"/>
        <n v="2.2501410916447601E-2" u="1"/>
        <n v="0.107953391969204" u="1"/>
        <n v="2.68606469035149E-2" u="1"/>
        <n v="3.01800575107336E-3" u="1"/>
        <n v="3332695.5" u="1"/>
        <n v="2.25627645850182E-2" u="1"/>
        <n v="1.86572468373924E-3" u="1"/>
        <n v="3332715.5" u="1"/>
        <n v="2.9992938507348299E-3" u="1"/>
        <n v="1.7574185505509401E-2" u="1"/>
        <n v="3.7255253642797498E-2" u="1"/>
        <n v="3.0106580816209299E-3" u="1"/>
        <n v="5.7758677750825903E-2" u="1"/>
        <n v="6.8784775212407103E-3" u="1"/>
        <n v="2.25038770586252E-2" u="1"/>
        <n v="2.01588179916143E-2" u="1"/>
        <n v="1.0407860390842001E-2" u="1"/>
        <n v="3.3336195629090101E-3" u="1"/>
        <n v="2.2532479837536801E-2" u="1"/>
        <n v="1.15201715379953E-2" u="1"/>
        <n v="4.7599021345377003E-3" u="1"/>
        <n v="3.3334938343614301E-3" u="1"/>
        <n v="0.523553907871246" u="1"/>
        <n v="6.5781185403466199E-3" u="1"/>
        <n v="2.6771625503897702E-2" u="1"/>
        <n v="1.75455901771784E-2" u="1"/>
        <n v="3.4163412638008599E-3" u="1"/>
        <n v="3.5967424046248202E-3" u="1"/>
        <n v="7.0816077291965498E-2" u="1"/>
        <n v="3.1851120293140397E-2" u="1"/>
        <n v="6.5095775062218298E-4" u="1"/>
        <n v="2.92438012547791E-3" u="1"/>
        <n v="3.03685874678195E-3" u="1"/>
        <n v="3.9786188863217796E-3" u="1"/>
        <n v="1.0649603791534901E-2" u="1"/>
        <n v="2.2594336420297598E-2" u="1"/>
        <n v="4.2674262076616301E-2" u="1"/>
        <n v="3774.0107421875" u="1"/>
        <n v="2.2113565355539301E-2" u="1"/>
        <n v="1.04233548045158E-2" u="1"/>
        <n v="2.7223862707614899E-2" u="1"/>
        <n v="1.5292624011635799E-2"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8.9994928566738996E-4" u="1"/>
        <n v="1.6072748228907599E-2" u="1"/>
        <n v="1.75455491989851E-2" u="1"/>
        <n v="1.7666639760136601E-2" u="1"/>
        <n v="1.00045399740338E-2" u="1"/>
        <n v="7.6230123639106806E-2" u="1"/>
        <n v="1.3850997202098401E-2" u="1"/>
        <n v="5.1580806029960502E-4" u="1"/>
        <n v="2.2505655884742699E-2" u="1"/>
        <n v="2.52219033427536E-4" u="1"/>
        <n v="3.04485019296408E-3" u="1"/>
        <n v="3.9937901310622701E-3" u="1"/>
        <n v="4.0571484714746503E-2" u="1"/>
        <n v="1.73080060631037E-2" u="1"/>
        <n v="1.3925399398431199E-3" u="1"/>
        <n v="6.8664595484733595E-2" u="1"/>
        <n v="2.2627435624599498E-2" u="1"/>
        <n v="4.9713016487657998E-3" u="1"/>
        <n v="3.8408942520618397E-2" u="1"/>
        <n v="1.72464270144701E-2" u="1"/>
        <n v="8.7112560868263193E-3" u="1"/>
        <n v="5.3092553280293898E-3" u="1"/>
        <n v="2.2478383034467701E-2" u="1"/>
        <n v="1.39062013477087E-3" u="1"/>
        <n v="3.2580479979515103E-2" u="1"/>
        <n v="2.2569116204977001E-2" u="1"/>
        <n v="5.5239617824554402E-2" u="1"/>
        <n v="4.9983058124780698E-4" u="1"/>
        <n v="5.84252178668976E-3" u="1"/>
        <n v="3.0443858355283699E-2" u="1"/>
        <n v="1.8454075325280401E-4" u="1"/>
        <n v="8.6050480604171796E-4" u="1"/>
        <n v="9.3908384442329407E-2" u="1"/>
        <n v="6.99910968542099E-2" u="1"/>
        <n v="3.0262013897299801E-3" u="1"/>
        <n v="4.7367401421070099E-2" u="1"/>
        <n v="5.8186624199152E-2" u="1"/>
        <n v="833189.75" u="1"/>
        <n v="2.5604809634387502E-3" u="1"/>
        <n v="2.085598744452E-2" u="1"/>
        <n v="0.25696560740470897" u="1"/>
        <n v="8.2017742097377794E-3" u="1"/>
        <n v="4.0845577605068701E-3" u="1"/>
        <n v="7.9939942224882502E-5" u="1"/>
        <n v="3.0297932680696201E-3" u="1"/>
        <n v="4.72507381346077E-4" u="1"/>
        <n v="7.5520485639572102E-2" u="1"/>
        <n v="1.977314427495E-2" u="1"/>
        <n v="6.7341998219490107E-2" u="1"/>
        <n v="7.42021054029465E-2" u="1"/>
        <n v="2.6725463612820001E-5" u="1"/>
        <n v="7.4068462708964903E-5" u="1"/>
        <n v="2.83221714198589E-4" u="1"/>
        <n v="3.8639567792415602E-3" u="1"/>
        <n v="1.4019998488947699E-3" u="1"/>
        <n v="1.03508932515979E-2" u="1"/>
        <n v="0.14146538078784901" u="1"/>
        <n v="2.7106031775474501E-3" u="1"/>
        <n v="2.87296026945114E-2" u="1"/>
        <n v="1.9411931280046699E-3" u="1"/>
        <n v="8.7210784840863198E-5" u="1"/>
        <n v="8.6677838116884197E-3" u="1"/>
        <n v="7.0659146877005696E-4" u="1"/>
        <n v="3.1015491113066699E-3" u="1"/>
        <n v="2.0555919036269198E-2" u="1"/>
        <n v="1.0531181469559701E-2" u="1"/>
        <n v="9.9149430170655303E-3" u="1"/>
        <n v="2.1358935628086298E-3" u="1"/>
        <n v="1.05005791410804E-2" u="1"/>
        <n v="0.124338671565056" u="1"/>
        <n v="8.6381314322352392E-3" u="1"/>
        <n v="7.9587938671466004E-5" u="1"/>
        <n v="6.21872721239924E-3" u="1"/>
        <n v="1.1237488128244899E-2" u="1"/>
        <n v="3.6068167537450797E-2" u="1"/>
        <n v="1.09370723366737E-2" u="1"/>
        <n v="7.1192502975463895E-2" u="1"/>
        <n v="0.12049327045679099" u="1"/>
        <n v="1.39846513047814E-3" u="1"/>
        <n v="2.2450482472777401E-2" u="1"/>
        <n v="6.3472674228250998E-3" u="1"/>
        <n v="1.12526193261147E-2" u="1"/>
        <n v="1.15088922902942E-2" u="1"/>
        <n v="1.5110269887372899E-3" u="1"/>
        <n v="7.8718364238738996E-3" u="1"/>
        <n v="8.0824280157685297E-3" u="1"/>
        <n v="2.0256491377949701E-2" u="1"/>
        <n v="1.92068479955196E-2" u="1"/>
        <n v="2.9889964498579502E-3" u="1"/>
        <n v="5.6154452264308902E-2" u="1"/>
        <n v="0.35031244158744801" u="1"/>
        <n v="5.5958903394639501E-3" u="1"/>
        <n v="3.50526385009289E-2" u="1"/>
        <n v="1.03827472776175E-2" u="1"/>
        <n v="5.6875217705965E-2" u="1"/>
        <n v="3.4027781337499598E-2" u="1"/>
        <n v="4.5931581407785402E-2" u="1"/>
        <n v="2.9702358879148999E-3" u="1"/>
        <n v="3.6073479801416397E-2" u="1"/>
        <n v="6.9406494498252896E-2" u="1"/>
        <n v="3.61375398933887E-2" u="1"/>
        <n v="6.08423799276352E-2" u="1"/>
        <n v="4.0284588932991E-2" u="1"/>
        <n v="6.7959867417812306E-2" u="1"/>
        <n v="6.3527066959068201E-4" u="1"/>
        <n v="2.58191703323973E-5" u="1"/>
        <n v="1.41357292886823E-3" u="1"/>
      </sharedItems>
    </cacheField>
    <cacheField name="POS" numFmtId="0" sqlType="6">
      <sharedItems containsSemiMixedTypes="0" containsString="0" containsNumber="1" containsInteger="1" minValue="0" maxValue="24427" count="15089">
        <n v="71"/>
        <n v="30"/>
        <n v="31"/>
        <n v="32"/>
        <n v="33"/>
        <n v="34"/>
        <n v="35"/>
        <n v="36"/>
        <n v="37"/>
        <n v="38"/>
        <n v="39"/>
        <n v="19"/>
        <n v="20"/>
        <n v="21"/>
        <n v="22"/>
        <n v="23"/>
        <n v="24"/>
        <n v="25"/>
        <n v="26"/>
        <n v="27"/>
        <n v="28"/>
        <n v="29"/>
        <n v="8"/>
        <n v="9"/>
        <n v="10"/>
        <n v="11"/>
        <n v="12"/>
        <n v="13"/>
        <n v="14"/>
        <n v="15"/>
        <n v="16"/>
        <n v="17"/>
        <n v="18"/>
        <n v="40"/>
        <n v="41"/>
        <n v="42"/>
        <n v="43"/>
        <n v="44"/>
        <n v="45"/>
        <n v="46"/>
        <n v="47"/>
        <n v="48"/>
        <n v="49"/>
        <n v="50"/>
        <n v="51"/>
        <n v="52"/>
        <n v="53"/>
        <n v="54"/>
        <n v="55"/>
        <n v="56"/>
        <n v="15018"/>
        <n v="15019"/>
        <n v="15020"/>
        <n v="15021"/>
        <n v="15022"/>
        <n v="15023"/>
        <n v="15024"/>
        <n v="15025"/>
        <n v="57"/>
        <n v="58"/>
        <n v="59"/>
        <n v="60"/>
        <n v="61"/>
        <n v="62"/>
        <n v="63"/>
        <n v="64"/>
        <n v="65"/>
        <n v="15026"/>
        <n v="15027"/>
        <n v="15028"/>
        <n v="15029"/>
        <n v="15030"/>
        <n v="15031"/>
        <n v="66"/>
        <n v="67"/>
        <n v="68"/>
        <n v="69"/>
        <n v="70"/>
        <n v="0"/>
        <n v="1"/>
        <n v="2"/>
        <n v="3"/>
        <n v="4"/>
        <n v="5"/>
        <n v="6"/>
        <n v="7"/>
        <n v="72"/>
        <n v="73"/>
        <n v="74"/>
        <n v="75"/>
        <n v="76"/>
        <n v="77"/>
        <n v="78"/>
        <n v="85"/>
        <n v="86"/>
        <n v="87"/>
        <n v="88"/>
        <n v="89"/>
        <n v="90"/>
        <n v="91"/>
        <n v="92"/>
        <n v="93"/>
        <n v="100"/>
        <n v="101"/>
        <n v="102"/>
        <n v="103"/>
        <n v="104"/>
        <n v="105"/>
        <n v="106"/>
        <n v="107"/>
        <n v="108"/>
        <n v="114"/>
        <n v="115"/>
        <n v="116"/>
        <n v="117"/>
        <n v="118"/>
        <n v="119"/>
        <n v="120"/>
        <n v="121"/>
        <n v="122"/>
        <n v="129"/>
        <n v="130"/>
        <n v="131"/>
        <n v="132"/>
        <n v="133"/>
        <n v="134"/>
        <n v="135"/>
        <n v="136"/>
        <n v="143"/>
        <n v="144"/>
        <n v="145"/>
        <n v="146"/>
        <n v="147"/>
        <n v="148"/>
        <n v="149"/>
        <n v="150"/>
        <n v="158"/>
        <n v="159"/>
        <n v="160"/>
        <n v="161"/>
        <n v="162"/>
        <n v="163"/>
        <n v="164"/>
        <n v="165"/>
        <n v="173"/>
        <n v="174"/>
        <n v="175"/>
        <n v="176"/>
        <n v="177"/>
        <n v="178"/>
        <n v="179"/>
        <n v="180"/>
        <n v="181"/>
        <n v="182"/>
        <n v="183"/>
        <n v="184"/>
        <n v="185"/>
        <n v="186"/>
        <n v="187"/>
        <n v="188"/>
        <n v="189"/>
        <n v="190"/>
        <n v="191"/>
        <n v="192"/>
        <n v="193"/>
        <n v="194"/>
        <n v="195"/>
        <n v="196"/>
        <n v="197"/>
        <n v="198"/>
        <n v="199"/>
        <n v="200"/>
        <n v="201"/>
        <n v="79"/>
        <n v="80"/>
        <n v="81"/>
        <n v="82"/>
        <n v="83"/>
        <n v="84"/>
        <n v="94"/>
        <n v="95"/>
        <n v="96"/>
        <n v="97"/>
        <n v="98"/>
        <n v="99"/>
        <n v="109"/>
        <n v="110"/>
        <n v="111"/>
        <n v="112"/>
        <n v="113"/>
        <n v="123"/>
        <n v="124"/>
        <n v="125"/>
        <n v="126"/>
        <n v="127"/>
        <n v="128"/>
        <n v="137"/>
        <n v="138"/>
        <n v="139"/>
        <n v="140"/>
        <n v="141"/>
        <n v="142"/>
        <n v="151"/>
        <n v="152"/>
        <n v="153"/>
        <n v="154"/>
        <n v="155"/>
        <n v="156"/>
        <n v="157"/>
        <n v="166"/>
        <n v="167"/>
        <n v="168"/>
        <n v="169"/>
        <n v="170"/>
        <n v="171"/>
        <n v="172"/>
        <n v="202"/>
        <n v="203"/>
        <n v="204"/>
        <n v="205"/>
        <n v="206"/>
        <n v="207"/>
        <n v="208"/>
        <n v="217"/>
        <n v="218"/>
        <n v="219"/>
        <n v="220"/>
        <n v="221"/>
        <n v="222"/>
        <n v="223"/>
        <n v="231"/>
        <n v="232"/>
        <n v="233"/>
        <n v="234"/>
        <n v="235"/>
        <n v="236"/>
        <n v="237"/>
        <n v="238"/>
        <n v="209"/>
        <n v="210"/>
        <n v="211"/>
        <n v="212"/>
        <n v="213"/>
        <n v="214"/>
        <n v="215"/>
        <n v="216"/>
        <n v="224"/>
        <n v="225"/>
        <n v="226"/>
        <n v="227"/>
        <n v="228"/>
        <n v="229"/>
        <n v="230"/>
        <n v="239"/>
        <n v="240"/>
        <n v="241"/>
        <n v="242"/>
        <n v="243"/>
        <n v="244"/>
        <n v="245"/>
        <n v="976"/>
        <n v="977"/>
        <n v="1196"/>
        <n v="1197"/>
        <n v="1198"/>
        <n v="1199"/>
        <n v="1200"/>
        <n v="1201"/>
        <n v="1202"/>
        <n v="1203"/>
        <n v="1204"/>
        <n v="1205"/>
        <n v="1206"/>
        <n v="1207"/>
        <n v="1208"/>
        <n v="1209"/>
        <n v="1210"/>
        <n v="991"/>
        <n v="1211"/>
        <n v="1212"/>
        <n v="1213"/>
        <n v="1214"/>
        <n v="1215"/>
        <n v="1216"/>
        <n v="1217"/>
        <n v="1218"/>
        <n v="1219"/>
        <n v="1220"/>
        <n v="1221"/>
        <n v="1222"/>
        <n v="1223"/>
        <n v="1224"/>
        <n v="1006"/>
        <n v="1225"/>
        <n v="1226"/>
        <n v="1227"/>
        <n v="1228"/>
        <n v="1229"/>
        <n v="1230"/>
        <n v="1231"/>
        <n v="1232"/>
        <n v="1233"/>
        <n v="1234"/>
        <n v="1235"/>
        <n v="1236"/>
        <n v="1237"/>
        <n v="1238"/>
        <n v="1239"/>
        <n v="1020"/>
        <n v="1021"/>
        <n v="1240"/>
        <n v="1241"/>
        <n v="1242"/>
        <n v="1243"/>
        <n v="1244"/>
        <n v="1245"/>
        <n v="1246"/>
        <n v="1247"/>
        <n v="1248"/>
        <n v="1249"/>
        <n v="1250"/>
        <n v="1251"/>
        <n v="1252"/>
        <n v="1253"/>
        <n v="1035"/>
        <n v="1254"/>
        <n v="1255"/>
        <n v="1256"/>
        <n v="1257"/>
        <n v="1258"/>
        <n v="1259"/>
        <n v="1260"/>
        <n v="1261"/>
        <n v="1262"/>
        <n v="1263"/>
        <n v="1264"/>
        <n v="1265"/>
        <n v="1266"/>
        <n v="1267"/>
        <n v="1268"/>
        <n v="1049"/>
        <n v="1050"/>
        <n v="1269"/>
        <n v="1270"/>
        <n v="1271"/>
        <n v="1272"/>
        <n v="1273"/>
        <n v="1274"/>
        <n v="1275"/>
        <n v="1276"/>
        <n v="1277"/>
        <n v="1278"/>
        <n v="1279"/>
        <n v="1280"/>
        <n v="1281"/>
        <n v="1282"/>
        <n v="1064"/>
        <n v="1283"/>
        <n v="1284"/>
        <n v="1285"/>
        <n v="1286"/>
        <n v="1287"/>
        <n v="1288"/>
        <n v="1289"/>
        <n v="1290"/>
        <n v="1291"/>
        <n v="1292"/>
        <n v="1293"/>
        <n v="1294"/>
        <n v="1295"/>
        <n v="1296"/>
        <n v="1297"/>
        <n v="1078"/>
        <n v="1079"/>
        <n v="1298"/>
        <n v="1299"/>
        <n v="1300"/>
        <n v="1301"/>
        <n v="1302"/>
        <n v="1303"/>
        <n v="1304"/>
        <n v="1305"/>
        <n v="1306"/>
        <n v="1307"/>
        <n v="1308"/>
        <n v="1309"/>
        <n v="1310"/>
        <n v="1311"/>
        <n v="1092"/>
        <n v="1093"/>
        <n v="1312"/>
        <n v="1313"/>
        <n v="1314"/>
        <n v="1315"/>
        <n v="1316"/>
        <n v="1317"/>
        <n v="1318"/>
        <n v="1319"/>
        <n v="1320"/>
        <n v="1321"/>
        <n v="1322"/>
        <n v="1323"/>
        <n v="1324"/>
        <n v="1325"/>
        <n v="1107"/>
        <n v="1108"/>
        <n v="1327"/>
        <n v="1328"/>
        <n v="1329"/>
        <n v="1330"/>
        <n v="1331"/>
        <n v="1332"/>
        <n v="1333"/>
        <n v="1334"/>
        <n v="1335"/>
        <n v="1336"/>
        <n v="1337"/>
        <n v="1338"/>
        <n v="1339"/>
        <n v="1340"/>
        <n v="1122"/>
        <n v="1123"/>
        <n v="1341"/>
        <n v="1342"/>
        <n v="1343"/>
        <n v="1344"/>
        <n v="1345"/>
        <n v="1346"/>
        <n v="1347"/>
        <n v="1348"/>
        <n v="1349"/>
        <n v="1350"/>
        <n v="1351"/>
        <n v="1352"/>
        <n v="1353"/>
        <n v="1354"/>
        <n v="1355"/>
        <n v="1136"/>
        <n v="1137"/>
        <n v="1356"/>
        <n v="1357"/>
        <n v="1358"/>
        <n v="1359"/>
        <n v="1360"/>
        <n v="1361"/>
        <n v="1362"/>
        <n v="1363"/>
        <n v="1364"/>
        <n v="1365"/>
        <n v="1366"/>
        <n v="1367"/>
        <n v="1368"/>
        <n v="1369"/>
        <n v="918"/>
        <n v="1138"/>
        <n v="1139"/>
        <n v="1140"/>
        <n v="1141"/>
        <n v="1142"/>
        <n v="1143"/>
        <n v="1144"/>
        <n v="1145"/>
        <n v="1146"/>
        <n v="1147"/>
        <n v="1148"/>
        <n v="1149"/>
        <n v="1150"/>
        <n v="1151"/>
        <n v="932"/>
        <n v="933"/>
        <n v="1152"/>
        <n v="1153"/>
        <n v="1154"/>
        <n v="1155"/>
        <n v="1156"/>
        <n v="1157"/>
        <n v="1158"/>
        <n v="1159"/>
        <n v="1160"/>
        <n v="1161"/>
        <n v="1162"/>
        <n v="1163"/>
        <n v="1164"/>
        <n v="1165"/>
        <n v="1166"/>
        <n v="947"/>
        <n v="1167"/>
        <n v="1168"/>
        <n v="1169"/>
        <n v="1170"/>
        <n v="1171"/>
        <n v="1172"/>
        <n v="1173"/>
        <n v="1174"/>
        <n v="1175"/>
        <n v="1176"/>
        <n v="1177"/>
        <n v="1178"/>
        <n v="1179"/>
        <n v="1180"/>
        <n v="1181"/>
        <n v="962"/>
        <n v="1182"/>
        <n v="1183"/>
        <n v="1184"/>
        <n v="1185"/>
        <n v="1186"/>
        <n v="1187"/>
        <n v="1188"/>
        <n v="1189"/>
        <n v="1190"/>
        <n v="1191"/>
        <n v="1192"/>
        <n v="1193"/>
        <n v="1194"/>
        <n v="1195"/>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326"/>
        <n v="1560"/>
        <n v="1561"/>
        <n v="1562"/>
        <n v="1563"/>
        <n v="1564"/>
        <n v="1565"/>
        <n v="1566"/>
        <n v="1567"/>
        <n v="1568"/>
        <n v="1569"/>
        <n v="1570"/>
        <n v="1571"/>
        <n v="1572"/>
        <n v="1573"/>
        <n v="1574"/>
        <n v="1575"/>
        <n v="1576"/>
        <n v="1577"/>
        <n v="1578"/>
        <n v="1579"/>
        <n v="1580"/>
        <n v="1581"/>
        <n v="1582"/>
        <n v="1583"/>
        <n v="1584"/>
        <n v="1585"/>
        <n v="1586"/>
        <n v="1587"/>
        <n v="1588"/>
        <n v="1590"/>
        <n v="1591"/>
        <n v="1592"/>
        <n v="1593"/>
        <n v="1594"/>
        <n v="1595"/>
        <n v="1596"/>
        <n v="1597"/>
        <n v="1598"/>
        <n v="1599"/>
        <n v="1600"/>
        <n v="1601"/>
        <n v="1602"/>
        <n v="1603"/>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589"/>
        <n v="1809"/>
        <n v="1810"/>
        <n v="1811"/>
        <n v="1812"/>
        <n v="1813"/>
        <n v="1814"/>
        <n v="1815"/>
        <n v="1816"/>
        <n v="1817"/>
        <n v="1818"/>
        <n v="1819"/>
        <n v="1820"/>
        <n v="1821"/>
        <n v="1822"/>
        <n v="1604"/>
        <n v="1823"/>
        <n v="1824"/>
        <n v="1825"/>
        <n v="1826"/>
        <n v="1827"/>
        <n v="1828"/>
        <n v="1829"/>
        <n v="1830"/>
        <n v="1831"/>
        <n v="1832"/>
        <n v="1833"/>
        <n v="1834"/>
        <n v="1835"/>
        <n v="1836"/>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1808"/>
        <n v="2027"/>
        <n v="2028"/>
        <n v="2029"/>
        <n v="2030"/>
        <n v="2031"/>
        <n v="2032"/>
        <n v="2033"/>
        <n v="2034"/>
        <n v="2035"/>
        <n v="2036"/>
        <n v="2037"/>
        <n v="2038"/>
        <n v="2039"/>
        <n v="2040"/>
        <n v="2042"/>
        <n v="2043"/>
        <n v="2044"/>
        <n v="2045"/>
        <n v="2046"/>
        <n v="2047"/>
        <n v="2048"/>
        <n v="2049"/>
        <n v="2050"/>
        <n v="2051"/>
        <n v="2052"/>
        <n v="2053"/>
        <n v="2054"/>
        <n v="2055"/>
        <n v="1837"/>
        <n v="2056"/>
        <n v="2057"/>
        <n v="2058"/>
        <n v="2059"/>
        <n v="2060"/>
        <n v="2061"/>
        <n v="2062"/>
        <n v="2063"/>
        <n v="2064"/>
        <n v="2065"/>
        <n v="2066"/>
        <n v="2067"/>
        <n v="2068"/>
        <n v="2069"/>
        <n v="2070"/>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041"/>
        <n v="2261"/>
        <n v="2262"/>
        <n v="2263"/>
        <n v="2264"/>
        <n v="2265"/>
        <n v="2266"/>
        <n v="2267"/>
        <n v="2268"/>
        <n v="2269"/>
        <n v="2270"/>
        <n v="2271"/>
        <n v="2272"/>
        <n v="2273"/>
        <n v="2274"/>
        <n v="2276"/>
        <n v="2277"/>
        <n v="2278"/>
        <n v="2279"/>
        <n v="2280"/>
        <n v="2281"/>
        <n v="2282"/>
        <n v="2283"/>
        <n v="2284"/>
        <n v="2285"/>
        <n v="2286"/>
        <n v="2287"/>
        <n v="2288"/>
        <n v="2289"/>
        <n v="2071"/>
        <n v="2291"/>
        <n v="2292"/>
        <n v="2293"/>
        <n v="2294"/>
        <n v="2295"/>
        <n v="2296"/>
        <n v="2297"/>
        <n v="2298"/>
        <n v="2299"/>
        <n v="2300"/>
        <n v="2301"/>
        <n v="2302"/>
        <n v="2303"/>
        <n v="2304"/>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275"/>
        <n v="2495"/>
        <n v="2496"/>
        <n v="2497"/>
        <n v="2498"/>
        <n v="2499"/>
        <n v="2500"/>
        <n v="2501"/>
        <n v="2502"/>
        <n v="2503"/>
        <n v="2504"/>
        <n v="2505"/>
        <n v="2506"/>
        <n v="2507"/>
        <n v="2508"/>
        <n v="2290"/>
        <n v="2510"/>
        <n v="2511"/>
        <n v="2512"/>
        <n v="2513"/>
        <n v="2514"/>
        <n v="2515"/>
        <n v="2516"/>
        <n v="2517"/>
        <n v="2518"/>
        <n v="2519"/>
        <n v="2520"/>
        <n v="2521"/>
        <n v="2522"/>
        <n v="2523"/>
        <n v="2305"/>
        <n v="2524"/>
        <n v="2525"/>
        <n v="2526"/>
        <n v="2527"/>
        <n v="2528"/>
        <n v="2529"/>
        <n v="2530"/>
        <n v="2531"/>
        <n v="2532"/>
        <n v="2533"/>
        <n v="2534"/>
        <n v="2535"/>
        <n v="2536"/>
        <n v="2537"/>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509"/>
        <n v="2729"/>
        <n v="2730"/>
        <n v="2731"/>
        <n v="2732"/>
        <n v="2733"/>
        <n v="2734"/>
        <n v="2735"/>
        <n v="2736"/>
        <n v="2737"/>
        <n v="2738"/>
        <n v="2739"/>
        <n v="2740"/>
        <n v="2741"/>
        <n v="2742"/>
        <n v="2743"/>
        <n v="2744"/>
        <n v="2745"/>
        <n v="2746"/>
        <n v="2747"/>
        <n v="2748"/>
        <n v="2749"/>
        <n v="2750"/>
        <n v="2751"/>
        <n v="2752"/>
        <n v="2753"/>
        <n v="2754"/>
        <n v="2755"/>
        <n v="2756"/>
        <n v="2538"/>
        <n v="2758"/>
        <n v="2759"/>
        <n v="2760"/>
        <n v="2761"/>
        <n v="2762"/>
        <n v="2763"/>
        <n v="2764"/>
        <n v="2765"/>
        <n v="2766"/>
        <n v="2767"/>
        <n v="2768"/>
        <n v="2769"/>
        <n v="2770"/>
        <n v="2771"/>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728"/>
        <n v="2949"/>
        <n v="2950"/>
        <n v="2951"/>
        <n v="2952"/>
        <n v="2953"/>
        <n v="2954"/>
        <n v="2955"/>
        <n v="2956"/>
        <n v="2957"/>
        <n v="2958"/>
        <n v="2959"/>
        <n v="2960"/>
        <n v="2961"/>
        <n v="2962"/>
        <n v="2963"/>
        <n v="2964"/>
        <n v="2965"/>
        <n v="2966"/>
        <n v="2967"/>
        <n v="2968"/>
        <n v="2969"/>
        <n v="2970"/>
        <n v="2971"/>
        <n v="2972"/>
        <n v="2973"/>
        <n v="2974"/>
        <n v="2975"/>
        <n v="2976"/>
        <n v="2757"/>
        <n v="2978"/>
        <n v="2979"/>
        <n v="2980"/>
        <n v="2981"/>
        <n v="2982"/>
        <n v="2983"/>
        <n v="2984"/>
        <n v="2985"/>
        <n v="2986"/>
        <n v="2987"/>
        <n v="2988"/>
        <n v="2989"/>
        <n v="2990"/>
        <n v="2991"/>
        <n v="2772"/>
        <n v="2992"/>
        <n v="2993"/>
        <n v="2994"/>
        <n v="2995"/>
        <n v="2996"/>
        <n v="2997"/>
        <n v="2998"/>
        <n v="2999"/>
        <n v="3000"/>
        <n v="3001"/>
        <n v="3002"/>
        <n v="3003"/>
        <n v="3004"/>
        <n v="3005"/>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7"/>
        <n v="2818"/>
        <n v="2819"/>
        <n v="2820"/>
        <n v="2821"/>
        <n v="2822"/>
        <n v="2823"/>
        <n v="2824"/>
        <n v="2825"/>
        <n v="2826"/>
        <n v="2827"/>
        <n v="2828"/>
        <n v="2829"/>
        <n v="2830"/>
        <n v="2831"/>
        <n v="2832"/>
        <n v="2833"/>
        <n v="2834"/>
        <n v="2835"/>
        <n v="2836"/>
        <n v="2837"/>
        <n v="2838"/>
        <n v="2839"/>
        <n v="2840"/>
        <n v="2841"/>
        <n v="2842"/>
        <n v="2843"/>
        <n v="2844"/>
        <n v="2845"/>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2948"/>
        <n v="3168"/>
        <n v="3169"/>
        <n v="3170"/>
        <n v="3171"/>
        <n v="3172"/>
        <n v="3173"/>
        <n v="3174"/>
        <n v="3175"/>
        <n v="3176"/>
        <n v="3177"/>
        <n v="3178"/>
        <n v="3179"/>
        <n v="3180"/>
        <n v="3181"/>
        <n v="3182"/>
        <n v="3183"/>
        <n v="3184"/>
        <n v="3185"/>
        <n v="3186"/>
        <n v="3187"/>
        <n v="3188"/>
        <n v="3189"/>
        <n v="3190"/>
        <n v="3191"/>
        <n v="3192"/>
        <n v="3193"/>
        <n v="3194"/>
        <n v="3195"/>
        <n v="2977"/>
        <n v="3197"/>
        <n v="3198"/>
        <n v="3199"/>
        <n v="3200"/>
        <n v="3201"/>
        <n v="3202"/>
        <n v="3203"/>
        <n v="3204"/>
        <n v="3205"/>
        <n v="3206"/>
        <n v="3207"/>
        <n v="3208"/>
        <n v="3209"/>
        <n v="3210"/>
        <n v="3212"/>
        <n v="3213"/>
        <n v="3214"/>
        <n v="3215"/>
        <n v="3216"/>
        <n v="3217"/>
        <n v="3218"/>
        <n v="3219"/>
        <n v="3220"/>
        <n v="3221"/>
        <n v="3222"/>
        <n v="3223"/>
        <n v="3224"/>
        <n v="3225"/>
        <n v="3006"/>
        <n v="3007"/>
        <n v="3226"/>
        <n v="3227"/>
        <n v="3228"/>
        <n v="3229"/>
        <n v="3230"/>
        <n v="3231"/>
        <n v="3232"/>
        <n v="3233"/>
        <n v="3234"/>
        <n v="3235"/>
        <n v="3236"/>
        <n v="3237"/>
        <n v="3238"/>
        <n v="3239"/>
        <n v="3008"/>
        <n v="3009"/>
        <n v="3010"/>
        <n v="3011"/>
        <n v="3012"/>
        <n v="3013"/>
        <n v="3014"/>
        <n v="3015"/>
        <n v="3016"/>
        <n v="3017"/>
        <n v="3018"/>
        <n v="3019"/>
        <n v="3020"/>
        <n v="3021"/>
        <n v="3022"/>
        <n v="3023"/>
        <n v="3024"/>
        <n v="3025"/>
        <n v="3026"/>
        <n v="3027"/>
        <n v="3028"/>
        <n v="3029"/>
        <n v="3030"/>
        <n v="3031"/>
        <n v="3032"/>
        <n v="3033"/>
        <n v="3034"/>
        <n v="3035"/>
        <n v="2816"/>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196"/>
        <n v="3416"/>
        <n v="3417"/>
        <n v="3418"/>
        <n v="3419"/>
        <n v="3420"/>
        <n v="3421"/>
        <n v="3422"/>
        <n v="3423"/>
        <n v="3424"/>
        <n v="3425"/>
        <n v="3426"/>
        <n v="3427"/>
        <n v="3428"/>
        <n v="3429"/>
        <n v="3211"/>
        <n v="3431"/>
        <n v="3432"/>
        <n v="3433"/>
        <n v="3434"/>
        <n v="3435"/>
        <n v="3436"/>
        <n v="3437"/>
        <n v="3438"/>
        <n v="3439"/>
        <n v="3440"/>
        <n v="3441"/>
        <n v="3442"/>
        <n v="3443"/>
        <n v="3444"/>
        <n v="3445"/>
        <n v="3446"/>
        <n v="3447"/>
        <n v="3448"/>
        <n v="3449"/>
        <n v="3450"/>
        <n v="3451"/>
        <n v="3452"/>
        <n v="3453"/>
        <n v="3454"/>
        <n v="3455"/>
        <n v="3456"/>
        <n v="3457"/>
        <n v="3458"/>
        <n v="3240"/>
        <n v="3241"/>
        <n v="3460"/>
        <n v="3461"/>
        <n v="3462"/>
        <n v="3463"/>
        <n v="3464"/>
        <n v="3465"/>
        <n v="3466"/>
        <n v="3467"/>
        <n v="3468"/>
        <n v="3469"/>
        <n v="3470"/>
        <n v="3471"/>
        <n v="3472"/>
        <n v="3473"/>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430"/>
        <n v="3651"/>
        <n v="3652"/>
        <n v="3653"/>
        <n v="3654"/>
        <n v="3655"/>
        <n v="3656"/>
        <n v="3657"/>
        <n v="3658"/>
        <n v="3659"/>
        <n v="3660"/>
        <n v="3661"/>
        <n v="3662"/>
        <n v="3663"/>
        <n v="3664"/>
        <n v="3666"/>
        <n v="3667"/>
        <n v="3668"/>
        <n v="3669"/>
        <n v="3670"/>
        <n v="3671"/>
        <n v="3672"/>
        <n v="3673"/>
        <n v="3674"/>
        <n v="3675"/>
        <n v="3676"/>
        <n v="3677"/>
        <n v="3678"/>
        <n v="3679"/>
        <n v="3459"/>
        <n v="3680"/>
        <n v="3681"/>
        <n v="3682"/>
        <n v="3683"/>
        <n v="3684"/>
        <n v="3685"/>
        <n v="3686"/>
        <n v="3687"/>
        <n v="3688"/>
        <n v="3689"/>
        <n v="3690"/>
        <n v="3691"/>
        <n v="3692"/>
        <n v="3693"/>
        <n v="3474"/>
        <n v="3695"/>
        <n v="3696"/>
        <n v="3697"/>
        <n v="3698"/>
        <n v="3699"/>
        <n v="3700"/>
        <n v="3701"/>
        <n v="3702"/>
        <n v="3703"/>
        <n v="3704"/>
        <n v="3705"/>
        <n v="3706"/>
        <n v="3707"/>
        <n v="3708"/>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9"/>
        <n v="3520"/>
        <n v="3521"/>
        <n v="3522"/>
        <n v="3523"/>
        <n v="3524"/>
        <n v="3525"/>
        <n v="3526"/>
        <n v="3527"/>
        <n v="3528"/>
        <n v="3529"/>
        <n v="3530"/>
        <n v="3531"/>
        <n v="3532"/>
        <n v="3533"/>
        <n v="3534"/>
        <n v="3535"/>
        <n v="3536"/>
        <n v="3537"/>
        <n v="3538"/>
        <n v="3539"/>
        <n v="3540"/>
        <n v="3541"/>
        <n v="3542"/>
        <n v="3543"/>
        <n v="3544"/>
        <n v="3545"/>
        <n v="3546"/>
        <n v="3547"/>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665"/>
        <n v="3885"/>
        <n v="3886"/>
        <n v="3887"/>
        <n v="3888"/>
        <n v="3889"/>
        <n v="3890"/>
        <n v="3891"/>
        <n v="3892"/>
        <n v="3893"/>
        <n v="3894"/>
        <n v="3895"/>
        <n v="3896"/>
        <n v="3897"/>
        <n v="3898"/>
        <n v="3900"/>
        <n v="3901"/>
        <n v="3902"/>
        <n v="3903"/>
        <n v="3904"/>
        <n v="3905"/>
        <n v="3906"/>
        <n v="3907"/>
        <n v="3908"/>
        <n v="3909"/>
        <n v="3910"/>
        <n v="3911"/>
        <n v="3912"/>
        <n v="3913"/>
        <n v="3694"/>
        <n v="3914"/>
        <n v="3915"/>
        <n v="3916"/>
        <n v="3917"/>
        <n v="3918"/>
        <n v="3919"/>
        <n v="3920"/>
        <n v="3921"/>
        <n v="3922"/>
        <n v="3923"/>
        <n v="3924"/>
        <n v="3925"/>
        <n v="3926"/>
        <n v="3927"/>
        <n v="3928"/>
        <n v="3709"/>
        <n v="3929"/>
        <n v="3930"/>
        <n v="3931"/>
        <n v="3932"/>
        <n v="3933"/>
        <n v="3934"/>
        <n v="3935"/>
        <n v="3936"/>
        <n v="3937"/>
        <n v="3938"/>
        <n v="3939"/>
        <n v="3940"/>
        <n v="3941"/>
        <n v="3942"/>
        <n v="3710"/>
        <n v="3711"/>
        <n v="3712"/>
        <n v="3713"/>
        <n v="3714"/>
        <n v="3715"/>
        <n v="3716"/>
        <n v="3717"/>
        <n v="3718"/>
        <n v="3719"/>
        <n v="3720"/>
        <n v="3721"/>
        <n v="3722"/>
        <n v="3723"/>
        <n v="3724"/>
        <n v="3725"/>
        <n v="3726"/>
        <n v="3727"/>
        <n v="3728"/>
        <n v="3729"/>
        <n v="3730"/>
        <n v="3731"/>
        <n v="3732"/>
        <n v="3733"/>
        <n v="3734"/>
        <n v="3735"/>
        <n v="3736"/>
        <n v="3737"/>
        <n v="3738"/>
        <n v="351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275"/>
        <n v="276"/>
        <n v="277"/>
        <n v="278"/>
        <n v="279"/>
        <n v="280"/>
        <n v="281"/>
        <n v="282"/>
        <n v="283"/>
        <n v="284"/>
        <n v="285"/>
        <n v="286"/>
        <n v="287"/>
        <n v="288"/>
        <n v="289"/>
        <n v="290"/>
        <n v="291"/>
        <n v="292"/>
        <n v="293"/>
        <n v="294"/>
        <n v="295"/>
        <n v="296"/>
        <n v="297"/>
        <n v="298"/>
        <n v="299"/>
        <n v="300"/>
        <n v="301"/>
        <n v="302"/>
        <n v="303"/>
        <n v="304"/>
        <n v="3826"/>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899"/>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3943"/>
        <n v="3944"/>
        <n v="422"/>
        <n v="423"/>
        <n v="424"/>
        <n v="425"/>
        <n v="426"/>
        <n v="427"/>
        <n v="428"/>
        <n v="429"/>
        <n v="430"/>
        <n v="431"/>
        <n v="432"/>
        <n v="433"/>
        <n v="434"/>
        <n v="435"/>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246"/>
        <n v="247"/>
        <n v="248"/>
        <n v="249"/>
        <n v="250"/>
        <n v="251"/>
        <n v="252"/>
        <n v="253"/>
        <n v="254"/>
        <n v="255"/>
        <n v="256"/>
        <n v="257"/>
        <n v="258"/>
        <n v="259"/>
        <n v="260"/>
        <n v="261"/>
        <n v="262"/>
        <n v="263"/>
        <n v="264"/>
        <n v="265"/>
        <n v="266"/>
        <n v="267"/>
        <n v="268"/>
        <n v="269"/>
        <n v="270"/>
        <n v="271"/>
        <n v="272"/>
        <n v="273"/>
        <n v="274"/>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3"/>
        <n v="584"/>
        <n v="585"/>
        <n v="586"/>
        <n v="587"/>
        <n v="588"/>
        <n v="589"/>
        <n v="590"/>
        <n v="591"/>
        <n v="592"/>
        <n v="593"/>
        <n v="594"/>
        <n v="595"/>
        <n v="596"/>
        <n v="377"/>
        <n v="597"/>
        <n v="598"/>
        <n v="599"/>
        <n v="600"/>
        <n v="601"/>
        <n v="602"/>
        <n v="603"/>
        <n v="604"/>
        <n v="605"/>
        <n v="606"/>
        <n v="607"/>
        <n v="608"/>
        <n v="609"/>
        <n v="610"/>
        <n v="612"/>
        <n v="613"/>
        <n v="614"/>
        <n v="615"/>
        <n v="616"/>
        <n v="617"/>
        <n v="618"/>
        <n v="619"/>
        <n v="620"/>
        <n v="621"/>
        <n v="622"/>
        <n v="623"/>
        <n v="624"/>
        <n v="625"/>
        <n v="627"/>
        <n v="628"/>
        <n v="629"/>
        <n v="630"/>
        <n v="631"/>
        <n v="632"/>
        <n v="633"/>
        <n v="634"/>
        <n v="635"/>
        <n v="636"/>
        <n v="637"/>
        <n v="638"/>
        <n v="639"/>
        <n v="640"/>
        <n v="421"/>
        <n v="641"/>
        <n v="642"/>
        <n v="643"/>
        <n v="644"/>
        <n v="645"/>
        <n v="646"/>
        <n v="647"/>
        <n v="648"/>
        <n v="649"/>
        <n v="650"/>
        <n v="651"/>
        <n v="652"/>
        <n v="653"/>
        <n v="654"/>
        <n v="436"/>
        <n v="656"/>
        <n v="657"/>
        <n v="658"/>
        <n v="659"/>
        <n v="660"/>
        <n v="661"/>
        <n v="662"/>
        <n v="663"/>
        <n v="664"/>
        <n v="665"/>
        <n v="666"/>
        <n v="667"/>
        <n v="668"/>
        <n v="669"/>
        <n v="437"/>
        <n v="438"/>
        <n v="439"/>
        <n v="440"/>
        <n v="441"/>
        <n v="442"/>
        <n v="443"/>
        <n v="444"/>
        <n v="445"/>
        <n v="446"/>
        <n v="447"/>
        <n v="448"/>
        <n v="449"/>
        <n v="450"/>
        <n v="451"/>
        <n v="452"/>
        <n v="453"/>
        <n v="454"/>
        <n v="455"/>
        <n v="456"/>
        <n v="457"/>
        <n v="458"/>
        <n v="459"/>
        <n v="460"/>
        <n v="461"/>
        <n v="462"/>
        <n v="463"/>
        <n v="464"/>
        <n v="465"/>
        <n v="3988"/>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582"/>
        <n v="802"/>
        <n v="803"/>
        <n v="804"/>
        <n v="805"/>
        <n v="806"/>
        <n v="807"/>
        <n v="808"/>
        <n v="809"/>
        <n v="810"/>
        <n v="811"/>
        <n v="812"/>
        <n v="813"/>
        <n v="814"/>
        <n v="815"/>
        <n v="816"/>
        <n v="817"/>
        <n v="818"/>
        <n v="819"/>
        <n v="820"/>
        <n v="821"/>
        <n v="822"/>
        <n v="823"/>
        <n v="824"/>
        <n v="825"/>
        <n v="826"/>
        <n v="827"/>
        <n v="828"/>
        <n v="829"/>
        <n v="830"/>
        <n v="611"/>
        <n v="831"/>
        <n v="832"/>
        <n v="833"/>
        <n v="834"/>
        <n v="835"/>
        <n v="836"/>
        <n v="837"/>
        <n v="838"/>
        <n v="839"/>
        <n v="840"/>
        <n v="841"/>
        <n v="842"/>
        <n v="843"/>
        <n v="844"/>
        <n v="626"/>
        <n v="845"/>
        <n v="846"/>
        <n v="847"/>
        <n v="848"/>
        <n v="849"/>
        <n v="850"/>
        <n v="851"/>
        <n v="852"/>
        <n v="853"/>
        <n v="854"/>
        <n v="855"/>
        <n v="856"/>
        <n v="857"/>
        <n v="858"/>
        <n v="859"/>
        <n v="860"/>
        <n v="861"/>
        <n v="862"/>
        <n v="863"/>
        <n v="864"/>
        <n v="865"/>
        <n v="866"/>
        <n v="867"/>
        <n v="868"/>
        <n v="869"/>
        <n v="870"/>
        <n v="871"/>
        <n v="872"/>
        <n v="873"/>
        <n v="655"/>
        <n v="875"/>
        <n v="876"/>
        <n v="877"/>
        <n v="878"/>
        <n v="879"/>
        <n v="880"/>
        <n v="881"/>
        <n v="882"/>
        <n v="883"/>
        <n v="884"/>
        <n v="885"/>
        <n v="886"/>
        <n v="887"/>
        <n v="888"/>
        <n v="670"/>
        <n v="889"/>
        <n v="890"/>
        <n v="891"/>
        <n v="892"/>
        <n v="893"/>
        <n v="894"/>
        <n v="895"/>
        <n v="896"/>
        <n v="897"/>
        <n v="898"/>
        <n v="899"/>
        <n v="900"/>
        <n v="901"/>
        <n v="902"/>
        <n v="903"/>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978"/>
        <n v="979"/>
        <n v="980"/>
        <n v="981"/>
        <n v="982"/>
        <n v="983"/>
        <n v="984"/>
        <n v="985"/>
        <n v="986"/>
        <n v="987"/>
        <n v="988"/>
        <n v="989"/>
        <n v="990"/>
        <n v="992"/>
        <n v="993"/>
        <n v="994"/>
        <n v="995"/>
        <n v="996"/>
        <n v="997"/>
        <n v="998"/>
        <n v="999"/>
        <n v="1000"/>
        <n v="1001"/>
        <n v="1002"/>
        <n v="1003"/>
        <n v="1004"/>
        <n v="1005"/>
        <n v="1007"/>
        <n v="1008"/>
        <n v="1009"/>
        <n v="1010"/>
        <n v="1011"/>
        <n v="1012"/>
        <n v="1013"/>
        <n v="1014"/>
        <n v="1015"/>
        <n v="1016"/>
        <n v="1017"/>
        <n v="1018"/>
        <n v="1019"/>
        <n v="1022"/>
        <n v="1023"/>
        <n v="1024"/>
        <n v="1025"/>
        <n v="1026"/>
        <n v="1027"/>
        <n v="1028"/>
        <n v="1029"/>
        <n v="1030"/>
        <n v="1031"/>
        <n v="1032"/>
        <n v="1033"/>
        <n v="1034"/>
        <n v="1036"/>
        <n v="1037"/>
        <n v="1038"/>
        <n v="1039"/>
        <n v="1040"/>
        <n v="1041"/>
        <n v="1042"/>
        <n v="1043"/>
        <n v="1044"/>
        <n v="1045"/>
        <n v="1046"/>
        <n v="1047"/>
        <n v="1048"/>
        <n v="1051"/>
        <n v="1052"/>
        <n v="1053"/>
        <n v="1054"/>
        <n v="1055"/>
        <n v="1056"/>
        <n v="1057"/>
        <n v="1058"/>
        <n v="1059"/>
        <n v="1060"/>
        <n v="1061"/>
        <n v="1062"/>
        <n v="1063"/>
        <n v="1065"/>
        <n v="1066"/>
        <n v="1067"/>
        <n v="1068"/>
        <n v="1069"/>
        <n v="1070"/>
        <n v="1071"/>
        <n v="1072"/>
        <n v="1073"/>
        <n v="1074"/>
        <n v="1075"/>
        <n v="1076"/>
        <n v="1077"/>
        <n v="1080"/>
        <n v="1081"/>
        <n v="1082"/>
        <n v="1083"/>
        <n v="1084"/>
        <n v="1085"/>
        <n v="1086"/>
        <n v="1087"/>
        <n v="1088"/>
        <n v="1089"/>
        <n v="1090"/>
        <n v="1091"/>
        <n v="874"/>
        <n v="1094"/>
        <n v="1095"/>
        <n v="1096"/>
        <n v="1097"/>
        <n v="1098"/>
        <n v="1099"/>
        <n v="1100"/>
        <n v="1101"/>
        <n v="1102"/>
        <n v="1103"/>
        <n v="1104"/>
        <n v="1105"/>
        <n v="1106"/>
        <n v="1109"/>
        <n v="1110"/>
        <n v="1111"/>
        <n v="1112"/>
        <n v="1113"/>
        <n v="1114"/>
        <n v="1115"/>
        <n v="1116"/>
        <n v="1117"/>
        <n v="1118"/>
        <n v="1119"/>
        <n v="1120"/>
        <n v="1121"/>
        <n v="904"/>
        <n v="1124"/>
        <n v="1125"/>
        <n v="1126"/>
        <n v="1127"/>
        <n v="1128"/>
        <n v="1129"/>
        <n v="1130"/>
        <n v="1131"/>
        <n v="1132"/>
        <n v="1133"/>
        <n v="1134"/>
        <n v="1135"/>
        <n v="905"/>
        <n v="906"/>
        <n v="907"/>
        <n v="908"/>
        <n v="909"/>
        <n v="910"/>
        <n v="911"/>
        <n v="912"/>
        <n v="913"/>
        <n v="914"/>
        <n v="915"/>
        <n v="916"/>
        <n v="917"/>
        <n v="919"/>
        <n v="920"/>
        <n v="921"/>
        <n v="922"/>
        <n v="923"/>
        <n v="924"/>
        <n v="925"/>
        <n v="926"/>
        <n v="927"/>
        <n v="928"/>
        <n v="929"/>
        <n v="930"/>
        <n v="931"/>
        <n v="934"/>
        <n v="935"/>
        <n v="936"/>
        <n v="937"/>
        <n v="938"/>
        <n v="939"/>
        <n v="940"/>
        <n v="941"/>
        <n v="942"/>
        <n v="943"/>
        <n v="944"/>
        <n v="945"/>
        <n v="946"/>
        <n v="948"/>
        <n v="949"/>
        <n v="950"/>
        <n v="951"/>
        <n v="952"/>
        <n v="953"/>
        <n v="954"/>
        <n v="955"/>
        <n v="956"/>
        <n v="957"/>
        <n v="958"/>
        <n v="959"/>
        <n v="960"/>
        <n v="961"/>
        <n v="963"/>
        <n v="964"/>
        <n v="965"/>
        <n v="966"/>
        <n v="967"/>
        <n v="968"/>
        <n v="969"/>
        <n v="970"/>
        <n v="971"/>
        <n v="972"/>
        <n v="973"/>
        <n v="974"/>
        <n v="975"/>
        <n v="4718"/>
        <n v="4937"/>
        <n v="4938"/>
        <n v="4939"/>
        <n v="4940"/>
        <n v="4941"/>
        <n v="4942"/>
        <n v="4943"/>
        <n v="4944"/>
        <n v="4945"/>
        <n v="4946"/>
        <n v="4947"/>
        <n v="4948"/>
        <n v="4949"/>
        <n v="4950"/>
        <n v="4951"/>
        <n v="4733"/>
        <n v="4952"/>
        <n v="4953"/>
        <n v="4954"/>
        <n v="4955"/>
        <n v="4956"/>
        <n v="4957"/>
        <n v="4958"/>
        <n v="4959"/>
        <n v="4960"/>
        <n v="4961"/>
        <n v="4962"/>
        <n v="4963"/>
        <n v="4964"/>
        <n v="4965"/>
        <n v="4966"/>
        <n v="4748"/>
        <n v="4967"/>
        <n v="4968"/>
        <n v="4969"/>
        <n v="4970"/>
        <n v="4971"/>
        <n v="4972"/>
        <n v="4973"/>
        <n v="4974"/>
        <n v="4975"/>
        <n v="4976"/>
        <n v="4977"/>
        <n v="4978"/>
        <n v="4979"/>
        <n v="4980"/>
        <n v="4762"/>
        <n v="4981"/>
        <n v="4982"/>
        <n v="4983"/>
        <n v="4984"/>
        <n v="4985"/>
        <n v="4986"/>
        <n v="4987"/>
        <n v="4988"/>
        <n v="4989"/>
        <n v="4990"/>
        <n v="4991"/>
        <n v="4992"/>
        <n v="4993"/>
        <n v="4994"/>
        <n v="4995"/>
        <n v="4777"/>
        <n v="4996"/>
        <n v="4997"/>
        <n v="4998"/>
        <n v="4999"/>
        <n v="5000"/>
        <n v="5001"/>
        <n v="5002"/>
        <n v="5003"/>
        <n v="5004"/>
        <n v="5005"/>
        <n v="5006"/>
        <n v="5007"/>
        <n v="5008"/>
        <n v="5009"/>
        <n v="4791"/>
        <n v="5010"/>
        <n v="5011"/>
        <n v="5012"/>
        <n v="5013"/>
        <n v="5014"/>
        <n v="5015"/>
        <n v="5016"/>
        <n v="5017"/>
        <n v="5018"/>
        <n v="5019"/>
        <n v="5020"/>
        <n v="5021"/>
        <n v="5022"/>
        <n v="5023"/>
        <n v="5024"/>
        <n v="4806"/>
        <n v="5025"/>
        <n v="5026"/>
        <n v="5027"/>
        <n v="5028"/>
        <n v="5029"/>
        <n v="5030"/>
        <n v="5031"/>
        <n v="5032"/>
        <n v="5033"/>
        <n v="5034"/>
        <n v="5035"/>
        <n v="5036"/>
        <n v="5037"/>
        <n v="5038"/>
        <n v="5039"/>
        <n v="4821"/>
        <n v="5040"/>
        <n v="5041"/>
        <n v="5042"/>
        <n v="5043"/>
        <n v="5044"/>
        <n v="5045"/>
        <n v="5046"/>
        <n v="5047"/>
        <n v="5048"/>
        <n v="5049"/>
        <n v="5050"/>
        <n v="5051"/>
        <n v="5052"/>
        <n v="5053"/>
        <n v="4835"/>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4659"/>
        <n v="4660"/>
        <n v="4879"/>
        <n v="4880"/>
        <n v="4881"/>
        <n v="4882"/>
        <n v="4883"/>
        <n v="4884"/>
        <n v="4885"/>
        <n v="4886"/>
        <n v="4887"/>
        <n v="4888"/>
        <n v="4889"/>
        <n v="4890"/>
        <n v="4891"/>
        <n v="4892"/>
        <n v="4674"/>
        <n v="4675"/>
        <n v="4894"/>
        <n v="4895"/>
        <n v="4896"/>
        <n v="4897"/>
        <n v="4898"/>
        <n v="4899"/>
        <n v="4900"/>
        <n v="4901"/>
        <n v="4902"/>
        <n v="4903"/>
        <n v="4904"/>
        <n v="4905"/>
        <n v="4906"/>
        <n v="4907"/>
        <n v="4689"/>
        <n v="4908"/>
        <n v="4909"/>
        <n v="4910"/>
        <n v="4911"/>
        <n v="4912"/>
        <n v="4913"/>
        <n v="4914"/>
        <n v="4915"/>
        <n v="4916"/>
        <n v="4917"/>
        <n v="4918"/>
        <n v="4919"/>
        <n v="4920"/>
        <n v="4921"/>
        <n v="4922"/>
        <n v="4704"/>
        <n v="4923"/>
        <n v="4924"/>
        <n v="4925"/>
        <n v="4926"/>
        <n v="4927"/>
        <n v="4928"/>
        <n v="4929"/>
        <n v="4930"/>
        <n v="4931"/>
        <n v="4932"/>
        <n v="4933"/>
        <n v="4934"/>
        <n v="4935"/>
        <n v="4936"/>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1370"/>
        <n v="5113"/>
        <n v="5114"/>
        <n v="5115"/>
        <n v="5116"/>
        <n v="5117"/>
        <n v="5118"/>
        <n v="5119"/>
        <n v="5120"/>
        <n v="5121"/>
        <n v="5122"/>
        <n v="5123"/>
        <n v="5124"/>
        <n v="5125"/>
        <n v="4893"/>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126"/>
        <n v="5347"/>
        <n v="5348"/>
        <n v="5349"/>
        <n v="5350"/>
        <n v="5351"/>
        <n v="5352"/>
        <n v="5353"/>
        <n v="5354"/>
        <n v="5355"/>
        <n v="5356"/>
        <n v="5357"/>
        <n v="5358"/>
        <n v="5359"/>
        <n v="5361"/>
        <n v="5362"/>
        <n v="5363"/>
        <n v="5364"/>
        <n v="5365"/>
        <n v="5366"/>
        <n v="5367"/>
        <n v="5368"/>
        <n v="5369"/>
        <n v="5370"/>
        <n v="5371"/>
        <n v="5372"/>
        <n v="5373"/>
        <n v="5374"/>
        <n v="5375"/>
        <n v="5376"/>
        <n v="5377"/>
        <n v="5378"/>
        <n v="5379"/>
        <n v="5380"/>
        <n v="5381"/>
        <n v="5382"/>
        <n v="5383"/>
        <n v="5384"/>
        <n v="5385"/>
        <n v="5386"/>
        <n v="5387"/>
        <n v="5388"/>
        <n v="5390"/>
        <n v="5391"/>
        <n v="5392"/>
        <n v="5393"/>
        <n v="5394"/>
        <n v="5395"/>
        <n v="5396"/>
        <n v="5397"/>
        <n v="5398"/>
        <n v="5399"/>
        <n v="5400"/>
        <n v="5401"/>
        <n v="5402"/>
        <n v="5403"/>
        <n v="5404"/>
        <n v="5405"/>
        <n v="5406"/>
        <n v="5407"/>
        <n v="5408"/>
        <n v="5409"/>
        <n v="5410"/>
        <n v="5411"/>
        <n v="5412"/>
        <n v="5413"/>
        <n v="5414"/>
        <n v="5415"/>
        <n v="5416"/>
        <n v="5417"/>
        <n v="5418"/>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360"/>
        <n v="5580"/>
        <n v="5581"/>
        <n v="5582"/>
        <n v="5583"/>
        <n v="5584"/>
        <n v="5585"/>
        <n v="5586"/>
        <n v="5587"/>
        <n v="5588"/>
        <n v="5589"/>
        <n v="5590"/>
        <n v="5591"/>
        <n v="5592"/>
        <n v="5593"/>
        <n v="5594"/>
        <n v="5595"/>
        <n v="5596"/>
        <n v="5597"/>
        <n v="5598"/>
        <n v="5599"/>
        <n v="5600"/>
        <n v="5601"/>
        <n v="5602"/>
        <n v="5603"/>
        <n v="5604"/>
        <n v="5605"/>
        <n v="5606"/>
        <n v="5607"/>
        <n v="5389"/>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5814"/>
        <n v="5815"/>
        <n v="5816"/>
        <n v="5817"/>
        <n v="5818"/>
        <n v="5819"/>
        <n v="5820"/>
        <n v="5821"/>
        <n v="5822"/>
        <n v="5823"/>
        <n v="5824"/>
        <n v="5825"/>
        <n v="5826"/>
        <n v="5608"/>
        <n v="5827"/>
        <n v="5828"/>
        <n v="5829"/>
        <n v="5830"/>
        <n v="5831"/>
        <n v="5832"/>
        <n v="5833"/>
        <n v="5834"/>
        <n v="5835"/>
        <n v="5836"/>
        <n v="5837"/>
        <n v="5838"/>
        <n v="5839"/>
        <n v="5840"/>
        <n v="5841"/>
        <n v="5842"/>
        <n v="5843"/>
        <n v="5844"/>
        <n v="5845"/>
        <n v="5846"/>
        <n v="5847"/>
        <n v="5848"/>
        <n v="5849"/>
        <n v="5850"/>
        <n v="5851"/>
        <n v="5852"/>
        <n v="5853"/>
        <n v="5854"/>
        <n v="5855"/>
        <n v="5857"/>
        <n v="5858"/>
        <n v="5859"/>
        <n v="5860"/>
        <n v="5861"/>
        <n v="5862"/>
        <n v="5863"/>
        <n v="5864"/>
        <n v="5865"/>
        <n v="5866"/>
        <n v="5867"/>
        <n v="5868"/>
        <n v="5869"/>
        <n v="5870"/>
        <n v="5871"/>
        <n v="5872"/>
        <n v="5873"/>
        <n v="5874"/>
        <n v="5875"/>
        <n v="5876"/>
        <n v="5877"/>
        <n v="5878"/>
        <n v="5879"/>
        <n v="5880"/>
        <n v="5881"/>
        <n v="5882"/>
        <n v="5883"/>
        <n v="5884"/>
        <n v="5885"/>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048"/>
        <n v="6049"/>
        <n v="6050"/>
        <n v="6051"/>
        <n v="6052"/>
        <n v="6053"/>
        <n v="6054"/>
        <n v="6055"/>
        <n v="6056"/>
        <n v="6057"/>
        <n v="6058"/>
        <n v="6059"/>
        <n v="6060"/>
        <n v="6061"/>
        <n v="6062"/>
        <n v="6063"/>
        <n v="6064"/>
        <n v="6065"/>
        <n v="6066"/>
        <n v="6067"/>
        <n v="6068"/>
        <n v="6069"/>
        <n v="6070"/>
        <n v="6071"/>
        <n v="6072"/>
        <n v="6073"/>
        <n v="6074"/>
        <n v="5856"/>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281"/>
        <n v="6282"/>
        <n v="6283"/>
        <n v="6284"/>
        <n v="6285"/>
        <n v="6286"/>
        <n v="6287"/>
        <n v="6288"/>
        <n v="6289"/>
        <n v="6290"/>
        <n v="6291"/>
        <n v="6292"/>
        <n v="6293"/>
        <n v="6294"/>
        <n v="6075"/>
        <n v="6295"/>
        <n v="6296"/>
        <n v="6297"/>
        <n v="6298"/>
        <n v="6299"/>
        <n v="6300"/>
        <n v="6301"/>
        <n v="6302"/>
        <n v="6303"/>
        <n v="6304"/>
        <n v="6305"/>
        <n v="6306"/>
        <n v="6307"/>
        <n v="6308"/>
        <n v="6309"/>
        <n v="6310"/>
        <n v="6311"/>
        <n v="6312"/>
        <n v="6313"/>
        <n v="6314"/>
        <n v="6315"/>
        <n v="6316"/>
        <n v="6317"/>
        <n v="6318"/>
        <n v="6319"/>
        <n v="6320"/>
        <n v="6321"/>
        <n v="6322"/>
        <n v="6324"/>
        <n v="6325"/>
        <n v="6326"/>
        <n v="6327"/>
        <n v="6328"/>
        <n v="6329"/>
        <n v="6330"/>
        <n v="6331"/>
        <n v="6332"/>
        <n v="6333"/>
        <n v="6334"/>
        <n v="6335"/>
        <n v="6336"/>
        <n v="6337"/>
        <n v="6338"/>
        <n v="6339"/>
        <n v="6340"/>
        <n v="6341"/>
        <n v="6342"/>
        <n v="6343"/>
        <n v="6344"/>
        <n v="6345"/>
        <n v="6346"/>
        <n v="6347"/>
        <n v="6348"/>
        <n v="6349"/>
        <n v="6350"/>
        <n v="6351"/>
        <n v="6352"/>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514"/>
        <n v="6515"/>
        <n v="6516"/>
        <n v="6517"/>
        <n v="6518"/>
        <n v="6519"/>
        <n v="6520"/>
        <n v="6521"/>
        <n v="6522"/>
        <n v="6523"/>
        <n v="6524"/>
        <n v="6525"/>
        <n v="6526"/>
        <n v="6527"/>
        <n v="6528"/>
        <n v="6529"/>
        <n v="6530"/>
        <n v="6531"/>
        <n v="6532"/>
        <n v="6533"/>
        <n v="6534"/>
        <n v="6535"/>
        <n v="6536"/>
        <n v="6537"/>
        <n v="6538"/>
        <n v="6539"/>
        <n v="6540"/>
        <n v="6541"/>
        <n v="6323"/>
        <n v="6543"/>
        <n v="6544"/>
        <n v="6545"/>
        <n v="6546"/>
        <n v="6547"/>
        <n v="6548"/>
        <n v="6549"/>
        <n v="6550"/>
        <n v="6551"/>
        <n v="6552"/>
        <n v="6553"/>
        <n v="6554"/>
        <n v="6555"/>
        <n v="6556"/>
        <n v="6558"/>
        <n v="6559"/>
        <n v="6560"/>
        <n v="6561"/>
        <n v="6562"/>
        <n v="6563"/>
        <n v="6564"/>
        <n v="6565"/>
        <n v="6566"/>
        <n v="6567"/>
        <n v="6568"/>
        <n v="6569"/>
        <n v="6570"/>
        <n v="6571"/>
        <n v="6572"/>
        <n v="6573"/>
        <n v="6574"/>
        <n v="6575"/>
        <n v="6576"/>
        <n v="6577"/>
        <n v="6578"/>
        <n v="6579"/>
        <n v="6580"/>
        <n v="6581"/>
        <n v="6582"/>
        <n v="6583"/>
        <n v="6584"/>
        <n v="6585"/>
        <n v="6586"/>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748"/>
        <n v="6749"/>
        <n v="6750"/>
        <n v="6751"/>
        <n v="6752"/>
        <n v="6753"/>
        <n v="6754"/>
        <n v="6755"/>
        <n v="6756"/>
        <n v="6757"/>
        <n v="6758"/>
        <n v="6759"/>
        <n v="6760"/>
        <n v="6761"/>
        <n v="6542"/>
        <n v="6762"/>
        <n v="6763"/>
        <n v="6764"/>
        <n v="6765"/>
        <n v="6766"/>
        <n v="6767"/>
        <n v="6768"/>
        <n v="6769"/>
        <n v="6770"/>
        <n v="6771"/>
        <n v="6772"/>
        <n v="6773"/>
        <n v="6774"/>
        <n v="6775"/>
        <n v="6557"/>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6981"/>
        <n v="6982"/>
        <n v="6983"/>
        <n v="6984"/>
        <n v="6985"/>
        <n v="6986"/>
        <n v="6987"/>
        <n v="6988"/>
        <n v="6989"/>
        <n v="6990"/>
        <n v="6991"/>
        <n v="6992"/>
        <n v="6993"/>
        <n v="6994"/>
        <n v="6776"/>
        <n v="6995"/>
        <n v="6996"/>
        <n v="6997"/>
        <n v="6998"/>
        <n v="6999"/>
        <n v="7000"/>
        <n v="7001"/>
        <n v="7002"/>
        <n v="7003"/>
        <n v="7004"/>
        <n v="7005"/>
        <n v="7006"/>
        <n v="7007"/>
        <n v="7008"/>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215"/>
        <n v="7216"/>
        <n v="7217"/>
        <n v="7218"/>
        <n v="7219"/>
        <n v="7220"/>
        <n v="7221"/>
        <n v="7222"/>
        <n v="7223"/>
        <n v="7224"/>
        <n v="7225"/>
        <n v="7226"/>
        <n v="7227"/>
        <n v="7009"/>
        <n v="7229"/>
        <n v="7230"/>
        <n v="7231"/>
        <n v="7232"/>
        <n v="7233"/>
        <n v="7234"/>
        <n v="7235"/>
        <n v="7236"/>
        <n v="7237"/>
        <n v="7238"/>
        <n v="7239"/>
        <n v="7240"/>
        <n v="7241"/>
        <n v="7242"/>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228"/>
        <n v="7449"/>
        <n v="7450"/>
        <n v="7451"/>
        <n v="7452"/>
        <n v="7453"/>
        <n v="7454"/>
        <n v="7455"/>
        <n v="7456"/>
        <n v="7457"/>
        <n v="7458"/>
        <n v="7459"/>
        <n v="7460"/>
        <n v="7461"/>
        <n v="7243"/>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7462"/>
        <n v="7683"/>
        <n v="7684"/>
        <n v="7685"/>
        <n v="7686"/>
        <n v="7687"/>
        <n v="7688"/>
        <n v="7689"/>
        <n v="7690"/>
        <n v="7691"/>
        <n v="7692"/>
        <n v="7693"/>
        <n v="7694"/>
        <n v="7695"/>
        <n v="7697"/>
        <n v="7698"/>
        <n v="7699"/>
        <n v="7700"/>
        <n v="7701"/>
        <n v="7702"/>
        <n v="7703"/>
        <n v="7704"/>
        <n v="7705"/>
        <n v="7706"/>
        <n v="7707"/>
        <n v="7708"/>
        <n v="7709"/>
        <n v="7710"/>
        <n v="7711"/>
        <n v="7712"/>
        <n v="7713"/>
        <n v="7714"/>
        <n v="7715"/>
        <n v="7716"/>
        <n v="7717"/>
        <n v="7718"/>
        <n v="7719"/>
        <n v="7720"/>
        <n v="7721"/>
        <n v="7722"/>
        <n v="7723"/>
        <n v="7724"/>
        <n v="7725"/>
        <n v="3989"/>
        <n v="3990"/>
        <n v="3991"/>
        <n v="3992"/>
        <n v="3993"/>
        <n v="3994"/>
        <n v="3995"/>
        <n v="3996"/>
        <n v="3997"/>
        <n v="3998"/>
        <n v="3999"/>
        <n v="4000"/>
        <n v="4001"/>
        <n v="4002"/>
        <n v="4003"/>
        <n v="4004"/>
        <n v="4005"/>
        <n v="4006"/>
        <n v="4007"/>
        <n v="4008"/>
        <n v="4009"/>
        <n v="4010"/>
        <n v="4011"/>
        <n v="4012"/>
        <n v="4013"/>
        <n v="4014"/>
        <n v="4015"/>
        <n v="4016"/>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7696"/>
        <n v="4178"/>
        <n v="4179"/>
        <n v="4180"/>
        <n v="4181"/>
        <n v="4182"/>
        <n v="4183"/>
        <n v="4184"/>
        <n v="4185"/>
        <n v="4186"/>
        <n v="4187"/>
        <n v="4188"/>
        <n v="4189"/>
        <n v="4190"/>
        <n v="4191"/>
        <n v="4192"/>
        <n v="4193"/>
        <n v="4194"/>
        <n v="4195"/>
        <n v="4196"/>
        <n v="4197"/>
        <n v="4198"/>
        <n v="4199"/>
        <n v="4200"/>
        <n v="4201"/>
        <n v="4202"/>
        <n v="4203"/>
        <n v="4204"/>
        <n v="4205"/>
        <n v="772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413"/>
        <n v="4414"/>
        <n v="4415"/>
        <n v="4416"/>
        <n v="4417"/>
        <n v="4418"/>
        <n v="4419"/>
        <n v="4420"/>
        <n v="4421"/>
        <n v="4422"/>
        <n v="4423"/>
        <n v="4424"/>
        <n v="4425"/>
        <n v="420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719"/>
        <n v="4720"/>
        <n v="4721"/>
        <n v="4722"/>
        <n v="4723"/>
        <n v="4724"/>
        <n v="4725"/>
        <n v="4726"/>
        <n v="4727"/>
        <n v="4728"/>
        <n v="4729"/>
        <n v="4730"/>
        <n v="4731"/>
        <n v="4732"/>
        <n v="4734"/>
        <n v="4735"/>
        <n v="4736"/>
        <n v="4737"/>
        <n v="4738"/>
        <n v="4739"/>
        <n v="4740"/>
        <n v="4741"/>
        <n v="4742"/>
        <n v="4743"/>
        <n v="4744"/>
        <n v="4745"/>
        <n v="4746"/>
        <n v="4747"/>
        <n v="4749"/>
        <n v="4750"/>
        <n v="4751"/>
        <n v="4752"/>
        <n v="4753"/>
        <n v="4754"/>
        <n v="4755"/>
        <n v="4756"/>
        <n v="4757"/>
        <n v="4758"/>
        <n v="4759"/>
        <n v="4760"/>
        <n v="4761"/>
        <n v="4763"/>
        <n v="4764"/>
        <n v="4765"/>
        <n v="4766"/>
        <n v="4767"/>
        <n v="4768"/>
        <n v="4769"/>
        <n v="4770"/>
        <n v="4771"/>
        <n v="4772"/>
        <n v="4773"/>
        <n v="4774"/>
        <n v="4775"/>
        <n v="4776"/>
        <n v="4778"/>
        <n v="4779"/>
        <n v="4780"/>
        <n v="4781"/>
        <n v="4782"/>
        <n v="4783"/>
        <n v="4784"/>
        <n v="4785"/>
        <n v="4786"/>
        <n v="4787"/>
        <n v="4788"/>
        <n v="4789"/>
        <n v="4790"/>
        <n v="4792"/>
        <n v="4793"/>
        <n v="4794"/>
        <n v="4795"/>
        <n v="4796"/>
        <n v="4797"/>
        <n v="4798"/>
        <n v="4799"/>
        <n v="4800"/>
        <n v="4801"/>
        <n v="4802"/>
        <n v="4803"/>
        <n v="4804"/>
        <n v="4805"/>
        <n v="4807"/>
        <n v="4808"/>
        <n v="4809"/>
        <n v="4810"/>
        <n v="4811"/>
        <n v="4812"/>
        <n v="4813"/>
        <n v="4814"/>
        <n v="4815"/>
        <n v="4816"/>
        <n v="4817"/>
        <n v="4818"/>
        <n v="4819"/>
        <n v="4820"/>
        <n v="4822"/>
        <n v="4823"/>
        <n v="4824"/>
        <n v="4825"/>
        <n v="4826"/>
        <n v="4827"/>
        <n v="4828"/>
        <n v="4829"/>
        <n v="4830"/>
        <n v="4831"/>
        <n v="4832"/>
        <n v="4833"/>
        <n v="4834"/>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426"/>
        <n v="4647"/>
        <n v="4648"/>
        <n v="4649"/>
        <n v="4650"/>
        <n v="4651"/>
        <n v="4652"/>
        <n v="4653"/>
        <n v="4654"/>
        <n v="4655"/>
        <n v="4656"/>
        <n v="4657"/>
        <n v="4658"/>
        <n v="4661"/>
        <n v="4662"/>
        <n v="4663"/>
        <n v="4664"/>
        <n v="4665"/>
        <n v="4666"/>
        <n v="4667"/>
        <n v="4668"/>
        <n v="4669"/>
        <n v="4670"/>
        <n v="4671"/>
        <n v="4672"/>
        <n v="4673"/>
        <n v="4676"/>
        <n v="4677"/>
        <n v="4678"/>
        <n v="4679"/>
        <n v="4680"/>
        <n v="4681"/>
        <n v="4682"/>
        <n v="4683"/>
        <n v="4684"/>
        <n v="4685"/>
        <n v="4686"/>
        <n v="4687"/>
        <n v="4688"/>
        <n v="4690"/>
        <n v="4691"/>
        <n v="4692"/>
        <n v="4693"/>
        <n v="4694"/>
        <n v="4695"/>
        <n v="4696"/>
        <n v="4697"/>
        <n v="4698"/>
        <n v="4699"/>
        <n v="4700"/>
        <n v="4701"/>
        <n v="4702"/>
        <n v="4703"/>
        <n v="4705"/>
        <n v="4706"/>
        <n v="4707"/>
        <n v="4708"/>
        <n v="4709"/>
        <n v="4710"/>
        <n v="4711"/>
        <n v="4712"/>
        <n v="4713"/>
        <n v="4714"/>
        <n v="4715"/>
        <n v="4716"/>
        <n v="4717"/>
        <n v="8618"/>
        <n v="8619"/>
        <n v="8620"/>
        <n v="8621"/>
        <n v="8622"/>
        <n v="8623"/>
        <n v="8624"/>
        <n v="8625"/>
        <n v="8626"/>
        <n v="8627"/>
        <n v="8628"/>
        <n v="8629"/>
        <n v="8630"/>
        <n v="8631"/>
        <n v="8632"/>
        <n v="8867"/>
        <n v="8633"/>
        <n v="8634"/>
        <n v="8635"/>
        <n v="8636"/>
        <n v="8637"/>
        <n v="8638"/>
        <n v="8639"/>
        <n v="8640"/>
        <n v="8641"/>
        <n v="8642"/>
        <n v="8643"/>
        <n v="8644"/>
        <n v="8645"/>
        <n v="8646"/>
        <n v="8647"/>
        <n v="8881"/>
        <n v="8882"/>
        <n v="8648"/>
        <n v="8649"/>
        <n v="8650"/>
        <n v="8651"/>
        <n v="8652"/>
        <n v="8653"/>
        <n v="8654"/>
        <n v="8655"/>
        <n v="8656"/>
        <n v="8657"/>
        <n v="8658"/>
        <n v="8659"/>
        <n v="8660"/>
        <n v="8661"/>
        <n v="8662"/>
        <n v="8896"/>
        <n v="8663"/>
        <n v="8664"/>
        <n v="8665"/>
        <n v="8666"/>
        <n v="8667"/>
        <n v="8668"/>
        <n v="8669"/>
        <n v="8670"/>
        <n v="8671"/>
        <n v="8672"/>
        <n v="8673"/>
        <n v="8674"/>
        <n v="8675"/>
        <n v="8676"/>
        <n v="8911"/>
        <n v="8677"/>
        <n v="8678"/>
        <n v="8679"/>
        <n v="8680"/>
        <n v="8681"/>
        <n v="8682"/>
        <n v="8683"/>
        <n v="8684"/>
        <n v="8685"/>
        <n v="8686"/>
        <n v="8687"/>
        <n v="8688"/>
        <n v="8689"/>
        <n v="8690"/>
        <n v="8691"/>
        <n v="8925"/>
        <n v="8692"/>
        <n v="8693"/>
        <n v="8694"/>
        <n v="8695"/>
        <n v="8696"/>
        <n v="8697"/>
        <n v="8698"/>
        <n v="8699"/>
        <n v="8700"/>
        <n v="8701"/>
        <n v="8702"/>
        <n v="8703"/>
        <n v="8704"/>
        <n v="8705"/>
        <n v="8706"/>
        <n v="8940"/>
        <n v="8707"/>
        <n v="8708"/>
        <n v="8709"/>
        <n v="8710"/>
        <n v="8711"/>
        <n v="8712"/>
        <n v="8713"/>
        <n v="8714"/>
        <n v="8715"/>
        <n v="8716"/>
        <n v="8717"/>
        <n v="8718"/>
        <n v="8719"/>
        <n v="8720"/>
        <n v="8955"/>
        <n v="8721"/>
        <n v="8722"/>
        <n v="8723"/>
        <n v="8724"/>
        <n v="8725"/>
        <n v="8726"/>
        <n v="8727"/>
        <n v="8728"/>
        <n v="8729"/>
        <n v="8730"/>
        <n v="8731"/>
        <n v="8732"/>
        <n v="8733"/>
        <n v="8734"/>
        <n v="8735"/>
        <n v="8969"/>
        <n v="8736"/>
        <n v="8737"/>
        <n v="8738"/>
        <n v="8739"/>
        <n v="8740"/>
        <n v="8741"/>
        <n v="8742"/>
        <n v="8743"/>
        <n v="8744"/>
        <n v="8745"/>
        <n v="8746"/>
        <n v="8747"/>
        <n v="8748"/>
        <n v="8749"/>
        <n v="8984"/>
        <n v="8750"/>
        <n v="8751"/>
        <n v="8752"/>
        <n v="8753"/>
        <n v="8754"/>
        <n v="8755"/>
        <n v="8756"/>
        <n v="8757"/>
        <n v="8758"/>
        <n v="8759"/>
        <n v="8760"/>
        <n v="8761"/>
        <n v="8762"/>
        <n v="8763"/>
        <n v="8764"/>
        <n v="8999"/>
        <n v="8765"/>
        <n v="8766"/>
        <n v="8767"/>
        <n v="8768"/>
        <n v="8769"/>
        <n v="8770"/>
        <n v="8771"/>
        <n v="8772"/>
        <n v="8773"/>
        <n v="8774"/>
        <n v="8775"/>
        <n v="8776"/>
        <n v="8777"/>
        <n v="8778"/>
        <n v="8779"/>
        <n v="9013"/>
        <n v="8780"/>
        <n v="8781"/>
        <n v="8782"/>
        <n v="8783"/>
        <n v="8784"/>
        <n v="8785"/>
        <n v="8786"/>
        <n v="8787"/>
        <n v="8788"/>
        <n v="8789"/>
        <n v="8790"/>
        <n v="8791"/>
        <n v="8792"/>
        <n v="8793"/>
        <n v="1251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837"/>
        <n v="8604"/>
        <n v="8605"/>
        <n v="8606"/>
        <n v="8607"/>
        <n v="8608"/>
        <n v="8609"/>
        <n v="8610"/>
        <n v="8611"/>
        <n v="8612"/>
        <n v="8613"/>
        <n v="8614"/>
        <n v="8615"/>
        <n v="8616"/>
        <n v="8617"/>
        <n v="8852"/>
        <n v="8868"/>
        <n v="8869"/>
        <n v="8870"/>
        <n v="8871"/>
        <n v="8872"/>
        <n v="8873"/>
        <n v="8874"/>
        <n v="8875"/>
        <n v="8876"/>
        <n v="8877"/>
        <n v="8878"/>
        <n v="8879"/>
        <n v="8880"/>
        <n v="9101"/>
        <n v="8883"/>
        <n v="8884"/>
        <n v="8885"/>
        <n v="8886"/>
        <n v="8887"/>
        <n v="8888"/>
        <n v="8889"/>
        <n v="8890"/>
        <n v="8891"/>
        <n v="8892"/>
        <n v="8893"/>
        <n v="8894"/>
        <n v="8895"/>
        <n v="9116"/>
        <n v="8897"/>
        <n v="8898"/>
        <n v="8899"/>
        <n v="8900"/>
        <n v="8901"/>
        <n v="8902"/>
        <n v="8903"/>
        <n v="8904"/>
        <n v="8905"/>
        <n v="8906"/>
        <n v="8907"/>
        <n v="8908"/>
        <n v="8909"/>
        <n v="8910"/>
        <n v="9130"/>
        <n v="8912"/>
        <n v="8913"/>
        <n v="8914"/>
        <n v="8915"/>
        <n v="8916"/>
        <n v="8917"/>
        <n v="8918"/>
        <n v="8919"/>
        <n v="8920"/>
        <n v="8921"/>
        <n v="8922"/>
        <n v="8923"/>
        <n v="8924"/>
        <n v="9145"/>
        <n v="8926"/>
        <n v="8927"/>
        <n v="8928"/>
        <n v="8929"/>
        <n v="8930"/>
        <n v="8931"/>
        <n v="8932"/>
        <n v="8933"/>
        <n v="8934"/>
        <n v="8935"/>
        <n v="8936"/>
        <n v="8937"/>
        <n v="8938"/>
        <n v="8939"/>
        <n v="9159"/>
        <n v="8941"/>
        <n v="8942"/>
        <n v="8943"/>
        <n v="8944"/>
        <n v="8945"/>
        <n v="8946"/>
        <n v="8947"/>
        <n v="8948"/>
        <n v="8949"/>
        <n v="8950"/>
        <n v="8951"/>
        <n v="8952"/>
        <n v="8953"/>
        <n v="8954"/>
        <n v="9174"/>
        <n v="8956"/>
        <n v="8957"/>
        <n v="8958"/>
        <n v="8959"/>
        <n v="8960"/>
        <n v="8961"/>
        <n v="8962"/>
        <n v="8963"/>
        <n v="8964"/>
        <n v="8965"/>
        <n v="8966"/>
        <n v="8967"/>
        <n v="8968"/>
        <n v="9189"/>
        <n v="8970"/>
        <n v="8971"/>
        <n v="8972"/>
        <n v="8973"/>
        <n v="8974"/>
        <n v="8975"/>
        <n v="8976"/>
        <n v="8977"/>
        <n v="8978"/>
        <n v="8979"/>
        <n v="8980"/>
        <n v="8981"/>
        <n v="8982"/>
        <n v="8983"/>
        <n v="9203"/>
        <n v="8985"/>
        <n v="8986"/>
        <n v="8987"/>
        <n v="8988"/>
        <n v="8989"/>
        <n v="8990"/>
        <n v="8991"/>
        <n v="8992"/>
        <n v="8993"/>
        <n v="8994"/>
        <n v="8995"/>
        <n v="8996"/>
        <n v="8997"/>
        <n v="8998"/>
        <n v="9218"/>
        <n v="9000"/>
        <n v="9001"/>
        <n v="9002"/>
        <n v="9003"/>
        <n v="9004"/>
        <n v="9005"/>
        <n v="9006"/>
        <n v="9007"/>
        <n v="9008"/>
        <n v="9009"/>
        <n v="9010"/>
        <n v="9011"/>
        <n v="9012"/>
        <n v="9233"/>
        <n v="9014"/>
        <n v="9015"/>
        <n v="9016"/>
        <n v="9017"/>
        <n v="9018"/>
        <n v="9019"/>
        <n v="9020"/>
        <n v="9021"/>
        <n v="9022"/>
        <n v="9023"/>
        <n v="9024"/>
        <n v="9025"/>
        <n v="9026"/>
        <n v="9027"/>
        <n v="9248"/>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8"/>
        <n v="8839"/>
        <n v="8840"/>
        <n v="8841"/>
        <n v="8842"/>
        <n v="8843"/>
        <n v="8844"/>
        <n v="8845"/>
        <n v="8846"/>
        <n v="8847"/>
        <n v="8848"/>
        <n v="8849"/>
        <n v="8850"/>
        <n v="8851"/>
        <n v="9072"/>
        <n v="8853"/>
        <n v="8854"/>
        <n v="8855"/>
        <n v="8856"/>
        <n v="8857"/>
        <n v="8858"/>
        <n v="8859"/>
        <n v="8860"/>
        <n v="8861"/>
        <n v="8862"/>
        <n v="8863"/>
        <n v="8864"/>
        <n v="8865"/>
        <n v="8866"/>
        <n v="9086"/>
        <n v="9102"/>
        <n v="9103"/>
        <n v="9104"/>
        <n v="9105"/>
        <n v="9106"/>
        <n v="9107"/>
        <n v="9108"/>
        <n v="9109"/>
        <n v="9110"/>
        <n v="9111"/>
        <n v="9112"/>
        <n v="9113"/>
        <n v="9114"/>
        <n v="9115"/>
        <n v="9335"/>
        <n v="9117"/>
        <n v="9118"/>
        <n v="9119"/>
        <n v="9120"/>
        <n v="9121"/>
        <n v="9122"/>
        <n v="9123"/>
        <n v="9124"/>
        <n v="9125"/>
        <n v="9126"/>
        <n v="9127"/>
        <n v="9128"/>
        <n v="9129"/>
        <n v="9350"/>
        <n v="9131"/>
        <n v="9132"/>
        <n v="9133"/>
        <n v="9134"/>
        <n v="9135"/>
        <n v="9136"/>
        <n v="9137"/>
        <n v="9138"/>
        <n v="9139"/>
        <n v="9140"/>
        <n v="9141"/>
        <n v="9142"/>
        <n v="9143"/>
        <n v="9144"/>
        <n v="9365"/>
        <n v="9146"/>
        <n v="9147"/>
        <n v="9148"/>
        <n v="9149"/>
        <n v="9150"/>
        <n v="9151"/>
        <n v="9152"/>
        <n v="9153"/>
        <n v="9154"/>
        <n v="9155"/>
        <n v="9156"/>
        <n v="9157"/>
        <n v="9158"/>
        <n v="9379"/>
        <n v="9160"/>
        <n v="9161"/>
        <n v="9162"/>
        <n v="9163"/>
        <n v="9164"/>
        <n v="9165"/>
        <n v="9166"/>
        <n v="9167"/>
        <n v="9168"/>
        <n v="9169"/>
        <n v="9170"/>
        <n v="9171"/>
        <n v="9172"/>
        <n v="9173"/>
        <n v="9394"/>
        <n v="9175"/>
        <n v="9176"/>
        <n v="9177"/>
        <n v="9178"/>
        <n v="9179"/>
        <n v="9180"/>
        <n v="9181"/>
        <n v="9182"/>
        <n v="9183"/>
        <n v="9184"/>
        <n v="9185"/>
        <n v="9186"/>
        <n v="9187"/>
        <n v="9188"/>
        <n v="9409"/>
        <n v="9190"/>
        <n v="9191"/>
        <n v="9192"/>
        <n v="9193"/>
        <n v="9194"/>
        <n v="9195"/>
        <n v="9196"/>
        <n v="9197"/>
        <n v="9198"/>
        <n v="9199"/>
        <n v="9200"/>
        <n v="9201"/>
        <n v="9202"/>
        <n v="9423"/>
        <n v="9204"/>
        <n v="9205"/>
        <n v="9206"/>
        <n v="9207"/>
        <n v="9208"/>
        <n v="9209"/>
        <n v="9210"/>
        <n v="9211"/>
        <n v="9212"/>
        <n v="9213"/>
        <n v="9214"/>
        <n v="9215"/>
        <n v="9216"/>
        <n v="9217"/>
        <n v="9438"/>
        <n v="9219"/>
        <n v="9220"/>
        <n v="9221"/>
        <n v="9222"/>
        <n v="9223"/>
        <n v="9224"/>
        <n v="9225"/>
        <n v="9226"/>
        <n v="9227"/>
        <n v="9228"/>
        <n v="9229"/>
        <n v="9230"/>
        <n v="9231"/>
        <n v="9232"/>
        <n v="9452"/>
        <n v="9234"/>
        <n v="9235"/>
        <n v="9236"/>
        <n v="9237"/>
        <n v="9238"/>
        <n v="9239"/>
        <n v="9240"/>
        <n v="9241"/>
        <n v="9242"/>
        <n v="9243"/>
        <n v="9244"/>
        <n v="9245"/>
        <n v="9246"/>
        <n v="9247"/>
        <n v="9467"/>
        <n v="9249"/>
        <n v="9250"/>
        <n v="9251"/>
        <n v="9252"/>
        <n v="9253"/>
        <n v="9254"/>
        <n v="9255"/>
        <n v="9256"/>
        <n v="9257"/>
        <n v="9258"/>
        <n v="9259"/>
        <n v="9260"/>
        <n v="9261"/>
        <n v="9262"/>
        <n v="9482"/>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3"/>
        <n v="9074"/>
        <n v="9075"/>
        <n v="9076"/>
        <n v="9077"/>
        <n v="9078"/>
        <n v="9079"/>
        <n v="9080"/>
        <n v="9081"/>
        <n v="9082"/>
        <n v="9083"/>
        <n v="9084"/>
        <n v="9085"/>
        <n v="9306"/>
        <n v="9087"/>
        <n v="9088"/>
        <n v="9089"/>
        <n v="9090"/>
        <n v="9091"/>
        <n v="9092"/>
        <n v="9093"/>
        <n v="9094"/>
        <n v="9095"/>
        <n v="9096"/>
        <n v="9097"/>
        <n v="9098"/>
        <n v="9099"/>
        <n v="9100"/>
        <n v="9321"/>
        <n v="9336"/>
        <n v="9337"/>
        <n v="9338"/>
        <n v="9339"/>
        <n v="9340"/>
        <n v="9341"/>
        <n v="9342"/>
        <n v="9343"/>
        <n v="9344"/>
        <n v="9345"/>
        <n v="9346"/>
        <n v="9347"/>
        <n v="9348"/>
        <n v="9349"/>
        <n v="9569"/>
        <n v="9351"/>
        <n v="9352"/>
        <n v="9353"/>
        <n v="9354"/>
        <n v="9355"/>
        <n v="9356"/>
        <n v="9357"/>
        <n v="9358"/>
        <n v="9359"/>
        <n v="9360"/>
        <n v="9361"/>
        <n v="9362"/>
        <n v="9363"/>
        <n v="9364"/>
        <n v="9584"/>
        <n v="9366"/>
        <n v="9367"/>
        <n v="9368"/>
        <n v="9369"/>
        <n v="9370"/>
        <n v="9371"/>
        <n v="9372"/>
        <n v="9373"/>
        <n v="9374"/>
        <n v="9375"/>
        <n v="9376"/>
        <n v="9377"/>
        <n v="9378"/>
        <n v="9599"/>
        <n v="9380"/>
        <n v="9381"/>
        <n v="9382"/>
        <n v="9383"/>
        <n v="9384"/>
        <n v="9385"/>
        <n v="9386"/>
        <n v="9387"/>
        <n v="9388"/>
        <n v="9389"/>
        <n v="9390"/>
        <n v="9391"/>
        <n v="9392"/>
        <n v="9393"/>
        <n v="9613"/>
        <n v="9395"/>
        <n v="9396"/>
        <n v="9397"/>
        <n v="9398"/>
        <n v="9399"/>
        <n v="9400"/>
        <n v="9401"/>
        <n v="9402"/>
        <n v="9403"/>
        <n v="9404"/>
        <n v="9405"/>
        <n v="9406"/>
        <n v="9407"/>
        <n v="9408"/>
        <n v="9628"/>
        <n v="9410"/>
        <n v="9411"/>
        <n v="9412"/>
        <n v="9413"/>
        <n v="9414"/>
        <n v="9415"/>
        <n v="9416"/>
        <n v="9417"/>
        <n v="9418"/>
        <n v="9419"/>
        <n v="9420"/>
        <n v="9421"/>
        <n v="9422"/>
        <n v="9643"/>
        <n v="9424"/>
        <n v="9425"/>
        <n v="9426"/>
        <n v="9427"/>
        <n v="9428"/>
        <n v="9429"/>
        <n v="9430"/>
        <n v="9431"/>
        <n v="9432"/>
        <n v="9433"/>
        <n v="9434"/>
        <n v="9435"/>
        <n v="9436"/>
        <n v="9437"/>
        <n v="9657"/>
        <n v="9439"/>
        <n v="9440"/>
        <n v="9441"/>
        <n v="9442"/>
        <n v="9443"/>
        <n v="9444"/>
        <n v="9445"/>
        <n v="9446"/>
        <n v="9447"/>
        <n v="9448"/>
        <n v="9449"/>
        <n v="9450"/>
        <n v="9451"/>
        <n v="9672"/>
        <n v="9453"/>
        <n v="9454"/>
        <n v="9455"/>
        <n v="9456"/>
        <n v="9457"/>
        <n v="9458"/>
        <n v="9459"/>
        <n v="9460"/>
        <n v="9461"/>
        <n v="9462"/>
        <n v="9463"/>
        <n v="9464"/>
        <n v="9465"/>
        <n v="9466"/>
        <n v="9687"/>
        <n v="9468"/>
        <n v="9469"/>
        <n v="9470"/>
        <n v="9471"/>
        <n v="9472"/>
        <n v="9473"/>
        <n v="9474"/>
        <n v="9475"/>
        <n v="9476"/>
        <n v="9477"/>
        <n v="9478"/>
        <n v="9479"/>
        <n v="9480"/>
        <n v="9481"/>
        <n v="9701"/>
        <n v="9483"/>
        <n v="9484"/>
        <n v="9485"/>
        <n v="9486"/>
        <n v="9487"/>
        <n v="9488"/>
        <n v="9489"/>
        <n v="9490"/>
        <n v="9491"/>
        <n v="9492"/>
        <n v="9493"/>
        <n v="9494"/>
        <n v="9495"/>
        <n v="9496"/>
        <n v="9716"/>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526"/>
        <n v="9307"/>
        <n v="9308"/>
        <n v="9309"/>
        <n v="9310"/>
        <n v="9311"/>
        <n v="9312"/>
        <n v="9313"/>
        <n v="9314"/>
        <n v="9315"/>
        <n v="9316"/>
        <n v="9317"/>
        <n v="9318"/>
        <n v="9319"/>
        <n v="9320"/>
        <n v="9540"/>
        <n v="9322"/>
        <n v="9323"/>
        <n v="9324"/>
        <n v="9325"/>
        <n v="9326"/>
        <n v="9327"/>
        <n v="9328"/>
        <n v="9329"/>
        <n v="9330"/>
        <n v="9331"/>
        <n v="9332"/>
        <n v="9333"/>
        <n v="9334"/>
        <n v="9555"/>
        <n v="9570"/>
        <n v="9571"/>
        <n v="9572"/>
        <n v="9573"/>
        <n v="9574"/>
        <n v="9575"/>
        <n v="9576"/>
        <n v="9577"/>
        <n v="9578"/>
        <n v="9579"/>
        <n v="9580"/>
        <n v="9581"/>
        <n v="9582"/>
        <n v="9583"/>
        <n v="9804"/>
        <n v="9585"/>
        <n v="9586"/>
        <n v="9587"/>
        <n v="9588"/>
        <n v="9589"/>
        <n v="9590"/>
        <n v="9591"/>
        <n v="9592"/>
        <n v="9593"/>
        <n v="9594"/>
        <n v="9595"/>
        <n v="9596"/>
        <n v="9597"/>
        <n v="9598"/>
        <n v="9819"/>
        <n v="9600"/>
        <n v="9601"/>
        <n v="9602"/>
        <n v="9603"/>
        <n v="9604"/>
        <n v="9605"/>
        <n v="9606"/>
        <n v="9607"/>
        <n v="9608"/>
        <n v="9609"/>
        <n v="9610"/>
        <n v="9611"/>
        <n v="9612"/>
        <n v="9833"/>
        <n v="9614"/>
        <n v="9615"/>
        <n v="9616"/>
        <n v="9617"/>
        <n v="9618"/>
        <n v="9619"/>
        <n v="9620"/>
        <n v="9621"/>
        <n v="9622"/>
        <n v="9623"/>
        <n v="9624"/>
        <n v="9625"/>
        <n v="9626"/>
        <n v="9627"/>
        <n v="9848"/>
        <n v="9629"/>
        <n v="9630"/>
        <n v="9631"/>
        <n v="9632"/>
        <n v="9633"/>
        <n v="9634"/>
        <n v="9635"/>
        <n v="9636"/>
        <n v="9637"/>
        <n v="9638"/>
        <n v="9639"/>
        <n v="9640"/>
        <n v="9641"/>
        <n v="9642"/>
        <n v="9862"/>
        <n v="9644"/>
        <n v="9645"/>
        <n v="9646"/>
        <n v="9647"/>
        <n v="9648"/>
        <n v="9649"/>
        <n v="9650"/>
        <n v="9651"/>
        <n v="9652"/>
        <n v="9653"/>
        <n v="9654"/>
        <n v="9655"/>
        <n v="9656"/>
        <n v="9877"/>
        <n v="9658"/>
        <n v="9659"/>
        <n v="9660"/>
        <n v="9661"/>
        <n v="9662"/>
        <n v="9663"/>
        <n v="9664"/>
        <n v="9665"/>
        <n v="9666"/>
        <n v="9667"/>
        <n v="9668"/>
        <n v="9669"/>
        <n v="9670"/>
        <n v="9671"/>
        <n v="9892"/>
        <n v="9673"/>
        <n v="9674"/>
        <n v="9675"/>
        <n v="9676"/>
        <n v="9677"/>
        <n v="9678"/>
        <n v="9679"/>
        <n v="9680"/>
        <n v="9681"/>
        <n v="9682"/>
        <n v="9683"/>
        <n v="9684"/>
        <n v="9685"/>
        <n v="9686"/>
        <n v="9907"/>
        <n v="9688"/>
        <n v="9689"/>
        <n v="9690"/>
        <n v="9691"/>
        <n v="9692"/>
        <n v="9693"/>
        <n v="9694"/>
        <n v="9695"/>
        <n v="9696"/>
        <n v="9697"/>
        <n v="9698"/>
        <n v="9699"/>
        <n v="9700"/>
        <n v="9921"/>
        <n v="9702"/>
        <n v="9703"/>
        <n v="9704"/>
        <n v="9705"/>
        <n v="9706"/>
        <n v="9707"/>
        <n v="9708"/>
        <n v="9709"/>
        <n v="9710"/>
        <n v="9711"/>
        <n v="9712"/>
        <n v="9713"/>
        <n v="9714"/>
        <n v="9715"/>
        <n v="9936"/>
        <n v="9717"/>
        <n v="9718"/>
        <n v="9719"/>
        <n v="9720"/>
        <n v="9721"/>
        <n v="9722"/>
        <n v="9723"/>
        <n v="9724"/>
        <n v="9725"/>
        <n v="9726"/>
        <n v="9727"/>
        <n v="9728"/>
        <n v="9729"/>
        <n v="9730"/>
        <n v="9951"/>
        <n v="9497"/>
        <n v="9498"/>
        <n v="9499"/>
        <n v="9500"/>
        <n v="9501"/>
        <n v="9502"/>
        <n v="9503"/>
        <n v="9504"/>
        <n v="9505"/>
        <n v="9506"/>
        <n v="9507"/>
        <n v="9508"/>
        <n v="9509"/>
        <n v="9510"/>
        <n v="9511"/>
        <n v="9512"/>
        <n v="9513"/>
        <n v="9514"/>
        <n v="9515"/>
        <n v="9516"/>
        <n v="9517"/>
        <n v="9518"/>
        <n v="9519"/>
        <n v="9520"/>
        <n v="9521"/>
        <n v="9522"/>
        <n v="9523"/>
        <n v="9524"/>
        <n v="9525"/>
        <n v="9527"/>
        <n v="9528"/>
        <n v="9529"/>
        <n v="9530"/>
        <n v="9531"/>
        <n v="9532"/>
        <n v="9533"/>
        <n v="9534"/>
        <n v="9535"/>
        <n v="9536"/>
        <n v="9537"/>
        <n v="9538"/>
        <n v="9539"/>
        <n v="9760"/>
        <n v="9541"/>
        <n v="9542"/>
        <n v="9543"/>
        <n v="9544"/>
        <n v="9545"/>
        <n v="9546"/>
        <n v="9547"/>
        <n v="9548"/>
        <n v="9549"/>
        <n v="9550"/>
        <n v="9551"/>
        <n v="9552"/>
        <n v="9553"/>
        <n v="9554"/>
        <n v="9775"/>
        <n v="9556"/>
        <n v="9557"/>
        <n v="9558"/>
        <n v="9559"/>
        <n v="9560"/>
        <n v="9561"/>
        <n v="9562"/>
        <n v="9563"/>
        <n v="9564"/>
        <n v="9565"/>
        <n v="9566"/>
        <n v="9567"/>
        <n v="9568"/>
        <n v="9789"/>
        <n v="9805"/>
        <n v="9806"/>
        <n v="9807"/>
        <n v="9808"/>
        <n v="9809"/>
        <n v="9810"/>
        <n v="9811"/>
        <n v="9812"/>
        <n v="9813"/>
        <n v="9814"/>
        <n v="9815"/>
        <n v="9816"/>
        <n v="9817"/>
        <n v="9818"/>
        <n v="10038"/>
        <n v="9820"/>
        <n v="9821"/>
        <n v="9822"/>
        <n v="9823"/>
        <n v="9824"/>
        <n v="9825"/>
        <n v="9826"/>
        <n v="9827"/>
        <n v="9828"/>
        <n v="9829"/>
        <n v="9830"/>
        <n v="9831"/>
        <n v="9832"/>
        <n v="10053"/>
        <n v="9834"/>
        <n v="9835"/>
        <n v="9836"/>
        <n v="9837"/>
        <n v="9838"/>
        <n v="9839"/>
        <n v="9840"/>
        <n v="9841"/>
        <n v="9842"/>
        <n v="9843"/>
        <n v="9844"/>
        <n v="9845"/>
        <n v="9846"/>
        <n v="9847"/>
        <n v="10067"/>
        <n v="9849"/>
        <n v="9850"/>
        <n v="9851"/>
        <n v="9852"/>
        <n v="9853"/>
        <n v="9854"/>
        <n v="9855"/>
        <n v="9856"/>
        <n v="9857"/>
        <n v="9858"/>
        <n v="9859"/>
        <n v="9860"/>
        <n v="9861"/>
        <n v="10082"/>
        <n v="9863"/>
        <n v="9864"/>
        <n v="9865"/>
        <n v="9866"/>
        <n v="9867"/>
        <n v="9868"/>
        <n v="9869"/>
        <n v="9870"/>
        <n v="9871"/>
        <n v="9872"/>
        <n v="9873"/>
        <n v="9874"/>
        <n v="9875"/>
        <n v="9876"/>
        <n v="10096"/>
        <n v="9878"/>
        <n v="9879"/>
        <n v="9880"/>
        <n v="9881"/>
        <n v="9882"/>
        <n v="9883"/>
        <n v="9884"/>
        <n v="9885"/>
        <n v="9886"/>
        <n v="9887"/>
        <n v="9888"/>
        <n v="9889"/>
        <n v="9890"/>
        <n v="9891"/>
        <n v="10111"/>
        <n v="9893"/>
        <n v="9894"/>
        <n v="9895"/>
        <n v="9896"/>
        <n v="9897"/>
        <n v="9898"/>
        <n v="9899"/>
        <n v="9900"/>
        <n v="9901"/>
        <n v="9902"/>
        <n v="9903"/>
        <n v="9904"/>
        <n v="9905"/>
        <n v="9906"/>
        <n v="10125"/>
        <n v="9908"/>
        <n v="9909"/>
        <n v="9910"/>
        <n v="9911"/>
        <n v="9912"/>
        <n v="9913"/>
        <n v="9914"/>
        <n v="9915"/>
        <n v="9916"/>
        <n v="9917"/>
        <n v="9918"/>
        <n v="9919"/>
        <n v="9920"/>
        <n v="9922"/>
        <n v="9923"/>
        <n v="9924"/>
        <n v="9925"/>
        <n v="9926"/>
        <n v="9927"/>
        <n v="9928"/>
        <n v="9929"/>
        <n v="9930"/>
        <n v="9931"/>
        <n v="9932"/>
        <n v="9933"/>
        <n v="9934"/>
        <n v="9935"/>
        <n v="10154"/>
        <n v="9937"/>
        <n v="9938"/>
        <n v="9939"/>
        <n v="9940"/>
        <n v="9941"/>
        <n v="9942"/>
        <n v="9943"/>
        <n v="9944"/>
        <n v="9945"/>
        <n v="9946"/>
        <n v="9947"/>
        <n v="9948"/>
        <n v="9949"/>
        <n v="9950"/>
        <n v="10169"/>
        <n v="9952"/>
        <n v="9953"/>
        <n v="9954"/>
        <n v="9955"/>
        <n v="9956"/>
        <n v="9957"/>
        <n v="9958"/>
        <n v="9959"/>
        <n v="9960"/>
        <n v="9961"/>
        <n v="9962"/>
        <n v="9963"/>
        <n v="9964"/>
        <n v="9965"/>
        <n v="10183"/>
        <n v="9731"/>
        <n v="9732"/>
        <n v="9733"/>
        <n v="9734"/>
        <n v="9735"/>
        <n v="9736"/>
        <n v="9737"/>
        <n v="9738"/>
        <n v="9739"/>
        <n v="9740"/>
        <n v="9741"/>
        <n v="9742"/>
        <n v="9743"/>
        <n v="9744"/>
        <n v="9745"/>
        <n v="9746"/>
        <n v="9747"/>
        <n v="9748"/>
        <n v="9749"/>
        <n v="9750"/>
        <n v="9751"/>
        <n v="9752"/>
        <n v="9753"/>
        <n v="9754"/>
        <n v="9755"/>
        <n v="9756"/>
        <n v="9757"/>
        <n v="9758"/>
        <n v="9759"/>
        <n v="9761"/>
        <n v="9762"/>
        <n v="9763"/>
        <n v="9764"/>
        <n v="9765"/>
        <n v="9766"/>
        <n v="9767"/>
        <n v="9768"/>
        <n v="9769"/>
        <n v="9770"/>
        <n v="9771"/>
        <n v="9772"/>
        <n v="9773"/>
        <n v="9774"/>
        <n v="9995"/>
        <n v="9776"/>
        <n v="9777"/>
        <n v="9778"/>
        <n v="9779"/>
        <n v="9780"/>
        <n v="9781"/>
        <n v="9782"/>
        <n v="9783"/>
        <n v="9784"/>
        <n v="9785"/>
        <n v="9786"/>
        <n v="9787"/>
        <n v="9788"/>
        <n v="10009"/>
        <n v="9790"/>
        <n v="9791"/>
        <n v="9792"/>
        <n v="9793"/>
        <n v="9794"/>
        <n v="9795"/>
        <n v="9796"/>
        <n v="9797"/>
        <n v="9798"/>
        <n v="9799"/>
        <n v="9800"/>
        <n v="9801"/>
        <n v="9802"/>
        <n v="9803"/>
        <n v="10024"/>
        <n v="10039"/>
        <n v="10040"/>
        <n v="10041"/>
        <n v="10042"/>
        <n v="10043"/>
        <n v="10044"/>
        <n v="10045"/>
        <n v="10046"/>
        <n v="10047"/>
        <n v="10048"/>
        <n v="10049"/>
        <n v="10050"/>
        <n v="10051"/>
        <n v="10052"/>
        <n v="10270"/>
        <n v="10054"/>
        <n v="10055"/>
        <n v="10056"/>
        <n v="10057"/>
        <n v="10058"/>
        <n v="10059"/>
        <n v="10060"/>
        <n v="10061"/>
        <n v="10062"/>
        <n v="10063"/>
        <n v="10064"/>
        <n v="10065"/>
        <n v="10066"/>
        <n v="10285"/>
        <n v="10068"/>
        <n v="10069"/>
        <n v="10070"/>
        <n v="10071"/>
        <n v="10072"/>
        <n v="10073"/>
        <n v="10074"/>
        <n v="10075"/>
        <n v="10076"/>
        <n v="10077"/>
        <n v="10078"/>
        <n v="10079"/>
        <n v="10080"/>
        <n v="10081"/>
        <n v="10299"/>
        <n v="10083"/>
        <n v="10084"/>
        <n v="10085"/>
        <n v="10086"/>
        <n v="10087"/>
        <n v="10088"/>
        <n v="10089"/>
        <n v="10090"/>
        <n v="10091"/>
        <n v="10092"/>
        <n v="10093"/>
        <n v="10094"/>
        <n v="10095"/>
        <n v="10314"/>
        <n v="10097"/>
        <n v="10098"/>
        <n v="10099"/>
        <n v="10100"/>
        <n v="10101"/>
        <n v="10102"/>
        <n v="10103"/>
        <n v="10104"/>
        <n v="10105"/>
        <n v="10106"/>
        <n v="10107"/>
        <n v="10108"/>
        <n v="10109"/>
        <n v="10110"/>
        <n v="10328"/>
        <n v="10112"/>
        <n v="10113"/>
        <n v="10114"/>
        <n v="10115"/>
        <n v="10116"/>
        <n v="10117"/>
        <n v="10118"/>
        <n v="10119"/>
        <n v="10120"/>
        <n v="10121"/>
        <n v="10122"/>
        <n v="10123"/>
        <n v="10124"/>
        <n v="10343"/>
        <n v="10126"/>
        <n v="10127"/>
        <n v="10128"/>
        <n v="10129"/>
        <n v="10130"/>
        <n v="10131"/>
        <n v="10132"/>
        <n v="10133"/>
        <n v="10134"/>
        <n v="10135"/>
        <n v="10136"/>
        <n v="10137"/>
        <n v="10138"/>
        <n v="10139"/>
        <n v="10357"/>
        <n v="10140"/>
        <n v="10141"/>
        <n v="10142"/>
        <n v="10143"/>
        <n v="10144"/>
        <n v="10145"/>
        <n v="10146"/>
        <n v="10147"/>
        <n v="10148"/>
        <n v="10149"/>
        <n v="10150"/>
        <n v="10151"/>
        <n v="10152"/>
        <n v="10153"/>
        <n v="10155"/>
        <n v="10156"/>
        <n v="10157"/>
        <n v="10158"/>
        <n v="10159"/>
        <n v="10160"/>
        <n v="10161"/>
        <n v="10162"/>
        <n v="10163"/>
        <n v="10164"/>
        <n v="10165"/>
        <n v="10166"/>
        <n v="10167"/>
        <n v="10168"/>
        <n v="10386"/>
        <n v="10170"/>
        <n v="10171"/>
        <n v="10172"/>
        <n v="10173"/>
        <n v="10174"/>
        <n v="10175"/>
        <n v="10176"/>
        <n v="10177"/>
        <n v="10178"/>
        <n v="10179"/>
        <n v="10180"/>
        <n v="10181"/>
        <n v="10182"/>
        <n v="10401"/>
        <n v="10184"/>
        <n v="10185"/>
        <n v="10186"/>
        <n v="10187"/>
        <n v="10188"/>
        <n v="10189"/>
        <n v="10190"/>
        <n v="10191"/>
        <n v="10192"/>
        <n v="10193"/>
        <n v="10194"/>
        <n v="10195"/>
        <n v="10196"/>
        <n v="10197"/>
        <n v="10415"/>
        <n v="9966"/>
        <n v="9967"/>
        <n v="9968"/>
        <n v="9969"/>
        <n v="9970"/>
        <n v="9971"/>
        <n v="9972"/>
        <n v="9973"/>
        <n v="9974"/>
        <n v="9975"/>
        <n v="9976"/>
        <n v="9977"/>
        <n v="9978"/>
        <n v="9979"/>
        <n v="9980"/>
        <n v="9981"/>
        <n v="9982"/>
        <n v="9983"/>
        <n v="9984"/>
        <n v="9985"/>
        <n v="9986"/>
        <n v="9987"/>
        <n v="9988"/>
        <n v="9989"/>
        <n v="9990"/>
        <n v="9991"/>
        <n v="9992"/>
        <n v="9993"/>
        <n v="9994"/>
        <n v="9996"/>
        <n v="9997"/>
        <n v="9998"/>
        <n v="9999"/>
        <n v="10000"/>
        <n v="10001"/>
        <n v="10002"/>
        <n v="10003"/>
        <n v="10004"/>
        <n v="10005"/>
        <n v="10006"/>
        <n v="10007"/>
        <n v="10008"/>
        <n v="10227"/>
        <n v="10010"/>
        <n v="10011"/>
        <n v="10012"/>
        <n v="10013"/>
        <n v="10014"/>
        <n v="10015"/>
        <n v="10016"/>
        <n v="10017"/>
        <n v="10018"/>
        <n v="10019"/>
        <n v="10020"/>
        <n v="10021"/>
        <n v="10022"/>
        <n v="10023"/>
        <n v="10241"/>
        <n v="10025"/>
        <n v="10026"/>
        <n v="10027"/>
        <n v="10028"/>
        <n v="10029"/>
        <n v="10030"/>
        <n v="10031"/>
        <n v="10032"/>
        <n v="10033"/>
        <n v="10034"/>
        <n v="10035"/>
        <n v="10036"/>
        <n v="10037"/>
        <n v="10256"/>
        <n v="10271"/>
        <n v="10272"/>
        <n v="10273"/>
        <n v="10274"/>
        <n v="10275"/>
        <n v="10276"/>
        <n v="10277"/>
        <n v="10278"/>
        <n v="10279"/>
        <n v="10280"/>
        <n v="10281"/>
        <n v="10282"/>
        <n v="10283"/>
        <n v="10284"/>
        <n v="10502"/>
        <n v="10286"/>
        <n v="10287"/>
        <n v="10288"/>
        <n v="10289"/>
        <n v="10290"/>
        <n v="10291"/>
        <n v="10292"/>
        <n v="10293"/>
        <n v="10294"/>
        <n v="10295"/>
        <n v="10296"/>
        <n v="10297"/>
        <n v="10298"/>
        <n v="10517"/>
        <n v="10300"/>
        <n v="10301"/>
        <n v="10302"/>
        <n v="10303"/>
        <n v="10304"/>
        <n v="10305"/>
        <n v="10306"/>
        <n v="10307"/>
        <n v="10308"/>
        <n v="10309"/>
        <n v="10310"/>
        <n v="10311"/>
        <n v="10312"/>
        <n v="10313"/>
        <n v="10531"/>
        <n v="10315"/>
        <n v="10316"/>
        <n v="10317"/>
        <n v="10318"/>
        <n v="10319"/>
        <n v="10320"/>
        <n v="10321"/>
        <n v="10322"/>
        <n v="10323"/>
        <n v="10324"/>
        <n v="10325"/>
        <n v="10326"/>
        <n v="10327"/>
        <n v="10546"/>
        <n v="10329"/>
        <n v="10330"/>
        <n v="10331"/>
        <n v="10332"/>
        <n v="10333"/>
        <n v="10334"/>
        <n v="10335"/>
        <n v="10336"/>
        <n v="10337"/>
        <n v="10338"/>
        <n v="10339"/>
        <n v="10340"/>
        <n v="10341"/>
        <n v="10342"/>
        <n v="10560"/>
        <n v="10344"/>
        <n v="10345"/>
        <n v="10346"/>
        <n v="10347"/>
        <n v="10348"/>
        <n v="10349"/>
        <n v="10350"/>
        <n v="10351"/>
        <n v="10352"/>
        <n v="10353"/>
        <n v="10354"/>
        <n v="10355"/>
        <n v="10356"/>
        <n v="10575"/>
        <n v="10358"/>
        <n v="10359"/>
        <n v="10360"/>
        <n v="10361"/>
        <n v="10362"/>
        <n v="10363"/>
        <n v="10364"/>
        <n v="10365"/>
        <n v="10366"/>
        <n v="10367"/>
        <n v="10368"/>
        <n v="10369"/>
        <n v="10370"/>
        <n v="10371"/>
        <n v="10589"/>
        <n v="10372"/>
        <n v="10373"/>
        <n v="10374"/>
        <n v="10375"/>
        <n v="10376"/>
        <n v="10377"/>
        <n v="10378"/>
        <n v="10379"/>
        <n v="10380"/>
        <n v="10381"/>
        <n v="10382"/>
        <n v="10383"/>
        <n v="10384"/>
        <n v="10385"/>
        <n v="10387"/>
        <n v="10388"/>
        <n v="10389"/>
        <n v="10390"/>
        <n v="10391"/>
        <n v="10392"/>
        <n v="10393"/>
        <n v="10394"/>
        <n v="10395"/>
        <n v="10396"/>
        <n v="10397"/>
        <n v="10398"/>
        <n v="10399"/>
        <n v="10400"/>
        <n v="10618"/>
        <n v="10402"/>
        <n v="10403"/>
        <n v="10404"/>
        <n v="10405"/>
        <n v="10406"/>
        <n v="10407"/>
        <n v="10408"/>
        <n v="10409"/>
        <n v="10410"/>
        <n v="10411"/>
        <n v="10412"/>
        <n v="10413"/>
        <n v="10414"/>
        <n v="10633"/>
        <n v="10416"/>
        <n v="10417"/>
        <n v="10418"/>
        <n v="10419"/>
        <n v="10420"/>
        <n v="10421"/>
        <n v="10422"/>
        <n v="10423"/>
        <n v="10424"/>
        <n v="10425"/>
        <n v="10426"/>
        <n v="10427"/>
        <n v="10428"/>
        <n v="10429"/>
        <n v="10647"/>
        <n v="10198"/>
        <n v="10199"/>
        <n v="10200"/>
        <n v="10201"/>
        <n v="10202"/>
        <n v="10203"/>
        <n v="10204"/>
        <n v="10205"/>
        <n v="10206"/>
        <n v="10207"/>
        <n v="10208"/>
        <n v="10209"/>
        <n v="10210"/>
        <n v="10211"/>
        <n v="10212"/>
        <n v="10213"/>
        <n v="10214"/>
        <n v="10215"/>
        <n v="10216"/>
        <n v="10217"/>
        <n v="10218"/>
        <n v="10219"/>
        <n v="10220"/>
        <n v="10221"/>
        <n v="10222"/>
        <n v="10223"/>
        <n v="10224"/>
        <n v="10225"/>
        <n v="10226"/>
        <n v="10228"/>
        <n v="10229"/>
        <n v="10230"/>
        <n v="10231"/>
        <n v="10232"/>
        <n v="10233"/>
        <n v="10234"/>
        <n v="10235"/>
        <n v="10236"/>
        <n v="10237"/>
        <n v="10238"/>
        <n v="10239"/>
        <n v="10240"/>
        <n v="10459"/>
        <n v="10242"/>
        <n v="10243"/>
        <n v="10244"/>
        <n v="10245"/>
        <n v="10246"/>
        <n v="10247"/>
        <n v="10248"/>
        <n v="10249"/>
        <n v="10250"/>
        <n v="10251"/>
        <n v="10252"/>
        <n v="10253"/>
        <n v="10254"/>
        <n v="10255"/>
        <n v="10473"/>
        <n v="10257"/>
        <n v="10258"/>
        <n v="10259"/>
        <n v="10260"/>
        <n v="10261"/>
        <n v="10262"/>
        <n v="10263"/>
        <n v="10264"/>
        <n v="10265"/>
        <n v="10266"/>
        <n v="10267"/>
        <n v="10268"/>
        <n v="10269"/>
        <n v="10488"/>
        <n v="10503"/>
        <n v="10504"/>
        <n v="10505"/>
        <n v="10506"/>
        <n v="10507"/>
        <n v="10508"/>
        <n v="10509"/>
        <n v="10510"/>
        <n v="10511"/>
        <n v="10512"/>
        <n v="10513"/>
        <n v="10514"/>
        <n v="10515"/>
        <n v="10516"/>
        <n v="10734"/>
        <n v="10518"/>
        <n v="10519"/>
        <n v="10520"/>
        <n v="10521"/>
        <n v="10522"/>
        <n v="10523"/>
        <n v="10524"/>
        <n v="10525"/>
        <n v="10526"/>
        <n v="10527"/>
        <n v="10528"/>
        <n v="10529"/>
        <n v="10530"/>
        <n v="10749"/>
        <n v="10532"/>
        <n v="10533"/>
        <n v="10534"/>
        <n v="10535"/>
        <n v="10536"/>
        <n v="10537"/>
        <n v="10538"/>
        <n v="10539"/>
        <n v="10540"/>
        <n v="10541"/>
        <n v="10542"/>
        <n v="10543"/>
        <n v="10544"/>
        <n v="10545"/>
        <n v="10763"/>
        <n v="10547"/>
        <n v="10548"/>
        <n v="10549"/>
        <n v="10550"/>
        <n v="10551"/>
        <n v="10552"/>
        <n v="10553"/>
        <n v="10554"/>
        <n v="10555"/>
        <n v="10556"/>
        <n v="10557"/>
        <n v="10558"/>
        <n v="10559"/>
        <n v="10778"/>
        <n v="10561"/>
        <n v="10562"/>
        <n v="10563"/>
        <n v="10564"/>
        <n v="10565"/>
        <n v="10566"/>
        <n v="10567"/>
        <n v="10568"/>
        <n v="10569"/>
        <n v="10570"/>
        <n v="10571"/>
        <n v="10572"/>
        <n v="10573"/>
        <n v="10574"/>
        <n v="10792"/>
        <n v="10576"/>
        <n v="10577"/>
        <n v="10578"/>
        <n v="10579"/>
        <n v="10580"/>
        <n v="10581"/>
        <n v="10582"/>
        <n v="10583"/>
        <n v="10584"/>
        <n v="10585"/>
        <n v="10586"/>
        <n v="10587"/>
        <n v="10588"/>
        <n v="10807"/>
        <n v="10590"/>
        <n v="10591"/>
        <n v="10592"/>
        <n v="10593"/>
        <n v="10594"/>
        <n v="10595"/>
        <n v="10596"/>
        <n v="10597"/>
        <n v="10598"/>
        <n v="10599"/>
        <n v="10600"/>
        <n v="10601"/>
        <n v="10602"/>
        <n v="10603"/>
        <n v="10821"/>
        <n v="10604"/>
        <n v="10605"/>
        <n v="10606"/>
        <n v="10607"/>
        <n v="10608"/>
        <n v="10609"/>
        <n v="10610"/>
        <n v="10611"/>
        <n v="10612"/>
        <n v="10613"/>
        <n v="10614"/>
        <n v="10615"/>
        <n v="10616"/>
        <n v="10617"/>
        <n v="10619"/>
        <n v="10620"/>
        <n v="10621"/>
        <n v="10622"/>
        <n v="10623"/>
        <n v="10624"/>
        <n v="10625"/>
        <n v="10626"/>
        <n v="10627"/>
        <n v="10628"/>
        <n v="10629"/>
        <n v="10630"/>
        <n v="10631"/>
        <n v="10632"/>
        <n v="10850"/>
        <n v="10634"/>
        <n v="10635"/>
        <n v="10636"/>
        <n v="10637"/>
        <n v="10638"/>
        <n v="10639"/>
        <n v="10640"/>
        <n v="10641"/>
        <n v="10642"/>
        <n v="10643"/>
        <n v="10644"/>
        <n v="10645"/>
        <n v="10646"/>
        <n v="10865"/>
        <n v="10648"/>
        <n v="10649"/>
        <n v="10650"/>
        <n v="10651"/>
        <n v="10652"/>
        <n v="10653"/>
        <n v="10654"/>
        <n v="10655"/>
        <n v="10656"/>
        <n v="10657"/>
        <n v="10658"/>
        <n v="10659"/>
        <n v="10660"/>
        <n v="10661"/>
        <n v="10879"/>
        <n v="10430"/>
        <n v="10431"/>
        <n v="10432"/>
        <n v="10433"/>
        <n v="10434"/>
        <n v="10435"/>
        <n v="10436"/>
        <n v="10437"/>
        <n v="10438"/>
        <n v="10439"/>
        <n v="10440"/>
        <n v="10441"/>
        <n v="10442"/>
        <n v="10443"/>
        <n v="10444"/>
        <n v="10445"/>
        <n v="10446"/>
        <n v="10447"/>
        <n v="10448"/>
        <n v="10449"/>
        <n v="10450"/>
        <n v="10451"/>
        <n v="10452"/>
        <n v="10453"/>
        <n v="10454"/>
        <n v="10455"/>
        <n v="10456"/>
        <n v="10457"/>
        <n v="10458"/>
        <n v="10460"/>
        <n v="10461"/>
        <n v="10462"/>
        <n v="10463"/>
        <n v="10464"/>
        <n v="10465"/>
        <n v="10466"/>
        <n v="10467"/>
        <n v="10468"/>
        <n v="10469"/>
        <n v="10470"/>
        <n v="10471"/>
        <n v="10472"/>
        <n v="10691"/>
        <n v="10474"/>
        <n v="10475"/>
        <n v="10476"/>
        <n v="10477"/>
        <n v="10478"/>
        <n v="10479"/>
        <n v="10480"/>
        <n v="10481"/>
        <n v="10482"/>
        <n v="10483"/>
        <n v="10484"/>
        <n v="10485"/>
        <n v="10486"/>
        <n v="10487"/>
        <n v="10705"/>
        <n v="10489"/>
        <n v="10490"/>
        <n v="10491"/>
        <n v="10492"/>
        <n v="10493"/>
        <n v="10494"/>
        <n v="10495"/>
        <n v="10496"/>
        <n v="10497"/>
        <n v="10498"/>
        <n v="10499"/>
        <n v="10500"/>
        <n v="10501"/>
        <n v="10720"/>
        <n v="10735"/>
        <n v="10736"/>
        <n v="10737"/>
        <n v="10738"/>
        <n v="10739"/>
        <n v="10740"/>
        <n v="10741"/>
        <n v="10742"/>
        <n v="10743"/>
        <n v="10744"/>
        <n v="10745"/>
        <n v="10746"/>
        <n v="10747"/>
        <n v="10748"/>
        <n v="10966"/>
        <n v="10750"/>
        <n v="10751"/>
        <n v="10752"/>
        <n v="10753"/>
        <n v="10754"/>
        <n v="10755"/>
        <n v="10756"/>
        <n v="10757"/>
        <n v="10758"/>
        <n v="10759"/>
        <n v="10760"/>
        <n v="10761"/>
        <n v="10762"/>
        <n v="10981"/>
        <n v="10764"/>
        <n v="10765"/>
        <n v="10766"/>
        <n v="10767"/>
        <n v="10768"/>
        <n v="10769"/>
        <n v="10770"/>
        <n v="10771"/>
        <n v="10772"/>
        <n v="10773"/>
        <n v="10774"/>
        <n v="10775"/>
        <n v="10776"/>
        <n v="10777"/>
        <n v="10995"/>
        <n v="10779"/>
        <n v="10780"/>
        <n v="10781"/>
        <n v="10782"/>
        <n v="10783"/>
        <n v="10784"/>
        <n v="10785"/>
        <n v="10786"/>
        <n v="10787"/>
        <n v="10788"/>
        <n v="10789"/>
        <n v="10790"/>
        <n v="10791"/>
        <n v="11010"/>
        <n v="10793"/>
        <n v="10794"/>
        <n v="10795"/>
        <n v="10796"/>
        <n v="10797"/>
        <n v="10798"/>
        <n v="10799"/>
        <n v="10800"/>
        <n v="10801"/>
        <n v="10802"/>
        <n v="10803"/>
        <n v="10804"/>
        <n v="10805"/>
        <n v="10806"/>
        <n v="11024"/>
        <n v="10808"/>
        <n v="10809"/>
        <n v="10810"/>
        <n v="10811"/>
        <n v="10812"/>
        <n v="10813"/>
        <n v="10814"/>
        <n v="10815"/>
        <n v="10816"/>
        <n v="10817"/>
        <n v="10818"/>
        <n v="10819"/>
        <n v="10820"/>
        <n v="11039"/>
        <n v="10822"/>
        <n v="10823"/>
        <n v="10824"/>
        <n v="10825"/>
        <n v="10826"/>
        <n v="10827"/>
        <n v="10828"/>
        <n v="10829"/>
        <n v="10830"/>
        <n v="10831"/>
        <n v="10832"/>
        <n v="10833"/>
        <n v="10834"/>
        <n v="10835"/>
        <n v="11053"/>
        <n v="10836"/>
        <n v="10837"/>
        <n v="10838"/>
        <n v="10839"/>
        <n v="10840"/>
        <n v="10841"/>
        <n v="10842"/>
        <n v="10843"/>
        <n v="10844"/>
        <n v="10845"/>
        <n v="10846"/>
        <n v="10847"/>
        <n v="10848"/>
        <n v="10849"/>
        <n v="10851"/>
        <n v="10852"/>
        <n v="10853"/>
        <n v="10854"/>
        <n v="10855"/>
        <n v="10856"/>
        <n v="10857"/>
        <n v="10858"/>
        <n v="10859"/>
        <n v="10860"/>
        <n v="10861"/>
        <n v="10862"/>
        <n v="10863"/>
        <n v="10864"/>
        <n v="11082"/>
        <n v="10866"/>
        <n v="10867"/>
        <n v="10868"/>
        <n v="10869"/>
        <n v="10870"/>
        <n v="10871"/>
        <n v="10872"/>
        <n v="10873"/>
        <n v="10874"/>
        <n v="10875"/>
        <n v="10876"/>
        <n v="10877"/>
        <n v="10878"/>
        <n v="11097"/>
        <n v="10880"/>
        <n v="10881"/>
        <n v="10882"/>
        <n v="10883"/>
        <n v="10884"/>
        <n v="10885"/>
        <n v="10886"/>
        <n v="10887"/>
        <n v="10888"/>
        <n v="10889"/>
        <n v="10890"/>
        <n v="10891"/>
        <n v="10892"/>
        <n v="10893"/>
        <n v="11111"/>
        <n v="10662"/>
        <n v="10663"/>
        <n v="10664"/>
        <n v="10665"/>
        <n v="10666"/>
        <n v="10667"/>
        <n v="10668"/>
        <n v="10669"/>
        <n v="10670"/>
        <n v="10671"/>
        <n v="10672"/>
        <n v="10673"/>
        <n v="10674"/>
        <n v="10675"/>
        <n v="10676"/>
        <n v="10677"/>
        <n v="10678"/>
        <n v="10679"/>
        <n v="10680"/>
        <n v="10681"/>
        <n v="10682"/>
        <n v="10683"/>
        <n v="10684"/>
        <n v="10685"/>
        <n v="10686"/>
        <n v="10687"/>
        <n v="10688"/>
        <n v="10689"/>
        <n v="10690"/>
        <n v="10692"/>
        <n v="10693"/>
        <n v="10694"/>
        <n v="10695"/>
        <n v="10696"/>
        <n v="10697"/>
        <n v="10698"/>
        <n v="10699"/>
        <n v="10700"/>
        <n v="10701"/>
        <n v="10702"/>
        <n v="10703"/>
        <n v="10704"/>
        <n v="10923"/>
        <n v="10706"/>
        <n v="10707"/>
        <n v="10708"/>
        <n v="10709"/>
        <n v="10710"/>
        <n v="10711"/>
        <n v="10712"/>
        <n v="10713"/>
        <n v="10714"/>
        <n v="10715"/>
        <n v="10716"/>
        <n v="10717"/>
        <n v="10718"/>
        <n v="10719"/>
        <n v="10937"/>
        <n v="10721"/>
        <n v="10722"/>
        <n v="10723"/>
        <n v="10724"/>
        <n v="10725"/>
        <n v="10726"/>
        <n v="10727"/>
        <n v="10728"/>
        <n v="10729"/>
        <n v="10730"/>
        <n v="10731"/>
        <n v="10732"/>
        <n v="10733"/>
        <n v="10952"/>
        <n v="10967"/>
        <n v="10968"/>
        <n v="10969"/>
        <n v="10970"/>
        <n v="10971"/>
        <n v="10972"/>
        <n v="10973"/>
        <n v="10974"/>
        <n v="10975"/>
        <n v="10976"/>
        <n v="10977"/>
        <n v="10978"/>
        <n v="10979"/>
        <n v="10980"/>
        <n v="11198"/>
        <n v="10982"/>
        <n v="10983"/>
        <n v="10984"/>
        <n v="10985"/>
        <n v="10986"/>
        <n v="10987"/>
        <n v="10988"/>
        <n v="10989"/>
        <n v="10990"/>
        <n v="10991"/>
        <n v="10992"/>
        <n v="10993"/>
        <n v="10994"/>
        <n v="11213"/>
        <n v="10996"/>
        <n v="10997"/>
        <n v="10998"/>
        <n v="10999"/>
        <n v="11000"/>
        <n v="11001"/>
        <n v="11002"/>
        <n v="11003"/>
        <n v="11004"/>
        <n v="11005"/>
        <n v="11006"/>
        <n v="11007"/>
        <n v="11008"/>
        <n v="11009"/>
        <n v="11227"/>
        <n v="11011"/>
        <n v="11012"/>
        <n v="11013"/>
        <n v="11014"/>
        <n v="11015"/>
        <n v="11016"/>
        <n v="11017"/>
        <n v="11018"/>
        <n v="11019"/>
        <n v="11020"/>
        <n v="11021"/>
        <n v="11022"/>
        <n v="11023"/>
        <n v="11242"/>
        <n v="11025"/>
        <n v="11026"/>
        <n v="11027"/>
        <n v="11028"/>
        <n v="11029"/>
        <n v="11030"/>
        <n v="11031"/>
        <n v="11032"/>
        <n v="11033"/>
        <n v="11034"/>
        <n v="11035"/>
        <n v="11036"/>
        <n v="11037"/>
        <n v="11038"/>
        <n v="11256"/>
        <n v="11040"/>
        <n v="11041"/>
        <n v="11042"/>
        <n v="11043"/>
        <n v="11044"/>
        <n v="11045"/>
        <n v="11046"/>
        <n v="11047"/>
        <n v="11048"/>
        <n v="11049"/>
        <n v="11050"/>
        <n v="11051"/>
        <n v="11052"/>
        <n v="11271"/>
        <n v="11054"/>
        <n v="11055"/>
        <n v="11056"/>
        <n v="11057"/>
        <n v="11058"/>
        <n v="11059"/>
        <n v="11060"/>
        <n v="11061"/>
        <n v="11062"/>
        <n v="11063"/>
        <n v="11064"/>
        <n v="11065"/>
        <n v="11066"/>
        <n v="11067"/>
        <n v="11285"/>
        <n v="11068"/>
        <n v="11069"/>
        <n v="11070"/>
        <n v="11071"/>
        <n v="11072"/>
        <n v="11073"/>
        <n v="11074"/>
        <n v="11075"/>
        <n v="11076"/>
        <n v="11077"/>
        <n v="11078"/>
        <n v="11079"/>
        <n v="11080"/>
        <n v="11081"/>
        <n v="11083"/>
        <n v="11084"/>
        <n v="11085"/>
        <n v="11086"/>
        <n v="11087"/>
        <n v="11088"/>
        <n v="11089"/>
        <n v="11090"/>
        <n v="11091"/>
        <n v="11092"/>
        <n v="11093"/>
        <n v="11094"/>
        <n v="11095"/>
        <n v="11096"/>
        <n v="11314"/>
        <n v="11098"/>
        <n v="11099"/>
        <n v="11100"/>
        <n v="11101"/>
        <n v="11102"/>
        <n v="11103"/>
        <n v="11104"/>
        <n v="11105"/>
        <n v="11106"/>
        <n v="11107"/>
        <n v="11108"/>
        <n v="11109"/>
        <n v="11110"/>
        <n v="11329"/>
        <n v="11112"/>
        <n v="11113"/>
        <n v="11114"/>
        <n v="11115"/>
        <n v="11116"/>
        <n v="11117"/>
        <n v="11118"/>
        <n v="11119"/>
        <n v="11120"/>
        <n v="11121"/>
        <n v="11122"/>
        <n v="11123"/>
        <n v="11124"/>
        <n v="11125"/>
        <n v="11343"/>
        <n v="10894"/>
        <n v="10895"/>
        <n v="10896"/>
        <n v="10897"/>
        <n v="10898"/>
        <n v="10899"/>
        <n v="10900"/>
        <n v="10901"/>
        <n v="10902"/>
        <n v="10903"/>
        <n v="10904"/>
        <n v="10905"/>
        <n v="10906"/>
        <n v="10907"/>
        <n v="10908"/>
        <n v="10909"/>
        <n v="10910"/>
        <n v="10911"/>
        <n v="10912"/>
        <n v="10913"/>
        <n v="10914"/>
        <n v="10915"/>
        <n v="10916"/>
        <n v="10917"/>
        <n v="10918"/>
        <n v="10919"/>
        <n v="10920"/>
        <n v="10921"/>
        <n v="10922"/>
        <n v="10924"/>
        <n v="10925"/>
        <n v="10926"/>
        <n v="10927"/>
        <n v="10928"/>
        <n v="10929"/>
        <n v="10930"/>
        <n v="10931"/>
        <n v="10932"/>
        <n v="10933"/>
        <n v="10934"/>
        <n v="10935"/>
        <n v="10936"/>
        <n v="11155"/>
        <n v="10938"/>
        <n v="10939"/>
        <n v="10940"/>
        <n v="10941"/>
        <n v="10942"/>
        <n v="10943"/>
        <n v="10944"/>
        <n v="10945"/>
        <n v="10946"/>
        <n v="10947"/>
        <n v="10948"/>
        <n v="10949"/>
        <n v="10950"/>
        <n v="10951"/>
        <n v="11169"/>
        <n v="10953"/>
        <n v="10954"/>
        <n v="10955"/>
        <n v="10956"/>
        <n v="10957"/>
        <n v="10958"/>
        <n v="10959"/>
        <n v="10960"/>
        <n v="10961"/>
        <n v="10962"/>
        <n v="10963"/>
        <n v="10964"/>
        <n v="10965"/>
        <n v="11184"/>
        <n v="11199"/>
        <n v="11200"/>
        <n v="11201"/>
        <n v="11202"/>
        <n v="11203"/>
        <n v="11204"/>
        <n v="11205"/>
        <n v="11206"/>
        <n v="11207"/>
        <n v="11208"/>
        <n v="11209"/>
        <n v="11210"/>
        <n v="11211"/>
        <n v="11212"/>
        <n v="7755"/>
        <n v="11214"/>
        <n v="11215"/>
        <n v="11216"/>
        <n v="11217"/>
        <n v="11218"/>
        <n v="11219"/>
        <n v="11220"/>
        <n v="11221"/>
        <n v="11222"/>
        <n v="11223"/>
        <n v="11224"/>
        <n v="11225"/>
        <n v="11226"/>
        <n v="7770"/>
        <n v="11228"/>
        <n v="11229"/>
        <n v="11230"/>
        <n v="11231"/>
        <n v="11232"/>
        <n v="11233"/>
        <n v="11234"/>
        <n v="11235"/>
        <n v="11236"/>
        <n v="11237"/>
        <n v="11238"/>
        <n v="11239"/>
        <n v="11240"/>
        <n v="11241"/>
        <n v="7785"/>
        <n v="11243"/>
        <n v="11244"/>
        <n v="11245"/>
        <n v="11246"/>
        <n v="11247"/>
        <n v="11248"/>
        <n v="11249"/>
        <n v="11250"/>
        <n v="11251"/>
        <n v="11252"/>
        <n v="11253"/>
        <n v="11254"/>
        <n v="11255"/>
        <n v="7799"/>
        <n v="11257"/>
        <n v="11258"/>
        <n v="11259"/>
        <n v="11260"/>
        <n v="11261"/>
        <n v="11262"/>
        <n v="11263"/>
        <n v="11264"/>
        <n v="11265"/>
        <n v="11266"/>
        <n v="11267"/>
        <n v="11268"/>
        <n v="11269"/>
        <n v="11270"/>
        <n v="7814"/>
        <n v="11272"/>
        <n v="11273"/>
        <n v="11274"/>
        <n v="11275"/>
        <n v="11276"/>
        <n v="11277"/>
        <n v="11278"/>
        <n v="11279"/>
        <n v="11280"/>
        <n v="11281"/>
        <n v="11282"/>
        <n v="11283"/>
        <n v="11284"/>
        <n v="7828"/>
        <n v="11286"/>
        <n v="11287"/>
        <n v="11288"/>
        <n v="11289"/>
        <n v="11290"/>
        <n v="11291"/>
        <n v="11292"/>
        <n v="11293"/>
        <n v="11294"/>
        <n v="11295"/>
        <n v="11296"/>
        <n v="11297"/>
        <n v="11298"/>
        <n v="11299"/>
        <n v="7843"/>
        <n v="11300"/>
        <n v="11301"/>
        <n v="11302"/>
        <n v="11303"/>
        <n v="11304"/>
        <n v="11305"/>
        <n v="11306"/>
        <n v="11307"/>
        <n v="11308"/>
        <n v="11309"/>
        <n v="11310"/>
        <n v="11311"/>
        <n v="11312"/>
        <n v="11313"/>
        <n v="11315"/>
        <n v="11316"/>
        <n v="11317"/>
        <n v="11318"/>
        <n v="11319"/>
        <n v="11320"/>
        <n v="11321"/>
        <n v="11322"/>
        <n v="11323"/>
        <n v="11324"/>
        <n v="11325"/>
        <n v="11326"/>
        <n v="11327"/>
        <n v="11328"/>
        <n v="7872"/>
        <n v="11330"/>
        <n v="11331"/>
        <n v="11332"/>
        <n v="11333"/>
        <n v="11334"/>
        <n v="11335"/>
        <n v="11336"/>
        <n v="11337"/>
        <n v="11338"/>
        <n v="11339"/>
        <n v="11340"/>
        <n v="11341"/>
        <n v="11342"/>
        <n v="7887"/>
        <n v="11344"/>
        <n v="11345"/>
        <n v="11346"/>
        <n v="11347"/>
        <n v="11348"/>
        <n v="11349"/>
        <n v="11350"/>
        <n v="11351"/>
        <n v="11352"/>
        <n v="11353"/>
        <n v="11354"/>
        <n v="11355"/>
        <n v="11356"/>
        <n v="11357"/>
        <n v="7901"/>
        <n v="11126"/>
        <n v="11127"/>
        <n v="11128"/>
        <n v="11129"/>
        <n v="11130"/>
        <n v="11131"/>
        <n v="11132"/>
        <n v="11133"/>
        <n v="11134"/>
        <n v="11135"/>
        <n v="11136"/>
        <n v="11137"/>
        <n v="11138"/>
        <n v="11139"/>
        <n v="11140"/>
        <n v="11141"/>
        <n v="11142"/>
        <n v="11143"/>
        <n v="11144"/>
        <n v="11145"/>
        <n v="11146"/>
        <n v="11147"/>
        <n v="11148"/>
        <n v="11149"/>
        <n v="11150"/>
        <n v="11151"/>
        <n v="11152"/>
        <n v="11153"/>
        <n v="11154"/>
        <n v="11156"/>
        <n v="11157"/>
        <n v="11158"/>
        <n v="11159"/>
        <n v="11160"/>
        <n v="11161"/>
        <n v="11162"/>
        <n v="11163"/>
        <n v="11164"/>
        <n v="11165"/>
        <n v="11166"/>
        <n v="11167"/>
        <n v="11168"/>
        <n v="11387"/>
        <n v="11170"/>
        <n v="11171"/>
        <n v="11172"/>
        <n v="11173"/>
        <n v="11174"/>
        <n v="11175"/>
        <n v="11176"/>
        <n v="11177"/>
        <n v="11178"/>
        <n v="11179"/>
        <n v="11180"/>
        <n v="11181"/>
        <n v="11182"/>
        <n v="11183"/>
        <n v="11185"/>
        <n v="11186"/>
        <n v="11187"/>
        <n v="11188"/>
        <n v="11189"/>
        <n v="11190"/>
        <n v="11191"/>
        <n v="11192"/>
        <n v="11193"/>
        <n v="11194"/>
        <n v="11195"/>
        <n v="11196"/>
        <n v="11197"/>
        <n v="7741"/>
        <n v="7756"/>
        <n v="7757"/>
        <n v="7758"/>
        <n v="7759"/>
        <n v="7760"/>
        <n v="7761"/>
        <n v="7762"/>
        <n v="7763"/>
        <n v="7764"/>
        <n v="7765"/>
        <n v="7766"/>
        <n v="7767"/>
        <n v="7768"/>
        <n v="7769"/>
        <n v="7989"/>
        <n v="7771"/>
        <n v="7772"/>
        <n v="7773"/>
        <n v="7774"/>
        <n v="7775"/>
        <n v="7776"/>
        <n v="7777"/>
        <n v="7778"/>
        <n v="7779"/>
        <n v="7780"/>
        <n v="7781"/>
        <n v="7782"/>
        <n v="7783"/>
        <n v="7784"/>
        <n v="8003"/>
        <n v="7786"/>
        <n v="7787"/>
        <n v="7788"/>
        <n v="7789"/>
        <n v="7790"/>
        <n v="7791"/>
        <n v="7792"/>
        <n v="7793"/>
        <n v="7794"/>
        <n v="7795"/>
        <n v="7796"/>
        <n v="7797"/>
        <n v="7798"/>
        <n v="8018"/>
        <n v="7800"/>
        <n v="7801"/>
        <n v="7802"/>
        <n v="7803"/>
        <n v="7804"/>
        <n v="7805"/>
        <n v="7806"/>
        <n v="7807"/>
        <n v="7808"/>
        <n v="7809"/>
        <n v="7810"/>
        <n v="7811"/>
        <n v="7812"/>
        <n v="7813"/>
        <n v="8033"/>
        <n v="7815"/>
        <n v="7816"/>
        <n v="7817"/>
        <n v="7818"/>
        <n v="7819"/>
        <n v="7820"/>
        <n v="7821"/>
        <n v="7822"/>
        <n v="7823"/>
        <n v="7824"/>
        <n v="7825"/>
        <n v="7826"/>
        <n v="7827"/>
        <n v="8048"/>
        <n v="7829"/>
        <n v="7830"/>
        <n v="7831"/>
        <n v="7832"/>
        <n v="7833"/>
        <n v="7834"/>
        <n v="7835"/>
        <n v="7836"/>
        <n v="7837"/>
        <n v="7838"/>
        <n v="7839"/>
        <n v="7840"/>
        <n v="7841"/>
        <n v="7842"/>
        <n v="8062"/>
        <n v="7844"/>
        <n v="7845"/>
        <n v="7846"/>
        <n v="7847"/>
        <n v="7848"/>
        <n v="7849"/>
        <n v="7850"/>
        <n v="7851"/>
        <n v="7852"/>
        <n v="7853"/>
        <n v="7854"/>
        <n v="7855"/>
        <n v="7856"/>
        <n v="7857"/>
        <n v="8077"/>
        <n v="7858"/>
        <n v="7859"/>
        <n v="7860"/>
        <n v="7861"/>
        <n v="7862"/>
        <n v="7863"/>
        <n v="7864"/>
        <n v="7865"/>
        <n v="7866"/>
        <n v="7867"/>
        <n v="7868"/>
        <n v="7869"/>
        <n v="7870"/>
        <n v="7871"/>
        <n v="7873"/>
        <n v="7874"/>
        <n v="7875"/>
        <n v="7876"/>
        <n v="7877"/>
        <n v="7878"/>
        <n v="7879"/>
        <n v="7880"/>
        <n v="7881"/>
        <n v="7882"/>
        <n v="7883"/>
        <n v="7884"/>
        <n v="7885"/>
        <n v="7886"/>
        <n v="8106"/>
        <n v="7888"/>
        <n v="7889"/>
        <n v="7890"/>
        <n v="7891"/>
        <n v="7892"/>
        <n v="7893"/>
        <n v="7894"/>
        <n v="7895"/>
        <n v="7896"/>
        <n v="7897"/>
        <n v="7898"/>
        <n v="7899"/>
        <n v="7900"/>
        <n v="8121"/>
        <n v="7902"/>
        <n v="7903"/>
        <n v="7904"/>
        <n v="7905"/>
        <n v="7906"/>
        <n v="7907"/>
        <n v="7908"/>
        <n v="7909"/>
        <n v="7910"/>
        <n v="7911"/>
        <n v="7912"/>
        <n v="7913"/>
        <n v="7914"/>
        <n v="7915"/>
        <n v="7916"/>
        <n v="8135"/>
        <n v="11358"/>
        <n v="11359"/>
        <n v="11360"/>
        <n v="11361"/>
        <n v="11362"/>
        <n v="11363"/>
        <n v="11364"/>
        <n v="11365"/>
        <n v="11366"/>
        <n v="11367"/>
        <n v="11368"/>
        <n v="11369"/>
        <n v="11370"/>
        <n v="11371"/>
        <n v="11372"/>
        <n v="11373"/>
        <n v="11374"/>
        <n v="11375"/>
        <n v="11376"/>
        <n v="11377"/>
        <n v="11378"/>
        <n v="11379"/>
        <n v="11380"/>
        <n v="11381"/>
        <n v="11382"/>
        <n v="11383"/>
        <n v="11384"/>
        <n v="11385"/>
        <n v="11386"/>
        <n v="11388"/>
        <n v="11389"/>
        <n v="11390"/>
        <n v="11391"/>
        <n v="11392"/>
        <n v="11393"/>
        <n v="11394"/>
        <n v="11395"/>
        <n v="11396"/>
        <n v="11397"/>
        <n v="11398"/>
        <n v="11399"/>
        <n v="11400"/>
        <n v="11401"/>
        <n v="7945"/>
        <n v="7727"/>
        <n v="7728"/>
        <n v="7729"/>
        <n v="7730"/>
        <n v="7731"/>
        <n v="7732"/>
        <n v="7733"/>
        <n v="7734"/>
        <n v="7735"/>
        <n v="7736"/>
        <n v="7737"/>
        <n v="7738"/>
        <n v="7739"/>
        <n v="7740"/>
        <n v="7960"/>
        <n v="7742"/>
        <n v="7743"/>
        <n v="7744"/>
        <n v="7745"/>
        <n v="7746"/>
        <n v="7747"/>
        <n v="7748"/>
        <n v="7749"/>
        <n v="7750"/>
        <n v="7751"/>
        <n v="7752"/>
        <n v="7753"/>
        <n v="7754"/>
        <n v="7974"/>
        <n v="7990"/>
        <n v="7991"/>
        <n v="7992"/>
        <n v="7993"/>
        <n v="7994"/>
        <n v="7995"/>
        <n v="7996"/>
        <n v="7997"/>
        <n v="7998"/>
        <n v="7999"/>
        <n v="8000"/>
        <n v="8001"/>
        <n v="8002"/>
        <n v="8223"/>
        <n v="8004"/>
        <n v="8005"/>
        <n v="8006"/>
        <n v="8007"/>
        <n v="8008"/>
        <n v="8009"/>
        <n v="8010"/>
        <n v="8011"/>
        <n v="8012"/>
        <n v="8013"/>
        <n v="8014"/>
        <n v="8015"/>
        <n v="8016"/>
        <n v="8017"/>
        <n v="8238"/>
        <n v="8019"/>
        <n v="8020"/>
        <n v="8021"/>
        <n v="8022"/>
        <n v="8023"/>
        <n v="8024"/>
        <n v="8025"/>
        <n v="8026"/>
        <n v="8027"/>
        <n v="8028"/>
        <n v="8029"/>
        <n v="8030"/>
        <n v="8031"/>
        <n v="8032"/>
        <n v="8252"/>
        <n v="8034"/>
        <n v="8035"/>
        <n v="8036"/>
        <n v="8037"/>
        <n v="8038"/>
        <n v="8039"/>
        <n v="8040"/>
        <n v="8041"/>
        <n v="8042"/>
        <n v="8043"/>
        <n v="8044"/>
        <n v="8045"/>
        <n v="8046"/>
        <n v="8047"/>
        <n v="8267"/>
        <n v="8049"/>
        <n v="8050"/>
        <n v="8051"/>
        <n v="8052"/>
        <n v="8053"/>
        <n v="8054"/>
        <n v="8055"/>
        <n v="8056"/>
        <n v="8057"/>
        <n v="8058"/>
        <n v="8059"/>
        <n v="8060"/>
        <n v="8061"/>
        <n v="8281"/>
        <n v="8063"/>
        <n v="8064"/>
        <n v="8065"/>
        <n v="8066"/>
        <n v="8067"/>
        <n v="8068"/>
        <n v="8069"/>
        <n v="8070"/>
        <n v="8071"/>
        <n v="8072"/>
        <n v="8073"/>
        <n v="8074"/>
        <n v="8075"/>
        <n v="8076"/>
        <n v="8296"/>
        <n v="8078"/>
        <n v="8079"/>
        <n v="8080"/>
        <n v="8081"/>
        <n v="8082"/>
        <n v="8083"/>
        <n v="8084"/>
        <n v="8085"/>
        <n v="8086"/>
        <n v="8087"/>
        <n v="8088"/>
        <n v="8089"/>
        <n v="8090"/>
        <n v="8091"/>
        <n v="8310"/>
        <n v="8092"/>
        <n v="8093"/>
        <n v="8094"/>
        <n v="8095"/>
        <n v="8096"/>
        <n v="8097"/>
        <n v="8098"/>
        <n v="8099"/>
        <n v="8100"/>
        <n v="8101"/>
        <n v="8102"/>
        <n v="8103"/>
        <n v="8104"/>
        <n v="8105"/>
        <n v="8107"/>
        <n v="8108"/>
        <n v="8109"/>
        <n v="8110"/>
        <n v="8111"/>
        <n v="8112"/>
        <n v="8113"/>
        <n v="8114"/>
        <n v="8115"/>
        <n v="8116"/>
        <n v="8117"/>
        <n v="8118"/>
        <n v="8119"/>
        <n v="8120"/>
        <n v="8340"/>
        <n v="8122"/>
        <n v="8123"/>
        <n v="8124"/>
        <n v="8125"/>
        <n v="8126"/>
        <n v="8127"/>
        <n v="8128"/>
        <n v="8129"/>
        <n v="8130"/>
        <n v="8131"/>
        <n v="8132"/>
        <n v="8133"/>
        <n v="8134"/>
        <n v="8354"/>
        <n v="8136"/>
        <n v="8137"/>
        <n v="8138"/>
        <n v="8139"/>
        <n v="8140"/>
        <n v="8141"/>
        <n v="8142"/>
        <n v="8143"/>
        <n v="8144"/>
        <n v="8145"/>
        <n v="8146"/>
        <n v="8147"/>
        <n v="8148"/>
        <n v="8149"/>
        <n v="8150"/>
        <n v="8369"/>
        <n v="7917"/>
        <n v="7918"/>
        <n v="7919"/>
        <n v="7920"/>
        <n v="7921"/>
        <n v="7922"/>
        <n v="7923"/>
        <n v="7924"/>
        <n v="7925"/>
        <n v="7926"/>
        <n v="7927"/>
        <n v="7928"/>
        <n v="7929"/>
        <n v="7930"/>
        <n v="7931"/>
        <n v="7932"/>
        <n v="7933"/>
        <n v="7934"/>
        <n v="7935"/>
        <n v="7936"/>
        <n v="7937"/>
        <n v="7938"/>
        <n v="7939"/>
        <n v="7940"/>
        <n v="7941"/>
        <n v="7942"/>
        <n v="7943"/>
        <n v="7944"/>
        <n v="7946"/>
        <n v="7947"/>
        <n v="7948"/>
        <n v="7949"/>
        <n v="7950"/>
        <n v="7951"/>
        <n v="7952"/>
        <n v="7953"/>
        <n v="7954"/>
        <n v="7955"/>
        <n v="7956"/>
        <n v="7957"/>
        <n v="7958"/>
        <n v="7959"/>
        <n v="8179"/>
        <n v="7961"/>
        <n v="7962"/>
        <n v="7963"/>
        <n v="7964"/>
        <n v="7965"/>
        <n v="7966"/>
        <n v="7967"/>
        <n v="7968"/>
        <n v="7969"/>
        <n v="7970"/>
        <n v="7971"/>
        <n v="7972"/>
        <n v="7973"/>
        <n v="8194"/>
        <n v="7975"/>
        <n v="7976"/>
        <n v="7977"/>
        <n v="7978"/>
        <n v="7979"/>
        <n v="7980"/>
        <n v="7981"/>
        <n v="7982"/>
        <n v="7983"/>
        <n v="7984"/>
        <n v="7985"/>
        <n v="7986"/>
        <n v="7987"/>
        <n v="7988"/>
        <n v="8208"/>
        <n v="8224"/>
        <n v="8225"/>
        <n v="8226"/>
        <n v="8227"/>
        <n v="8228"/>
        <n v="8229"/>
        <n v="8230"/>
        <n v="8231"/>
        <n v="8232"/>
        <n v="8233"/>
        <n v="8234"/>
        <n v="8235"/>
        <n v="8236"/>
        <n v="8237"/>
        <n v="8239"/>
        <n v="8240"/>
        <n v="8241"/>
        <n v="8242"/>
        <n v="8243"/>
        <n v="8244"/>
        <n v="8245"/>
        <n v="8246"/>
        <n v="8247"/>
        <n v="8248"/>
        <n v="8249"/>
        <n v="8250"/>
        <n v="8251"/>
        <n v="8253"/>
        <n v="8254"/>
        <n v="8255"/>
        <n v="8256"/>
        <n v="8257"/>
        <n v="8258"/>
        <n v="8259"/>
        <n v="8260"/>
        <n v="8261"/>
        <n v="8262"/>
        <n v="8263"/>
        <n v="8264"/>
        <n v="8265"/>
        <n v="8266"/>
        <n v="8428"/>
        <n v="8268"/>
        <n v="8269"/>
        <n v="8270"/>
        <n v="8271"/>
        <n v="8272"/>
        <n v="8273"/>
        <n v="8274"/>
        <n v="8275"/>
        <n v="8276"/>
        <n v="8277"/>
        <n v="8278"/>
        <n v="8279"/>
        <n v="8280"/>
        <n v="8442"/>
        <n v="8282"/>
        <n v="8283"/>
        <n v="8284"/>
        <n v="8285"/>
        <n v="8286"/>
        <n v="8287"/>
        <n v="8288"/>
        <n v="8289"/>
        <n v="8290"/>
        <n v="8291"/>
        <n v="8292"/>
        <n v="8293"/>
        <n v="8294"/>
        <n v="8295"/>
        <n v="8457"/>
        <n v="8297"/>
        <n v="8298"/>
        <n v="8299"/>
        <n v="8300"/>
        <n v="8301"/>
        <n v="8302"/>
        <n v="8303"/>
        <n v="8304"/>
        <n v="8305"/>
        <n v="8306"/>
        <n v="8307"/>
        <n v="8308"/>
        <n v="8309"/>
        <n v="8471"/>
        <n v="8311"/>
        <n v="8312"/>
        <n v="8313"/>
        <n v="8314"/>
        <n v="8315"/>
        <n v="8316"/>
        <n v="8317"/>
        <n v="8318"/>
        <n v="8319"/>
        <n v="8320"/>
        <n v="8321"/>
        <n v="8322"/>
        <n v="8323"/>
        <n v="8324"/>
        <n v="8325"/>
        <n v="8486"/>
        <n v="8326"/>
        <n v="8327"/>
        <n v="8328"/>
        <n v="8329"/>
        <n v="8330"/>
        <n v="8331"/>
        <n v="8332"/>
        <n v="8333"/>
        <n v="8334"/>
        <n v="8335"/>
        <n v="8336"/>
        <n v="8337"/>
        <n v="8338"/>
        <n v="8339"/>
        <n v="8341"/>
        <n v="8342"/>
        <n v="8343"/>
        <n v="8344"/>
        <n v="8345"/>
        <n v="8346"/>
        <n v="8347"/>
        <n v="8348"/>
        <n v="8349"/>
        <n v="8350"/>
        <n v="8351"/>
        <n v="8352"/>
        <n v="8353"/>
        <n v="8515"/>
        <n v="8355"/>
        <n v="8356"/>
        <n v="8357"/>
        <n v="8358"/>
        <n v="8359"/>
        <n v="8360"/>
        <n v="8361"/>
        <n v="8362"/>
        <n v="8363"/>
        <n v="8364"/>
        <n v="8365"/>
        <n v="8366"/>
        <n v="8367"/>
        <n v="8368"/>
        <n v="8530"/>
        <n v="8370"/>
        <n v="8371"/>
        <n v="8372"/>
        <n v="8373"/>
        <n v="8374"/>
        <n v="8375"/>
        <n v="8376"/>
        <n v="8377"/>
        <n v="8378"/>
        <n v="8379"/>
        <n v="8380"/>
        <n v="8381"/>
        <n v="8382"/>
        <n v="8383"/>
        <n v="8384"/>
        <n v="8544"/>
        <n v="8151"/>
        <n v="8152"/>
        <n v="8153"/>
        <n v="8154"/>
        <n v="8155"/>
        <n v="8156"/>
        <n v="8157"/>
        <n v="8158"/>
        <n v="8159"/>
        <n v="8160"/>
        <n v="8161"/>
        <n v="8162"/>
        <n v="8163"/>
        <n v="8164"/>
        <n v="8165"/>
        <n v="8166"/>
        <n v="8167"/>
        <n v="8168"/>
        <n v="8169"/>
        <n v="8170"/>
        <n v="8171"/>
        <n v="8172"/>
        <n v="8173"/>
        <n v="8174"/>
        <n v="8175"/>
        <n v="8176"/>
        <n v="8177"/>
        <n v="8178"/>
        <n v="8180"/>
        <n v="8181"/>
        <n v="8182"/>
        <n v="8183"/>
        <n v="8184"/>
        <n v="8185"/>
        <n v="8186"/>
        <n v="8187"/>
        <n v="8188"/>
        <n v="8189"/>
        <n v="8190"/>
        <n v="8191"/>
        <n v="8192"/>
        <n v="8193"/>
        <n v="8413"/>
        <n v="8195"/>
        <n v="8196"/>
        <n v="8197"/>
        <n v="8198"/>
        <n v="8199"/>
        <n v="8200"/>
        <n v="8201"/>
        <n v="8202"/>
        <n v="8203"/>
        <n v="8204"/>
        <n v="8205"/>
        <n v="8206"/>
        <n v="8207"/>
        <n v="8209"/>
        <n v="8210"/>
        <n v="8211"/>
        <n v="8212"/>
        <n v="8213"/>
        <n v="8214"/>
        <n v="8215"/>
        <n v="8216"/>
        <n v="8217"/>
        <n v="8218"/>
        <n v="8219"/>
        <n v="8220"/>
        <n v="8221"/>
        <n v="8222"/>
        <n v="8429"/>
        <n v="8430"/>
        <n v="8431"/>
        <n v="8432"/>
        <n v="8433"/>
        <n v="8434"/>
        <n v="8435"/>
        <n v="8436"/>
        <n v="8437"/>
        <n v="8438"/>
        <n v="8439"/>
        <n v="8440"/>
        <n v="8441"/>
        <n v="8443"/>
        <n v="8444"/>
        <n v="8445"/>
        <n v="8446"/>
        <n v="8447"/>
        <n v="8448"/>
        <n v="8449"/>
        <n v="8450"/>
        <n v="8451"/>
        <n v="8452"/>
        <n v="8453"/>
        <n v="8454"/>
        <n v="8455"/>
        <n v="8456"/>
        <n v="8458"/>
        <n v="8459"/>
        <n v="8460"/>
        <n v="8461"/>
        <n v="8462"/>
        <n v="8463"/>
        <n v="8464"/>
        <n v="8465"/>
        <n v="8466"/>
        <n v="8467"/>
        <n v="8468"/>
        <n v="8469"/>
        <n v="8470"/>
        <n v="8472"/>
        <n v="8473"/>
        <n v="8474"/>
        <n v="8475"/>
        <n v="8476"/>
        <n v="8477"/>
        <n v="8478"/>
        <n v="8479"/>
        <n v="8480"/>
        <n v="8481"/>
        <n v="8482"/>
        <n v="8483"/>
        <n v="8484"/>
        <n v="8485"/>
        <n v="8487"/>
        <n v="8488"/>
        <n v="8489"/>
        <n v="8490"/>
        <n v="8491"/>
        <n v="8492"/>
        <n v="8493"/>
        <n v="8494"/>
        <n v="8495"/>
        <n v="8496"/>
        <n v="8497"/>
        <n v="8498"/>
        <n v="8499"/>
        <n v="8500"/>
        <n v="8501"/>
        <n v="8502"/>
        <n v="8503"/>
        <n v="8504"/>
        <n v="8505"/>
        <n v="8506"/>
        <n v="8507"/>
        <n v="8508"/>
        <n v="8509"/>
        <n v="8510"/>
        <n v="8511"/>
        <n v="8512"/>
        <n v="8513"/>
        <n v="8514"/>
        <n v="8516"/>
        <n v="8517"/>
        <n v="8518"/>
        <n v="8519"/>
        <n v="8520"/>
        <n v="8521"/>
        <n v="8522"/>
        <n v="8523"/>
        <n v="8524"/>
        <n v="8525"/>
        <n v="8526"/>
        <n v="8527"/>
        <n v="8528"/>
        <n v="8529"/>
        <n v="8531"/>
        <n v="8532"/>
        <n v="8533"/>
        <n v="8534"/>
        <n v="8535"/>
        <n v="8536"/>
        <n v="8537"/>
        <n v="8538"/>
        <n v="8539"/>
        <n v="8540"/>
        <n v="8541"/>
        <n v="8542"/>
        <n v="8543"/>
        <n v="8545"/>
        <n v="8546"/>
        <n v="8547"/>
        <n v="8548"/>
        <n v="8549"/>
        <n v="8550"/>
        <n v="8551"/>
        <n v="8552"/>
        <n v="8553"/>
        <n v="8554"/>
        <n v="8555"/>
        <n v="8556"/>
        <n v="8557"/>
        <n v="8558"/>
        <n v="8385"/>
        <n v="8386"/>
        <n v="8387"/>
        <n v="8388"/>
        <n v="8389"/>
        <n v="8390"/>
        <n v="8391"/>
        <n v="8392"/>
        <n v="8393"/>
        <n v="8394"/>
        <n v="8395"/>
        <n v="8396"/>
        <n v="8397"/>
        <n v="8398"/>
        <n v="8399"/>
        <n v="8400"/>
        <n v="8401"/>
        <n v="8402"/>
        <n v="8403"/>
        <n v="8404"/>
        <n v="8405"/>
        <n v="8406"/>
        <n v="8407"/>
        <n v="8408"/>
        <n v="8409"/>
        <n v="8410"/>
        <n v="8411"/>
        <n v="8412"/>
        <n v="8414"/>
        <n v="8415"/>
        <n v="8416"/>
        <n v="8417"/>
        <n v="8418"/>
        <n v="8419"/>
        <n v="8420"/>
        <n v="8421"/>
        <n v="8422"/>
        <n v="8423"/>
        <n v="8424"/>
        <n v="8425"/>
        <n v="8426"/>
        <n v="8427"/>
        <n v="12344"/>
        <n v="12345"/>
        <n v="12346"/>
        <n v="12347"/>
        <n v="12348"/>
        <n v="12349"/>
        <n v="12350"/>
        <n v="12351"/>
        <n v="12352"/>
        <n v="12353"/>
        <n v="12354"/>
        <n v="12355"/>
        <n v="12356"/>
        <n v="12357"/>
        <n v="12358"/>
        <n v="12590"/>
        <n v="12359"/>
        <n v="12360"/>
        <n v="12361"/>
        <n v="12362"/>
        <n v="12363"/>
        <n v="12364"/>
        <n v="12365"/>
        <n v="12366"/>
        <n v="12367"/>
        <n v="12368"/>
        <n v="12369"/>
        <n v="12370"/>
        <n v="12371"/>
        <n v="12372"/>
        <n v="12605"/>
        <n v="12373"/>
        <n v="12374"/>
        <n v="12375"/>
        <n v="12376"/>
        <n v="12377"/>
        <n v="12378"/>
        <n v="12379"/>
        <n v="12380"/>
        <n v="12381"/>
        <n v="12382"/>
        <n v="12383"/>
        <n v="12384"/>
        <n v="12385"/>
        <n v="12386"/>
        <n v="12387"/>
        <n v="12619"/>
        <n v="12388"/>
        <n v="12389"/>
        <n v="12390"/>
        <n v="12391"/>
        <n v="12392"/>
        <n v="12393"/>
        <n v="12394"/>
        <n v="12395"/>
        <n v="12396"/>
        <n v="12397"/>
        <n v="12398"/>
        <n v="12399"/>
        <n v="12400"/>
        <n v="12401"/>
        <n v="12634"/>
        <n v="12402"/>
        <n v="12403"/>
        <n v="12404"/>
        <n v="12405"/>
        <n v="12406"/>
        <n v="12407"/>
        <n v="12408"/>
        <n v="12409"/>
        <n v="12410"/>
        <n v="12411"/>
        <n v="12412"/>
        <n v="12413"/>
        <n v="12414"/>
        <n v="12415"/>
        <n v="12416"/>
        <n v="12648"/>
        <n v="12417"/>
        <n v="12418"/>
        <n v="12419"/>
        <n v="12420"/>
        <n v="12421"/>
        <n v="12422"/>
        <n v="12423"/>
        <n v="12424"/>
        <n v="12425"/>
        <n v="12426"/>
        <n v="12427"/>
        <n v="12428"/>
        <n v="12429"/>
        <n v="12430"/>
        <n v="12663"/>
        <n v="12431"/>
        <n v="12432"/>
        <n v="12433"/>
        <n v="12434"/>
        <n v="12435"/>
        <n v="12436"/>
        <n v="12437"/>
        <n v="12438"/>
        <n v="12439"/>
        <n v="12440"/>
        <n v="12441"/>
        <n v="12442"/>
        <n v="12443"/>
        <n v="12444"/>
        <n v="12445"/>
        <n v="12677"/>
        <n v="12446"/>
        <n v="12447"/>
        <n v="12448"/>
        <n v="12449"/>
        <n v="12450"/>
        <n v="12451"/>
        <n v="12452"/>
        <n v="12453"/>
        <n v="12454"/>
        <n v="12455"/>
        <n v="12456"/>
        <n v="12457"/>
        <n v="12458"/>
        <n v="12459"/>
        <n v="12692"/>
        <n v="12460"/>
        <n v="12461"/>
        <n v="12462"/>
        <n v="12463"/>
        <n v="12464"/>
        <n v="12465"/>
        <n v="12466"/>
        <n v="12467"/>
        <n v="12468"/>
        <n v="12469"/>
        <n v="12470"/>
        <n v="12471"/>
        <n v="12472"/>
        <n v="12473"/>
        <n v="12474"/>
        <n v="12706"/>
        <n v="12484"/>
        <n v="12485"/>
        <n v="12486"/>
        <n v="12487"/>
        <n v="12488"/>
        <n v="12721"/>
        <n v="12722"/>
        <n v="12723"/>
        <n v="12724"/>
        <n v="12725"/>
        <n v="12726"/>
        <n v="12727"/>
        <n v="12728"/>
        <n v="12729"/>
        <n v="12730"/>
        <n v="12498"/>
        <n v="12499"/>
        <n v="12500"/>
        <n v="12501"/>
        <n v="12502"/>
        <n v="12503"/>
        <n v="12735"/>
        <n v="12736"/>
        <n v="12737"/>
        <n v="12738"/>
        <n v="12739"/>
        <n v="12740"/>
        <n v="12741"/>
        <n v="12742"/>
        <n v="12743"/>
        <n v="12744"/>
        <n v="12513"/>
        <n v="12514"/>
        <n v="12515"/>
        <n v="12516"/>
        <n v="12517"/>
        <n v="12286"/>
        <n v="12287"/>
        <n v="12288"/>
        <n v="12289"/>
        <n v="12290"/>
        <n v="12291"/>
        <n v="12292"/>
        <n v="12293"/>
        <n v="12294"/>
        <n v="12295"/>
        <n v="12296"/>
        <n v="12297"/>
        <n v="12298"/>
        <n v="12299"/>
        <n v="12300"/>
        <n v="12532"/>
        <n v="12301"/>
        <n v="12302"/>
        <n v="12303"/>
        <n v="12304"/>
        <n v="12305"/>
        <n v="12306"/>
        <n v="12307"/>
        <n v="12308"/>
        <n v="12309"/>
        <n v="12310"/>
        <n v="12311"/>
        <n v="12312"/>
        <n v="12313"/>
        <n v="12314"/>
        <n v="12547"/>
        <n v="12315"/>
        <n v="12316"/>
        <n v="12317"/>
        <n v="12318"/>
        <n v="12319"/>
        <n v="12320"/>
        <n v="12321"/>
        <n v="12322"/>
        <n v="12323"/>
        <n v="12324"/>
        <n v="12325"/>
        <n v="12326"/>
        <n v="12327"/>
        <n v="12328"/>
        <n v="12329"/>
        <n v="12561"/>
        <n v="12330"/>
        <n v="12331"/>
        <n v="12332"/>
        <n v="12333"/>
        <n v="12334"/>
        <n v="12335"/>
        <n v="12336"/>
        <n v="12337"/>
        <n v="12338"/>
        <n v="12339"/>
        <n v="12340"/>
        <n v="12341"/>
        <n v="12342"/>
        <n v="12343"/>
        <n v="12576"/>
        <n v="12591"/>
        <n v="12592"/>
        <n v="12593"/>
        <n v="12594"/>
        <n v="12595"/>
        <n v="12596"/>
        <n v="12597"/>
        <n v="12598"/>
        <n v="12599"/>
        <n v="12600"/>
        <n v="12601"/>
        <n v="12602"/>
        <n v="12603"/>
        <n v="12604"/>
        <n v="12822"/>
        <n v="12606"/>
        <n v="12607"/>
        <n v="12608"/>
        <n v="12609"/>
        <n v="12610"/>
        <n v="12611"/>
        <n v="12612"/>
        <n v="12613"/>
        <n v="12614"/>
        <n v="12615"/>
        <n v="12616"/>
        <n v="12617"/>
        <n v="12618"/>
        <n v="12837"/>
        <n v="12620"/>
        <n v="12621"/>
        <n v="12622"/>
        <n v="12623"/>
        <n v="12624"/>
        <n v="12625"/>
        <n v="12626"/>
        <n v="12627"/>
        <n v="12628"/>
        <n v="12629"/>
        <n v="12630"/>
        <n v="12631"/>
        <n v="12632"/>
        <n v="12633"/>
        <n v="12851"/>
        <n v="12635"/>
        <n v="12636"/>
        <n v="12637"/>
        <n v="12638"/>
        <n v="12639"/>
        <n v="12640"/>
        <n v="12641"/>
        <n v="12642"/>
        <n v="12643"/>
        <n v="12644"/>
        <n v="12645"/>
        <n v="12646"/>
        <n v="12647"/>
        <n v="12866"/>
        <n v="12649"/>
        <n v="12650"/>
        <n v="12651"/>
        <n v="12652"/>
        <n v="12653"/>
        <n v="12654"/>
        <n v="12655"/>
        <n v="12656"/>
        <n v="12657"/>
        <n v="12658"/>
        <n v="12659"/>
        <n v="12660"/>
        <n v="12661"/>
        <n v="12662"/>
        <n v="12880"/>
        <n v="12664"/>
        <n v="12665"/>
        <n v="12666"/>
        <n v="12667"/>
        <n v="12668"/>
        <n v="12669"/>
        <n v="12670"/>
        <n v="12671"/>
        <n v="12672"/>
        <n v="12673"/>
        <n v="12674"/>
        <n v="12675"/>
        <n v="12676"/>
        <n v="12895"/>
        <n v="12678"/>
        <n v="12679"/>
        <n v="12680"/>
        <n v="12681"/>
        <n v="12682"/>
        <n v="12683"/>
        <n v="12684"/>
        <n v="12685"/>
        <n v="12686"/>
        <n v="12687"/>
        <n v="12688"/>
        <n v="12689"/>
        <n v="12690"/>
        <n v="12691"/>
        <n v="12909"/>
        <n v="12693"/>
        <n v="12694"/>
        <n v="12695"/>
        <n v="12696"/>
        <n v="12697"/>
        <n v="12698"/>
        <n v="12699"/>
        <n v="12700"/>
        <n v="12701"/>
        <n v="12702"/>
        <n v="12703"/>
        <n v="12704"/>
        <n v="12705"/>
        <n v="12924"/>
        <n v="12707"/>
        <n v="12708"/>
        <n v="12709"/>
        <n v="12710"/>
        <n v="12711"/>
        <n v="12712"/>
        <n v="12713"/>
        <n v="12714"/>
        <n v="12715"/>
        <n v="12716"/>
        <n v="12717"/>
        <n v="12718"/>
        <n v="12719"/>
        <n v="12720"/>
        <n v="12938"/>
        <n v="12731"/>
        <n v="12732"/>
        <n v="12733"/>
        <n v="12734"/>
        <n v="12953"/>
        <n v="12954"/>
        <n v="12955"/>
        <n v="12956"/>
        <n v="12957"/>
        <n v="12958"/>
        <n v="12959"/>
        <n v="12960"/>
        <n v="12961"/>
        <n v="12962"/>
        <n v="12745"/>
        <n v="12746"/>
        <n v="12747"/>
        <n v="12748"/>
        <n v="12749"/>
        <n v="12967"/>
        <n v="12968"/>
        <n v="12969"/>
        <n v="12970"/>
        <n v="12971"/>
        <n v="12972"/>
        <n v="12973"/>
        <n v="12974"/>
        <n v="12975"/>
        <n v="12976"/>
        <n v="12519"/>
        <n v="12520"/>
        <n v="12521"/>
        <n v="12522"/>
        <n v="12523"/>
        <n v="12524"/>
        <n v="12525"/>
        <n v="12526"/>
        <n v="12527"/>
        <n v="12528"/>
        <n v="12529"/>
        <n v="12530"/>
        <n v="12531"/>
        <n v="12750"/>
        <n v="12533"/>
        <n v="12534"/>
        <n v="12535"/>
        <n v="12536"/>
        <n v="12537"/>
        <n v="12538"/>
        <n v="12539"/>
        <n v="12540"/>
        <n v="12541"/>
        <n v="12542"/>
        <n v="12543"/>
        <n v="12544"/>
        <n v="12545"/>
        <n v="12546"/>
        <n v="12764"/>
        <n v="12548"/>
        <n v="12549"/>
        <n v="12550"/>
        <n v="12551"/>
        <n v="12552"/>
        <n v="12553"/>
        <n v="12554"/>
        <n v="12555"/>
        <n v="12556"/>
        <n v="12557"/>
        <n v="12558"/>
        <n v="12559"/>
        <n v="12560"/>
        <n v="12779"/>
        <n v="12562"/>
        <n v="12563"/>
        <n v="12564"/>
        <n v="12565"/>
        <n v="12566"/>
        <n v="12567"/>
        <n v="12568"/>
        <n v="12569"/>
        <n v="12570"/>
        <n v="12571"/>
        <n v="12572"/>
        <n v="12573"/>
        <n v="12574"/>
        <n v="12575"/>
        <n v="12793"/>
        <n v="12577"/>
        <n v="12578"/>
        <n v="12579"/>
        <n v="12580"/>
        <n v="12581"/>
        <n v="12582"/>
        <n v="12583"/>
        <n v="12584"/>
        <n v="12585"/>
        <n v="12586"/>
        <n v="12587"/>
        <n v="12588"/>
        <n v="12589"/>
        <n v="12808"/>
        <n v="12823"/>
        <n v="12824"/>
        <n v="12825"/>
        <n v="12826"/>
        <n v="12827"/>
        <n v="12828"/>
        <n v="12829"/>
        <n v="12830"/>
        <n v="12831"/>
        <n v="12832"/>
        <n v="12833"/>
        <n v="12834"/>
        <n v="12835"/>
        <n v="12836"/>
        <n v="13054"/>
        <n v="12838"/>
        <n v="12839"/>
        <n v="12840"/>
        <n v="12841"/>
        <n v="12842"/>
        <n v="12843"/>
        <n v="12844"/>
        <n v="12845"/>
        <n v="12846"/>
        <n v="12847"/>
        <n v="12848"/>
        <n v="12849"/>
        <n v="12850"/>
        <n v="13069"/>
        <n v="12852"/>
        <n v="12853"/>
        <n v="12854"/>
        <n v="12855"/>
        <n v="12856"/>
        <n v="12857"/>
        <n v="12858"/>
        <n v="12859"/>
        <n v="12860"/>
        <n v="12861"/>
        <n v="12862"/>
        <n v="12863"/>
        <n v="12864"/>
        <n v="12865"/>
        <n v="13083"/>
        <n v="12867"/>
        <n v="12868"/>
        <n v="12869"/>
        <n v="12870"/>
        <n v="12871"/>
        <n v="12872"/>
        <n v="12873"/>
        <n v="12874"/>
        <n v="12875"/>
        <n v="12876"/>
        <n v="12877"/>
        <n v="12878"/>
        <n v="12879"/>
        <n v="13098"/>
        <n v="12881"/>
        <n v="12882"/>
        <n v="12883"/>
        <n v="12884"/>
        <n v="12885"/>
        <n v="12886"/>
        <n v="12887"/>
        <n v="12888"/>
        <n v="12889"/>
        <n v="12890"/>
        <n v="12891"/>
        <n v="12892"/>
        <n v="12893"/>
        <n v="12894"/>
        <n v="13112"/>
        <n v="12896"/>
        <n v="12897"/>
        <n v="12898"/>
        <n v="12899"/>
        <n v="12900"/>
        <n v="12901"/>
        <n v="12902"/>
        <n v="12903"/>
        <n v="12904"/>
        <n v="12905"/>
        <n v="12906"/>
        <n v="12907"/>
        <n v="12908"/>
        <n v="13127"/>
        <n v="12910"/>
        <n v="12911"/>
        <n v="12912"/>
        <n v="12913"/>
        <n v="12914"/>
        <n v="12915"/>
        <n v="12916"/>
        <n v="12917"/>
        <n v="12918"/>
        <n v="12919"/>
        <n v="12920"/>
        <n v="12921"/>
        <n v="12922"/>
        <n v="12923"/>
        <n v="13141"/>
        <n v="12925"/>
        <n v="12926"/>
        <n v="12927"/>
        <n v="12928"/>
        <n v="12929"/>
        <n v="12930"/>
        <n v="12931"/>
        <n v="12932"/>
        <n v="12933"/>
        <n v="12934"/>
        <n v="12935"/>
        <n v="12936"/>
        <n v="12937"/>
        <n v="13156"/>
        <n v="12939"/>
        <n v="12940"/>
        <n v="12941"/>
        <n v="12942"/>
        <n v="12943"/>
        <n v="12944"/>
        <n v="12945"/>
        <n v="12946"/>
        <n v="12947"/>
        <n v="12948"/>
        <n v="12949"/>
        <n v="12950"/>
        <n v="12951"/>
        <n v="12952"/>
        <n v="13170"/>
        <n v="12963"/>
        <n v="12964"/>
        <n v="12965"/>
        <n v="12966"/>
        <n v="13185"/>
        <n v="13186"/>
        <n v="13187"/>
        <n v="13188"/>
        <n v="13189"/>
        <n v="13190"/>
        <n v="13191"/>
        <n v="13192"/>
        <n v="13193"/>
        <n v="13194"/>
        <n v="12977"/>
        <n v="12978"/>
        <n v="12979"/>
        <n v="12980"/>
        <n v="12981"/>
        <n v="13199"/>
        <n v="13200"/>
        <n v="13201"/>
        <n v="13202"/>
        <n v="13203"/>
        <n v="13204"/>
        <n v="13205"/>
        <n v="13206"/>
        <n v="13207"/>
        <n v="13208"/>
        <n v="12751"/>
        <n v="12752"/>
        <n v="12753"/>
        <n v="12754"/>
        <n v="12755"/>
        <n v="12756"/>
        <n v="12757"/>
        <n v="12758"/>
        <n v="12759"/>
        <n v="12760"/>
        <n v="12761"/>
        <n v="12762"/>
        <n v="12763"/>
        <n v="12982"/>
        <n v="12765"/>
        <n v="12766"/>
        <n v="12767"/>
        <n v="12768"/>
        <n v="12769"/>
        <n v="12770"/>
        <n v="12771"/>
        <n v="12772"/>
        <n v="12773"/>
        <n v="12774"/>
        <n v="12775"/>
        <n v="12776"/>
        <n v="12777"/>
        <n v="12778"/>
        <n v="12996"/>
        <n v="12780"/>
        <n v="12781"/>
        <n v="12782"/>
        <n v="12783"/>
        <n v="12784"/>
        <n v="12785"/>
        <n v="12786"/>
        <n v="12787"/>
        <n v="12788"/>
        <n v="12789"/>
        <n v="12790"/>
        <n v="12791"/>
        <n v="12792"/>
        <n v="13011"/>
        <n v="12794"/>
        <n v="12795"/>
        <n v="12796"/>
        <n v="12797"/>
        <n v="12798"/>
        <n v="12799"/>
        <n v="12800"/>
        <n v="12801"/>
        <n v="12802"/>
        <n v="12803"/>
        <n v="12804"/>
        <n v="12805"/>
        <n v="12806"/>
        <n v="12807"/>
        <n v="13025"/>
        <n v="12809"/>
        <n v="12810"/>
        <n v="12811"/>
        <n v="12812"/>
        <n v="12813"/>
        <n v="12814"/>
        <n v="12815"/>
        <n v="12816"/>
        <n v="12817"/>
        <n v="12818"/>
        <n v="12819"/>
        <n v="12820"/>
        <n v="12821"/>
        <n v="13040"/>
        <n v="13055"/>
        <n v="13056"/>
        <n v="13057"/>
        <n v="13058"/>
        <n v="13059"/>
        <n v="13060"/>
        <n v="13061"/>
        <n v="13062"/>
        <n v="13063"/>
        <n v="13064"/>
        <n v="13065"/>
        <n v="13066"/>
        <n v="13067"/>
        <n v="13068"/>
        <n v="13286"/>
        <n v="13070"/>
        <n v="13071"/>
        <n v="13072"/>
        <n v="13073"/>
        <n v="13074"/>
        <n v="13075"/>
        <n v="13076"/>
        <n v="13077"/>
        <n v="13078"/>
        <n v="13079"/>
        <n v="13080"/>
        <n v="13081"/>
        <n v="13082"/>
        <n v="13301"/>
        <n v="13084"/>
        <n v="13085"/>
        <n v="13086"/>
        <n v="13087"/>
        <n v="13088"/>
        <n v="13089"/>
        <n v="13090"/>
        <n v="13091"/>
        <n v="13092"/>
        <n v="13093"/>
        <n v="13094"/>
        <n v="13095"/>
        <n v="13096"/>
        <n v="13097"/>
        <n v="13315"/>
        <n v="13099"/>
        <n v="13100"/>
        <n v="13101"/>
        <n v="13102"/>
        <n v="13103"/>
        <n v="13104"/>
        <n v="13105"/>
        <n v="13106"/>
        <n v="13107"/>
        <n v="13108"/>
        <n v="13109"/>
        <n v="13110"/>
        <n v="13111"/>
        <n v="13330"/>
        <n v="13113"/>
        <n v="13114"/>
        <n v="13115"/>
        <n v="13116"/>
        <n v="13117"/>
        <n v="13118"/>
        <n v="13119"/>
        <n v="13120"/>
        <n v="13121"/>
        <n v="13122"/>
        <n v="13123"/>
        <n v="13124"/>
        <n v="13125"/>
        <n v="13126"/>
        <n v="13344"/>
        <n v="13128"/>
        <n v="13129"/>
        <n v="13130"/>
        <n v="13131"/>
        <n v="13132"/>
        <n v="13133"/>
        <n v="13134"/>
        <n v="13135"/>
        <n v="13136"/>
        <n v="13137"/>
        <n v="13138"/>
        <n v="13139"/>
        <n v="13140"/>
        <n v="13359"/>
        <n v="13142"/>
        <n v="13143"/>
        <n v="13144"/>
        <n v="13145"/>
        <n v="13146"/>
        <n v="13147"/>
        <n v="13148"/>
        <n v="13149"/>
        <n v="13150"/>
        <n v="13151"/>
        <n v="13152"/>
        <n v="13153"/>
        <n v="13154"/>
        <n v="13155"/>
        <n v="13373"/>
        <n v="13157"/>
        <n v="13158"/>
        <n v="13159"/>
        <n v="13160"/>
        <n v="13161"/>
        <n v="13162"/>
        <n v="13163"/>
        <n v="13164"/>
        <n v="13165"/>
        <n v="13166"/>
        <n v="13167"/>
        <n v="13168"/>
        <n v="13169"/>
        <n v="13388"/>
        <n v="13171"/>
        <n v="13172"/>
        <n v="13173"/>
        <n v="13174"/>
        <n v="13175"/>
        <n v="13176"/>
        <n v="13177"/>
        <n v="13178"/>
        <n v="13179"/>
        <n v="13180"/>
        <n v="13181"/>
        <n v="13182"/>
        <n v="13183"/>
        <n v="13184"/>
        <n v="13402"/>
        <n v="13195"/>
        <n v="13196"/>
        <n v="13197"/>
        <n v="13198"/>
        <n v="13417"/>
        <n v="13418"/>
        <n v="13419"/>
        <n v="13420"/>
        <n v="13421"/>
        <n v="13422"/>
        <n v="13423"/>
        <n v="13424"/>
        <n v="13425"/>
        <n v="13426"/>
        <n v="13209"/>
        <n v="13210"/>
        <n v="13211"/>
        <n v="13212"/>
        <n v="13213"/>
        <n v="13431"/>
        <n v="13432"/>
        <n v="13433"/>
        <n v="13434"/>
        <n v="13435"/>
        <n v="13436"/>
        <n v="13437"/>
        <n v="13438"/>
        <n v="13439"/>
        <n v="13440"/>
        <n v="12983"/>
        <n v="12984"/>
        <n v="12985"/>
        <n v="12986"/>
        <n v="12987"/>
        <n v="12988"/>
        <n v="12989"/>
        <n v="12990"/>
        <n v="12991"/>
        <n v="12992"/>
        <n v="12993"/>
        <n v="12994"/>
        <n v="12995"/>
        <n v="13214"/>
        <n v="12997"/>
        <n v="12998"/>
        <n v="12999"/>
        <n v="13000"/>
        <n v="13001"/>
        <n v="13002"/>
        <n v="13003"/>
        <n v="13004"/>
        <n v="13005"/>
        <n v="13006"/>
        <n v="13007"/>
        <n v="13008"/>
        <n v="13009"/>
        <n v="13010"/>
        <n v="13228"/>
        <n v="13012"/>
        <n v="13013"/>
        <n v="13014"/>
        <n v="13015"/>
        <n v="13016"/>
        <n v="13017"/>
        <n v="13018"/>
        <n v="13019"/>
        <n v="13020"/>
        <n v="13021"/>
        <n v="13022"/>
        <n v="13023"/>
        <n v="13024"/>
        <n v="13243"/>
        <n v="13026"/>
        <n v="13027"/>
        <n v="13028"/>
        <n v="13029"/>
        <n v="13030"/>
        <n v="13031"/>
        <n v="13032"/>
        <n v="13033"/>
        <n v="13034"/>
        <n v="13035"/>
        <n v="13036"/>
        <n v="13037"/>
        <n v="13038"/>
        <n v="13039"/>
        <n v="13257"/>
        <n v="13041"/>
        <n v="13042"/>
        <n v="13043"/>
        <n v="13044"/>
        <n v="13045"/>
        <n v="13046"/>
        <n v="13047"/>
        <n v="13048"/>
        <n v="13049"/>
        <n v="13050"/>
        <n v="13051"/>
        <n v="13052"/>
        <n v="13053"/>
        <n v="13272"/>
        <n v="13287"/>
        <n v="13288"/>
        <n v="13289"/>
        <n v="13290"/>
        <n v="13291"/>
        <n v="13292"/>
        <n v="13293"/>
        <n v="13294"/>
        <n v="13295"/>
        <n v="13296"/>
        <n v="13297"/>
        <n v="13298"/>
        <n v="13299"/>
        <n v="13300"/>
        <n v="13518"/>
        <n v="13302"/>
        <n v="13303"/>
        <n v="13304"/>
        <n v="13305"/>
        <n v="13306"/>
        <n v="13307"/>
        <n v="13308"/>
        <n v="13309"/>
        <n v="13310"/>
        <n v="13311"/>
        <n v="13312"/>
        <n v="13313"/>
        <n v="13314"/>
        <n v="13533"/>
        <n v="13316"/>
        <n v="13317"/>
        <n v="13318"/>
        <n v="13319"/>
        <n v="13320"/>
        <n v="13321"/>
        <n v="13322"/>
        <n v="13323"/>
        <n v="13324"/>
        <n v="13325"/>
        <n v="13326"/>
        <n v="13327"/>
        <n v="13328"/>
        <n v="13329"/>
        <n v="13547"/>
        <n v="13331"/>
        <n v="13332"/>
        <n v="13333"/>
        <n v="13334"/>
        <n v="13335"/>
        <n v="13336"/>
        <n v="13337"/>
        <n v="13338"/>
        <n v="13339"/>
        <n v="13340"/>
        <n v="13341"/>
        <n v="13342"/>
        <n v="13343"/>
        <n v="13562"/>
        <n v="13345"/>
        <n v="13346"/>
        <n v="13347"/>
        <n v="13348"/>
        <n v="13349"/>
        <n v="13350"/>
        <n v="13351"/>
        <n v="13352"/>
        <n v="13353"/>
        <n v="13354"/>
        <n v="13355"/>
        <n v="13356"/>
        <n v="13357"/>
        <n v="13358"/>
        <n v="13576"/>
        <n v="13360"/>
        <n v="13361"/>
        <n v="13362"/>
        <n v="13363"/>
        <n v="13364"/>
        <n v="13365"/>
        <n v="13366"/>
        <n v="13367"/>
        <n v="13368"/>
        <n v="13369"/>
        <n v="13370"/>
        <n v="13371"/>
        <n v="13372"/>
        <n v="13591"/>
        <n v="13374"/>
        <n v="13375"/>
        <n v="13376"/>
        <n v="13377"/>
        <n v="13378"/>
        <n v="13379"/>
        <n v="13380"/>
        <n v="13381"/>
        <n v="13382"/>
        <n v="13383"/>
        <n v="13384"/>
        <n v="13385"/>
        <n v="13386"/>
        <n v="13387"/>
        <n v="13605"/>
        <n v="13389"/>
        <n v="13390"/>
        <n v="13391"/>
        <n v="13392"/>
        <n v="13393"/>
        <n v="13394"/>
        <n v="13395"/>
        <n v="13396"/>
        <n v="13397"/>
        <n v="13398"/>
        <n v="13399"/>
        <n v="13400"/>
        <n v="13401"/>
        <n v="13620"/>
        <n v="13403"/>
        <n v="13404"/>
        <n v="13405"/>
        <n v="13406"/>
        <n v="13407"/>
        <n v="13408"/>
        <n v="13409"/>
        <n v="13410"/>
        <n v="13411"/>
        <n v="13412"/>
        <n v="13413"/>
        <n v="13414"/>
        <n v="13415"/>
        <n v="13416"/>
        <n v="13634"/>
        <n v="13427"/>
        <n v="13428"/>
        <n v="13429"/>
        <n v="13430"/>
        <n v="13649"/>
        <n v="13650"/>
        <n v="13651"/>
        <n v="13652"/>
        <n v="13653"/>
        <n v="13654"/>
        <n v="13655"/>
        <n v="13656"/>
        <n v="13657"/>
        <n v="13658"/>
        <n v="13441"/>
        <n v="13442"/>
        <n v="13443"/>
        <n v="13444"/>
        <n v="13445"/>
        <n v="13663"/>
        <n v="13664"/>
        <n v="13665"/>
        <n v="13666"/>
        <n v="13667"/>
        <n v="13668"/>
        <n v="13669"/>
        <n v="13670"/>
        <n v="13671"/>
        <n v="13672"/>
        <n v="13215"/>
        <n v="13216"/>
        <n v="13217"/>
        <n v="13218"/>
        <n v="13219"/>
        <n v="13220"/>
        <n v="13221"/>
        <n v="13222"/>
        <n v="13223"/>
        <n v="13224"/>
        <n v="13225"/>
        <n v="13226"/>
        <n v="13227"/>
        <n v="13446"/>
        <n v="13229"/>
        <n v="13230"/>
        <n v="13231"/>
        <n v="13232"/>
        <n v="13233"/>
        <n v="13234"/>
        <n v="13235"/>
        <n v="13236"/>
        <n v="13237"/>
        <n v="13238"/>
        <n v="13239"/>
        <n v="13240"/>
        <n v="13241"/>
        <n v="13242"/>
        <n v="13460"/>
        <n v="13244"/>
        <n v="13245"/>
        <n v="13246"/>
        <n v="13247"/>
        <n v="13248"/>
        <n v="13249"/>
        <n v="13250"/>
        <n v="13251"/>
        <n v="13252"/>
        <n v="13253"/>
        <n v="13254"/>
        <n v="13255"/>
        <n v="13256"/>
        <n v="13475"/>
        <n v="13258"/>
        <n v="13259"/>
        <n v="13260"/>
        <n v="13261"/>
        <n v="13262"/>
        <n v="13263"/>
        <n v="13264"/>
        <n v="13265"/>
        <n v="13266"/>
        <n v="13267"/>
        <n v="13268"/>
        <n v="13269"/>
        <n v="13270"/>
        <n v="13271"/>
        <n v="13489"/>
        <n v="13273"/>
        <n v="13274"/>
        <n v="13275"/>
        <n v="13276"/>
        <n v="13277"/>
        <n v="13278"/>
        <n v="13279"/>
        <n v="13280"/>
        <n v="13281"/>
        <n v="13282"/>
        <n v="13283"/>
        <n v="13284"/>
        <n v="13285"/>
        <n v="13504"/>
        <n v="13519"/>
        <n v="13520"/>
        <n v="13521"/>
        <n v="13522"/>
        <n v="13523"/>
        <n v="13524"/>
        <n v="13525"/>
        <n v="13526"/>
        <n v="13527"/>
        <n v="13528"/>
        <n v="13529"/>
        <n v="13530"/>
        <n v="13531"/>
        <n v="13532"/>
        <n v="13750"/>
        <n v="13534"/>
        <n v="13535"/>
        <n v="13536"/>
        <n v="13537"/>
        <n v="13538"/>
        <n v="13539"/>
        <n v="13540"/>
        <n v="13541"/>
        <n v="13542"/>
        <n v="13543"/>
        <n v="13544"/>
        <n v="13545"/>
        <n v="13546"/>
        <n v="13765"/>
        <n v="13548"/>
        <n v="13549"/>
        <n v="13550"/>
        <n v="13551"/>
        <n v="13552"/>
        <n v="13553"/>
        <n v="13554"/>
        <n v="13555"/>
        <n v="13556"/>
        <n v="13557"/>
        <n v="13558"/>
        <n v="13559"/>
        <n v="13560"/>
        <n v="13561"/>
        <n v="13779"/>
        <n v="13563"/>
        <n v="13564"/>
        <n v="13565"/>
        <n v="13566"/>
        <n v="13567"/>
        <n v="13568"/>
        <n v="13569"/>
        <n v="13570"/>
        <n v="13571"/>
        <n v="13572"/>
        <n v="13573"/>
        <n v="13574"/>
        <n v="13575"/>
        <n v="13794"/>
        <n v="13577"/>
        <n v="13578"/>
        <n v="13579"/>
        <n v="13580"/>
        <n v="13581"/>
        <n v="13582"/>
        <n v="13583"/>
        <n v="13584"/>
        <n v="13585"/>
        <n v="13586"/>
        <n v="13587"/>
        <n v="13588"/>
        <n v="13589"/>
        <n v="13590"/>
        <n v="13808"/>
        <n v="13592"/>
        <n v="13593"/>
        <n v="13594"/>
        <n v="13595"/>
        <n v="13596"/>
        <n v="13597"/>
        <n v="13598"/>
        <n v="13599"/>
        <n v="13600"/>
        <n v="13601"/>
        <n v="13602"/>
        <n v="13603"/>
        <n v="13604"/>
        <n v="13823"/>
        <n v="13606"/>
        <n v="13607"/>
        <n v="13608"/>
        <n v="13609"/>
        <n v="13610"/>
        <n v="13611"/>
        <n v="13612"/>
        <n v="13613"/>
        <n v="13614"/>
        <n v="13615"/>
        <n v="13616"/>
        <n v="13617"/>
        <n v="13618"/>
        <n v="13619"/>
        <n v="13837"/>
        <n v="13621"/>
        <n v="13622"/>
        <n v="13623"/>
        <n v="13624"/>
        <n v="13625"/>
        <n v="13626"/>
        <n v="13627"/>
        <n v="13628"/>
        <n v="13629"/>
        <n v="13630"/>
        <n v="13631"/>
        <n v="13632"/>
        <n v="13633"/>
        <n v="13852"/>
        <n v="13635"/>
        <n v="13636"/>
        <n v="13637"/>
        <n v="13638"/>
        <n v="13639"/>
        <n v="13640"/>
        <n v="13641"/>
        <n v="13642"/>
        <n v="13643"/>
        <n v="13644"/>
        <n v="13645"/>
        <n v="13646"/>
        <n v="13647"/>
        <n v="13648"/>
        <n v="13866"/>
        <n v="13659"/>
        <n v="13660"/>
        <n v="13661"/>
        <n v="13662"/>
        <n v="13881"/>
        <n v="13882"/>
        <n v="13883"/>
        <n v="13884"/>
        <n v="13885"/>
        <n v="13886"/>
        <n v="13887"/>
        <n v="13888"/>
        <n v="13889"/>
        <n v="13890"/>
        <n v="13673"/>
        <n v="13674"/>
        <n v="13675"/>
        <n v="13676"/>
        <n v="13677"/>
        <n v="13895"/>
        <n v="13896"/>
        <n v="13897"/>
        <n v="13898"/>
        <n v="13899"/>
        <n v="13900"/>
        <n v="13901"/>
        <n v="13902"/>
        <n v="13903"/>
        <n v="13904"/>
        <n v="13447"/>
        <n v="13448"/>
        <n v="13449"/>
        <n v="13450"/>
        <n v="13451"/>
        <n v="13452"/>
        <n v="13453"/>
        <n v="13454"/>
        <n v="13455"/>
        <n v="13456"/>
        <n v="13457"/>
        <n v="13458"/>
        <n v="13459"/>
        <n v="13678"/>
        <n v="13461"/>
        <n v="13462"/>
        <n v="13463"/>
        <n v="13464"/>
        <n v="13465"/>
        <n v="13466"/>
        <n v="13467"/>
        <n v="13468"/>
        <n v="13469"/>
        <n v="13470"/>
        <n v="13471"/>
        <n v="13472"/>
        <n v="13473"/>
        <n v="13474"/>
        <n v="13692"/>
        <n v="13476"/>
        <n v="13477"/>
        <n v="13478"/>
        <n v="13479"/>
        <n v="13480"/>
        <n v="13481"/>
        <n v="13482"/>
        <n v="13483"/>
        <n v="13484"/>
        <n v="13485"/>
        <n v="13486"/>
        <n v="13487"/>
        <n v="13488"/>
        <n v="13707"/>
        <n v="13490"/>
        <n v="13491"/>
        <n v="13492"/>
        <n v="13493"/>
        <n v="13494"/>
        <n v="13495"/>
        <n v="13496"/>
        <n v="13497"/>
        <n v="13498"/>
        <n v="13499"/>
        <n v="13500"/>
        <n v="13501"/>
        <n v="13502"/>
        <n v="13503"/>
        <n v="13721"/>
        <n v="13505"/>
        <n v="13506"/>
        <n v="13507"/>
        <n v="13508"/>
        <n v="13509"/>
        <n v="13510"/>
        <n v="13511"/>
        <n v="13512"/>
        <n v="13513"/>
        <n v="13514"/>
        <n v="13515"/>
        <n v="13516"/>
        <n v="13517"/>
        <n v="13736"/>
        <n v="13751"/>
        <n v="13752"/>
        <n v="13753"/>
        <n v="13754"/>
        <n v="13755"/>
        <n v="13756"/>
        <n v="13757"/>
        <n v="13758"/>
        <n v="13759"/>
        <n v="13760"/>
        <n v="13761"/>
        <n v="13762"/>
        <n v="13763"/>
        <n v="13764"/>
        <n v="13982"/>
        <n v="13766"/>
        <n v="13767"/>
        <n v="13768"/>
        <n v="13769"/>
        <n v="13770"/>
        <n v="13771"/>
        <n v="13772"/>
        <n v="13773"/>
        <n v="13774"/>
        <n v="13775"/>
        <n v="13776"/>
        <n v="13777"/>
        <n v="13778"/>
        <n v="13997"/>
        <n v="13780"/>
        <n v="13781"/>
        <n v="13782"/>
        <n v="13783"/>
        <n v="13784"/>
        <n v="13785"/>
        <n v="13786"/>
        <n v="13787"/>
        <n v="13788"/>
        <n v="13789"/>
        <n v="13790"/>
        <n v="13791"/>
        <n v="13792"/>
        <n v="13793"/>
        <n v="14011"/>
        <n v="13795"/>
        <n v="13796"/>
        <n v="13797"/>
        <n v="13798"/>
        <n v="13799"/>
        <n v="13800"/>
        <n v="13801"/>
        <n v="13802"/>
        <n v="13803"/>
        <n v="13804"/>
        <n v="13805"/>
        <n v="13806"/>
        <n v="13807"/>
        <n v="14026"/>
        <n v="13809"/>
        <n v="13810"/>
        <n v="13811"/>
        <n v="13812"/>
        <n v="13813"/>
        <n v="13814"/>
        <n v="13815"/>
        <n v="13816"/>
        <n v="13817"/>
        <n v="13818"/>
        <n v="13819"/>
        <n v="13820"/>
        <n v="13821"/>
        <n v="13822"/>
        <n v="14040"/>
        <n v="13824"/>
        <n v="13825"/>
        <n v="13826"/>
        <n v="13827"/>
        <n v="13828"/>
        <n v="13829"/>
        <n v="13830"/>
        <n v="13831"/>
        <n v="13832"/>
        <n v="13833"/>
        <n v="13834"/>
        <n v="13835"/>
        <n v="13836"/>
        <n v="14055"/>
        <n v="13838"/>
        <n v="13839"/>
        <n v="13840"/>
        <n v="13841"/>
        <n v="13842"/>
        <n v="13843"/>
        <n v="13844"/>
        <n v="13845"/>
        <n v="13846"/>
        <n v="13847"/>
        <n v="13848"/>
        <n v="13849"/>
        <n v="13850"/>
        <n v="13851"/>
        <n v="14069"/>
        <n v="13853"/>
        <n v="13854"/>
        <n v="13855"/>
        <n v="13856"/>
        <n v="13857"/>
        <n v="13858"/>
        <n v="13859"/>
        <n v="13860"/>
        <n v="13861"/>
        <n v="13862"/>
        <n v="13863"/>
        <n v="13864"/>
        <n v="13865"/>
        <n v="14084"/>
        <n v="13867"/>
        <n v="13868"/>
        <n v="13869"/>
        <n v="13870"/>
        <n v="13871"/>
        <n v="13872"/>
        <n v="13873"/>
        <n v="13874"/>
        <n v="13875"/>
        <n v="13876"/>
        <n v="13877"/>
        <n v="13878"/>
        <n v="13879"/>
        <n v="13880"/>
        <n v="14098"/>
        <n v="13891"/>
        <n v="13892"/>
        <n v="13893"/>
        <n v="13894"/>
        <n v="14113"/>
        <n v="14114"/>
        <n v="14115"/>
        <n v="14116"/>
        <n v="14117"/>
        <n v="14118"/>
        <n v="14119"/>
        <n v="14120"/>
        <n v="14121"/>
        <n v="14122"/>
        <n v="13905"/>
        <n v="13906"/>
        <n v="13907"/>
        <n v="13908"/>
        <n v="13909"/>
        <n v="14127"/>
        <n v="14128"/>
        <n v="14129"/>
        <n v="14130"/>
        <n v="14131"/>
        <n v="14132"/>
        <n v="14133"/>
        <n v="14134"/>
        <n v="14135"/>
        <n v="14136"/>
        <n v="13679"/>
        <n v="13680"/>
        <n v="13681"/>
        <n v="13682"/>
        <n v="13683"/>
        <n v="13684"/>
        <n v="13685"/>
        <n v="13686"/>
        <n v="13687"/>
        <n v="13688"/>
        <n v="13689"/>
        <n v="13690"/>
        <n v="13691"/>
        <n v="13910"/>
        <n v="13693"/>
        <n v="13694"/>
        <n v="13695"/>
        <n v="13696"/>
        <n v="13697"/>
        <n v="13698"/>
        <n v="13699"/>
        <n v="13700"/>
        <n v="13701"/>
        <n v="13702"/>
        <n v="13703"/>
        <n v="13704"/>
        <n v="13705"/>
        <n v="13706"/>
        <n v="13924"/>
        <n v="13708"/>
        <n v="13709"/>
        <n v="13710"/>
        <n v="13711"/>
        <n v="13712"/>
        <n v="13713"/>
        <n v="13714"/>
        <n v="13715"/>
        <n v="13716"/>
        <n v="13717"/>
        <n v="13718"/>
        <n v="13719"/>
        <n v="13720"/>
        <n v="13939"/>
        <n v="13722"/>
        <n v="13723"/>
        <n v="13724"/>
        <n v="13725"/>
        <n v="13726"/>
        <n v="13727"/>
        <n v="13728"/>
        <n v="13729"/>
        <n v="13730"/>
        <n v="13731"/>
        <n v="13732"/>
        <n v="13733"/>
        <n v="13734"/>
        <n v="13735"/>
        <n v="13953"/>
        <n v="13737"/>
        <n v="13738"/>
        <n v="13739"/>
        <n v="13740"/>
        <n v="13741"/>
        <n v="13742"/>
        <n v="13743"/>
        <n v="13744"/>
        <n v="13745"/>
        <n v="13746"/>
        <n v="13747"/>
        <n v="13748"/>
        <n v="13749"/>
        <n v="13968"/>
        <n v="13983"/>
        <n v="13984"/>
        <n v="13985"/>
        <n v="13986"/>
        <n v="13987"/>
        <n v="13988"/>
        <n v="13989"/>
        <n v="13990"/>
        <n v="13991"/>
        <n v="13992"/>
        <n v="13993"/>
        <n v="13994"/>
        <n v="13995"/>
        <n v="13996"/>
        <n v="14214"/>
        <n v="13998"/>
        <n v="13999"/>
        <n v="14000"/>
        <n v="14001"/>
        <n v="14002"/>
        <n v="14003"/>
        <n v="14004"/>
        <n v="14005"/>
        <n v="14006"/>
        <n v="14007"/>
        <n v="14008"/>
        <n v="14009"/>
        <n v="14010"/>
        <n v="14229"/>
        <n v="14012"/>
        <n v="14013"/>
        <n v="14014"/>
        <n v="14015"/>
        <n v="14016"/>
        <n v="14017"/>
        <n v="14018"/>
        <n v="14019"/>
        <n v="14020"/>
        <n v="14021"/>
        <n v="14022"/>
        <n v="14023"/>
        <n v="14024"/>
        <n v="14025"/>
        <n v="14243"/>
        <n v="14027"/>
        <n v="14028"/>
        <n v="14029"/>
        <n v="14030"/>
        <n v="14031"/>
        <n v="14032"/>
        <n v="14033"/>
        <n v="14034"/>
        <n v="14035"/>
        <n v="14036"/>
        <n v="14037"/>
        <n v="14038"/>
        <n v="14039"/>
        <n v="14258"/>
        <n v="14041"/>
        <n v="14042"/>
        <n v="14043"/>
        <n v="14044"/>
        <n v="14045"/>
        <n v="14046"/>
        <n v="14047"/>
        <n v="14048"/>
        <n v="14049"/>
        <n v="14050"/>
        <n v="14051"/>
        <n v="14052"/>
        <n v="14053"/>
        <n v="14054"/>
        <n v="14272"/>
        <n v="14056"/>
        <n v="14057"/>
        <n v="14058"/>
        <n v="14059"/>
        <n v="14060"/>
        <n v="14061"/>
        <n v="14062"/>
        <n v="14063"/>
        <n v="14064"/>
        <n v="14065"/>
        <n v="14066"/>
        <n v="14067"/>
        <n v="14068"/>
        <n v="14287"/>
        <n v="14070"/>
        <n v="14071"/>
        <n v="14072"/>
        <n v="14073"/>
        <n v="14074"/>
        <n v="14075"/>
        <n v="14076"/>
        <n v="14077"/>
        <n v="14078"/>
        <n v="14079"/>
        <n v="14080"/>
        <n v="14081"/>
        <n v="14082"/>
        <n v="14083"/>
        <n v="14301"/>
        <n v="14085"/>
        <n v="14086"/>
        <n v="14087"/>
        <n v="14088"/>
        <n v="14089"/>
        <n v="14090"/>
        <n v="14091"/>
        <n v="14092"/>
        <n v="14093"/>
        <n v="14094"/>
        <n v="14095"/>
        <n v="14096"/>
        <n v="14097"/>
        <n v="14316"/>
        <n v="14099"/>
        <n v="14100"/>
        <n v="14101"/>
        <n v="14102"/>
        <n v="14103"/>
        <n v="14104"/>
        <n v="14105"/>
        <n v="14106"/>
        <n v="14107"/>
        <n v="14108"/>
        <n v="14109"/>
        <n v="14110"/>
        <n v="14111"/>
        <n v="14112"/>
        <n v="14330"/>
        <n v="14123"/>
        <n v="14124"/>
        <n v="14125"/>
        <n v="14126"/>
        <n v="14345"/>
        <n v="14346"/>
        <n v="14347"/>
        <n v="14348"/>
        <n v="14349"/>
        <n v="14350"/>
        <n v="14351"/>
        <n v="14352"/>
        <n v="14353"/>
        <n v="14354"/>
        <n v="14137"/>
        <n v="14138"/>
        <n v="14139"/>
        <n v="14140"/>
        <n v="14141"/>
        <n v="14359"/>
        <n v="14360"/>
        <n v="14361"/>
        <n v="14362"/>
        <n v="14363"/>
        <n v="14364"/>
        <n v="14365"/>
        <n v="14366"/>
        <n v="14367"/>
        <n v="14368"/>
        <n v="13911"/>
        <n v="13912"/>
        <n v="13913"/>
        <n v="13914"/>
        <n v="13915"/>
        <n v="13916"/>
        <n v="13917"/>
        <n v="13918"/>
        <n v="13919"/>
        <n v="13920"/>
        <n v="13921"/>
        <n v="13922"/>
        <n v="13923"/>
        <n v="14142"/>
        <n v="13925"/>
        <n v="13926"/>
        <n v="13927"/>
        <n v="13928"/>
        <n v="13929"/>
        <n v="13930"/>
        <n v="13931"/>
        <n v="13932"/>
        <n v="13933"/>
        <n v="13934"/>
        <n v="13935"/>
        <n v="13936"/>
        <n v="13937"/>
        <n v="13938"/>
        <n v="14156"/>
        <n v="13940"/>
        <n v="13941"/>
        <n v="13942"/>
        <n v="13943"/>
        <n v="13944"/>
        <n v="13945"/>
        <n v="13946"/>
        <n v="13947"/>
        <n v="13948"/>
        <n v="13949"/>
        <n v="13950"/>
        <n v="13951"/>
        <n v="13952"/>
        <n v="14171"/>
        <n v="13954"/>
        <n v="13955"/>
        <n v="13956"/>
        <n v="13957"/>
        <n v="13958"/>
        <n v="13959"/>
        <n v="13960"/>
        <n v="13961"/>
        <n v="13962"/>
        <n v="13963"/>
        <n v="13964"/>
        <n v="13965"/>
        <n v="13966"/>
        <n v="13967"/>
        <n v="14185"/>
        <n v="13969"/>
        <n v="13970"/>
        <n v="13971"/>
        <n v="13972"/>
        <n v="13973"/>
        <n v="13974"/>
        <n v="13975"/>
        <n v="13976"/>
        <n v="13977"/>
        <n v="13978"/>
        <n v="13979"/>
        <n v="13980"/>
        <n v="13981"/>
        <n v="14200"/>
        <n v="14215"/>
        <n v="14216"/>
        <n v="14217"/>
        <n v="14218"/>
        <n v="14219"/>
        <n v="14220"/>
        <n v="14221"/>
        <n v="14222"/>
        <n v="14223"/>
        <n v="14224"/>
        <n v="14225"/>
        <n v="14226"/>
        <n v="14227"/>
        <n v="14228"/>
        <n v="14446"/>
        <n v="14230"/>
        <n v="14231"/>
        <n v="14232"/>
        <n v="14233"/>
        <n v="14234"/>
        <n v="14235"/>
        <n v="14236"/>
        <n v="14237"/>
        <n v="14238"/>
        <n v="14239"/>
        <n v="14240"/>
        <n v="14241"/>
        <n v="14242"/>
        <n v="14461"/>
        <n v="14244"/>
        <n v="14245"/>
        <n v="14246"/>
        <n v="14247"/>
        <n v="14248"/>
        <n v="14249"/>
        <n v="14250"/>
        <n v="14251"/>
        <n v="14252"/>
        <n v="14253"/>
        <n v="14254"/>
        <n v="14255"/>
        <n v="14256"/>
        <n v="14257"/>
        <n v="14475"/>
        <n v="14259"/>
        <n v="14260"/>
        <n v="14261"/>
        <n v="14262"/>
        <n v="14263"/>
        <n v="14264"/>
        <n v="14265"/>
        <n v="14266"/>
        <n v="14267"/>
        <n v="14268"/>
        <n v="14269"/>
        <n v="14270"/>
        <n v="14271"/>
        <n v="14490"/>
        <n v="14273"/>
        <n v="14274"/>
        <n v="14275"/>
        <n v="14276"/>
        <n v="14277"/>
        <n v="14278"/>
        <n v="14279"/>
        <n v="14280"/>
        <n v="14281"/>
        <n v="14282"/>
        <n v="14283"/>
        <n v="14284"/>
        <n v="14285"/>
        <n v="14286"/>
        <n v="14504"/>
        <n v="14288"/>
        <n v="14289"/>
        <n v="14290"/>
        <n v="14291"/>
        <n v="14292"/>
        <n v="14293"/>
        <n v="14294"/>
        <n v="14295"/>
        <n v="14296"/>
        <n v="14297"/>
        <n v="14298"/>
        <n v="14299"/>
        <n v="14300"/>
        <n v="14519"/>
        <n v="14302"/>
        <n v="14303"/>
        <n v="14304"/>
        <n v="14305"/>
        <n v="14306"/>
        <n v="14307"/>
        <n v="14308"/>
        <n v="14309"/>
        <n v="14310"/>
        <n v="14311"/>
        <n v="14312"/>
        <n v="14313"/>
        <n v="14314"/>
        <n v="14315"/>
        <n v="14533"/>
        <n v="14317"/>
        <n v="14318"/>
        <n v="14319"/>
        <n v="14320"/>
        <n v="14321"/>
        <n v="14322"/>
        <n v="14323"/>
        <n v="14324"/>
        <n v="14325"/>
        <n v="14326"/>
        <n v="14327"/>
        <n v="14328"/>
        <n v="14329"/>
        <n v="14548"/>
        <n v="14331"/>
        <n v="14332"/>
        <n v="14333"/>
        <n v="14334"/>
        <n v="14335"/>
        <n v="14336"/>
        <n v="14337"/>
        <n v="14338"/>
        <n v="14339"/>
        <n v="14340"/>
        <n v="14341"/>
        <n v="14342"/>
        <n v="14343"/>
        <n v="14344"/>
        <n v="14562"/>
        <n v="14355"/>
        <n v="14356"/>
        <n v="14357"/>
        <n v="14358"/>
        <n v="14577"/>
        <n v="14578"/>
        <n v="14579"/>
        <n v="14580"/>
        <n v="14581"/>
        <n v="14582"/>
        <n v="14583"/>
        <n v="14584"/>
        <n v="14585"/>
        <n v="14586"/>
        <n v="14369"/>
        <n v="14370"/>
        <n v="14371"/>
        <n v="14372"/>
        <n v="14373"/>
        <n v="14591"/>
        <n v="14592"/>
        <n v="14593"/>
        <n v="14594"/>
        <n v="14595"/>
        <n v="14596"/>
        <n v="14597"/>
        <n v="14598"/>
        <n v="14599"/>
        <n v="14600"/>
        <n v="14143"/>
        <n v="14144"/>
        <n v="14145"/>
        <n v="14146"/>
        <n v="14147"/>
        <n v="14148"/>
        <n v="14149"/>
        <n v="14150"/>
        <n v="14151"/>
        <n v="14152"/>
        <n v="14153"/>
        <n v="14154"/>
        <n v="14155"/>
        <n v="14374"/>
        <n v="14157"/>
        <n v="14158"/>
        <n v="14159"/>
        <n v="14160"/>
        <n v="14161"/>
        <n v="14162"/>
        <n v="14163"/>
        <n v="14164"/>
        <n v="14165"/>
        <n v="14166"/>
        <n v="14167"/>
        <n v="14168"/>
        <n v="14169"/>
        <n v="14170"/>
        <n v="14388"/>
        <n v="14172"/>
        <n v="14173"/>
        <n v="14174"/>
        <n v="14175"/>
        <n v="14176"/>
        <n v="14177"/>
        <n v="14178"/>
        <n v="14179"/>
        <n v="14180"/>
        <n v="14181"/>
        <n v="14182"/>
        <n v="14183"/>
        <n v="14184"/>
        <n v="14403"/>
        <n v="14186"/>
        <n v="14187"/>
        <n v="14188"/>
        <n v="14189"/>
        <n v="14190"/>
        <n v="14191"/>
        <n v="14192"/>
        <n v="14193"/>
        <n v="14194"/>
        <n v="14195"/>
        <n v="14196"/>
        <n v="14197"/>
        <n v="14198"/>
        <n v="14199"/>
        <n v="14417"/>
        <n v="14201"/>
        <n v="14202"/>
        <n v="14203"/>
        <n v="14204"/>
        <n v="14205"/>
        <n v="14206"/>
        <n v="14207"/>
        <n v="14208"/>
        <n v="14209"/>
        <n v="14210"/>
        <n v="14211"/>
        <n v="14212"/>
        <n v="14213"/>
        <n v="14432"/>
        <n v="14447"/>
        <n v="14448"/>
        <n v="14449"/>
        <n v="14450"/>
        <n v="14451"/>
        <n v="14452"/>
        <n v="14453"/>
        <n v="14454"/>
        <n v="14455"/>
        <n v="14456"/>
        <n v="14457"/>
        <n v="14458"/>
        <n v="14459"/>
        <n v="14460"/>
        <n v="14678"/>
        <n v="14462"/>
        <n v="14463"/>
        <n v="14464"/>
        <n v="14465"/>
        <n v="14466"/>
        <n v="14467"/>
        <n v="14468"/>
        <n v="14469"/>
        <n v="14470"/>
        <n v="14471"/>
        <n v="14472"/>
        <n v="14473"/>
        <n v="14474"/>
        <n v="14693"/>
        <n v="14476"/>
        <n v="14477"/>
        <n v="14478"/>
        <n v="14479"/>
        <n v="14480"/>
        <n v="14481"/>
        <n v="14482"/>
        <n v="14483"/>
        <n v="14484"/>
        <n v="14485"/>
        <n v="14486"/>
        <n v="14487"/>
        <n v="14488"/>
        <n v="14489"/>
        <n v="14707"/>
        <n v="14491"/>
        <n v="14492"/>
        <n v="14493"/>
        <n v="14494"/>
        <n v="14495"/>
        <n v="14496"/>
        <n v="14497"/>
        <n v="14498"/>
        <n v="14499"/>
        <n v="14500"/>
        <n v="14501"/>
        <n v="14502"/>
        <n v="14503"/>
        <n v="14722"/>
        <n v="14505"/>
        <n v="14506"/>
        <n v="14507"/>
        <n v="14508"/>
        <n v="14509"/>
        <n v="14510"/>
        <n v="14511"/>
        <n v="14512"/>
        <n v="14513"/>
        <n v="14514"/>
        <n v="14515"/>
        <n v="14516"/>
        <n v="14517"/>
        <n v="14518"/>
        <n v="14736"/>
        <n v="14520"/>
        <n v="14521"/>
        <n v="14522"/>
        <n v="14523"/>
        <n v="14524"/>
        <n v="14525"/>
        <n v="14526"/>
        <n v="14527"/>
        <n v="14528"/>
        <n v="14529"/>
        <n v="14530"/>
        <n v="14531"/>
        <n v="14532"/>
        <n v="14751"/>
        <n v="14534"/>
        <n v="14535"/>
        <n v="14536"/>
        <n v="14537"/>
        <n v="14538"/>
        <n v="14539"/>
        <n v="14540"/>
        <n v="14541"/>
        <n v="14542"/>
        <n v="14543"/>
        <n v="14544"/>
        <n v="14545"/>
        <n v="14546"/>
        <n v="14547"/>
        <n v="14765"/>
        <n v="14549"/>
        <n v="14550"/>
        <n v="14551"/>
        <n v="14552"/>
        <n v="14553"/>
        <n v="14554"/>
        <n v="14555"/>
        <n v="14556"/>
        <n v="14557"/>
        <n v="14558"/>
        <n v="14559"/>
        <n v="14560"/>
        <n v="14561"/>
        <n v="14780"/>
        <n v="14563"/>
        <n v="14564"/>
        <n v="14565"/>
        <n v="14566"/>
        <n v="14567"/>
        <n v="14568"/>
        <n v="14569"/>
        <n v="14570"/>
        <n v="14571"/>
        <n v="14572"/>
        <n v="14573"/>
        <n v="14574"/>
        <n v="14575"/>
        <n v="14576"/>
        <n v="14794"/>
        <n v="14587"/>
        <n v="14588"/>
        <n v="14589"/>
        <n v="14590"/>
        <n v="14809"/>
        <n v="14810"/>
        <n v="14811"/>
        <n v="14812"/>
        <n v="14813"/>
        <n v="14814"/>
        <n v="14815"/>
        <n v="14816"/>
        <n v="14817"/>
        <n v="14818"/>
        <n v="14601"/>
        <n v="14602"/>
        <n v="14603"/>
        <n v="14604"/>
        <n v="14605"/>
        <n v="14823"/>
        <n v="14824"/>
        <n v="14825"/>
        <n v="14826"/>
        <n v="14827"/>
        <n v="14828"/>
        <n v="14829"/>
        <n v="14830"/>
        <n v="14831"/>
        <n v="14832"/>
        <n v="14375"/>
        <n v="14376"/>
        <n v="14377"/>
        <n v="14378"/>
        <n v="14379"/>
        <n v="14380"/>
        <n v="14381"/>
        <n v="14382"/>
        <n v="14383"/>
        <n v="14384"/>
        <n v="14385"/>
        <n v="14386"/>
        <n v="14387"/>
        <n v="14606"/>
        <n v="14389"/>
        <n v="14390"/>
        <n v="14391"/>
        <n v="14392"/>
        <n v="14393"/>
        <n v="14394"/>
        <n v="14395"/>
        <n v="14396"/>
        <n v="14397"/>
        <n v="14398"/>
        <n v="14399"/>
        <n v="14400"/>
        <n v="14401"/>
        <n v="14402"/>
        <n v="14620"/>
        <n v="14404"/>
        <n v="14405"/>
        <n v="14406"/>
        <n v="14407"/>
        <n v="14408"/>
        <n v="14409"/>
        <n v="14410"/>
        <n v="14411"/>
        <n v="14412"/>
        <n v="14413"/>
        <n v="14414"/>
        <n v="14415"/>
        <n v="14416"/>
        <n v="14635"/>
        <n v="14418"/>
        <n v="14419"/>
        <n v="14420"/>
        <n v="14421"/>
        <n v="14422"/>
        <n v="14423"/>
        <n v="14424"/>
        <n v="14425"/>
        <n v="14426"/>
        <n v="14427"/>
        <n v="14428"/>
        <n v="14429"/>
        <n v="14430"/>
        <n v="14431"/>
        <n v="14649"/>
        <n v="14433"/>
        <n v="14434"/>
        <n v="14435"/>
        <n v="14436"/>
        <n v="14437"/>
        <n v="14438"/>
        <n v="14439"/>
        <n v="14440"/>
        <n v="14441"/>
        <n v="14442"/>
        <n v="14443"/>
        <n v="14444"/>
        <n v="14445"/>
        <n v="14664"/>
        <n v="14679"/>
        <n v="14680"/>
        <n v="14681"/>
        <n v="14682"/>
        <n v="14683"/>
        <n v="14684"/>
        <n v="14685"/>
        <n v="14686"/>
        <n v="14687"/>
        <n v="14688"/>
        <n v="14689"/>
        <n v="14690"/>
        <n v="14691"/>
        <n v="14692"/>
        <n v="14910"/>
        <n v="14694"/>
        <n v="14695"/>
        <n v="14696"/>
        <n v="14697"/>
        <n v="14698"/>
        <n v="14699"/>
        <n v="14700"/>
        <n v="14701"/>
        <n v="14702"/>
        <n v="14703"/>
        <n v="14704"/>
        <n v="14705"/>
        <n v="14706"/>
        <n v="14925"/>
        <n v="14708"/>
        <n v="14709"/>
        <n v="14710"/>
        <n v="14711"/>
        <n v="14712"/>
        <n v="14713"/>
        <n v="14714"/>
        <n v="14715"/>
        <n v="14716"/>
        <n v="14717"/>
        <n v="14718"/>
        <n v="14719"/>
        <n v="14720"/>
        <n v="14721"/>
        <n v="14939"/>
        <n v="14723"/>
        <n v="14724"/>
        <n v="14725"/>
        <n v="14726"/>
        <n v="14727"/>
        <n v="14728"/>
        <n v="14729"/>
        <n v="14730"/>
        <n v="14731"/>
        <n v="14732"/>
        <n v="14733"/>
        <n v="14734"/>
        <n v="14735"/>
        <n v="14954"/>
        <n v="14737"/>
        <n v="14738"/>
        <n v="14739"/>
        <n v="14740"/>
        <n v="14741"/>
        <n v="14742"/>
        <n v="14743"/>
        <n v="14744"/>
        <n v="14745"/>
        <n v="14746"/>
        <n v="14747"/>
        <n v="14748"/>
        <n v="14749"/>
        <n v="14750"/>
        <n v="14968"/>
        <n v="14752"/>
        <n v="14753"/>
        <n v="14754"/>
        <n v="14755"/>
        <n v="14756"/>
        <n v="14757"/>
        <n v="14758"/>
        <n v="14759"/>
        <n v="14760"/>
        <n v="14761"/>
        <n v="14762"/>
        <n v="14763"/>
        <n v="14764"/>
        <n v="14983"/>
        <n v="14766"/>
        <n v="14767"/>
        <n v="14768"/>
        <n v="14769"/>
        <n v="14770"/>
        <n v="14771"/>
        <n v="14772"/>
        <n v="14773"/>
        <n v="14774"/>
        <n v="14775"/>
        <n v="14776"/>
        <n v="14777"/>
        <n v="14778"/>
        <n v="14779"/>
        <n v="14997"/>
        <n v="14781"/>
        <n v="14782"/>
        <n v="14783"/>
        <n v="14784"/>
        <n v="14785"/>
        <n v="14786"/>
        <n v="14787"/>
        <n v="14788"/>
        <n v="14789"/>
        <n v="14790"/>
        <n v="14791"/>
        <n v="14792"/>
        <n v="14793"/>
        <n v="15012"/>
        <n v="14795"/>
        <n v="14796"/>
        <n v="14797"/>
        <n v="14798"/>
        <n v="14799"/>
        <n v="14800"/>
        <n v="14801"/>
        <n v="14802"/>
        <n v="14803"/>
        <n v="14804"/>
        <n v="14805"/>
        <n v="14806"/>
        <n v="14807"/>
        <n v="14808"/>
        <n v="14819"/>
        <n v="14820"/>
        <n v="14821"/>
        <n v="14822"/>
        <n v="14833"/>
        <n v="14834"/>
        <n v="14835"/>
        <n v="14836"/>
        <n v="14837"/>
        <n v="14607"/>
        <n v="14608"/>
        <n v="14609"/>
        <n v="14610"/>
        <n v="14611"/>
        <n v="14612"/>
        <n v="14613"/>
        <n v="14614"/>
        <n v="14615"/>
        <n v="14616"/>
        <n v="14617"/>
        <n v="14618"/>
        <n v="14619"/>
        <n v="14838"/>
        <n v="14621"/>
        <n v="14622"/>
        <n v="14623"/>
        <n v="14624"/>
        <n v="14625"/>
        <n v="14626"/>
        <n v="14627"/>
        <n v="14628"/>
        <n v="14629"/>
        <n v="14630"/>
        <n v="14631"/>
        <n v="14632"/>
        <n v="14633"/>
        <n v="14634"/>
        <n v="14852"/>
        <n v="14636"/>
        <n v="14637"/>
        <n v="14638"/>
        <n v="14639"/>
        <n v="14640"/>
        <n v="14641"/>
        <n v="14642"/>
        <n v="14643"/>
        <n v="14644"/>
        <n v="14645"/>
        <n v="14646"/>
        <n v="14647"/>
        <n v="14648"/>
        <n v="14867"/>
        <n v="14650"/>
        <n v="14651"/>
        <n v="14652"/>
        <n v="14653"/>
        <n v="14654"/>
        <n v="14655"/>
        <n v="14656"/>
        <n v="14657"/>
        <n v="14658"/>
        <n v="14659"/>
        <n v="14660"/>
        <n v="14661"/>
        <n v="14662"/>
        <n v="14663"/>
        <n v="14881"/>
        <n v="14665"/>
        <n v="14666"/>
        <n v="14667"/>
        <n v="14668"/>
        <n v="14669"/>
        <n v="14670"/>
        <n v="14671"/>
        <n v="14672"/>
        <n v="14673"/>
        <n v="14674"/>
        <n v="14675"/>
        <n v="14676"/>
        <n v="14677"/>
        <n v="14896"/>
        <n v="14911"/>
        <n v="14912"/>
        <n v="14913"/>
        <n v="14914"/>
        <n v="14915"/>
        <n v="14916"/>
        <n v="14917"/>
        <n v="14918"/>
        <n v="14919"/>
        <n v="14920"/>
        <n v="14921"/>
        <n v="14922"/>
        <n v="14923"/>
        <n v="14924"/>
        <n v="11430"/>
        <n v="14926"/>
        <n v="14927"/>
        <n v="14928"/>
        <n v="14929"/>
        <n v="14930"/>
        <n v="14931"/>
        <n v="14932"/>
        <n v="14933"/>
        <n v="14934"/>
        <n v="14935"/>
        <n v="14936"/>
        <n v="14937"/>
        <n v="14938"/>
        <n v="11445"/>
        <n v="14940"/>
        <n v="14941"/>
        <n v="14942"/>
        <n v="14943"/>
        <n v="14944"/>
        <n v="14945"/>
        <n v="14946"/>
        <n v="14947"/>
        <n v="14948"/>
        <n v="14949"/>
        <n v="14950"/>
        <n v="14951"/>
        <n v="14952"/>
        <n v="14953"/>
        <n v="11459"/>
        <n v="14955"/>
        <n v="14956"/>
        <n v="14957"/>
        <n v="14958"/>
        <n v="14959"/>
        <n v="14960"/>
        <n v="14961"/>
        <n v="14962"/>
        <n v="14963"/>
        <n v="14964"/>
        <n v="14965"/>
        <n v="14966"/>
        <n v="14967"/>
        <n v="11474"/>
        <n v="14969"/>
        <n v="14970"/>
        <n v="14971"/>
        <n v="14972"/>
        <n v="14973"/>
        <n v="14974"/>
        <n v="14975"/>
        <n v="14976"/>
        <n v="14977"/>
        <n v="14978"/>
        <n v="14979"/>
        <n v="14980"/>
        <n v="14981"/>
        <n v="14982"/>
        <n v="11488"/>
        <n v="14984"/>
        <n v="14985"/>
        <n v="14986"/>
        <n v="14987"/>
        <n v="14988"/>
        <n v="14989"/>
        <n v="14990"/>
        <n v="14991"/>
        <n v="14992"/>
        <n v="14993"/>
        <n v="14994"/>
        <n v="14995"/>
        <n v="14996"/>
        <n v="11503"/>
        <n v="14998"/>
        <n v="14999"/>
        <n v="15000"/>
        <n v="15001"/>
        <n v="15002"/>
        <n v="15003"/>
        <n v="15004"/>
        <n v="15005"/>
        <n v="15006"/>
        <n v="15007"/>
        <n v="15008"/>
        <n v="15009"/>
        <n v="15010"/>
        <n v="15011"/>
        <n v="11517"/>
        <n v="15013"/>
        <n v="15014"/>
        <n v="15015"/>
        <n v="15016"/>
        <n v="15017"/>
        <n v="11532"/>
        <n v="11546"/>
        <n v="11547"/>
        <n v="11548"/>
        <n v="11549"/>
        <n v="11550"/>
        <n v="11551"/>
        <n v="11552"/>
        <n v="11553"/>
        <n v="11554"/>
        <n v="11555"/>
        <n v="11561"/>
        <n v="11562"/>
        <n v="11563"/>
        <n v="11564"/>
        <n v="11565"/>
        <n v="11566"/>
        <n v="11567"/>
        <n v="11568"/>
        <n v="11569"/>
        <n v="11570"/>
        <n v="11575"/>
        <n v="11576"/>
        <n v="11577"/>
        <n v="11578"/>
        <n v="11579"/>
        <n v="11580"/>
        <n v="11581"/>
        <n v="11582"/>
        <n v="11583"/>
        <n v="11584"/>
        <n v="14839"/>
        <n v="14840"/>
        <n v="14841"/>
        <n v="14842"/>
        <n v="14843"/>
        <n v="14844"/>
        <n v="14845"/>
        <n v="14846"/>
        <n v="14847"/>
        <n v="14848"/>
        <n v="14849"/>
        <n v="14850"/>
        <n v="14851"/>
        <n v="14853"/>
        <n v="14854"/>
        <n v="14855"/>
        <n v="14856"/>
        <n v="14857"/>
        <n v="14858"/>
        <n v="14859"/>
        <n v="14860"/>
        <n v="14861"/>
        <n v="14862"/>
        <n v="14863"/>
        <n v="14864"/>
        <n v="14865"/>
        <n v="14866"/>
        <n v="14868"/>
        <n v="14869"/>
        <n v="14870"/>
        <n v="14871"/>
        <n v="14872"/>
        <n v="14873"/>
        <n v="14874"/>
        <n v="14875"/>
        <n v="14876"/>
        <n v="14877"/>
        <n v="14878"/>
        <n v="14879"/>
        <n v="14880"/>
        <n v="14882"/>
        <n v="14883"/>
        <n v="14884"/>
        <n v="14885"/>
        <n v="14886"/>
        <n v="14887"/>
        <n v="14888"/>
        <n v="14889"/>
        <n v="14890"/>
        <n v="14891"/>
        <n v="14892"/>
        <n v="14893"/>
        <n v="14894"/>
        <n v="14895"/>
        <n v="14897"/>
        <n v="14898"/>
        <n v="14899"/>
        <n v="14900"/>
        <n v="14901"/>
        <n v="14902"/>
        <n v="14903"/>
        <n v="14904"/>
        <n v="14905"/>
        <n v="14906"/>
        <n v="14907"/>
        <n v="14908"/>
        <n v="14909"/>
        <n v="11416"/>
        <n v="11431"/>
        <n v="11432"/>
        <n v="11433"/>
        <n v="11434"/>
        <n v="11435"/>
        <n v="11436"/>
        <n v="11437"/>
        <n v="11438"/>
        <n v="11439"/>
        <n v="11440"/>
        <n v="11441"/>
        <n v="11442"/>
        <n v="11443"/>
        <n v="11444"/>
        <n v="11662"/>
        <n v="11446"/>
        <n v="11447"/>
        <n v="11448"/>
        <n v="11449"/>
        <n v="11450"/>
        <n v="11451"/>
        <n v="11452"/>
        <n v="11453"/>
        <n v="11454"/>
        <n v="11455"/>
        <n v="11456"/>
        <n v="11457"/>
        <n v="11458"/>
        <n v="11677"/>
        <n v="11460"/>
        <n v="11461"/>
        <n v="11462"/>
        <n v="11463"/>
        <n v="11464"/>
        <n v="11465"/>
        <n v="11466"/>
        <n v="11467"/>
        <n v="11468"/>
        <n v="11469"/>
        <n v="11470"/>
        <n v="11471"/>
        <n v="11472"/>
        <n v="11473"/>
        <n v="11691"/>
        <n v="11475"/>
        <n v="11476"/>
        <n v="11477"/>
        <n v="11478"/>
        <n v="11479"/>
        <n v="11480"/>
        <n v="11481"/>
        <n v="11482"/>
        <n v="11483"/>
        <n v="11484"/>
        <n v="11485"/>
        <n v="11486"/>
        <n v="11487"/>
        <n v="11706"/>
        <n v="11489"/>
        <n v="11490"/>
        <n v="11491"/>
        <n v="11492"/>
        <n v="11493"/>
        <n v="11494"/>
        <n v="11495"/>
        <n v="11496"/>
        <n v="11497"/>
        <n v="11498"/>
        <n v="11499"/>
        <n v="11500"/>
        <n v="11501"/>
        <n v="11502"/>
        <n v="11720"/>
        <n v="11504"/>
        <n v="11505"/>
        <n v="11506"/>
        <n v="11507"/>
        <n v="11508"/>
        <n v="11509"/>
        <n v="11510"/>
        <n v="11511"/>
        <n v="11512"/>
        <n v="11513"/>
        <n v="11514"/>
        <n v="11515"/>
        <n v="11516"/>
        <n v="11735"/>
        <n v="11518"/>
        <n v="11519"/>
        <n v="11520"/>
        <n v="11521"/>
        <n v="11522"/>
        <n v="11523"/>
        <n v="11524"/>
        <n v="11525"/>
        <n v="11526"/>
        <n v="11527"/>
        <n v="11528"/>
        <n v="11529"/>
        <n v="11530"/>
        <n v="11531"/>
        <n v="11749"/>
        <n v="11533"/>
        <n v="11534"/>
        <n v="11535"/>
        <n v="11536"/>
        <n v="11537"/>
        <n v="11538"/>
        <n v="11539"/>
        <n v="11540"/>
        <n v="11541"/>
        <n v="11542"/>
        <n v="11543"/>
        <n v="11544"/>
        <n v="11545"/>
        <n v="11764"/>
        <n v="11556"/>
        <n v="11557"/>
        <n v="11558"/>
        <n v="11559"/>
        <n v="11560"/>
        <n v="11778"/>
        <n v="11779"/>
        <n v="11780"/>
        <n v="11781"/>
        <n v="11782"/>
        <n v="11783"/>
        <n v="11784"/>
        <n v="11785"/>
        <n v="11786"/>
        <n v="11787"/>
        <n v="11571"/>
        <n v="11572"/>
        <n v="11573"/>
        <n v="11574"/>
        <n v="11793"/>
        <n v="11794"/>
        <n v="11795"/>
        <n v="11796"/>
        <n v="11797"/>
        <n v="11798"/>
        <n v="11799"/>
        <n v="11800"/>
        <n v="11801"/>
        <n v="11802"/>
        <n v="11585"/>
        <n v="11586"/>
        <n v="11587"/>
        <n v="11588"/>
        <n v="11589"/>
        <n v="11807"/>
        <n v="11808"/>
        <n v="11809"/>
        <n v="11810"/>
        <n v="11811"/>
        <n v="11812"/>
        <n v="11813"/>
        <n v="11814"/>
        <n v="11815"/>
        <n v="11816"/>
        <n v="11590"/>
        <n v="11604"/>
        <n v="11619"/>
        <n v="11402"/>
        <n v="11403"/>
        <n v="11404"/>
        <n v="11405"/>
        <n v="11406"/>
        <n v="11407"/>
        <n v="11408"/>
        <n v="11409"/>
        <n v="11410"/>
        <n v="11411"/>
        <n v="11412"/>
        <n v="11413"/>
        <n v="11414"/>
        <n v="11415"/>
        <n v="11633"/>
        <n v="11417"/>
        <n v="11418"/>
        <n v="11419"/>
        <n v="11420"/>
        <n v="11421"/>
        <n v="11422"/>
        <n v="11423"/>
        <n v="11424"/>
        <n v="11425"/>
        <n v="11426"/>
        <n v="11427"/>
        <n v="11428"/>
        <n v="11429"/>
        <n v="11648"/>
        <n v="11663"/>
        <n v="11664"/>
        <n v="11665"/>
        <n v="11666"/>
        <n v="11667"/>
        <n v="11668"/>
        <n v="11669"/>
        <n v="11670"/>
        <n v="11671"/>
        <n v="11672"/>
        <n v="11673"/>
        <n v="11674"/>
        <n v="11675"/>
        <n v="11676"/>
        <n v="11894"/>
        <n v="11678"/>
        <n v="11679"/>
        <n v="11680"/>
        <n v="11681"/>
        <n v="11682"/>
        <n v="11683"/>
        <n v="11684"/>
        <n v="11685"/>
        <n v="11686"/>
        <n v="11687"/>
        <n v="11688"/>
        <n v="11689"/>
        <n v="11690"/>
        <n v="11909"/>
        <n v="11692"/>
        <n v="11693"/>
        <n v="11694"/>
        <n v="11695"/>
        <n v="11696"/>
        <n v="11697"/>
        <n v="11698"/>
        <n v="11699"/>
        <n v="11700"/>
        <n v="11701"/>
        <n v="11702"/>
        <n v="11703"/>
        <n v="11704"/>
        <n v="11705"/>
        <n v="11923"/>
        <n v="11707"/>
        <n v="11708"/>
        <n v="11709"/>
        <n v="11710"/>
        <n v="11711"/>
        <n v="11712"/>
        <n v="11713"/>
        <n v="11714"/>
        <n v="11715"/>
        <n v="11716"/>
        <n v="11717"/>
        <n v="11718"/>
        <n v="11719"/>
        <n v="11938"/>
        <n v="11721"/>
        <n v="11722"/>
        <n v="11723"/>
        <n v="11724"/>
        <n v="11725"/>
        <n v="11726"/>
        <n v="11727"/>
        <n v="11728"/>
        <n v="11729"/>
        <n v="11730"/>
        <n v="11731"/>
        <n v="11732"/>
        <n v="11733"/>
        <n v="11734"/>
        <n v="11952"/>
        <n v="11736"/>
        <n v="11737"/>
        <n v="11738"/>
        <n v="11739"/>
        <n v="11740"/>
        <n v="11741"/>
        <n v="11742"/>
        <n v="11743"/>
        <n v="11744"/>
        <n v="11745"/>
        <n v="11746"/>
        <n v="11747"/>
        <n v="11748"/>
        <n v="11967"/>
        <n v="11750"/>
        <n v="11751"/>
        <n v="11752"/>
        <n v="11753"/>
        <n v="11754"/>
        <n v="11755"/>
        <n v="11756"/>
        <n v="11757"/>
        <n v="11758"/>
        <n v="11759"/>
        <n v="11760"/>
        <n v="11761"/>
        <n v="11762"/>
        <n v="11763"/>
        <n v="11981"/>
        <n v="11765"/>
        <n v="11766"/>
        <n v="11767"/>
        <n v="11768"/>
        <n v="11769"/>
        <n v="11770"/>
        <n v="11771"/>
        <n v="11772"/>
        <n v="11773"/>
        <n v="11774"/>
        <n v="11775"/>
        <n v="11776"/>
        <n v="11777"/>
        <n v="11996"/>
        <n v="11788"/>
        <n v="11789"/>
        <n v="11790"/>
        <n v="11791"/>
        <n v="11792"/>
        <n v="12010"/>
        <n v="12011"/>
        <n v="12012"/>
        <n v="12013"/>
        <n v="12014"/>
        <n v="12015"/>
        <n v="12016"/>
        <n v="12017"/>
        <n v="12018"/>
        <n v="12019"/>
        <n v="11803"/>
        <n v="11804"/>
        <n v="11805"/>
        <n v="11806"/>
        <n v="12025"/>
        <n v="12026"/>
        <n v="12027"/>
        <n v="12028"/>
        <n v="12029"/>
        <n v="12030"/>
        <n v="12031"/>
        <n v="12032"/>
        <n v="12033"/>
        <n v="12034"/>
        <n v="11817"/>
        <n v="11818"/>
        <n v="11819"/>
        <n v="11820"/>
        <n v="11821"/>
        <n v="12039"/>
        <n v="12040"/>
        <n v="12041"/>
        <n v="12042"/>
        <n v="12043"/>
        <n v="12044"/>
        <n v="12045"/>
        <n v="12046"/>
        <n v="12047"/>
        <n v="12048"/>
        <n v="11591"/>
        <n v="11592"/>
        <n v="11593"/>
        <n v="11594"/>
        <n v="11595"/>
        <n v="11596"/>
        <n v="11597"/>
        <n v="11598"/>
        <n v="11599"/>
        <n v="11600"/>
        <n v="11601"/>
        <n v="11602"/>
        <n v="11603"/>
        <n v="11822"/>
        <n v="11605"/>
        <n v="11606"/>
        <n v="11607"/>
        <n v="11608"/>
        <n v="11609"/>
        <n v="11610"/>
        <n v="11611"/>
        <n v="11612"/>
        <n v="11613"/>
        <n v="11614"/>
        <n v="11615"/>
        <n v="11616"/>
        <n v="11617"/>
        <n v="11618"/>
        <n v="11836"/>
        <n v="11620"/>
        <n v="11621"/>
        <n v="11622"/>
        <n v="11623"/>
        <n v="11624"/>
        <n v="11625"/>
        <n v="11626"/>
        <n v="11627"/>
        <n v="11628"/>
        <n v="11629"/>
        <n v="11630"/>
        <n v="11631"/>
        <n v="11632"/>
        <n v="11851"/>
        <n v="11634"/>
        <n v="11635"/>
        <n v="11636"/>
        <n v="11637"/>
        <n v="11638"/>
        <n v="11639"/>
        <n v="11640"/>
        <n v="11641"/>
        <n v="11642"/>
        <n v="11643"/>
        <n v="11644"/>
        <n v="11645"/>
        <n v="11646"/>
        <n v="11647"/>
        <n v="11865"/>
        <n v="11649"/>
        <n v="11650"/>
        <n v="11651"/>
        <n v="11652"/>
        <n v="11653"/>
        <n v="11654"/>
        <n v="11655"/>
        <n v="11656"/>
        <n v="11657"/>
        <n v="11658"/>
        <n v="11659"/>
        <n v="11660"/>
        <n v="11661"/>
        <n v="11880"/>
        <n v="11895"/>
        <n v="11896"/>
        <n v="11897"/>
        <n v="11898"/>
        <n v="11899"/>
        <n v="11900"/>
        <n v="11901"/>
        <n v="11902"/>
        <n v="11903"/>
        <n v="11904"/>
        <n v="11905"/>
        <n v="11906"/>
        <n v="11907"/>
        <n v="11908"/>
        <n v="12126"/>
        <n v="11910"/>
        <n v="11911"/>
        <n v="11912"/>
        <n v="11913"/>
        <n v="11914"/>
        <n v="11915"/>
        <n v="11916"/>
        <n v="11917"/>
        <n v="11918"/>
        <n v="11919"/>
        <n v="11920"/>
        <n v="11921"/>
        <n v="11922"/>
        <n v="12141"/>
        <n v="11924"/>
        <n v="11925"/>
        <n v="11926"/>
        <n v="11927"/>
        <n v="11928"/>
        <n v="11929"/>
        <n v="11930"/>
        <n v="11931"/>
        <n v="11932"/>
        <n v="11933"/>
        <n v="11934"/>
        <n v="11935"/>
        <n v="11936"/>
        <n v="11937"/>
        <n v="12155"/>
        <n v="11939"/>
        <n v="11940"/>
        <n v="11941"/>
        <n v="11942"/>
        <n v="11943"/>
        <n v="11944"/>
        <n v="11945"/>
        <n v="11946"/>
        <n v="11947"/>
        <n v="11948"/>
        <n v="11949"/>
        <n v="11950"/>
        <n v="11951"/>
        <n v="12170"/>
        <n v="11953"/>
        <n v="11954"/>
        <n v="11955"/>
        <n v="11956"/>
        <n v="11957"/>
        <n v="11958"/>
        <n v="11959"/>
        <n v="11960"/>
        <n v="11961"/>
        <n v="11962"/>
        <n v="11963"/>
        <n v="11964"/>
        <n v="11965"/>
        <n v="11966"/>
        <n v="12184"/>
        <n v="11968"/>
        <n v="11969"/>
        <n v="11970"/>
        <n v="11971"/>
        <n v="11972"/>
        <n v="11973"/>
        <n v="11974"/>
        <n v="11975"/>
        <n v="11976"/>
        <n v="11977"/>
        <n v="11978"/>
        <n v="11979"/>
        <n v="11980"/>
        <n v="12199"/>
        <n v="11982"/>
        <n v="11983"/>
        <n v="11984"/>
        <n v="11985"/>
        <n v="11986"/>
        <n v="11987"/>
        <n v="11988"/>
        <n v="11989"/>
        <n v="11990"/>
        <n v="11991"/>
        <n v="11992"/>
        <n v="11993"/>
        <n v="11994"/>
        <n v="11995"/>
        <n v="12213"/>
        <n v="11997"/>
        <n v="11998"/>
        <n v="11999"/>
        <n v="12000"/>
        <n v="12001"/>
        <n v="12002"/>
        <n v="12003"/>
        <n v="12004"/>
        <n v="12005"/>
        <n v="12006"/>
        <n v="12007"/>
        <n v="12008"/>
        <n v="12009"/>
        <n v="12228"/>
        <n v="12020"/>
        <n v="12021"/>
        <n v="12022"/>
        <n v="12023"/>
        <n v="12024"/>
        <n v="12242"/>
        <n v="12243"/>
        <n v="12244"/>
        <n v="12245"/>
        <n v="12246"/>
        <n v="12247"/>
        <n v="12248"/>
        <n v="12249"/>
        <n v="12250"/>
        <n v="12251"/>
        <n v="12035"/>
        <n v="12036"/>
        <n v="12037"/>
        <n v="12038"/>
        <n v="12257"/>
        <n v="12258"/>
        <n v="12259"/>
        <n v="12260"/>
        <n v="12261"/>
        <n v="12262"/>
        <n v="12263"/>
        <n v="12264"/>
        <n v="12265"/>
        <n v="12266"/>
        <n v="12049"/>
        <n v="12050"/>
        <n v="12051"/>
        <n v="12052"/>
        <n v="12053"/>
        <n v="12271"/>
        <n v="12272"/>
        <n v="12273"/>
        <n v="12274"/>
        <n v="12275"/>
        <n v="12276"/>
        <n v="12277"/>
        <n v="12278"/>
        <n v="12279"/>
        <n v="12280"/>
        <n v="11823"/>
        <n v="11824"/>
        <n v="11825"/>
        <n v="11826"/>
        <n v="11827"/>
        <n v="11828"/>
        <n v="11829"/>
        <n v="11830"/>
        <n v="11831"/>
        <n v="11832"/>
        <n v="11833"/>
        <n v="11834"/>
        <n v="11835"/>
        <n v="12054"/>
        <n v="11837"/>
        <n v="11838"/>
        <n v="11839"/>
        <n v="11840"/>
        <n v="11841"/>
        <n v="11842"/>
        <n v="11843"/>
        <n v="11844"/>
        <n v="11845"/>
        <n v="11846"/>
        <n v="11847"/>
        <n v="11848"/>
        <n v="11849"/>
        <n v="11850"/>
        <n v="12068"/>
        <n v="11852"/>
        <n v="11853"/>
        <n v="11854"/>
        <n v="11855"/>
        <n v="11856"/>
        <n v="11857"/>
        <n v="11858"/>
        <n v="11859"/>
        <n v="11860"/>
        <n v="11861"/>
        <n v="11862"/>
        <n v="11863"/>
        <n v="11864"/>
        <n v="12083"/>
        <n v="11866"/>
        <n v="11867"/>
        <n v="11868"/>
        <n v="11869"/>
        <n v="11870"/>
        <n v="11871"/>
        <n v="11872"/>
        <n v="11873"/>
        <n v="11874"/>
        <n v="11875"/>
        <n v="11876"/>
        <n v="11877"/>
        <n v="11878"/>
        <n v="11879"/>
        <n v="12097"/>
        <n v="11881"/>
        <n v="11882"/>
        <n v="11883"/>
        <n v="11884"/>
        <n v="11885"/>
        <n v="11886"/>
        <n v="11887"/>
        <n v="11888"/>
        <n v="11889"/>
        <n v="11890"/>
        <n v="11891"/>
        <n v="11892"/>
        <n v="11893"/>
        <n v="12112"/>
        <n v="12127"/>
        <n v="12128"/>
        <n v="12129"/>
        <n v="12130"/>
        <n v="12131"/>
        <n v="12132"/>
        <n v="12133"/>
        <n v="12134"/>
        <n v="12135"/>
        <n v="12136"/>
        <n v="12137"/>
        <n v="12138"/>
        <n v="12139"/>
        <n v="12140"/>
        <n v="12142"/>
        <n v="12143"/>
        <n v="12144"/>
        <n v="12145"/>
        <n v="12146"/>
        <n v="12147"/>
        <n v="12148"/>
        <n v="12149"/>
        <n v="12150"/>
        <n v="12151"/>
        <n v="12152"/>
        <n v="12153"/>
        <n v="12154"/>
        <n v="12156"/>
        <n v="12157"/>
        <n v="12158"/>
        <n v="12159"/>
        <n v="12160"/>
        <n v="12161"/>
        <n v="12162"/>
        <n v="12163"/>
        <n v="12164"/>
        <n v="12165"/>
        <n v="12166"/>
        <n v="12167"/>
        <n v="12168"/>
        <n v="12169"/>
        <n v="12171"/>
        <n v="12172"/>
        <n v="12173"/>
        <n v="12174"/>
        <n v="12175"/>
        <n v="12176"/>
        <n v="12177"/>
        <n v="12178"/>
        <n v="12179"/>
        <n v="12180"/>
        <n v="12181"/>
        <n v="12182"/>
        <n v="12183"/>
        <n v="12185"/>
        <n v="12186"/>
        <n v="12187"/>
        <n v="12188"/>
        <n v="12189"/>
        <n v="12190"/>
        <n v="12191"/>
        <n v="12192"/>
        <n v="12193"/>
        <n v="12194"/>
        <n v="12195"/>
        <n v="12196"/>
        <n v="12197"/>
        <n v="12198"/>
        <n v="12200"/>
        <n v="12201"/>
        <n v="12202"/>
        <n v="12203"/>
        <n v="12204"/>
        <n v="12205"/>
        <n v="12206"/>
        <n v="12207"/>
        <n v="12208"/>
        <n v="12209"/>
        <n v="12210"/>
        <n v="12211"/>
        <n v="12212"/>
        <n v="12214"/>
        <n v="12215"/>
        <n v="12216"/>
        <n v="12217"/>
        <n v="12218"/>
        <n v="12219"/>
        <n v="12220"/>
        <n v="12221"/>
        <n v="12222"/>
        <n v="12223"/>
        <n v="12224"/>
        <n v="12225"/>
        <n v="12226"/>
        <n v="12227"/>
        <n v="12229"/>
        <n v="12230"/>
        <n v="12231"/>
        <n v="12232"/>
        <n v="12233"/>
        <n v="12234"/>
        <n v="12235"/>
        <n v="12236"/>
        <n v="12237"/>
        <n v="12238"/>
        <n v="12239"/>
        <n v="12240"/>
        <n v="12241"/>
        <n v="12252"/>
        <n v="12253"/>
        <n v="12254"/>
        <n v="12255"/>
        <n v="12256"/>
        <n v="12475"/>
        <n v="12476"/>
        <n v="12477"/>
        <n v="12478"/>
        <n v="12479"/>
        <n v="12480"/>
        <n v="12481"/>
        <n v="12482"/>
        <n v="12483"/>
        <n v="12267"/>
        <n v="12268"/>
        <n v="12269"/>
        <n v="12270"/>
        <n v="12489"/>
        <n v="12490"/>
        <n v="12491"/>
        <n v="12492"/>
        <n v="12493"/>
        <n v="12494"/>
        <n v="12495"/>
        <n v="12496"/>
        <n v="12497"/>
        <n v="12281"/>
        <n v="12282"/>
        <n v="12283"/>
        <n v="12284"/>
        <n v="12285"/>
        <n v="12504"/>
        <n v="12505"/>
        <n v="12506"/>
        <n v="12507"/>
        <n v="12508"/>
        <n v="12509"/>
        <n v="12510"/>
        <n v="12511"/>
        <n v="12512"/>
        <n v="12055"/>
        <n v="12056"/>
        <n v="12057"/>
        <n v="12058"/>
        <n v="12059"/>
        <n v="12060"/>
        <n v="12061"/>
        <n v="12062"/>
        <n v="12063"/>
        <n v="12064"/>
        <n v="12065"/>
        <n v="12066"/>
        <n v="12067"/>
        <n v="12069"/>
        <n v="12070"/>
        <n v="12071"/>
        <n v="12072"/>
        <n v="12073"/>
        <n v="12074"/>
        <n v="12075"/>
        <n v="12076"/>
        <n v="12077"/>
        <n v="12078"/>
        <n v="12079"/>
        <n v="12080"/>
        <n v="12081"/>
        <n v="12082"/>
        <n v="12084"/>
        <n v="12085"/>
        <n v="12086"/>
        <n v="12087"/>
        <n v="12088"/>
        <n v="12089"/>
        <n v="12090"/>
        <n v="12091"/>
        <n v="12092"/>
        <n v="12093"/>
        <n v="12094"/>
        <n v="12095"/>
        <n v="12096"/>
        <n v="12098"/>
        <n v="12099"/>
        <n v="12100"/>
        <n v="12101"/>
        <n v="12102"/>
        <n v="12103"/>
        <n v="12104"/>
        <n v="12105"/>
        <n v="12106"/>
        <n v="12107"/>
        <n v="12108"/>
        <n v="12109"/>
        <n v="12110"/>
        <n v="12111"/>
        <n v="12113"/>
        <n v="12114"/>
        <n v="12115"/>
        <n v="12116"/>
        <n v="12117"/>
        <n v="12118"/>
        <n v="12119"/>
        <n v="12120"/>
        <n v="12121"/>
        <n v="12122"/>
        <n v="12123"/>
        <n v="12124"/>
        <n v="12125"/>
        <n v="20662" u="1"/>
        <n v="16912" u="1"/>
        <n v="21608" u="1"/>
        <n v="20663" u="1"/>
        <n v="16913" u="1"/>
        <n v="21609" u="1"/>
        <n v="16176" u="1"/>
        <n v="20664" u="1"/>
        <n v="16914" u="1"/>
        <n v="21610" u="1"/>
        <n v="20665" u="1"/>
        <n v="16915" u="1"/>
        <n v="16177" u="1"/>
        <n v="20666" u="1"/>
        <n v="20667" u="1"/>
        <n v="24418" u="1"/>
        <n v="16178" u="1"/>
        <n v="20668" u="1"/>
        <n v="24419" u="1"/>
        <n v="20669" u="1"/>
        <n v="19724" u="1"/>
        <n v="24420" u="1"/>
        <n v="16179" u="1"/>
        <n v="20670" u="1"/>
        <n v="19725" u="1"/>
        <n v="24421" u="1"/>
        <n v="20671" u="1"/>
        <n v="15707" u="1"/>
        <n v="19726" u="1"/>
        <n v="24422" u="1"/>
        <n v="16180" u="1"/>
        <n v="19727" u="1"/>
        <n v="24423" u="1"/>
        <n v="15708" u="1"/>
        <n v="19728" u="1"/>
        <n v="24424" u="1"/>
        <n v="23479" u="1"/>
        <n v="19729" u="1"/>
        <n v="24425" u="1"/>
        <n v="23480" u="1"/>
        <n v="15709" u="1"/>
        <n v="19730" u="1"/>
        <n v="24426" u="1"/>
        <n v="18785" u="1"/>
        <n v="23481" u="1"/>
        <n v="19731" u="1"/>
        <n v="24427" u="1"/>
        <n v="15237" u="1"/>
        <n v="18786" u="1"/>
        <n v="23482" u="1"/>
        <n v="15710" u="1"/>
        <n v="19732" u="1"/>
        <n v="18787" u="1"/>
        <n v="23483" u="1"/>
        <n v="15238" u="1"/>
        <n v="18788" u="1"/>
        <n v="23484" u="1"/>
      </sharedItems>
    </cacheField>
    <cacheField name="POSLABEL" numFmtId="0" sqlType="12">
      <sharedItems containsBlank="1" count="15237">
        <s v="2018-07-30-10:00"/>
        <s v="2018-07-26-17:00"/>
        <s v="2018-07-26-18:00"/>
        <s v="2018-07-26-19:00"/>
        <s v="2018-07-26-20:00"/>
        <s v="2018-07-26-21:00"/>
        <s v="2018-07-26-22:00"/>
        <s v="2018-07-26-23:00"/>
        <s v="2018-07-27-00:00"/>
        <s v="2018-07-27-01:00"/>
        <s v="2018-07-27-02:00"/>
        <s v="2018-07-26-06:00"/>
        <s v="2018-07-26-07:00"/>
        <s v="2018-07-26-08:00"/>
        <s v="2018-07-26-09:00"/>
        <s v="2018-07-26-10:00"/>
        <s v="2018-07-26-11:00"/>
        <s v="2018-07-26-12:00"/>
        <s v="2018-07-26-13:00"/>
        <s v="2018-07-26-14:00"/>
        <s v="2018-07-26-15:00"/>
        <s v="2018-07-26-16:00"/>
        <s v="2018-07-25-19:00"/>
        <s v="2018-07-25-20:00"/>
        <s v="2018-07-25-21:00"/>
        <s v="2018-07-25-22:00"/>
        <s v="2018-07-25-23:00"/>
        <s v="2018-07-26-00:00"/>
        <s v="2018-07-26-01:00"/>
        <s v="2018-07-26-02:00"/>
        <s v="2018-07-26-03:00"/>
        <s v="2018-07-26-04:00"/>
        <s v="2018-07-26-05: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5-29-11:00"/>
        <s v="2018-05-29-12:00"/>
        <s v="2018-05-29-13:00"/>
        <s v="2018-05-29-14:00"/>
        <s v="2018-05-29-15:00"/>
        <s v="2018-05-29-16:00"/>
        <s v="2018-05-29-17:00"/>
        <s v="2018-05-29-18:00"/>
        <s v="2018-07-27-20:00"/>
        <s v="2018-07-27-21:00"/>
        <s v="2018-07-27-22:00"/>
        <s v="2018-07-27-23:00"/>
        <s v="2018-07-30-00:00"/>
        <s v="2018-07-30-01:00"/>
        <s v="2018-07-30-02:00"/>
        <s v="2018-07-30-03:00"/>
        <s v="2018-07-30-04:00"/>
        <s v="2018-05-29-19:00"/>
        <s v="2018-05-29-20:00"/>
        <s v="2018-05-29-21:00"/>
        <s v="2018-05-29-22:00"/>
        <s v="2018-05-29-23:00"/>
        <s v="2018-05-30-00:00"/>
        <s v="2018-07-30-05:00"/>
        <s v="2018-07-30-06:00"/>
        <s v="2018-07-30-07:00"/>
        <s v="2018-07-30-08:00"/>
        <s v="2018-07-30-09:00"/>
        <s v="2018-07-25-11:00"/>
        <s v="2018-07-25-12:00"/>
        <s v="2018-07-25-13:00"/>
        <s v="2018-07-25-14:00"/>
        <s v="2018-07-25-15:00"/>
        <s v="2018-07-25-16:00"/>
        <s v="2018-07-25-17:00"/>
        <s v="2018-07-25-18:00"/>
        <s v="2015-12-30-10:00"/>
        <s v="2015-12-30-11:00"/>
        <s v="2015-12-30-12:00"/>
        <s v="2015-12-30-13:00"/>
        <s v="2015-12-30-14:00"/>
        <s v="2015-12-30-15:00"/>
        <s v="2015-12-30-16:00"/>
        <s v="2015-12-30-17:00"/>
        <s v="2015-12-30-18:00"/>
        <s v="2015-12-30-19:00"/>
        <s v="2015-12-31-03:00"/>
        <s v="2015-12-31-04:00"/>
        <s v="2015-12-31-05:00"/>
        <s v="2015-12-31-06:00"/>
        <s v="2015-12-31-07:00"/>
        <s v="2015-12-31-08:00"/>
        <s v="2015-12-31-09:00"/>
        <s v="2015-12-31-10:00"/>
        <s v="2015-12-31-11:00"/>
        <s v="2015-12-31-18:00"/>
        <s v="2015-12-31-19:00"/>
        <s v="2016-01-04-00:00"/>
        <s v="2016-01-04-01:00"/>
        <s v="2016-01-04-02:00"/>
        <s v="2016-01-04-03:00"/>
        <s v="2016-01-04-04:00"/>
        <s v="2016-01-04-05:00"/>
        <s v="2016-01-04-06:00"/>
        <s v="2016-01-04-13:00"/>
        <s v="2016-01-04-14:00"/>
        <s v="2016-01-04-15:00"/>
        <s v="2016-01-04-16:00"/>
        <s v="2016-01-04-17:00"/>
        <s v="2016-01-04-18:00"/>
        <s v="2016-01-04-19:00"/>
        <s v="2016-01-04-20:00"/>
        <s v="2016-01-04-21:00"/>
        <s v="2016-01-05-04:00"/>
        <s v="2016-01-05-05:00"/>
        <s v="2016-01-05-06:00"/>
        <s v="2016-01-05-07:00"/>
        <s v="2016-01-05-08:00"/>
        <s v="2016-01-05-09:00"/>
        <s v="2016-01-05-10:00"/>
        <s v="2016-01-05-11:00"/>
        <s v="2016-01-05-12:00"/>
        <s v="2016-01-05-18:00"/>
        <s v="2016-01-05-19:00"/>
        <s v="2016-01-05-20:00"/>
        <s v="2016-01-05-21:00"/>
        <s v="2016-01-05-22:00"/>
        <s v="2016-01-05-23:00"/>
        <s v="2016-01-06-00:00"/>
        <s v="2016-01-06-01:00"/>
        <s v="2016-01-06-02:00"/>
        <s v="2016-01-06-09:00"/>
        <s v="2016-01-06-10:00"/>
        <s v="2016-01-06-11:00"/>
        <s v="2016-01-06-12:00"/>
        <s v="2016-01-06-13:00"/>
        <s v="2016-01-06-14:00"/>
        <s v="2016-01-06-15:00"/>
        <s v="2016-01-06-16:00"/>
        <s v="2016-01-06-23:00"/>
        <s v="2016-01-07-00:00"/>
        <s v="2016-01-07-01:00"/>
        <s v="2016-01-07-02:00"/>
        <s v="2016-01-07-03:00"/>
        <s v="2016-01-07-04:00"/>
        <s v="2016-01-07-05:00"/>
        <s v="2016-01-07-06:00"/>
        <s v="2016-01-07-14:00"/>
        <s v="2016-01-07-15:00"/>
        <s v="2016-01-07-16:00"/>
        <s v="2016-01-07-17:00"/>
        <s v="2016-01-07-18:00"/>
        <s v="2016-01-07-19:00"/>
        <s v="2016-01-07-20:00"/>
        <s v="2016-01-07-21:00"/>
        <s v="2016-01-08-05:00"/>
        <s v="2016-01-08-06:00"/>
        <s v="2016-01-08-07:00"/>
        <s v="2016-01-08-08:00"/>
        <s v="2016-01-08-09:00"/>
        <s v="2016-01-08-10:00"/>
        <s v="2016-01-08-11:00"/>
        <s v="2016-01-08-12:00"/>
        <s v="2016-01-08-13:00"/>
        <s v="2016-01-08-14:00"/>
        <s v="2016-01-08-15:00"/>
        <s v="2016-01-08-16:00"/>
        <s v="2016-01-08-17:00"/>
        <s v="2016-01-08-18:00"/>
        <s v="2016-01-08-19:00"/>
        <s v="2016-01-08-20:00"/>
        <s v="2016-01-08-21:00"/>
        <s v="2016-01-08-22:00"/>
        <s v="2016-01-08-23:00"/>
        <s v="2016-01-11-00:00"/>
        <s v="2016-01-11-01:00"/>
        <s v="2016-01-11-02:00"/>
        <s v="2016-01-11-03:00"/>
        <s v="2016-01-11-04:00"/>
        <s v="2016-01-11-05:00"/>
        <s v="2016-01-11-06:00"/>
        <s v="2016-01-11-07:00"/>
        <s v="2016-01-11-08:00"/>
        <s v="2016-01-11-09:00"/>
        <s v="2015-12-28-20:00"/>
        <s v="2015-12-28-21:00"/>
        <s v="2015-12-28-22:00"/>
        <s v="2015-12-28-23:00"/>
        <s v="2015-12-29-00:00"/>
        <s v="2015-12-29-01:00"/>
        <s v="2015-12-29-02:00"/>
        <s v="2015-12-29-03:00"/>
        <s v="2015-12-29-04:00"/>
        <s v="2015-12-29-15:00"/>
        <s v="2015-12-29-16:00"/>
        <s v="2015-12-29-17:00"/>
        <s v="2015-12-29-18:00"/>
        <s v="2015-12-29-19:00"/>
        <s v="2015-12-29-20:00"/>
        <s v="2015-12-29-21:00"/>
        <s v="2015-12-29-22:00"/>
        <s v="2015-12-29-23:00"/>
        <s v="2015-12-30-00:00"/>
        <s v="2015-12-30-20:00"/>
        <s v="2015-12-30-21:00"/>
        <s v="2015-12-30-22:00"/>
        <s v="2015-12-30-23:00"/>
        <s v="2015-12-31-00:00"/>
        <s v="2015-12-31-01:00"/>
        <s v="2015-12-31-02:00"/>
        <s v="2015-12-31-12:00"/>
        <s v="2015-12-31-13:00"/>
        <s v="2015-12-31-14:00"/>
        <s v="2015-12-31-15:00"/>
        <s v="2015-12-31-16:00"/>
        <s v="2015-12-31-17:00"/>
        <s v="2016-01-04-07:00"/>
        <s v="2016-01-04-08:00"/>
        <s v="2016-01-04-09:00"/>
        <s v="2016-01-04-10:00"/>
        <s v="2016-01-04-11:00"/>
        <s v="2016-01-04-12:00"/>
        <s v="2016-01-04-22:00"/>
        <s v="2016-01-04-23:00"/>
        <s v="2016-01-05-00:00"/>
        <s v="2016-01-05-01:00"/>
        <s v="2016-01-05-02:00"/>
        <s v="2016-01-05-03:00"/>
        <s v="2016-01-05-13:00"/>
        <s v="2016-01-05-14:00"/>
        <s v="2016-01-05-15:00"/>
        <s v="2016-01-05-16:00"/>
        <s v="2016-01-05-17:00"/>
        <s v="2016-01-06-03:00"/>
        <s v="2016-01-06-04:00"/>
        <s v="2016-01-06-05:00"/>
        <s v="2016-01-06-06:00"/>
        <s v="2016-01-06-07:00"/>
        <s v="2016-01-06-08:00"/>
        <s v="2016-01-06-17:00"/>
        <s v="2016-01-06-18:00"/>
        <s v="2016-01-06-19:00"/>
        <s v="2016-01-06-20:00"/>
        <s v="2016-01-06-21:00"/>
        <s v="2016-01-06-22:00"/>
        <s v="2016-01-07-07:00"/>
        <s v="2016-01-07-08:00"/>
        <s v="2016-01-07-09:00"/>
        <s v="2016-01-07-10:00"/>
        <s v="2016-01-07-11:00"/>
        <s v="2016-01-07-12:00"/>
        <s v="2016-01-07-13:00"/>
        <s v="2016-01-07-22:00"/>
        <s v="2016-01-07-23:00"/>
        <s v="2016-01-08-00:00"/>
        <s v="2016-01-08-01:00"/>
        <s v="2016-01-08-02:00"/>
        <s v="2016-01-08-03:00"/>
        <s v="2016-01-08-04:00"/>
        <s v="2016-01-11-10:00"/>
        <s v="2016-01-11-11:00"/>
        <s v="2016-01-11-12:00"/>
        <s v="2016-01-11-13:00"/>
        <s v="2016-01-11-14:00"/>
        <s v="2016-01-11-15:00"/>
        <s v="2016-01-11-16:00"/>
        <s v="2016-01-12-01:00"/>
        <s v="2016-01-12-02:00"/>
        <s v="2016-01-12-03:00"/>
        <s v="2016-01-12-04:00"/>
        <s v="2016-01-12-05:00"/>
        <s v="2016-01-12-06:00"/>
        <s v="2016-01-12-07:00"/>
        <s v="2016-01-12-15:00"/>
        <s v="2016-01-12-16:00"/>
        <s v="2016-01-12-17:00"/>
        <s v="2016-01-12-18:00"/>
        <s v="2016-01-12-19:00"/>
        <s v="2016-01-12-20:00"/>
        <s v="2016-01-12-21:00"/>
        <s v="2016-01-12-22:00"/>
        <s v="2015-12-29-05:00"/>
        <s v="2015-12-29-06:00"/>
        <s v="2015-12-29-07:00"/>
        <s v="2015-12-29-08:00"/>
        <s v="2015-12-29-09:00"/>
        <s v="2015-12-29-10:00"/>
        <s v="2015-12-29-11:00"/>
        <s v="2015-12-29-12:00"/>
        <s v="2015-12-29-13:00"/>
        <s v="2015-12-29-14:00"/>
        <s v="2015-12-30-01:00"/>
        <s v="2015-12-30-02:00"/>
        <s v="2015-12-30-03:00"/>
        <s v="2015-12-30-04:00"/>
        <s v="2015-12-30-05:00"/>
        <s v="2015-12-30-06:00"/>
        <s v="2015-12-30-07:00"/>
        <s v="2015-12-30-08:00"/>
        <s v="2015-12-30-09:00"/>
        <s v="2016-01-11-17:00"/>
        <s v="2016-01-11-18:00"/>
        <s v="2016-01-11-19:00"/>
        <s v="2016-01-11-20:00"/>
        <s v="2016-01-11-21:00"/>
        <s v="2016-01-11-22:00"/>
        <s v="2016-01-11-23:00"/>
        <s v="2016-01-12-00:00"/>
        <s v="2016-01-12-08:00"/>
        <s v="2016-01-12-09:00"/>
        <s v="2016-01-12-10:00"/>
        <s v="2016-01-12-11:00"/>
        <s v="2016-01-12-12:00"/>
        <s v="2016-01-12-13:00"/>
        <s v="2016-01-12-14:00"/>
        <s v="2016-01-12-23:00"/>
        <s v="2016-01-13-00:00"/>
        <s v="2016-01-13-01:00"/>
        <s v="2016-01-13-02:00"/>
        <s v="2016-01-13-03:00"/>
        <s v="2016-01-13-04:00"/>
        <s v="2016-01-13-05:00"/>
        <s v="2016-02-24-16:00"/>
        <s v="2016-02-24-17:00"/>
        <s v="2016-03-08-20:00"/>
        <s v="2016-03-08-21:00"/>
        <s v="2016-03-08-22:00"/>
        <s v="2016-03-08-23:00"/>
        <s v="2016-03-09-00:00"/>
        <s v="2016-03-09-01:00"/>
        <s v="2016-03-09-02:00"/>
        <s v="2016-03-09-03:00"/>
        <s v="2016-03-09-04:00"/>
        <s v="2016-03-09-05:00"/>
        <s v="2016-03-09-06:00"/>
        <s v="2016-03-09-07:00"/>
        <s v="2016-03-09-08:00"/>
        <s v="2016-03-09-09:00"/>
        <s v="2016-03-09-10:00"/>
        <s v="2016-02-25-07:00"/>
        <s v="2016-03-09-11:00"/>
        <s v="2016-03-09-12:00"/>
        <s v="2016-03-09-13:00"/>
        <s v="2016-03-09-14:00"/>
        <s v="2016-03-09-15:00"/>
        <s v="2016-03-09-16:00"/>
        <s v="2016-03-09-17:00"/>
        <s v="2016-03-09-18:00"/>
        <s v="2016-03-09-19:00"/>
        <s v="2016-03-09-20:00"/>
        <s v="2016-03-09-21:00"/>
        <s v="2016-03-09-22:00"/>
        <s v="2016-03-09-23:00"/>
        <s v="2016-03-10-00:00"/>
        <s v="2016-02-25-22:00"/>
        <s v="2016-03-10-01:00"/>
        <s v="2016-03-10-02:00"/>
        <s v="2016-03-10-03:00"/>
        <s v="2016-03-10-04:00"/>
        <s v="2016-03-10-05:00"/>
        <s v="2016-03-10-06:00"/>
        <s v="2016-03-10-07:00"/>
        <s v="2016-03-10-08:00"/>
        <s v="2016-03-10-09:00"/>
        <s v="2016-03-10-10:00"/>
        <s v="2016-03-10-11:00"/>
        <s v="2016-03-10-12:00"/>
        <s v="2016-03-10-13:00"/>
        <s v="2016-03-10-14:00"/>
        <s v="2016-03-10-15:00"/>
        <s v="2016-02-26-12:00"/>
        <s v="2016-02-26-13:00"/>
        <s v="2016-03-10-16:00"/>
        <s v="2016-03-10-17:00"/>
        <s v="2016-03-10-18:00"/>
        <s v="2016-03-10-19:00"/>
        <s v="2016-03-10-20:00"/>
        <s v="2016-03-10-21:00"/>
        <s v="2016-03-10-22:00"/>
        <s v="2016-03-10-23:00"/>
        <s v="2016-03-11-00:00"/>
        <s v="2016-03-11-01:00"/>
        <s v="2016-03-11-02:00"/>
        <s v="2016-03-11-03:00"/>
        <s v="2016-03-11-04:00"/>
        <s v="2016-03-11-05:00"/>
        <s v="2016-02-29-03:00"/>
        <s v="2016-03-11-06:00"/>
        <s v="2016-03-11-07:00"/>
        <s v="2016-03-11-08:00"/>
        <s v="2016-03-11-09:00"/>
        <s v="2016-03-11-10:00"/>
        <s v="2016-03-11-11:00"/>
        <s v="2016-03-11-12:00"/>
        <s v="2016-03-11-13:00"/>
        <s v="2016-03-11-14:00"/>
        <s v="2016-03-11-15:00"/>
        <s v="2016-03-11-16:00"/>
        <s v="2016-03-11-17:00"/>
        <s v="2016-03-11-18:00"/>
        <s v="2016-03-11-19:00"/>
        <s v="2016-03-11-20:00"/>
        <s v="2016-02-29-17:00"/>
        <s v="2016-02-29-18:00"/>
        <s v="2016-03-11-21:00"/>
        <s v="2016-03-11-22:00"/>
        <s v="2016-03-11-23:00"/>
        <s v="2016-03-14-00:00"/>
        <s v="2016-03-14-01:00"/>
        <s v="2016-03-14-02:00"/>
        <s v="2016-03-14-03:00"/>
        <s v="2016-03-14-04:00"/>
        <s v="2016-03-14-05:00"/>
        <s v="2016-03-14-06:00"/>
        <s v="2016-03-14-07:00"/>
        <s v="2016-03-14-08:00"/>
        <s v="2016-03-14-09:00"/>
        <s v="2016-03-14-10:00"/>
        <s v="2016-03-01-08:00"/>
        <s v="2016-03-14-11:00"/>
        <s v="2016-03-14-12:00"/>
        <s v="2016-03-14-13:00"/>
        <s v="2016-03-14-14:00"/>
        <s v="2016-03-14-15:00"/>
        <s v="2016-03-14-16:00"/>
        <s v="2016-03-14-17:00"/>
        <s v="2016-03-14-18:00"/>
        <s v="2016-03-14-19:00"/>
        <s v="2016-03-14-20:00"/>
        <s v="2016-03-14-21:00"/>
        <s v="2016-03-14-22:00"/>
        <s v="2016-03-14-23:00"/>
        <s v="2016-03-15-00:00"/>
        <s v="2016-03-15-01:00"/>
        <s v="2016-03-01-22:00"/>
        <s v="2016-03-01-23:00"/>
        <s v="2016-03-15-02:00"/>
        <s v="2016-03-15-03:00"/>
        <s v="2016-03-15-04:00"/>
        <s v="2016-03-15-05:00"/>
        <s v="2016-03-15-06:00"/>
        <s v="2016-03-15-07:00"/>
        <s v="2016-03-15-08:00"/>
        <s v="2016-03-15-09:00"/>
        <s v="2016-03-15-10:00"/>
        <s v="2016-03-15-11:00"/>
        <s v="2016-03-15-12:00"/>
        <s v="2016-03-15-13:00"/>
        <s v="2016-03-15-14:00"/>
        <s v="2016-03-15-15:00"/>
        <s v="2016-03-02-12:00"/>
        <s v="2016-03-02-13:00"/>
        <s v="2016-03-15-16:00"/>
        <s v="2016-03-15-17:00"/>
        <s v="2016-03-15-18:00"/>
        <s v="2016-03-15-19:00"/>
        <s v="2016-03-15-20:00"/>
        <s v="2016-03-15-21:00"/>
        <s v="2016-03-15-22:00"/>
        <s v="2016-03-15-23:00"/>
        <s v="2016-03-16-00:00"/>
        <s v="2016-03-16-01:00"/>
        <s v="2016-03-16-02:00"/>
        <s v="2016-03-16-03:00"/>
        <s v="2016-03-16-04:00"/>
        <s v="2016-03-16-05:00"/>
        <s v="2016-03-03-03:00"/>
        <s v="2016-03-03-04:00"/>
        <s v="2016-03-16-07:00"/>
        <s v="2016-03-16-08:00"/>
        <s v="2016-03-16-09:00"/>
        <s v="2016-03-16-10:00"/>
        <s v="2016-03-16-11:00"/>
        <s v="2016-03-16-12:00"/>
        <s v="2016-03-16-13:00"/>
        <s v="2016-03-16-14:00"/>
        <s v="2016-03-16-15:00"/>
        <s v="2016-03-16-16:00"/>
        <s v="2016-03-16-17:00"/>
        <s v="2016-03-16-18:00"/>
        <s v="2016-03-16-19:00"/>
        <s v="2016-03-16-20:00"/>
        <s v="2016-03-03-18:00"/>
        <s v="2016-03-03-19:00"/>
        <s v="2016-03-16-21:00"/>
        <s v="2016-03-16-22:00"/>
        <s v="2016-03-16-23:00"/>
        <s v="2016-03-17-00:00"/>
        <s v="2016-03-17-01:00"/>
        <s v="2016-03-17-02:00"/>
        <s v="2016-03-17-03:00"/>
        <s v="2016-03-17-04:00"/>
        <s v="2016-03-17-05:00"/>
        <s v="2016-03-17-06:00"/>
        <s v="2016-03-17-07:00"/>
        <s v="2016-03-17-08:00"/>
        <s v="2016-03-17-09:00"/>
        <s v="2016-03-17-10:00"/>
        <s v="2016-03-17-11:00"/>
        <s v="2016-03-04-08:00"/>
        <s v="2016-03-04-09:00"/>
        <s v="2016-03-17-12:00"/>
        <s v="2016-03-17-13:00"/>
        <s v="2016-03-17-14:00"/>
        <s v="2016-03-17-15:00"/>
        <s v="2016-03-17-16:00"/>
        <s v="2016-03-17-17:00"/>
        <s v="2016-03-17-18:00"/>
        <s v="2016-03-17-19:00"/>
        <s v="2016-03-17-20:00"/>
        <s v="2016-03-17-21:00"/>
        <s v="2016-03-17-22:00"/>
        <s v="2016-03-17-23:00"/>
        <s v="2016-03-18-00:00"/>
        <s v="2016-03-18-01:00"/>
        <s v="2016-02-22-06:00"/>
        <s v="2016-03-04-10:00"/>
        <s v="2016-03-04-11:00"/>
        <s v="2016-03-04-12:00"/>
        <s v="2016-03-04-13:00"/>
        <s v="2016-03-04-14:00"/>
        <s v="2016-03-04-15:00"/>
        <s v="2016-03-04-16:00"/>
        <s v="2016-03-04-17:00"/>
        <s v="2016-03-04-18:00"/>
        <s v="2016-03-04-19:00"/>
        <s v="2016-03-04-20:00"/>
        <s v="2016-03-04-21:00"/>
        <s v="2016-03-04-22:00"/>
        <s v="2016-03-04-23:00"/>
        <s v="2016-02-22-20:00"/>
        <s v="2016-02-22-21:00"/>
        <s v="2016-03-07-00:00"/>
        <s v="2016-03-07-01:00"/>
        <s v="2016-03-07-02:00"/>
        <s v="2016-03-07-03:00"/>
        <s v="2016-03-07-04:00"/>
        <s v="2016-03-07-05:00"/>
        <s v="2016-03-07-06:00"/>
        <s v="2016-03-07-07:00"/>
        <s v="2016-03-07-08:00"/>
        <s v="2016-03-07-09:00"/>
        <s v="2016-03-07-10:00"/>
        <s v="2016-03-07-11:00"/>
        <s v="2016-03-07-12:00"/>
        <s v="2016-03-07-13:00"/>
        <s v="2016-03-07-14:00"/>
        <s v="2016-02-23-11:00"/>
        <s v="2016-03-07-15:00"/>
        <s v="2016-03-07-16:00"/>
        <s v="2016-03-07-17:00"/>
        <s v="2016-03-07-18:00"/>
        <s v="2016-03-07-19:00"/>
        <s v="2016-03-07-20:00"/>
        <s v="2016-03-07-21:00"/>
        <s v="2016-03-07-22:00"/>
        <s v="2016-03-07-23:00"/>
        <s v="2016-03-08-00:00"/>
        <s v="2016-03-08-01:00"/>
        <s v="2016-03-08-02:00"/>
        <s v="2016-03-08-03:00"/>
        <s v="2016-03-08-04:00"/>
        <s v="2016-03-08-05:00"/>
        <s v="2016-02-24-02:00"/>
        <s v="2016-03-08-06:00"/>
        <s v="2016-03-08-07:00"/>
        <s v="2016-03-08-08:00"/>
        <s v="2016-03-08-09:00"/>
        <s v="2016-03-08-10:00"/>
        <s v="2016-03-08-11:00"/>
        <s v="2016-03-08-12:00"/>
        <s v="2016-03-08-13:00"/>
        <s v="2016-03-08-14:00"/>
        <s v="2016-03-08-15:00"/>
        <s v="2016-03-08-16:00"/>
        <s v="2016-03-08-17:00"/>
        <s v="2016-03-08-18:00"/>
        <s v="2016-03-08-19: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5-17:00"/>
        <s v="2016-03-25-18:00"/>
        <s v="2016-03-25-19:00"/>
        <s v="2016-03-25-20:00"/>
        <s v="2016-03-25-21:00"/>
        <s v="2016-03-25-22: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16-06: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8:00"/>
        <s v="2016-03-31-09:00"/>
        <s v="2016-03-31-10:00"/>
        <s v="2016-03-31-11:00"/>
        <s v="2016-03-31-12:00"/>
        <s v="2016-03-31-13:00"/>
        <s v="2016-03-31-14:00"/>
        <s v="2016-03-31-15:00"/>
        <s v="2016-03-31-16:00"/>
        <s v="2016-03-31-17:00"/>
        <s v="2016-03-31-18:00"/>
        <s v="2016-03-31-19:00"/>
        <s v="2016-03-31-20:00"/>
        <s v="2016-03-31-21:00"/>
        <s v="2016-03-18-03:00"/>
        <s v="2016-03-18-04:00"/>
        <s v="2016-03-18-05:00"/>
        <s v="2016-03-18-06:00"/>
        <s v="2016-03-18-07:00"/>
        <s v="2016-03-18-08:00"/>
        <s v="2016-03-18-09:00"/>
        <s v="2016-03-18-10:00"/>
        <s v="2016-03-18-11:00"/>
        <s v="2016-03-18-12:00"/>
        <s v="2016-03-18-13:00"/>
        <s v="2016-03-18-14:00"/>
        <s v="2016-03-18-15:00"/>
        <s v="2016-03-18-16:00"/>
        <s v="2016-03-18-17:00"/>
        <s v="2016-03-18-18:00"/>
        <s v="2016-03-18-19:00"/>
        <s v="2016-03-18-20:00"/>
        <s v="2016-03-18-21:00"/>
        <s v="2016-03-18-22: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08-17:00"/>
        <s v="2016-04-08-18:00"/>
        <s v="2016-04-08-19:00"/>
        <s v="2016-04-08-20:00"/>
        <s v="2016-04-08-21:00"/>
        <s v="2016-04-08-22:00"/>
        <s v="2016-04-08-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3-31-07:00"/>
        <s v="2016-04-13-11:00"/>
        <s v="2016-04-13-12:00"/>
        <s v="2016-04-13-13:00"/>
        <s v="2016-04-13-14:00"/>
        <s v="2016-04-13-15:00"/>
        <s v="2016-04-13-16:00"/>
        <s v="2016-04-13-17:00"/>
        <s v="2016-04-13-18:00"/>
        <s v="2016-04-13-19:00"/>
        <s v="2016-04-13-20:00"/>
        <s v="2016-04-13-21:00"/>
        <s v="2016-04-13-22:00"/>
        <s v="2016-04-13-23:00"/>
        <s v="2016-04-14-00:00"/>
        <s v="2016-03-31-22:00"/>
        <s v="2016-04-14-01:00"/>
        <s v="2016-04-14-02:00"/>
        <s v="2016-04-14-03:00"/>
        <s v="2016-04-14-04:00"/>
        <s v="2016-04-14-05:00"/>
        <s v="2016-04-14-06:00"/>
        <s v="2016-04-14-07:00"/>
        <s v="2016-04-14-08:00"/>
        <s v="2016-04-14-09:00"/>
        <s v="2016-04-14-10:00"/>
        <s v="2016-04-14-11:00"/>
        <s v="2016-04-14-12:00"/>
        <s v="2016-04-14-13:00"/>
        <s v="2016-04-14-14: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1-17:00"/>
        <s v="2016-04-01-18:00"/>
        <s v="2016-04-01-19:00"/>
        <s v="2016-04-01-20:00"/>
        <s v="2016-04-01-21:00"/>
        <s v="2016-04-01-22:00"/>
        <s v="2016-04-01-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2-17:00"/>
        <s v="2016-04-22-18:00"/>
        <s v="2016-04-22-19:00"/>
        <s v="2016-04-22-20:00"/>
        <s v="2016-04-22-21:00"/>
        <s v="2016-04-22-22:00"/>
        <s v="2016-04-22-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13-10:00"/>
        <s v="2016-04-26-13:00"/>
        <s v="2016-04-26-14:00"/>
        <s v="2016-04-26-15:00"/>
        <s v="2016-04-26-16:00"/>
        <s v="2016-04-26-17:00"/>
        <s v="2016-04-26-18:00"/>
        <s v="2016-04-26-19:00"/>
        <s v="2016-04-26-20:00"/>
        <s v="2016-04-26-21:00"/>
        <s v="2016-04-26-22:00"/>
        <s v="2016-04-26-23:00"/>
        <s v="2016-04-27-00:00"/>
        <s v="2016-04-27-01:00"/>
        <s v="2016-04-27-02:00"/>
        <s v="2016-04-27-04:00"/>
        <s v="2016-04-27-05:00"/>
        <s v="2016-04-27-06:00"/>
        <s v="2016-04-27-07:00"/>
        <s v="2016-04-27-08:00"/>
        <s v="2016-04-27-09:00"/>
        <s v="2016-04-27-10:00"/>
        <s v="2016-04-27-11:00"/>
        <s v="2016-04-27-12:00"/>
        <s v="2016-04-27-13:00"/>
        <s v="2016-04-27-14:00"/>
        <s v="2016-04-27-15:00"/>
        <s v="2016-04-27-16:00"/>
        <s v="2016-04-27-17:00"/>
        <s v="2016-04-14-15:00"/>
        <s v="2016-04-27-18:00"/>
        <s v="2016-04-27-19:00"/>
        <s v="2016-04-27-20:00"/>
        <s v="2016-04-27-21:00"/>
        <s v="2016-04-27-22:00"/>
        <s v="2016-04-27-23:00"/>
        <s v="2016-04-28-00:00"/>
        <s v="2016-04-28-01:00"/>
        <s v="2016-04-28-02:00"/>
        <s v="2016-04-28-03:00"/>
        <s v="2016-04-28-04:00"/>
        <s v="2016-04-28-05:00"/>
        <s v="2016-04-28-06:00"/>
        <s v="2016-04-28-07:00"/>
        <s v="2016-04-28-08: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5-17:00"/>
        <s v="2016-04-15-18:00"/>
        <s v="2016-04-15-19:00"/>
        <s v="2016-04-15-20:00"/>
        <s v="2016-04-15-21:00"/>
        <s v="2016-04-15-22:00"/>
        <s v="2016-04-15-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6-17:00"/>
        <s v="2016-05-06-18:00"/>
        <s v="2016-05-06-19:00"/>
        <s v="2016-05-06-20:00"/>
        <s v="2016-05-06-21:00"/>
        <s v="2016-05-06-22:00"/>
        <s v="2016-05-06-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4-27-03:00"/>
        <s v="2016-05-10-07:00"/>
        <s v="2016-05-10-08:00"/>
        <s v="2016-05-10-09:00"/>
        <s v="2016-05-10-10:00"/>
        <s v="2016-05-10-11:00"/>
        <s v="2016-05-10-12:00"/>
        <s v="2016-05-10-13:00"/>
        <s v="2016-05-10-14:00"/>
        <s v="2016-05-10-15:00"/>
        <s v="2016-05-10-16:00"/>
        <s v="2016-05-10-17:00"/>
        <s v="2016-05-10-18:00"/>
        <s v="2016-05-10-19:00"/>
        <s v="2016-05-10-20:00"/>
        <s v="2016-05-10-22:00"/>
        <s v="2016-05-10-23:00"/>
        <s v="2016-05-11-00:00"/>
        <s v="2016-05-11-01:00"/>
        <s v="2016-05-11-02:00"/>
        <s v="2016-05-11-03:00"/>
        <s v="2016-05-11-04:00"/>
        <s v="2016-05-11-05:00"/>
        <s v="2016-05-11-06:00"/>
        <s v="2016-05-11-07:00"/>
        <s v="2016-05-11-08:00"/>
        <s v="2016-05-11-09:00"/>
        <s v="2016-05-11-10:00"/>
        <s v="2016-05-11-11:00"/>
        <s v="2016-04-28-09:00"/>
        <s v="2016-05-11-13:00"/>
        <s v="2016-05-11-14:00"/>
        <s v="2016-05-11-15:00"/>
        <s v="2016-05-11-16:00"/>
        <s v="2016-05-11-17:00"/>
        <s v="2016-05-11-18:00"/>
        <s v="2016-05-11-19:00"/>
        <s v="2016-05-11-20:00"/>
        <s v="2016-05-11-21:00"/>
        <s v="2016-05-11-22:00"/>
        <s v="2016-05-11-23:00"/>
        <s v="2016-05-12-00:00"/>
        <s v="2016-05-12-01:00"/>
        <s v="2016-05-12-02: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4-29-17:00"/>
        <s v="2016-04-29-18:00"/>
        <s v="2016-04-29-19:00"/>
        <s v="2016-04-29-20:00"/>
        <s v="2016-04-29-21:00"/>
        <s v="2016-04-29-22:00"/>
        <s v="2016-04-29-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0-17:00"/>
        <s v="2016-05-20-18:00"/>
        <s v="2016-05-20-19:00"/>
        <s v="2016-05-20-20:00"/>
        <s v="2016-05-20-21:00"/>
        <s v="2016-05-20-22:00"/>
        <s v="2016-05-20-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10-21:00"/>
        <s v="2016-05-24-01:00"/>
        <s v="2016-05-24-02:00"/>
        <s v="2016-05-24-03:00"/>
        <s v="2016-05-24-04:00"/>
        <s v="2016-05-24-05:00"/>
        <s v="2016-05-24-06:00"/>
        <s v="2016-05-24-07:00"/>
        <s v="2016-05-24-08:00"/>
        <s v="2016-05-24-09:00"/>
        <s v="2016-05-24-10:00"/>
        <s v="2016-05-24-11:00"/>
        <s v="2016-05-24-12:00"/>
        <s v="2016-05-24-13:00"/>
        <s v="2016-05-24-14:00"/>
        <s v="2016-05-11-12:00"/>
        <s v="2016-05-24-16:00"/>
        <s v="2016-05-24-17:00"/>
        <s v="2016-05-24-18:00"/>
        <s v="2016-05-24-19:00"/>
        <s v="2016-05-24-20:00"/>
        <s v="2016-05-24-21:00"/>
        <s v="2016-05-24-22:00"/>
        <s v="2016-05-24-23:00"/>
        <s v="2016-05-25-00:00"/>
        <s v="2016-05-25-01:00"/>
        <s v="2016-05-25-02:00"/>
        <s v="2016-05-25-03:00"/>
        <s v="2016-05-25-04:00"/>
        <s v="2016-05-25-05:00"/>
        <s v="2016-05-12-03:00"/>
        <s v="2016-05-25-06:00"/>
        <s v="2016-05-25-07:00"/>
        <s v="2016-05-25-08:00"/>
        <s v="2016-05-25-09:00"/>
        <s v="2016-05-25-10:00"/>
        <s v="2016-05-25-11:00"/>
        <s v="2016-05-25-12:00"/>
        <s v="2016-05-25-13:00"/>
        <s v="2016-05-25-14:00"/>
        <s v="2016-05-25-15:00"/>
        <s v="2016-05-25-16:00"/>
        <s v="2016-05-25-17:00"/>
        <s v="2016-05-25-18:00"/>
        <s v="2016-05-25-19: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3-17:00"/>
        <s v="2016-05-13-18:00"/>
        <s v="2016-05-13-19:00"/>
        <s v="2016-05-13-20:00"/>
        <s v="2016-05-13-21:00"/>
        <s v="2016-05-13-22:00"/>
        <s v="2016-05-13-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3-17:00"/>
        <s v="2016-06-03-18:00"/>
        <s v="2016-06-03-19:00"/>
        <s v="2016-06-03-20:00"/>
        <s v="2016-06-03-21:00"/>
        <s v="2016-06-03-22:00"/>
        <s v="2016-06-03-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5-24-15: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5-25-20:00"/>
        <s v="2016-06-08-00:00"/>
        <s v="2016-06-08-01:00"/>
        <s v="2016-06-08-02:00"/>
        <s v="2016-06-08-03:00"/>
        <s v="2016-06-08-04:00"/>
        <s v="2016-06-08-05:00"/>
        <s v="2016-06-08-06:00"/>
        <s v="2016-06-08-07:00"/>
        <s v="2016-06-08-08:00"/>
        <s v="2016-06-08-09:00"/>
        <s v="2016-06-08-10:00"/>
        <s v="2016-06-08-11:00"/>
        <s v="2016-06-08-12:00"/>
        <s v="2016-06-08-13: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7-17:00"/>
        <s v="2016-05-27-18:00"/>
        <s v="2016-05-27-19:00"/>
        <s v="2016-05-27-20:00"/>
        <s v="2016-05-27-21:00"/>
        <s v="2016-05-27-22:00"/>
        <s v="2016-05-27-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7-17:00"/>
        <s v="2016-06-17-18:00"/>
        <s v="2016-06-17-19:00"/>
        <s v="2016-06-17-20:00"/>
        <s v="2016-06-17-21:00"/>
        <s v="2016-06-06-18:00"/>
        <s v="2016-06-17-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07-23:00"/>
        <s v="2016-06-21-04:00"/>
        <s v="2016-06-21-05:00"/>
        <s v="2016-06-21-06:00"/>
        <s v="2016-06-21-07:00"/>
        <s v="2016-06-21-08:00"/>
        <s v="2016-06-21-09:00"/>
        <s v="2016-06-21-10:00"/>
        <s v="2016-06-21-11:00"/>
        <s v="2016-06-21-12:00"/>
        <s v="2016-06-21-13:00"/>
        <s v="2016-06-21-14:00"/>
        <s v="2016-06-21-15:00"/>
        <s v="2016-06-21-16:00"/>
        <s v="2016-06-21-17:00"/>
        <s v="2016-06-08-14:00"/>
        <s v="2016-06-21-18:00"/>
        <s v="2016-06-21-19:00"/>
        <s v="2016-06-21-20:00"/>
        <s v="2016-06-21-21:00"/>
        <s v="2016-06-21-22:00"/>
        <s v="2016-06-21-23:00"/>
        <s v="2016-06-22-00:00"/>
        <s v="2016-06-22-01:00"/>
        <s v="2016-06-22-02:00"/>
        <s v="2016-06-22-03:00"/>
        <s v="2016-06-22-04:00"/>
        <s v="2016-06-22-05:00"/>
        <s v="2016-06-22-06:00"/>
        <s v="2016-06-22-07: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1:00"/>
        <s v="2016-06-10-12:00"/>
        <s v="2016-06-10-13:00"/>
        <s v="2016-06-10-14:00"/>
        <s v="2016-06-10-15:00"/>
        <s v="2016-06-10-16:00"/>
        <s v="2016-06-10-17:00"/>
        <s v="2016-06-10-18:00"/>
        <s v="2016-06-10-19:00"/>
        <s v="2016-06-10-20:00"/>
        <s v="2016-06-10-21:00"/>
        <s v="2016-06-10-22:00"/>
        <s v="2016-06-10-23:00"/>
        <s v="2016-06-13-00:00"/>
        <s v="2016-06-13-01:00"/>
        <s v="2016-06-13-02:00"/>
        <s v="2016-06-13-03:00"/>
        <s v="2016-06-13-04:00"/>
        <s v="2016-06-13-05:00"/>
        <s v="2016-06-13-06:00"/>
        <s v="2016-06-13-07:00"/>
        <s v="2016-06-13-08:00"/>
        <s v="2016-06-13-09:00"/>
        <s v="2016-06-13-10:00"/>
        <s v="2016-06-13-11:00"/>
        <s v="2016-06-13-12:00"/>
        <s v="2016-06-13-13:00"/>
        <s v="2016-06-13-14:00"/>
        <s v="2016-06-13-15: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6-17-22:00"/>
        <s v="2016-07-01-02:00"/>
        <s v="2016-07-01-03:00"/>
        <s v="2016-07-01-04:00"/>
        <s v="2016-07-01-05:00"/>
        <s v="2016-07-01-06:00"/>
        <s v="2016-07-01-07:00"/>
        <s v="2016-07-01-08:00"/>
        <s v="2016-07-01-09:00"/>
        <s v="2016-07-01-10:00"/>
        <s v="2016-07-01-11:00"/>
        <s v="2016-07-01-12:00"/>
        <s v="2016-07-01-13:00"/>
        <s v="2016-07-01-14:00"/>
        <s v="2016-07-01-15:00"/>
        <s v="2016-07-01-16:00"/>
        <s v="2016-07-01-17:00"/>
        <s v="2016-07-01-18:00"/>
        <s v="2016-07-01-19:00"/>
        <s v="2016-07-01-20:00"/>
        <s v="2016-07-01-21:00"/>
        <s v="2016-07-01-22:00"/>
        <s v="2016-07-01-23:00"/>
        <s v="2016-07-04-00:00"/>
        <s v="2016-07-04-01:00"/>
        <s v="2016-07-04-02:00"/>
        <s v="2016-07-04-03:00"/>
        <s v="2016-07-04-04:00"/>
        <s v="2016-07-04-05:00"/>
        <s v="2016-06-21-03:00"/>
        <s v="2016-07-04-07:00"/>
        <s v="2016-07-04-08:00"/>
        <s v="2016-07-04-09:00"/>
        <s v="2016-07-04-10:00"/>
        <s v="2016-07-04-11:00"/>
        <s v="2016-07-04-12:00"/>
        <s v="2016-07-04-13:00"/>
        <s v="2016-07-04-14:00"/>
        <s v="2016-07-04-15:00"/>
        <s v="2016-07-04-16:00"/>
        <s v="2016-07-04-17:00"/>
        <s v="2016-07-04-18:00"/>
        <s v="2016-07-04-19:00"/>
        <s v="2016-07-04-20:00"/>
        <s v="2016-07-04-22:00"/>
        <s v="2016-07-04-23:00"/>
        <s v="2016-07-05-00:00"/>
        <s v="2016-07-05-01:00"/>
        <s v="2016-07-05-02:00"/>
        <s v="2016-07-05-03:00"/>
        <s v="2016-07-05-04:00"/>
        <s v="2016-07-05-05:00"/>
        <s v="2016-07-05-06:00"/>
        <s v="2016-07-05-07:00"/>
        <s v="2016-07-05-08:00"/>
        <s v="2016-07-05-09:00"/>
        <s v="2016-07-05-10:00"/>
        <s v="2016-07-05-11:00"/>
        <s v="2016-06-22-08:00"/>
        <s v="2016-06-22-09:00"/>
        <s v="2016-07-05-12:00"/>
        <s v="2016-07-05-13:00"/>
        <s v="2016-07-05-14:00"/>
        <s v="2016-07-05-15:00"/>
        <s v="2016-07-05-16:00"/>
        <s v="2016-07-05-17:00"/>
        <s v="2016-07-05-18:00"/>
        <s v="2016-07-05-19:00"/>
        <s v="2016-07-05-20:00"/>
        <s v="2016-07-05-21:00"/>
        <s v="2016-07-05-22:00"/>
        <s v="2016-07-05-23:00"/>
        <s v="2016-07-06-00:00"/>
        <s v="2016-07-06-01: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10-10: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4-17:00"/>
        <s v="2016-06-24-18:00"/>
        <s v="2016-06-24-19:00"/>
        <s v="2016-06-24-20:00"/>
        <s v="2016-06-24-21:00"/>
        <s v="2016-06-24-22:00"/>
        <s v="2016-06-24-23:00"/>
        <s v="2016-06-27-00:00"/>
        <s v="2016-06-27-01:00"/>
        <s v="2016-06-27-02:00"/>
        <s v="2016-06-27-03:00"/>
        <s v="2016-06-27-04:00"/>
        <s v="2016-06-27-05:00"/>
        <s v="2016-06-27-06:00"/>
        <s v="2016-06-27-07:00"/>
        <s v="2016-06-27-08:00"/>
        <s v="2016-06-27-09: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04-06:00"/>
        <s v="2016-07-15-10:00"/>
        <s v="2016-07-15-11:00"/>
        <s v="2016-07-15-12:00"/>
        <s v="2016-07-15-13:00"/>
        <s v="2016-07-15-14:00"/>
        <s v="2016-07-15-15:00"/>
        <s v="2016-07-15-16:00"/>
        <s v="2016-07-15-17:00"/>
        <s v="2016-07-15-18:00"/>
        <s v="2016-07-15-19:00"/>
        <s v="2016-07-15-20:00"/>
        <s v="2016-07-15-21:00"/>
        <s v="2016-07-15-22:00"/>
        <s v="2016-07-15-23:00"/>
        <s v="2016-07-04-21: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06-02:00"/>
        <s v="2016-07-06-03:00"/>
        <s v="2016-07-19-06:00"/>
        <s v="2016-07-19-07:00"/>
        <s v="2016-07-19-08:00"/>
        <s v="2016-07-19-09:00"/>
        <s v="2016-07-19-10:00"/>
        <s v="2016-07-19-11:00"/>
        <s v="2016-07-19-12:00"/>
        <s v="2016-07-19-13:00"/>
        <s v="2016-07-19-14:00"/>
        <s v="2016-07-19-15:00"/>
        <s v="2016-07-19-16:00"/>
        <s v="2016-07-19-17:00"/>
        <s v="2016-07-19-18:00"/>
        <s v="2016-07-19-19: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08-17:00"/>
        <s v="2016-07-08-18:00"/>
        <s v="2016-07-08-19:00"/>
        <s v="2016-07-08-20:00"/>
        <s v="2016-07-08-21:00"/>
        <s v="2016-07-08-22:00"/>
        <s v="2016-07-08-23:00"/>
        <s v="2016-07-11-00:00"/>
        <s v="2016-07-11-01:00"/>
        <s v="2016-07-11-02:00"/>
        <s v="2016-07-11-03:00"/>
        <s v="2016-07-22-22:00"/>
        <s v="2016-07-22-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18-00:00"/>
        <s v="2016-07-29-05:00"/>
        <s v="2016-07-29-06:00"/>
        <s v="2016-07-29-07:00"/>
        <s v="2016-07-29-08:00"/>
        <s v="2016-07-29-09:00"/>
        <s v="2016-07-29-10:00"/>
        <s v="2016-07-29-11:00"/>
        <s v="2016-07-29-12:00"/>
        <s v="2016-07-29-13:00"/>
        <s v="2016-07-29-14:00"/>
        <s v="2016-07-29-15:00"/>
        <s v="2016-07-29-16:00"/>
        <s v="2016-07-29-17:00"/>
        <s v="2016-07-29-18:00"/>
        <s v="2016-07-29-20:00"/>
        <s v="2016-07-29-21:00"/>
        <s v="2016-07-29-22:00"/>
        <s v="2016-07-29-23:00"/>
        <s v="2016-08-01-00:00"/>
        <s v="2016-08-01-01:00"/>
        <s v="2016-08-01-02:00"/>
        <s v="2016-08-01-03:00"/>
        <s v="2016-08-01-04:00"/>
        <s v="2016-08-01-05:00"/>
        <s v="2016-08-01-06:00"/>
        <s v="2016-08-01-07:00"/>
        <s v="2016-08-01-08:00"/>
        <s v="2016-08-01-09:00"/>
        <s v="2016-07-19-05:00"/>
        <s v="2016-08-01-10:00"/>
        <s v="2016-08-01-11:00"/>
        <s v="2016-08-01-12:00"/>
        <s v="2016-08-01-13:00"/>
        <s v="2016-08-01-14:00"/>
        <s v="2016-08-01-15:00"/>
        <s v="2016-08-01-16:00"/>
        <s v="2016-08-01-17:00"/>
        <s v="2016-08-01-18:00"/>
        <s v="2016-08-01-19:00"/>
        <s v="2016-08-01-20:00"/>
        <s v="2016-08-01-21:00"/>
        <s v="2016-08-01-22:00"/>
        <s v="2016-08-01-23:00"/>
        <s v="2016-07-19-20:00"/>
        <s v="2016-08-02-01:00"/>
        <s v="2016-08-02-02:00"/>
        <s v="2016-08-02-03:00"/>
        <s v="2016-08-02-04:00"/>
        <s v="2016-08-02-05:00"/>
        <s v="2016-08-02-06:00"/>
        <s v="2016-08-02-07:00"/>
        <s v="2016-08-02-08:00"/>
        <s v="2016-08-02-09:00"/>
        <s v="2016-08-02-10:00"/>
        <s v="2016-08-02-11:00"/>
        <s v="2016-08-02-12:00"/>
        <s v="2016-08-02-13:00"/>
        <s v="2016-08-02-14: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2-17:00"/>
        <s v="2016-07-22-18:00"/>
        <s v="2016-07-22-19:00"/>
        <s v="2016-07-22-20:00"/>
        <s v="2016-07-22-21:00"/>
        <s v="2016-08-05-16:00"/>
        <s v="2016-08-05-17:00"/>
        <s v="2016-08-05-18:00"/>
        <s v="2016-08-05-19:00"/>
        <s v="2016-08-05-20:00"/>
        <s v="2016-08-05-21:00"/>
        <s v="2016-08-05-22:00"/>
        <s v="2016-08-05-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7-29-19:00"/>
        <s v="2016-08-11-23:00"/>
        <s v="2016-08-12-00:00"/>
        <s v="2016-08-12-01:00"/>
        <s v="2016-08-12-02:00"/>
        <s v="2016-08-12-03:00"/>
        <s v="2016-08-12-04:00"/>
        <s v="2016-08-12-05:00"/>
        <s v="2016-08-12-06:00"/>
        <s v="2016-08-12-07:00"/>
        <s v="2016-08-12-08:00"/>
        <s v="2016-08-12-09:00"/>
        <s v="2016-08-12-10:00"/>
        <s v="2016-08-12-11:00"/>
        <s v="2016-08-12-12:00"/>
        <s v="2016-08-12-14:00"/>
        <s v="2016-08-12-15:00"/>
        <s v="2016-08-12-16:00"/>
        <s v="2016-08-12-17:00"/>
        <s v="2016-08-12-18:00"/>
        <s v="2016-08-12-19:00"/>
        <s v="2016-08-12-20:00"/>
        <s v="2016-08-12-21:00"/>
        <s v="2016-08-12-22:00"/>
        <s v="2016-08-12-23:00"/>
        <s v="2016-08-15-00:00"/>
        <s v="2016-08-15-01:00"/>
        <s v="2016-08-15-02:00"/>
        <s v="2016-08-15-03:00"/>
        <s v="2016-08-02-00:00"/>
        <s v="2016-08-15-04:00"/>
        <s v="2016-08-15-05:00"/>
        <s v="2016-08-15-06:00"/>
        <s v="2016-08-15-07:00"/>
        <s v="2016-08-15-08:00"/>
        <s v="2016-08-15-09:00"/>
        <s v="2016-08-15-10:00"/>
        <s v="2016-08-15-11:00"/>
        <s v="2016-08-15-12:00"/>
        <s v="2016-08-15-13:00"/>
        <s v="2016-08-15-14:00"/>
        <s v="2016-08-15-15:00"/>
        <s v="2016-08-15-16:00"/>
        <s v="2016-08-15-17:00"/>
        <s v="2016-08-15-18:00"/>
        <s v="2016-08-02-15:00"/>
        <s v="2016-08-15-19:00"/>
        <s v="2016-08-15-20:00"/>
        <s v="2016-08-15-21:00"/>
        <s v="2016-08-15-22:00"/>
        <s v="2016-08-15-23:00"/>
        <s v="2016-08-16-00:00"/>
        <s v="2016-08-16-01:00"/>
        <s v="2016-08-16-02:00"/>
        <s v="2016-08-16-03:00"/>
        <s v="2016-08-16-04:00"/>
        <s v="2016-08-16-05:00"/>
        <s v="2016-08-16-06:00"/>
        <s v="2016-08-16-07:00"/>
        <s v="2016-08-16-08: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7-21-16: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8-09-12:00"/>
        <s v="2016-01-15-17:00"/>
        <s v="2016-01-15-18:00"/>
        <s v="2016-01-15-19:00"/>
        <s v="2016-01-15-20:00"/>
        <s v="2016-01-15-21:00"/>
        <s v="2016-01-15-22:00"/>
        <s v="2016-01-15-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8-12-13: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8-16-09:00"/>
        <s v="2016-08-16-10:00"/>
        <s v="2016-01-22-14:00"/>
        <s v="2016-01-22-15:00"/>
        <s v="2016-01-22-16:00"/>
        <s v="2016-01-22-17:00"/>
        <s v="2016-01-22-18:00"/>
        <s v="2016-01-22-19:00"/>
        <s v="2016-01-22-20:00"/>
        <s v="2016-01-22-21:00"/>
        <s v="2016-01-22-22:00"/>
        <s v="2016-01-22-23:00"/>
        <s v="2016-01-25-00:00"/>
        <s v="2016-01-25-01:00"/>
        <s v="2016-01-25-02:00"/>
        <s v="2016-01-25-03: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29-17:00"/>
        <s v="2016-01-29-18:00"/>
        <s v="2016-01-29-19:00"/>
        <s v="2016-01-29-20:00"/>
        <s v="2016-01-29-21:00"/>
        <s v="2016-01-29-22:00"/>
        <s v="2016-01-29-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7:00"/>
        <s v="2016-02-02-08:00"/>
        <s v="2016-02-02-09:00"/>
        <s v="2016-02-02-10:00"/>
        <s v="2016-02-02-11:00"/>
        <s v="2016-02-02-12:00"/>
        <s v="2016-02-02-13:00"/>
        <s v="2016-02-02-14:00"/>
        <s v="2016-02-02-15:00"/>
        <s v="2016-02-02-16:00"/>
        <s v="2016-02-02-17:00"/>
        <s v="2016-02-02-18:00"/>
        <s v="2016-02-02-19:00"/>
        <s v="2016-02-02-20:00"/>
        <s v="2016-01-20-17:00"/>
        <s v="2016-02-02-21:00"/>
        <s v="2016-02-02-22:00"/>
        <s v="2016-02-02-23:00"/>
        <s v="2016-02-03-00:00"/>
        <s v="2016-02-03-01:00"/>
        <s v="2016-02-03-02:00"/>
        <s v="2016-02-03-03:00"/>
        <s v="2016-02-03-04:00"/>
        <s v="2016-02-03-05:00"/>
        <s v="2016-02-03-06:00"/>
        <s v="2016-02-03-07:00"/>
        <s v="2016-02-03-08:00"/>
        <s v="2016-02-03-09:00"/>
        <s v="2016-02-03-10:00"/>
        <s v="2016-02-03-12:00"/>
        <s v="2016-02-03-13:00"/>
        <s v="2016-02-03-14:00"/>
        <s v="2016-02-03-15:00"/>
        <s v="2016-02-03-16:00"/>
        <s v="2016-02-03-17:00"/>
        <s v="2016-02-03-18:00"/>
        <s v="2016-02-03-19:00"/>
        <s v="2016-02-03-20:00"/>
        <s v="2016-02-03-21:00"/>
        <s v="2016-02-03-22:00"/>
        <s v="2016-02-03-23:00"/>
        <s v="2016-02-04-00:00"/>
        <s v="2016-02-04-01:00"/>
        <s v="2016-02-04-03:00"/>
        <s v="2016-02-04-04:00"/>
        <s v="2016-02-04-05:00"/>
        <s v="2016-02-04-06:00"/>
        <s v="2016-02-04-07:00"/>
        <s v="2016-02-04-08:00"/>
        <s v="2016-02-04-09:00"/>
        <s v="2016-02-04-10:00"/>
        <s v="2016-02-04-11:00"/>
        <s v="2016-02-04-12:00"/>
        <s v="2016-02-04-13:00"/>
        <s v="2016-02-04-14:00"/>
        <s v="2016-02-04-15:00"/>
        <s v="2016-02-04-16:00"/>
        <s v="2016-01-22-13:00"/>
        <s v="2016-02-04-17:00"/>
        <s v="2016-02-04-18:00"/>
        <s v="2016-02-04-19:00"/>
        <s v="2016-02-04-20:00"/>
        <s v="2016-02-04-21:00"/>
        <s v="2016-02-04-22:00"/>
        <s v="2016-02-04-23:00"/>
        <s v="2016-02-05-00:00"/>
        <s v="2016-02-05-01:00"/>
        <s v="2016-02-05-02:00"/>
        <s v="2016-02-05-03:00"/>
        <s v="2016-02-05-04:00"/>
        <s v="2016-02-05-05:00"/>
        <s v="2016-02-05-06:00"/>
        <s v="2016-01-25-04:00"/>
        <s v="2016-02-05-08:00"/>
        <s v="2016-02-05-09:00"/>
        <s v="2016-02-05-10:00"/>
        <s v="2016-02-05-11:00"/>
        <s v="2016-02-05-12:00"/>
        <s v="2016-02-05-13:00"/>
        <s v="2016-02-05-14:00"/>
        <s v="2016-02-05-15:00"/>
        <s v="2016-02-05-16:00"/>
        <s v="2016-02-05-17:00"/>
        <s v="2016-02-05-18:00"/>
        <s v="2016-02-05-19:00"/>
        <s v="2016-02-05-20:00"/>
        <s v="2016-02-05-21: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8-18-06: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2-17:00"/>
        <s v="2016-02-12-18:00"/>
        <s v="2016-02-12-19:00"/>
        <s v="2016-02-12-20:00"/>
        <s v="2016-02-12-21:00"/>
        <s v="2016-02-12-22:00"/>
        <s v="2016-02-12-23:00"/>
        <s v="2016-02-15-00:00"/>
        <s v="2016-02-15-01:00"/>
        <s v="2016-02-15-02:00"/>
        <s v="2016-02-15-03:00"/>
        <s v="2016-02-15-04:00"/>
        <s v="2016-02-15-05:00"/>
        <s v="2016-02-15-06:00"/>
        <s v="2016-02-15-07:00"/>
        <s v="2016-02-15-08:00"/>
        <s v="2016-02-15-09:00"/>
        <s v="2016-02-02-06: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03-11:00"/>
        <s v="2016-02-16-15:00"/>
        <s v="2016-02-16-16:00"/>
        <s v="2016-02-16-17:00"/>
        <s v="2016-02-16-18:00"/>
        <s v="2016-02-16-19:00"/>
        <s v="2016-02-16-20:00"/>
        <s v="2016-02-16-21:00"/>
        <s v="2016-02-16-22:00"/>
        <s v="2016-02-16-23:00"/>
        <s v="2016-02-17-00:00"/>
        <s v="2016-02-17-01:00"/>
        <s v="2016-02-17-02:00"/>
        <s v="2016-02-17-03:00"/>
        <s v="2016-02-17-04:00"/>
        <s v="2016-02-04-02: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05-07:00"/>
        <s v="2016-02-18-11:00"/>
        <s v="2016-02-18-12:00"/>
        <s v="2016-02-18-13:00"/>
        <s v="2016-02-18-14:00"/>
        <s v="2016-02-18-15:00"/>
        <s v="2016-02-18-16:00"/>
        <s v="2016-02-18-17:00"/>
        <s v="2016-02-18-18:00"/>
        <s v="2016-02-18-19:00"/>
        <s v="2016-02-18-20:00"/>
        <s v="2016-02-18-21:00"/>
        <s v="2016-02-18-22:00"/>
        <s v="2016-02-18-23:00"/>
        <s v="2016-02-19-00:00"/>
        <s v="2016-02-05-22:00"/>
        <s v="2016-02-19-01:00"/>
        <s v="2016-02-19-02:00"/>
        <s v="2016-02-19-03:00"/>
        <s v="2016-02-19-04:00"/>
        <s v="2016-02-19-05:00"/>
        <s v="2016-02-19-06:00"/>
        <s v="2016-02-19-07:00"/>
        <s v="2016-02-19-08:00"/>
        <s v="2016-02-19-09:00"/>
        <s v="2016-02-19-10:00"/>
        <s v="2016-02-19-11:00"/>
        <s v="2016-02-19-12:00"/>
        <s v="2016-02-19-13:00"/>
        <s v="2016-02-19-14:00"/>
        <s v="2016-02-19-15:00"/>
        <s v="2016-02-05-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24-18:00"/>
        <s v="2016-02-24-19:00"/>
        <s v="2016-02-24-20:00"/>
        <s v="2016-02-24-21:00"/>
        <s v="2016-02-24-22:00"/>
        <s v="2016-02-24-23:00"/>
        <s v="2016-02-25-00:00"/>
        <s v="2016-02-25-01:00"/>
        <s v="2016-02-25-02:00"/>
        <s v="2016-02-25-03:00"/>
        <s v="2016-02-25-04:00"/>
        <s v="2016-02-25-05:00"/>
        <s v="2016-02-25-06:00"/>
        <s v="2016-02-25-08:00"/>
        <s v="2016-02-25-09:00"/>
        <s v="2016-02-25-10:00"/>
        <s v="2016-02-25-11:00"/>
        <s v="2016-02-25-12:00"/>
        <s v="2016-02-25-13:00"/>
        <s v="2016-02-25-14:00"/>
        <s v="2016-02-25-15:00"/>
        <s v="2016-02-25-16:00"/>
        <s v="2016-02-25-17:00"/>
        <s v="2016-02-25-18:00"/>
        <s v="2016-02-25-19:00"/>
        <s v="2016-02-25-20:00"/>
        <s v="2016-02-25-21:00"/>
        <s v="2016-02-25-23:00"/>
        <s v="2016-02-26-00:00"/>
        <s v="2016-02-26-01:00"/>
        <s v="2016-02-26-02:00"/>
        <s v="2016-02-26-03:00"/>
        <s v="2016-02-26-04:00"/>
        <s v="2016-02-26-05:00"/>
        <s v="2016-02-26-06:00"/>
        <s v="2016-02-26-07:00"/>
        <s v="2016-02-26-08:00"/>
        <s v="2016-02-26-09:00"/>
        <s v="2016-02-26-10:00"/>
        <s v="2016-02-26-11:00"/>
        <s v="2016-02-26-14:00"/>
        <s v="2016-02-26-15:00"/>
        <s v="2016-02-26-16:00"/>
        <s v="2016-02-26-17:00"/>
        <s v="2016-02-26-18:00"/>
        <s v="2016-02-26-19:00"/>
        <s v="2016-02-26-20:00"/>
        <s v="2016-02-26-21:00"/>
        <s v="2016-02-26-22:00"/>
        <s v="2016-02-26-23:00"/>
        <s v="2016-02-29-00:00"/>
        <s v="2016-02-29-01:00"/>
        <s v="2016-02-29-02:00"/>
        <s v="2016-02-29-04:00"/>
        <s v="2016-02-29-05:00"/>
        <s v="2016-02-29-06:00"/>
        <s v="2016-02-29-07:00"/>
        <s v="2016-02-29-08:00"/>
        <s v="2016-02-29-09:00"/>
        <s v="2016-02-29-10:00"/>
        <s v="2016-02-29-11:00"/>
        <s v="2016-02-29-12:00"/>
        <s v="2016-02-29-13:00"/>
        <s v="2016-02-29-14:00"/>
        <s v="2016-02-29-15:00"/>
        <s v="2016-02-29-16:00"/>
        <s v="2016-02-29-19:00"/>
        <s v="2016-02-29-20:00"/>
        <s v="2016-02-29-21:00"/>
        <s v="2016-02-29-22:00"/>
        <s v="2016-02-29-23:00"/>
        <s v="2016-03-01-00:00"/>
        <s v="2016-03-01-01:00"/>
        <s v="2016-03-01-02:00"/>
        <s v="2016-03-01-03:00"/>
        <s v="2016-03-01-04:00"/>
        <s v="2016-03-01-05:00"/>
        <s v="2016-03-01-06:00"/>
        <s v="2016-03-01-07:00"/>
        <s v="2016-03-01-09:00"/>
        <s v="2016-03-01-10:00"/>
        <s v="2016-03-01-11:00"/>
        <s v="2016-03-01-12:00"/>
        <s v="2016-03-01-13:00"/>
        <s v="2016-03-01-14:00"/>
        <s v="2016-03-01-15:00"/>
        <s v="2016-03-01-16:00"/>
        <s v="2016-03-01-17:00"/>
        <s v="2016-03-01-18:00"/>
        <s v="2016-03-01-19:00"/>
        <s v="2016-03-01-20:00"/>
        <s v="2016-03-01-21:00"/>
        <s v="2016-03-02-00:00"/>
        <s v="2016-03-02-01:00"/>
        <s v="2016-03-02-02:00"/>
        <s v="2016-03-02-03:00"/>
        <s v="2016-03-02-04:00"/>
        <s v="2016-03-02-05:00"/>
        <s v="2016-03-02-06:00"/>
        <s v="2016-03-02-07:00"/>
        <s v="2016-03-02-08:00"/>
        <s v="2016-03-02-09:00"/>
        <s v="2016-03-02-10:00"/>
        <s v="2016-03-02-11:00"/>
        <s v="2016-02-18-10:00"/>
        <s v="2016-03-02-14:00"/>
        <s v="2016-03-02-15:00"/>
        <s v="2016-03-02-16:00"/>
        <s v="2016-03-02-17:00"/>
        <s v="2016-03-02-18:00"/>
        <s v="2016-03-02-19:00"/>
        <s v="2016-03-02-20:00"/>
        <s v="2016-03-02-21:00"/>
        <s v="2016-03-02-22:00"/>
        <s v="2016-03-02-23:00"/>
        <s v="2016-03-03-00:00"/>
        <s v="2016-03-03-01:00"/>
        <s v="2016-03-03-02:00"/>
        <s v="2016-03-03-05:00"/>
        <s v="2016-03-03-06:00"/>
        <s v="2016-03-03-07:00"/>
        <s v="2016-03-03-08:00"/>
        <s v="2016-03-03-09:00"/>
        <s v="2016-03-03-10:00"/>
        <s v="2016-03-03-11:00"/>
        <s v="2016-03-03-12:00"/>
        <s v="2016-03-03-13:00"/>
        <s v="2016-03-03-14:00"/>
        <s v="2016-03-03-15:00"/>
        <s v="2016-03-03-16:00"/>
        <s v="2016-03-03-17:00"/>
        <s v="2016-02-19-16:00"/>
        <s v="2016-03-03-20:00"/>
        <s v="2016-03-03-21:00"/>
        <s v="2016-03-03-22:00"/>
        <s v="2016-03-03-23:00"/>
        <s v="2016-03-04-00:00"/>
        <s v="2016-03-04-01:00"/>
        <s v="2016-03-04-02:00"/>
        <s v="2016-03-04-03:00"/>
        <s v="2016-03-04-04:00"/>
        <s v="2016-03-04-05:00"/>
        <s v="2016-03-04-06:00"/>
        <s v="2016-03-04-07:00"/>
        <s v="2016-02-19-17:00"/>
        <s v="2016-02-19-18:00"/>
        <s v="2016-02-19-19:00"/>
        <s v="2016-02-19-20:00"/>
        <s v="2016-02-19-21:00"/>
        <s v="2016-02-19-22:00"/>
        <s v="2016-02-19-23:00"/>
        <s v="2016-02-22-00:00"/>
        <s v="2016-02-22-01:00"/>
        <s v="2016-02-22-02:00"/>
        <s v="2016-02-22-03:00"/>
        <s v="2016-02-22-04:00"/>
        <s v="2016-02-22-05:00"/>
        <s v="2016-02-22-07:00"/>
        <s v="2016-02-22-08:00"/>
        <s v="2016-02-22-09:00"/>
        <s v="2016-02-22-10:00"/>
        <s v="2016-02-22-11:00"/>
        <s v="2016-02-22-12:00"/>
        <s v="2016-02-22-13:00"/>
        <s v="2016-02-22-14:00"/>
        <s v="2016-02-22-15:00"/>
        <s v="2016-02-22-16:00"/>
        <s v="2016-02-22-17:00"/>
        <s v="2016-02-22-18:00"/>
        <s v="2016-02-22-19:00"/>
        <s v="2016-02-22-22:00"/>
        <s v="2016-02-22-23:00"/>
        <s v="2016-02-23-00:00"/>
        <s v="2016-02-23-01:00"/>
        <s v="2016-02-23-02:00"/>
        <s v="2016-02-23-03:00"/>
        <s v="2016-02-23-04:00"/>
        <s v="2016-02-23-05:00"/>
        <s v="2016-02-23-06:00"/>
        <s v="2016-02-23-07:00"/>
        <s v="2016-02-23-08:00"/>
        <s v="2016-02-23-09:00"/>
        <s v="2016-02-23-10:00"/>
        <s v="2016-02-23-12:00"/>
        <s v="2016-02-23-13:00"/>
        <s v="2016-02-23-14:00"/>
        <s v="2016-02-23-15:00"/>
        <s v="2016-02-23-16:00"/>
        <s v="2016-02-23-17:00"/>
        <s v="2016-02-23-18:00"/>
        <s v="2016-02-23-19:00"/>
        <s v="2016-02-23-20:00"/>
        <s v="2016-02-23-21:00"/>
        <s v="2016-02-23-22:00"/>
        <s v="2016-02-23-23:00"/>
        <s v="2016-02-24-00:00"/>
        <s v="2016-02-24-01:00"/>
        <s v="2016-02-24-03:00"/>
        <s v="2016-02-24-04:00"/>
        <s v="2016-02-24-05:00"/>
        <s v="2016-02-24-06:00"/>
        <s v="2016-02-24-07:00"/>
        <s v="2016-02-24-08:00"/>
        <s v="2016-02-24-09:00"/>
        <s v="2016-02-24-10:00"/>
        <s v="2016-02-24-11:00"/>
        <s v="2016-02-24-12:00"/>
        <s v="2016-02-24-13:00"/>
        <s v="2016-02-24-14:00"/>
        <s v="2016-02-24-15:00"/>
        <s v="2016-09-29-16:00"/>
        <s v="2016-10-12-19:00"/>
        <s v="2016-10-12-20:00"/>
        <s v="2016-10-12-21:00"/>
        <s v="2016-10-12-22:00"/>
        <s v="2016-10-12-23:00"/>
        <s v="2016-10-13-00:00"/>
        <s v="2016-10-13-01:00"/>
        <s v="2016-10-13-02:00"/>
        <s v="2016-10-13-03:00"/>
        <s v="2016-10-13-04:00"/>
        <s v="2016-10-13-05:00"/>
        <s v="2016-10-13-06:00"/>
        <s v="2016-10-13-07:00"/>
        <s v="2016-10-13-08:00"/>
        <s v="2016-10-13-09:00"/>
        <s v="2016-09-30-07:00"/>
        <s v="2016-10-13-10:00"/>
        <s v="2016-10-13-11:00"/>
        <s v="2016-10-13-12:00"/>
        <s v="2016-10-13-13:00"/>
        <s v="2016-10-13-14:00"/>
        <s v="2016-10-13-15:00"/>
        <s v="2016-10-13-16:00"/>
        <s v="2016-10-13-17:00"/>
        <s v="2016-10-13-18:00"/>
        <s v="2016-10-13-19:00"/>
        <s v="2016-10-13-20:00"/>
        <s v="2016-10-13-21:00"/>
        <s v="2016-10-13-22:00"/>
        <s v="2016-10-13-23:00"/>
        <s v="2016-10-14-00:00"/>
        <s v="2016-09-30-22:00"/>
        <s v="2016-10-14-01:00"/>
        <s v="2016-10-14-02:00"/>
        <s v="2016-10-14-03:00"/>
        <s v="2016-10-14-04:00"/>
        <s v="2016-10-14-05:00"/>
        <s v="2016-10-14-06:00"/>
        <s v="2016-10-14-07:00"/>
        <s v="2016-10-14-08:00"/>
        <s v="2016-10-14-09:00"/>
        <s v="2016-10-14-10:00"/>
        <s v="2016-10-14-11:00"/>
        <s v="2016-10-14-12:00"/>
        <s v="2016-10-14-13:00"/>
        <s v="2016-10-14-14:00"/>
        <s v="2016-10-03-12:00"/>
        <s v="2016-10-14-15:00"/>
        <s v="2016-10-14-16:00"/>
        <s v="2016-10-14-17:00"/>
        <s v="2016-10-14-18:00"/>
        <s v="2016-10-14-19:00"/>
        <s v="2016-10-14-20:00"/>
        <s v="2016-10-14-21:00"/>
        <s v="2016-10-14-22:00"/>
        <s v="2016-10-14-23:00"/>
        <s v="2016-10-17-00:00"/>
        <s v="2016-10-17-01:00"/>
        <s v="2016-10-17-02:00"/>
        <s v="2016-10-17-03:00"/>
        <s v="2016-10-17-04:00"/>
        <s v="2016-10-17-05:00"/>
        <s v="2016-10-04-03:00"/>
        <s v="2016-10-17-06:00"/>
        <s v="2016-10-17-07:00"/>
        <s v="2016-10-17-08:00"/>
        <s v="2016-10-17-09:00"/>
        <s v="2016-10-17-10:00"/>
        <s v="2016-10-17-11:00"/>
        <s v="2016-10-17-12:00"/>
        <s v="2016-10-17-13:00"/>
        <s v="2016-10-17-14:00"/>
        <s v="2016-10-17-15:00"/>
        <s v="2016-10-17-16:00"/>
        <s v="2016-10-17-17:00"/>
        <s v="2016-10-17-18:00"/>
        <s v="2016-10-17-19:00"/>
        <s v="2016-10-04-17:00"/>
        <s v="2016-10-17-20:00"/>
        <s v="2016-10-17-21:00"/>
        <s v="2016-10-17-22:00"/>
        <s v="2016-10-17-23:00"/>
        <s v="2016-10-18-00:00"/>
        <s v="2016-10-18-01:00"/>
        <s v="2016-10-18-02:00"/>
        <s v="2016-10-18-03:00"/>
        <s v="2016-10-18-04:00"/>
        <s v="2016-10-18-05:00"/>
        <s v="2016-10-18-06:00"/>
        <s v="2016-10-18-07:00"/>
        <s v="2016-10-18-08:00"/>
        <s v="2016-10-18-09:00"/>
        <s v="2016-10-18-10:00"/>
        <s v="2016-10-05-08:00"/>
        <s v="2016-10-18-11:00"/>
        <s v="2016-10-18-12:00"/>
        <s v="2016-10-18-13:00"/>
        <s v="2016-10-18-14:00"/>
        <s v="2016-10-18-15:00"/>
        <s v="2016-10-18-16:00"/>
        <s v="2016-10-18-17:00"/>
        <s v="2016-10-18-18:00"/>
        <s v="2016-10-18-19:00"/>
        <s v="2016-10-18-20:00"/>
        <s v="2016-10-18-21:00"/>
        <s v="2016-10-18-22:00"/>
        <s v="2016-10-18-23:00"/>
        <s v="2016-10-19-00:00"/>
        <s v="2016-10-19-01:00"/>
        <s v="2016-10-05-23:00"/>
        <s v="2016-10-19-02:00"/>
        <s v="2016-10-19-03:00"/>
        <s v="2016-10-19-04:00"/>
        <s v="2016-10-19-05:00"/>
        <s v="2016-10-19-06:00"/>
        <s v="2016-10-19-07:00"/>
        <s v="2016-10-19-08:00"/>
        <s v="2016-10-19-09:00"/>
        <s v="2016-10-19-10:00"/>
        <s v="2016-10-19-11:00"/>
        <s v="2016-10-19-12:00"/>
        <s v="2016-10-19-13:00"/>
        <s v="2016-10-19-14:00"/>
        <s v="2016-10-19-15:00"/>
        <s v="2016-10-06-13: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1-17:00"/>
        <s v="2016-10-21-18:00"/>
        <s v="2016-10-21-19:00"/>
        <s v="2016-10-21-20:00"/>
        <s v="2016-10-21-21:00"/>
        <s v="2016-10-21-22:00"/>
        <s v="2016-10-21-23:00"/>
        <s v="2016-10-24-00:00"/>
        <s v="2016-10-24-01:00"/>
        <s v="2016-10-24-02:00"/>
        <s v="2016-09-27-05:00"/>
        <s v="2016-09-27-06:00"/>
        <s v="2016-10-10-09:00"/>
        <s v="2016-10-10-10:00"/>
        <s v="2016-10-10-11:00"/>
        <s v="2016-10-10-12:00"/>
        <s v="2016-10-10-13:00"/>
        <s v="2016-10-10-14:00"/>
        <s v="2016-10-10-15:00"/>
        <s v="2016-10-10-16:00"/>
        <s v="2016-10-10-17:00"/>
        <s v="2016-10-10-18:00"/>
        <s v="2016-10-10-19:00"/>
        <s v="2016-10-10-20:00"/>
        <s v="2016-10-10-21:00"/>
        <s v="2016-10-10-22:00"/>
        <s v="2016-09-27-20:00"/>
        <s v="2016-09-27-21:00"/>
        <s v="2016-10-11-00:00"/>
        <s v="2016-10-11-01:00"/>
        <s v="2016-10-11-02:00"/>
        <s v="2016-10-11-03:00"/>
        <s v="2016-10-11-04:00"/>
        <s v="2016-10-11-05:00"/>
        <s v="2016-10-11-06:00"/>
        <s v="2016-10-11-07:00"/>
        <s v="2016-10-11-08:00"/>
        <s v="2016-10-11-09:00"/>
        <s v="2016-10-11-10:00"/>
        <s v="2016-10-11-11:00"/>
        <s v="2016-10-11-12:00"/>
        <s v="2016-10-11-13:00"/>
        <s v="2016-09-28-11:00"/>
        <s v="2016-10-11-14:00"/>
        <s v="2016-10-11-15:00"/>
        <s v="2016-10-11-16:00"/>
        <s v="2016-10-11-17:00"/>
        <s v="2016-10-11-18:00"/>
        <s v="2016-10-11-19:00"/>
        <s v="2016-10-11-20:00"/>
        <s v="2016-10-11-21:00"/>
        <s v="2016-10-11-22:00"/>
        <s v="2016-10-11-23:00"/>
        <s v="2016-10-12-00:00"/>
        <s v="2016-10-12-01:00"/>
        <s v="2016-10-12-02:00"/>
        <s v="2016-10-12-03:00"/>
        <s v="2016-10-12-04:00"/>
        <s v="2016-09-29-02:00"/>
        <s v="2016-10-12-05:00"/>
        <s v="2016-10-12-06:00"/>
        <s v="2016-10-12-07:00"/>
        <s v="2016-10-12-08:00"/>
        <s v="2016-10-12-09:00"/>
        <s v="2016-10-12-10:00"/>
        <s v="2016-10-12-11:00"/>
        <s v="2016-10-12-12:00"/>
        <s v="2016-10-12-13:00"/>
        <s v="2016-10-12-14:00"/>
        <s v="2016-10-12-15:00"/>
        <s v="2016-10-12-16:00"/>
        <s v="2016-10-12-17:00"/>
        <s v="2016-10-12-18: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28-17:00"/>
        <s v="2016-10-28-18:00"/>
        <s v="2016-10-28-19:00"/>
        <s v="2016-10-28-20:00"/>
        <s v="2016-10-28-21:00"/>
        <s v="2016-10-28-22:00"/>
        <s v="2016-10-28-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4-17:00"/>
        <s v="2016-11-04-18:00"/>
        <s v="2016-11-04-19:00"/>
        <s v="2016-11-04-20:00"/>
        <s v="2016-03-18-02:00"/>
        <s v="2016-10-24-03:00"/>
        <s v="2016-10-24-04:00"/>
        <s v="2016-10-24-05:00"/>
        <s v="2016-10-24-06:00"/>
        <s v="2016-10-24-07:00"/>
        <s v="2016-10-24-08:00"/>
        <s v="2016-10-24-09:00"/>
        <s v="2016-10-24-10:00"/>
        <s v="2016-10-24-11:00"/>
        <s v="2016-10-24-12:00"/>
        <s v="2016-10-24-13:00"/>
        <s v="2016-10-24-14:00"/>
        <s v="2016-10-24-15:00"/>
        <s v="2016-10-10-23: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1-17:00"/>
        <s v="2016-11-11-18:00"/>
        <s v="2016-11-11-19:00"/>
        <s v="2016-11-11-20:00"/>
        <s v="2016-11-11-21:00"/>
        <s v="2016-11-11-22:00"/>
        <s v="2016-11-11-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0-24-16:00"/>
        <s v="2016-11-04-21:00"/>
        <s v="2016-11-04-22:00"/>
        <s v="2016-11-07-00:00"/>
        <s v="2016-11-07-01:00"/>
        <s v="2016-11-07-02:00"/>
        <s v="2016-11-07-03:00"/>
        <s v="2016-11-07-04:00"/>
        <s v="2016-11-07-05:00"/>
        <s v="2016-11-07-06:00"/>
        <s v="2016-11-07-07:00"/>
        <s v="2016-11-07-08:00"/>
        <s v="2016-11-07-09:00"/>
        <s v="2016-11-07-10: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5-17:00"/>
        <s v="2016-11-25-18:00"/>
        <s v="2016-11-25-19:00"/>
        <s v="2016-11-25-20:00"/>
        <s v="2016-11-25-21:00"/>
        <s v="2016-11-25-22:00"/>
        <s v="2016-11-25-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1-07-11:00"/>
        <s v="2016-11-18-15:00"/>
        <s v="2016-11-18-16:00"/>
        <s v="2016-11-18-17:00"/>
        <s v="2016-11-18-18:00"/>
        <s v="2016-11-18-19:00"/>
        <s v="2016-11-18-20:00"/>
        <s v="2016-11-18-21:00"/>
        <s v="2016-11-18-22:00"/>
        <s v="2016-11-18-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08-16: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09-17:00"/>
        <s v="2016-12-09-18:00"/>
        <s v="2016-12-09-19:00"/>
        <s v="2016-12-09-20:00"/>
        <s v="2016-12-09-21:00"/>
        <s v="2016-12-09-22:00"/>
        <s v="2016-12-09-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02-09:00"/>
        <s v="2016-12-02-10:00"/>
        <s v="2016-12-02-11:00"/>
        <s v="2016-12-02-12:00"/>
        <s v="2016-12-02-13:00"/>
        <s v="2016-12-02-14:00"/>
        <s v="2016-12-02-15:00"/>
        <s v="2016-12-02-16:00"/>
        <s v="2016-12-02-17:00"/>
        <s v="2016-12-02-18:00"/>
        <s v="2016-12-02-19:00"/>
        <s v="2016-12-02-20:00"/>
        <s v="2016-12-02-21:00"/>
        <s v="2016-11-21-19:00"/>
        <s v="2016-12-02-22:00"/>
        <s v="2016-12-02-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3-17:00"/>
        <s v="2016-12-23-18:00"/>
        <s v="2016-12-23-19:00"/>
        <s v="2016-12-23-20:00"/>
        <s v="2016-12-23-21:00"/>
        <s v="2016-12-23-22:00"/>
        <s v="2016-12-23-23:00"/>
        <s v="2016-12-26-09:00"/>
        <s v="2016-12-26-10:00"/>
        <s v="2016-12-26-11:00"/>
        <s v="2016-12-26-12:00"/>
        <s v="2016-12-26-13:00"/>
        <s v="2016-12-26-14:00"/>
        <s v="2016-12-26-15:00"/>
        <s v="2016-12-26-16:00"/>
        <s v="2016-12-26-17: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16-03:00"/>
        <s v="2016-12-16-04:00"/>
        <s v="2016-12-16-05:00"/>
        <s v="2016-12-16-06:00"/>
        <s v="2016-12-16-07:00"/>
        <s v="2016-12-16-08:00"/>
        <s v="2016-12-16-09:00"/>
        <s v="2016-12-16-10:00"/>
        <s v="2016-12-16-11:00"/>
        <s v="2016-12-16-12:00"/>
        <s v="2016-12-16-13:00"/>
        <s v="2016-12-16-14:00"/>
        <s v="2016-12-16-15:00"/>
        <s v="2016-12-16-16:00"/>
        <s v="2016-12-16-17:00"/>
        <s v="2016-12-16-18:00"/>
        <s v="2016-12-16-19:00"/>
        <s v="2016-12-16-20:00"/>
        <s v="2016-12-16-21:00"/>
        <s v="2016-12-16-22:00"/>
        <s v="2016-12-16-23:00"/>
        <s v="2016-12-19-00:00"/>
        <s v="2016-12-19-01:00"/>
        <s v="2016-12-19-02:00"/>
        <s v="2016-12-19-03:00"/>
        <s v="2016-12-19-04:00"/>
        <s v="2016-12-19-05:00"/>
        <s v="2016-12-06-03: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6-17:00"/>
        <s v="2017-01-06-18:00"/>
        <s v="2017-01-06-19:00"/>
        <s v="2017-01-06-20:00"/>
        <s v="2017-01-06-21:00"/>
        <s v="2017-01-06-22:00"/>
        <s v="2017-01-06-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6-12-30-05:00"/>
        <s v="2016-12-30-06:00"/>
        <s v="2016-12-30-07:00"/>
        <s v="2016-12-30-08:00"/>
        <s v="2016-12-30-09:00"/>
        <s v="2016-12-30-10:00"/>
        <s v="2016-12-30-11:00"/>
        <s v="2016-12-30-12:00"/>
        <s v="2016-12-30-13:00"/>
        <s v="2016-12-30-14:00"/>
        <s v="2016-12-30-15:00"/>
        <s v="2016-12-30-16:00"/>
        <s v="2016-12-30-17:00"/>
        <s v="2016-12-30-18:00"/>
        <s v="2016-12-19-06:00"/>
        <s v="2016-12-30-19:00"/>
        <s v="2016-12-30-20:00"/>
        <s v="2016-12-30-21:00"/>
        <s v="2016-12-30-22:00"/>
        <s v="2016-12-30-23: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0-17:00"/>
        <s v="2017-01-20-18:00"/>
        <s v="2017-01-20-19:00"/>
        <s v="2017-01-20-20:00"/>
        <s v="2017-01-20-21:00"/>
        <s v="2017-01-20-22:00"/>
        <s v="2017-01-20-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13-07:00"/>
        <s v="2017-01-13-08:00"/>
        <s v="2017-01-13-09:00"/>
        <s v="2017-01-13-10:00"/>
        <s v="2017-01-13-11:00"/>
        <s v="2017-01-13-12:00"/>
        <s v="2017-01-13-13:00"/>
        <s v="2017-01-13-14:00"/>
        <s v="2017-01-13-15:00"/>
        <s v="2017-01-13-16:00"/>
        <s v="2017-01-13-17:00"/>
        <s v="2017-01-13-18:00"/>
        <s v="2017-01-13-19:00"/>
        <s v="2017-01-13-20:00"/>
        <s v="2017-01-13-21:00"/>
        <s v="2017-01-13-22:00"/>
        <s v="2017-01-13-23:00"/>
        <s v="2017-01-16-00:00"/>
        <s v="2017-01-16-01:00"/>
        <s v="2017-01-16-02:00"/>
        <s v="2017-01-16-03:00"/>
        <s v="2017-01-16-04:00"/>
        <s v="2017-01-16-05:00"/>
        <s v="2017-01-16-06:00"/>
        <s v="2017-01-16-07:00"/>
        <s v="2017-01-16-08:00"/>
        <s v="2017-01-16-09:00"/>
        <s v="2017-01-16-10:00"/>
        <s v="2017-01-03-08:00"/>
        <s v="2017-01-16-12:00"/>
        <s v="2017-01-16-13:00"/>
        <s v="2017-01-16-14:00"/>
        <s v="2017-01-16-15:00"/>
        <s v="2017-01-16-16:00"/>
        <s v="2017-01-16-17:00"/>
        <s v="2017-01-16-18:00"/>
        <s v="2017-01-16-19:00"/>
        <s v="2017-01-16-20:00"/>
        <s v="2017-01-16-21:00"/>
        <s v="2017-01-16-22:00"/>
        <s v="2017-01-16-23:00"/>
        <s v="2017-01-17-00:00"/>
        <s v="2017-01-17-01: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3-17:00"/>
        <s v="2017-02-03-18:00"/>
        <s v="2017-02-03-19:00"/>
        <s v="2017-02-03-20:00"/>
        <s v="2017-02-03-21:00"/>
        <s v="2017-02-03-22:00"/>
        <s v="2017-02-03-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1-27-01:00"/>
        <s v="2017-01-27-02:00"/>
        <s v="2017-01-27-03:00"/>
        <s v="2017-01-27-04:00"/>
        <s v="2017-01-27-05:00"/>
        <s v="2017-01-27-06:00"/>
        <s v="2017-01-27-07:00"/>
        <s v="2017-01-27-08:00"/>
        <s v="2017-01-27-09:00"/>
        <s v="2017-01-27-10:00"/>
        <s v="2017-01-27-11:00"/>
        <s v="2017-01-27-12:00"/>
        <s v="2017-01-27-13:00"/>
        <s v="2017-01-27-14:00"/>
        <s v="2017-01-16-11:00"/>
        <s v="2017-01-27-15:00"/>
        <s v="2017-01-27-16:00"/>
        <s v="2017-01-27-17:00"/>
        <s v="2017-01-27-18:00"/>
        <s v="2017-01-27-19:00"/>
        <s v="2017-01-27-20:00"/>
        <s v="2017-01-27-21:00"/>
        <s v="2017-01-27-22:00"/>
        <s v="2017-01-27-23:00"/>
        <s v="2017-01-30-00:00"/>
        <s v="2017-01-30-01:00"/>
        <s v="2017-01-30-02:00"/>
        <s v="2017-01-30-03:00"/>
        <s v="2017-01-30-04:00"/>
        <s v="2017-01-17-02: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7-17:00"/>
        <s v="2017-02-17-18:00"/>
        <s v="2017-02-17-19:00"/>
        <s v="2017-02-17-20:00"/>
        <s v="2017-02-17-21:00"/>
        <s v="2017-02-17-22:00"/>
        <s v="2017-02-17-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09-18:00"/>
        <s v="2017-02-09-19:00"/>
        <s v="2017-02-09-20:00"/>
        <s v="2017-02-09-21:00"/>
        <s v="2017-02-09-22:00"/>
        <s v="2017-02-09-23:00"/>
        <s v="2017-02-10-00:00"/>
        <s v="2017-02-10-01:00"/>
        <s v="2017-02-10-02:00"/>
        <s v="2017-02-10-03:00"/>
        <s v="2017-02-10-04:00"/>
        <s v="2017-02-10-05:00"/>
        <s v="2017-02-10-06:00"/>
        <s v="2017-02-10-07:00"/>
        <s v="2017-01-30-05:00"/>
        <s v="2017-02-10-08:00"/>
        <s v="2017-02-10-09:00"/>
        <s v="2017-02-10-10:00"/>
        <s v="2017-02-10-11:00"/>
        <s v="2017-02-10-12:00"/>
        <s v="2017-02-10-13:00"/>
        <s v="2017-02-10-14:00"/>
        <s v="2017-02-10-15:00"/>
        <s v="2017-02-10-16:00"/>
        <s v="2017-02-10-17:00"/>
        <s v="2017-02-10-18:00"/>
        <s v="2017-02-10-19:00"/>
        <s v="2017-02-10-20:00"/>
        <s v="2017-02-10-21:00"/>
        <s v="2017-02-10-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3-17:00"/>
        <s v="2017-03-03-18:00"/>
        <s v="2017-03-03-19:00"/>
        <s v="2017-03-03-20:00"/>
        <s v="2017-03-03-21:00"/>
        <s v="2017-03-03-22:00"/>
        <s v="2017-03-03-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2-23-12:00"/>
        <s v="2017-02-23-13:00"/>
        <s v="2017-02-23-14:00"/>
        <s v="2017-02-23-15:00"/>
        <s v="2017-02-23-16:00"/>
        <s v="2017-02-23-17:00"/>
        <s v="2017-02-23-18:00"/>
        <s v="2017-02-23-19:00"/>
        <s v="2017-02-23-20:00"/>
        <s v="2017-02-23-21:00"/>
        <s v="2017-02-23-22:00"/>
        <s v="2017-02-23-23:00"/>
        <s v="2017-02-24-00:00"/>
        <s v="2017-02-10-22:00"/>
        <s v="2017-02-24-02:00"/>
        <s v="2017-02-24-03:00"/>
        <s v="2017-02-24-04:00"/>
        <s v="2017-02-24-05:00"/>
        <s v="2017-02-24-06:00"/>
        <s v="2017-02-24-07:00"/>
        <s v="2017-02-24-08:00"/>
        <s v="2017-02-24-09:00"/>
        <s v="2017-02-24-10:00"/>
        <s v="2017-02-24-11:00"/>
        <s v="2017-02-24-12:00"/>
        <s v="2017-02-24-13:00"/>
        <s v="2017-02-24-14:00"/>
        <s v="2017-02-24-15:00"/>
        <s v="2017-02-24-17:00"/>
        <s v="2017-02-24-18:00"/>
        <s v="2017-02-24-19:00"/>
        <s v="2017-02-24-20:00"/>
        <s v="2017-02-24-21:00"/>
        <s v="2017-02-24-22:00"/>
        <s v="2017-02-24-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7-17:00"/>
        <s v="2017-03-17-18:00"/>
        <s v="2017-03-17-19:00"/>
        <s v="2017-03-17-20:00"/>
        <s v="2017-03-17-21:00"/>
        <s v="2017-03-17-22: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2-24-01:00"/>
        <s v="2017-03-09-06:00"/>
        <s v="2017-03-09-07:00"/>
        <s v="2017-03-09-08:00"/>
        <s v="2017-03-09-09:00"/>
        <s v="2017-03-09-10:00"/>
        <s v="2017-03-09-11:00"/>
        <s v="2017-03-09-12:00"/>
        <s v="2017-03-09-13:00"/>
        <s v="2017-03-09-14:00"/>
        <s v="2017-03-09-15:00"/>
        <s v="2017-03-09-16:00"/>
        <s v="2017-03-09-17:00"/>
        <s v="2017-03-09-18:00"/>
        <s v="2017-02-24-16: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0-17:00"/>
        <s v="2017-03-10-18:00"/>
        <s v="2017-03-10-19:00"/>
        <s v="2017-03-10-20:00"/>
        <s v="2017-03-10-21:00"/>
        <s v="2017-03-10-22:00"/>
        <s v="2017-03-10-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6-08-19-11:00"/>
        <s v="2016-08-19-12:00"/>
        <s v="2016-08-19-13:00"/>
        <s v="2016-08-19-14:00"/>
        <s v="2016-08-19-15:00"/>
        <s v="2016-08-19-16:00"/>
        <s v="2016-08-19-17:00"/>
        <s v="2016-08-19-18:00"/>
        <s v="2016-08-19-19:00"/>
        <s v="2016-08-19-20:00"/>
        <s v="2016-08-19-21:00"/>
        <s v="2016-08-19-22:00"/>
        <s v="2016-08-19-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6-17:00"/>
        <s v="2016-08-26-18:00"/>
        <s v="2016-08-26-19:00"/>
        <s v="2016-08-26-20:00"/>
        <s v="2016-08-26-21:00"/>
        <s v="2016-08-26-22:00"/>
        <s v="2016-08-26-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7-03-09-19:00"/>
        <s v="2017-03-23-01:00"/>
        <s v="2017-03-23-02:00"/>
        <s v="2017-03-23-03:00"/>
        <s v="2017-03-23-04:00"/>
        <s v="2017-03-23-05:00"/>
        <s v="2017-03-23-06:00"/>
        <s v="2017-03-23-07:00"/>
        <s v="2017-03-23-08:00"/>
        <s v="2017-03-23-09:00"/>
        <s v="2017-03-23-10:00"/>
        <s v="2017-03-23-11:00"/>
        <s v="2017-03-23-12:00"/>
        <s v="2017-03-23-13: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4-17:00"/>
        <s v="2017-03-24-18:00"/>
        <s v="2017-03-24-19: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9-02-05:00"/>
        <s v="2016-09-02-06:00"/>
        <s v="2016-09-02-07:00"/>
        <s v="2016-09-02-08:00"/>
        <s v="2016-09-02-09:00"/>
        <s v="2016-09-02-10:00"/>
        <s v="2016-09-02-11:00"/>
        <s v="2016-09-02-12:00"/>
        <s v="2016-09-02-13:00"/>
        <s v="2016-09-02-14:00"/>
        <s v="2016-09-02-15:00"/>
        <s v="2016-09-02-16:00"/>
        <s v="2016-09-02-17:00"/>
        <s v="2016-09-02-18:00"/>
        <s v="2016-09-02-19:00"/>
        <s v="2016-09-02-20:00"/>
        <s v="2016-09-02-21:00"/>
        <s v="2016-09-02-22:00"/>
        <s v="2016-09-02-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09-17:00"/>
        <s v="2016-09-09-18:00"/>
        <s v="2016-09-09-19:00"/>
        <s v="2016-09-09-20:00"/>
        <s v="2016-09-09-21:00"/>
        <s v="2016-09-09-22:00"/>
        <s v="2016-09-09-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7-03-23-14: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7-03-24-20: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6-17:00"/>
        <s v="2016-09-16-18:00"/>
        <s v="2016-09-16-19:00"/>
        <s v="2016-09-16-20:00"/>
        <s v="2016-09-16-21:00"/>
        <s v="2016-09-16-22:00"/>
        <s v="2016-09-16-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3-17:00"/>
        <s v="2016-09-23-18:00"/>
        <s v="2016-09-23-19:00"/>
        <s v="2016-09-23-20:00"/>
        <s v="2016-09-23-21:00"/>
        <s v="2016-09-23-22:00"/>
        <s v="2016-09-23-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12-23:00"/>
        <s v="2016-09-13-00:00"/>
        <s v="2016-09-13-01:00"/>
        <s v="2016-09-13-02:00"/>
        <s v="2016-09-13-03:00"/>
        <s v="2016-09-13-04:00"/>
        <s v="2016-09-13-05:00"/>
        <s v="2016-09-13-06:00"/>
        <s v="2016-09-13-07:00"/>
        <s v="2016-09-13-08:00"/>
        <s v="2016-09-13-09:00"/>
        <s v="2016-09-13-10:00"/>
        <s v="2016-09-13-11:00"/>
        <s v="2016-08-31-08: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29-17:00"/>
        <s v="2016-09-29-18:00"/>
        <s v="2016-09-29-19:00"/>
        <s v="2016-09-29-20:00"/>
        <s v="2016-09-29-21:00"/>
        <s v="2016-09-29-22:00"/>
        <s v="2016-09-29-23:00"/>
        <s v="2016-09-30-00:00"/>
        <s v="2016-09-30-01:00"/>
        <s v="2016-09-30-02:00"/>
        <s v="2016-09-30-03:00"/>
        <s v="2016-09-30-04:00"/>
        <s v="2016-09-30-05:00"/>
        <s v="2016-09-30-06:00"/>
        <s v="2016-09-30-08:00"/>
        <s v="2016-09-30-09:00"/>
        <s v="2016-09-30-10:00"/>
        <s v="2016-09-30-11:00"/>
        <s v="2016-09-30-12:00"/>
        <s v="2016-09-30-13:00"/>
        <s v="2016-09-30-14:00"/>
        <s v="2016-09-30-15:00"/>
        <s v="2016-09-30-16:00"/>
        <s v="2016-09-30-17:00"/>
        <s v="2016-09-30-18:00"/>
        <s v="2016-09-30-19:00"/>
        <s v="2016-09-30-20:00"/>
        <s v="2016-09-30-21:00"/>
        <s v="2016-09-30-23:00"/>
        <s v="2016-10-03-00:00"/>
        <s v="2016-10-03-01:00"/>
        <s v="2016-10-03-02:00"/>
        <s v="2016-10-03-03:00"/>
        <s v="2016-10-03-04:00"/>
        <s v="2016-10-03-05:00"/>
        <s v="2016-10-03-06:00"/>
        <s v="2016-10-03-07:00"/>
        <s v="2016-10-03-08:00"/>
        <s v="2016-10-03-09:00"/>
        <s v="2016-10-03-10:00"/>
        <s v="2016-10-03-11:00"/>
        <s v="2016-10-03-13:00"/>
        <s v="2016-10-03-14:00"/>
        <s v="2016-10-03-15:00"/>
        <s v="2016-10-03-16:00"/>
        <s v="2016-10-03-17:00"/>
        <s v="2016-10-03-18:00"/>
        <s v="2016-10-03-19:00"/>
        <s v="2016-10-03-20:00"/>
        <s v="2016-10-03-21:00"/>
        <s v="2016-10-03-22:00"/>
        <s v="2016-10-03-23:00"/>
        <s v="2016-10-04-00:00"/>
        <s v="2016-10-04-01:00"/>
        <s v="2016-10-04-02:00"/>
        <s v="2016-10-04-04:00"/>
        <s v="2016-10-04-05:00"/>
        <s v="2016-10-04-06:00"/>
        <s v="2016-10-04-07:00"/>
        <s v="2016-10-04-08:00"/>
        <s v="2016-10-04-09:00"/>
        <s v="2016-10-04-10:00"/>
        <s v="2016-10-04-11:00"/>
        <s v="2016-10-04-12:00"/>
        <s v="2016-10-04-13:00"/>
        <s v="2016-10-04-14:00"/>
        <s v="2016-10-04-15:00"/>
        <s v="2016-10-04-16:00"/>
        <s v="2016-10-04-18:00"/>
        <s v="2016-10-04-19:00"/>
        <s v="2016-10-04-20:00"/>
        <s v="2016-10-04-21:00"/>
        <s v="2016-10-04-22:00"/>
        <s v="2016-10-04-23:00"/>
        <s v="2016-10-05-00:00"/>
        <s v="2016-10-05-01:00"/>
        <s v="2016-10-05-02:00"/>
        <s v="2016-10-05-03:00"/>
        <s v="2016-10-05-04:00"/>
        <s v="2016-10-05-05:00"/>
        <s v="2016-10-05-06:00"/>
        <s v="2016-10-05-07:00"/>
        <s v="2016-10-05-09:00"/>
        <s v="2016-10-05-10:00"/>
        <s v="2016-10-05-11:00"/>
        <s v="2016-10-05-12:00"/>
        <s v="2016-10-05-13:00"/>
        <s v="2016-10-05-14:00"/>
        <s v="2016-10-05-15:00"/>
        <s v="2016-10-05-16:00"/>
        <s v="2016-10-05-17:00"/>
        <s v="2016-10-05-18:00"/>
        <s v="2016-10-05-19:00"/>
        <s v="2016-10-05-20:00"/>
        <s v="2016-10-05-21:00"/>
        <s v="2016-10-05-22:00"/>
        <s v="2016-10-06-00:00"/>
        <s v="2016-10-06-01:00"/>
        <s v="2016-10-06-02:00"/>
        <s v="2016-10-06-03:00"/>
        <s v="2016-10-06-04:00"/>
        <s v="2016-10-06-05:00"/>
        <s v="2016-10-06-06:00"/>
        <s v="2016-10-06-07:00"/>
        <s v="2016-10-06-08:00"/>
        <s v="2016-10-06-09:00"/>
        <s v="2016-10-06-10:00"/>
        <s v="2016-10-06-11:00"/>
        <s v="2016-10-06-12: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7-17:00"/>
        <s v="2016-10-07-18:00"/>
        <s v="2016-10-07-19:00"/>
        <s v="2016-10-07-20:00"/>
        <s v="2016-10-07-21:00"/>
        <s v="2016-10-07-22:00"/>
        <s v="2016-10-07-23:00"/>
        <s v="2016-10-10-00:00"/>
        <s v="2016-10-10-01:00"/>
        <s v="2016-10-10-02:00"/>
        <s v="2016-10-10-03:00"/>
        <s v="2016-10-10-04:00"/>
        <s v="2016-10-10-05:00"/>
        <s v="2016-10-10-06:00"/>
        <s v="2016-10-10-07:00"/>
        <s v="2016-10-10-08:00"/>
        <s v="2016-09-13-12:00"/>
        <s v="2016-09-26-17:00"/>
        <s v="2016-09-26-18:00"/>
        <s v="2016-09-26-19:00"/>
        <s v="2016-09-26-20:00"/>
        <s v="2016-09-26-21:00"/>
        <s v="2016-09-26-22:00"/>
        <s v="2016-09-26-23:00"/>
        <s v="2016-09-27-00:00"/>
        <s v="2016-09-27-01:00"/>
        <s v="2016-09-27-02:00"/>
        <s v="2016-09-27-03:00"/>
        <s v="2016-09-27-04:00"/>
        <s v="2016-09-27-07:00"/>
        <s v="2016-09-27-08:00"/>
        <s v="2016-09-27-09:00"/>
        <s v="2016-09-27-10:00"/>
        <s v="2016-09-27-11:00"/>
        <s v="2016-09-27-12:00"/>
        <s v="2016-09-27-13:00"/>
        <s v="2016-09-27-14:00"/>
        <s v="2016-09-27-15:00"/>
        <s v="2016-09-27-16:00"/>
        <s v="2016-09-27-17:00"/>
        <s v="2016-09-27-18:00"/>
        <s v="2016-09-27-19:00"/>
        <s v="2016-09-27-22:00"/>
        <s v="2016-09-27-23:00"/>
        <s v="2016-09-28-00:00"/>
        <s v="2016-09-28-01:00"/>
        <s v="2016-09-28-02:00"/>
        <s v="2016-09-28-03:00"/>
        <s v="2016-09-28-04:00"/>
        <s v="2016-09-28-05:00"/>
        <s v="2016-09-28-06:00"/>
        <s v="2016-09-28-07:00"/>
        <s v="2016-09-28-08:00"/>
        <s v="2016-09-28-09:00"/>
        <s v="2016-09-28-10:00"/>
        <s v="2016-09-28-12:00"/>
        <s v="2016-09-28-13:00"/>
        <s v="2016-09-28-14:00"/>
        <s v="2016-09-28-15:00"/>
        <s v="2016-09-28-16:00"/>
        <s v="2016-09-28-17:00"/>
        <s v="2016-09-28-18:00"/>
        <s v="2016-09-28-19:00"/>
        <s v="2016-09-28-20:00"/>
        <s v="2016-09-28-21:00"/>
        <s v="2016-09-28-22:00"/>
        <s v="2016-09-28-23:00"/>
        <s v="2016-09-29-00:00"/>
        <s v="2016-09-29-01:00"/>
        <s v="2016-09-29-03:00"/>
        <s v="2016-09-29-04:00"/>
        <s v="2016-09-29-05:00"/>
        <s v="2016-09-29-06:00"/>
        <s v="2016-09-29-07:00"/>
        <s v="2016-09-29-08:00"/>
        <s v="2016-09-29-09:00"/>
        <s v="2016-09-29-10:00"/>
        <s v="2016-09-29-11:00"/>
        <s v="2016-09-29-12:00"/>
        <s v="2016-09-29-13:00"/>
        <s v="2016-09-29-14:00"/>
        <s v="2016-09-29-15:00"/>
        <s v="2017-05-17-01:00"/>
        <s v="2017-05-17-02:00"/>
        <s v="2017-05-17-03:00"/>
        <s v="2017-05-17-04:00"/>
        <s v="2017-05-17-05:00"/>
        <s v="2017-05-17-06:00"/>
        <s v="2017-05-17-07:00"/>
        <s v="2017-05-17-08:00"/>
        <s v="2017-05-17-09:00"/>
        <s v="2017-05-17-10:00"/>
        <s v="2017-05-17-11:00"/>
        <s v="2017-05-17-12:00"/>
        <s v="2017-05-17-13:00"/>
        <s v="2017-05-17-14:00"/>
        <s v="2017-05-17-15:00"/>
        <s v="2017-05-31-10:00"/>
        <s v="2017-05-17-16:00"/>
        <s v="2017-05-17-17:00"/>
        <s v="2017-05-17-18:00"/>
        <s v="2017-05-17-19:00"/>
        <s v="2017-05-17-20:00"/>
        <s v="2017-05-17-21:00"/>
        <s v="2017-05-17-22:00"/>
        <s v="2017-05-17-23:00"/>
        <s v="2017-05-18-00:00"/>
        <s v="2017-05-18-01:00"/>
        <s v="2017-05-18-02:00"/>
        <s v="2017-05-18-03:00"/>
        <s v="2017-05-18-04:00"/>
        <s v="2017-05-18-05:00"/>
        <s v="2017-05-18-06:00"/>
        <s v="2017-06-01-00:00"/>
        <s v="2017-06-01-01:00"/>
        <s v="2017-05-18-07:00"/>
        <s v="2017-05-18-08:00"/>
        <s v="2017-05-18-09:00"/>
        <s v="2017-05-18-10:00"/>
        <s v="2017-05-18-11:00"/>
        <s v="2017-05-18-12:00"/>
        <s v="2017-05-18-13:00"/>
        <s v="2017-05-18-14:00"/>
        <s v="2017-05-18-15:00"/>
        <s v="2017-05-18-16:00"/>
        <s v="2017-05-18-17:00"/>
        <s v="2017-05-18-18:00"/>
        <s v="2017-05-18-19:00"/>
        <s v="2017-05-18-20:00"/>
        <s v="2017-05-18-21:00"/>
        <s v="2017-06-01-15:00"/>
        <s v="2017-05-18-22:00"/>
        <s v="2017-05-18-23:00"/>
        <s v="2017-05-19-00:00"/>
        <s v="2017-05-19-01:00"/>
        <s v="2017-05-19-02:00"/>
        <s v="2017-05-19-03:00"/>
        <s v="2017-05-19-04:00"/>
        <s v="2017-05-19-05:00"/>
        <s v="2017-05-19-06:00"/>
        <s v="2017-05-19-07:00"/>
        <s v="2017-05-19-08:00"/>
        <s v="2017-05-19-09:00"/>
        <s v="2017-05-19-10:00"/>
        <s v="2017-05-19-11:00"/>
        <s v="2017-06-02-06:00"/>
        <s v="2017-05-19-12:00"/>
        <s v="2017-05-19-13:00"/>
        <s v="2017-05-19-14:00"/>
        <s v="2017-05-19-15:00"/>
        <s v="2017-05-19-16:00"/>
        <s v="2017-05-19-17:00"/>
        <s v="2017-05-19-18:00"/>
        <s v="2017-05-19-19:00"/>
        <s v="2017-05-19-20:00"/>
        <s v="2017-05-19-21:00"/>
        <s v="2017-05-19-22:00"/>
        <s v="2017-05-19-23:00"/>
        <s v="2017-05-22-00:00"/>
        <s v="2017-05-22-01:00"/>
        <s v="2017-05-22-02:00"/>
        <s v="2017-06-02-20:00"/>
        <s v="2017-05-22-03:00"/>
        <s v="2017-05-22-04:00"/>
        <s v="2017-05-22-05:00"/>
        <s v="2017-05-22-06:00"/>
        <s v="2017-05-22-07:00"/>
        <s v="2017-05-22-08:00"/>
        <s v="2017-05-22-09:00"/>
        <s v="2017-05-22-10:00"/>
        <s v="2017-05-22-11:00"/>
        <s v="2017-05-22-12:00"/>
        <s v="2017-05-22-13:00"/>
        <s v="2017-05-22-14:00"/>
        <s v="2017-05-22-15:00"/>
        <s v="2017-05-22-16:00"/>
        <s v="2017-05-22-17:00"/>
        <s v="2017-06-05-11:00"/>
        <s v="2017-05-22-18:00"/>
        <s v="2017-05-22-19:00"/>
        <s v="2017-05-22-20:00"/>
        <s v="2017-05-22-21:00"/>
        <s v="2017-05-22-22:00"/>
        <s v="2017-05-22-23:00"/>
        <s v="2017-05-23-00:00"/>
        <s v="2017-05-23-01:00"/>
        <s v="2017-05-23-02:00"/>
        <s v="2017-05-23-03:00"/>
        <s v="2017-05-23-04:00"/>
        <s v="2017-05-23-05:00"/>
        <s v="2017-05-23-06:00"/>
        <s v="2017-05-23-07:00"/>
        <s v="2017-06-06-02:00"/>
        <s v="2017-05-23-08:00"/>
        <s v="2017-05-23-09:00"/>
        <s v="2017-05-23-10:00"/>
        <s v="2017-05-23-11:00"/>
        <s v="2017-05-23-12:00"/>
        <s v="2017-05-23-13:00"/>
        <s v="2017-05-23-14:00"/>
        <s v="2017-05-23-15:00"/>
        <s v="2017-05-23-16:00"/>
        <s v="2017-05-23-17:00"/>
        <s v="2017-05-23-18:00"/>
        <s v="2017-05-23-19:00"/>
        <s v="2017-05-23-20:00"/>
        <s v="2017-05-23-21:00"/>
        <s v="2017-05-23-22:00"/>
        <s v="2017-06-06-16:00"/>
        <s v="2017-05-23-23:00"/>
        <s v="2017-05-24-00:00"/>
        <s v="2017-05-24-01:00"/>
        <s v="2017-05-24-02:00"/>
        <s v="2017-05-24-03:00"/>
        <s v="2017-05-24-04:00"/>
        <s v="2017-05-24-05:00"/>
        <s v="2017-05-24-06:00"/>
        <s v="2017-05-24-07:00"/>
        <s v="2017-05-24-08:00"/>
        <s v="2017-05-24-09:00"/>
        <s v="2017-05-24-10:00"/>
        <s v="2017-05-24-11:00"/>
        <s v="2017-05-24-12:00"/>
        <s v="2017-06-07-07:00"/>
        <s v="2017-05-24-13:00"/>
        <s v="2017-05-24-14:00"/>
        <s v="2017-05-24-15:00"/>
        <s v="2017-05-24-16:00"/>
        <s v="2017-05-24-17:00"/>
        <s v="2017-05-24-18:00"/>
        <s v="2017-05-24-19:00"/>
        <s v="2017-05-24-20:00"/>
        <s v="2017-05-24-21:00"/>
        <s v="2017-05-24-22:00"/>
        <s v="2017-05-24-23:00"/>
        <s v="2017-05-25-00:00"/>
        <s v="2017-05-25-01:00"/>
        <s v="2017-05-25-02:00"/>
        <s v="2017-05-25-03:00"/>
        <s v="2017-06-07-22:00"/>
        <s v="2017-05-25-04:00"/>
        <s v="2017-05-25-05:00"/>
        <s v="2017-05-25-06:00"/>
        <s v="2017-05-25-07:00"/>
        <s v="2017-05-25-08:00"/>
        <s v="2017-05-25-09:00"/>
        <s v="2017-05-25-10:00"/>
        <s v="2017-05-25-11:00"/>
        <s v="2017-05-25-12:00"/>
        <s v="2017-05-25-13:00"/>
        <s v="2017-05-25-14:00"/>
        <s v="2017-05-25-15:00"/>
        <s v="2017-05-25-16:00"/>
        <s v="2017-05-25-17:00"/>
        <s v="2017-05-25-18:00"/>
        <s v="2017-06-08-12:00"/>
        <s v="2017-05-25-19:00"/>
        <s v="2017-05-25-20:00"/>
        <s v="2017-05-25-21:00"/>
        <s v="2017-05-25-22:00"/>
        <s v="2017-05-25-23:00"/>
        <s v="2017-05-26-00:00"/>
        <s v="2017-05-26-01:00"/>
        <s v="2017-05-26-02:00"/>
        <s v="2017-05-26-03:00"/>
        <s v="2017-05-26-04:00"/>
        <s v="2017-05-26-05:00"/>
        <s v="2017-05-26-06:00"/>
        <s v="2017-05-26-07:00"/>
        <s v="2017-05-26-08:00"/>
        <s v="2018-01-03-07:00"/>
        <s v="2017-05-12-14:00"/>
        <s v="2017-05-12-15:00"/>
        <s v="2017-05-12-16:00"/>
        <s v="2017-05-12-17:00"/>
        <s v="2017-05-12-18:00"/>
        <s v="2017-05-12-19:00"/>
        <s v="2017-05-12-20:00"/>
        <s v="2017-05-12-21:00"/>
        <s v="2017-05-12-22:00"/>
        <s v="2017-05-12-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30-04:00"/>
        <s v="2017-05-16-11:00"/>
        <s v="2017-05-16-12:00"/>
        <s v="2017-05-16-13:00"/>
        <s v="2017-05-16-14:00"/>
        <s v="2017-05-16-15:00"/>
        <s v="2017-05-16-16:00"/>
        <s v="2017-05-16-17:00"/>
        <s v="2017-05-16-18:00"/>
        <s v="2017-05-16-19:00"/>
        <s v="2017-05-16-20:00"/>
        <s v="2017-05-16-21:00"/>
        <s v="2017-05-16-22:00"/>
        <s v="2017-05-16-23:00"/>
        <s v="2017-05-17-00:00"/>
        <s v="2017-05-30-19:00"/>
        <s v="2017-05-31-11:00"/>
        <s v="2017-05-31-12:00"/>
        <s v="2017-05-31-13:00"/>
        <s v="2017-05-31-14:00"/>
        <s v="2017-05-31-15:00"/>
        <s v="2017-05-31-16:00"/>
        <s v="2017-05-31-17:00"/>
        <s v="2017-05-31-18:00"/>
        <s v="2017-05-31-19:00"/>
        <s v="2017-05-31-20:00"/>
        <s v="2017-05-31-21:00"/>
        <s v="2017-05-31-22:00"/>
        <s v="2017-05-31-23:00"/>
        <s v="2017-06-14-04:00"/>
        <s v="2017-06-01-02:00"/>
        <s v="2017-06-01-03:00"/>
        <s v="2017-06-01-04:00"/>
        <s v="2017-06-01-05:00"/>
        <s v="2017-06-01-06:00"/>
        <s v="2017-06-01-07:00"/>
        <s v="2017-06-01-08:00"/>
        <s v="2017-06-01-09:00"/>
        <s v="2017-06-01-10:00"/>
        <s v="2017-06-01-11:00"/>
        <s v="2017-06-01-12:00"/>
        <s v="2017-06-01-13:00"/>
        <s v="2017-06-01-14:00"/>
        <s v="2017-06-14-19:00"/>
        <s v="2017-06-01-16:00"/>
        <s v="2017-06-01-17:00"/>
        <s v="2017-06-01-18:00"/>
        <s v="2017-06-01-19:00"/>
        <s v="2017-06-01-20:00"/>
        <s v="2017-06-01-21:00"/>
        <s v="2017-06-01-22:00"/>
        <s v="2017-06-01-23:00"/>
        <s v="2017-06-02-00:00"/>
        <s v="2017-06-02-01:00"/>
        <s v="2017-06-02-02:00"/>
        <s v="2017-06-02-03:00"/>
        <s v="2017-06-02-04:00"/>
        <s v="2017-06-02-05:00"/>
        <s v="2017-06-15-09:00"/>
        <s v="2017-06-02-07:00"/>
        <s v="2017-06-02-08:00"/>
        <s v="2017-06-02-09:00"/>
        <s v="2017-06-02-10:00"/>
        <s v="2017-06-02-11:00"/>
        <s v="2017-06-02-12:00"/>
        <s v="2017-06-02-13:00"/>
        <s v="2017-06-02-14:00"/>
        <s v="2017-06-02-15:00"/>
        <s v="2017-06-02-16:00"/>
        <s v="2017-06-02-17:00"/>
        <s v="2017-06-02-18:00"/>
        <s v="2017-06-02-19:00"/>
        <s v="2017-06-16-00:00"/>
        <s v="2017-06-02-21:00"/>
        <s v="2017-06-02-22:00"/>
        <s v="2017-06-02-23:00"/>
        <s v="2017-06-05-00:00"/>
        <s v="2017-06-05-01:00"/>
        <s v="2017-06-05-02:00"/>
        <s v="2017-06-05-03:00"/>
        <s v="2017-06-05-04:00"/>
        <s v="2017-06-05-05:00"/>
        <s v="2017-06-05-06:00"/>
        <s v="2017-06-05-07:00"/>
        <s v="2017-06-05-08:00"/>
        <s v="2017-06-05-09:00"/>
        <s v="2017-06-05-10:00"/>
        <s v="2017-06-16-14:00"/>
        <s v="2017-06-05-12:00"/>
        <s v="2017-06-05-13:00"/>
        <s v="2017-06-05-14:00"/>
        <s v="2017-06-05-15:00"/>
        <s v="2017-06-05-16:00"/>
        <s v="2017-06-05-17:00"/>
        <s v="2017-06-05-18:00"/>
        <s v="2017-06-05-19:00"/>
        <s v="2017-06-05-20:00"/>
        <s v="2017-06-05-21:00"/>
        <s v="2017-06-05-22:00"/>
        <s v="2017-06-05-23:00"/>
        <s v="2017-06-06-00:00"/>
        <s v="2017-06-06-01:00"/>
        <s v="2017-06-19-05:00"/>
        <s v="2017-06-06-03:00"/>
        <s v="2017-06-06-04:00"/>
        <s v="2017-06-06-05:00"/>
        <s v="2017-06-06-06:00"/>
        <s v="2017-06-06-07:00"/>
        <s v="2017-06-06-08:00"/>
        <s v="2017-06-06-09:00"/>
        <s v="2017-06-06-10:00"/>
        <s v="2017-06-06-11:00"/>
        <s v="2017-06-06-12:00"/>
        <s v="2017-06-06-13:00"/>
        <s v="2017-06-06-14:00"/>
        <s v="2017-06-06-15:00"/>
        <s v="2017-06-19-20:00"/>
        <s v="2017-06-06-17:00"/>
        <s v="2017-06-06-18:00"/>
        <s v="2017-06-06-19:00"/>
        <s v="2017-06-06-20:00"/>
        <s v="2017-06-06-21:00"/>
        <s v="2017-06-06-22:00"/>
        <s v="2017-06-06-23:00"/>
        <s v="2017-06-07-00:00"/>
        <s v="2017-06-07-01:00"/>
        <s v="2017-06-07-02:00"/>
        <s v="2017-06-07-03:00"/>
        <s v="2017-06-07-04:00"/>
        <s v="2017-06-07-05:00"/>
        <s v="2017-06-07-06:00"/>
        <s v="2017-06-20-10:00"/>
        <s v="2017-06-07-08:00"/>
        <s v="2017-06-07-09:00"/>
        <s v="2017-06-07-10:00"/>
        <s v="2017-06-07-11:00"/>
        <s v="2017-06-07-12:00"/>
        <s v="2017-06-07-13:00"/>
        <s v="2017-06-07-14:00"/>
        <s v="2017-06-07-15:00"/>
        <s v="2017-06-07-16:00"/>
        <s v="2017-06-07-17:00"/>
        <s v="2017-06-07-18:00"/>
        <s v="2017-06-07-19:00"/>
        <s v="2017-06-07-20:00"/>
        <s v="2017-06-07-21:00"/>
        <s v="2017-06-21-01:00"/>
        <s v="2017-06-07-23:00"/>
        <s v="2017-06-08-00:00"/>
        <s v="2017-06-08-01:00"/>
        <s v="2017-06-08-02:00"/>
        <s v="2017-06-08-03:00"/>
        <s v="2017-06-08-04:00"/>
        <s v="2017-06-08-05:00"/>
        <s v="2017-06-08-06:00"/>
        <s v="2017-06-08-07:00"/>
        <s v="2017-06-08-08:00"/>
        <s v="2017-06-08-09:00"/>
        <s v="2017-06-08-10:00"/>
        <s v="2017-06-08-11:00"/>
        <s v="2017-06-21-16:00"/>
        <s v="2017-06-08-13:00"/>
        <s v="2017-06-08-14:00"/>
        <s v="2017-06-08-15:00"/>
        <s v="2017-06-08-16:00"/>
        <s v="2017-06-08-17:00"/>
        <s v="2017-06-08-18:00"/>
        <s v="2017-06-08-19:00"/>
        <s v="2017-06-08-20:00"/>
        <s v="2017-06-08-21:00"/>
        <s v="2017-06-08-22:00"/>
        <s v="2017-06-08-23:00"/>
        <s v="2017-06-09-00:00"/>
        <s v="2017-06-09-01:00"/>
        <s v="2017-06-09-02:00"/>
        <s v="2017-06-22-07:00"/>
        <s v="2017-05-26-09:00"/>
        <s v="2017-05-26-10:00"/>
        <s v="2017-05-26-11:00"/>
        <s v="2017-05-26-12:00"/>
        <s v="2017-05-26-13:00"/>
        <s v="2017-05-26-14:00"/>
        <s v="2017-05-26-15:00"/>
        <s v="2017-05-26-16:00"/>
        <s v="2017-05-26-17:00"/>
        <s v="2017-05-26-18:00"/>
        <s v="2017-05-26-19:00"/>
        <s v="2017-05-26-20:00"/>
        <s v="2017-05-26-21:00"/>
        <s v="2017-05-26-22:00"/>
        <s v="2017-05-26-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5:00"/>
        <s v="2017-05-30-06:00"/>
        <s v="2017-05-30-07:00"/>
        <s v="2017-05-30-08:00"/>
        <s v="2017-05-30-09:00"/>
        <s v="2017-05-30-10:00"/>
        <s v="2017-05-30-11:00"/>
        <s v="2017-05-30-12:00"/>
        <s v="2017-05-30-13:00"/>
        <s v="2017-05-30-14:00"/>
        <s v="2017-05-30-15:00"/>
        <s v="2017-05-30-16:00"/>
        <s v="2017-05-30-17:00"/>
        <s v="2017-05-30-18:00"/>
        <s v="2017-06-12-23:00"/>
        <s v="2017-05-30-20:00"/>
        <s v="2017-05-30-21:00"/>
        <s v="2017-05-30-22:00"/>
        <s v="2017-05-30-23:00"/>
        <s v="2017-05-31-00:00"/>
        <s v="2017-05-31-01:00"/>
        <s v="2017-05-31-02:00"/>
        <s v="2017-05-31-03:00"/>
        <s v="2017-05-31-04:00"/>
        <s v="2017-05-31-05:00"/>
        <s v="2017-05-31-06:00"/>
        <s v="2017-05-31-07:00"/>
        <s v="2017-05-31-08:00"/>
        <s v="2017-05-31-09:00"/>
        <s v="2017-06-13-13:00"/>
        <s v="2017-06-14-05:00"/>
        <s v="2017-06-14-06:00"/>
        <s v="2017-06-14-07:00"/>
        <s v="2017-06-14-08:00"/>
        <s v="2017-06-14-09:00"/>
        <s v="2017-06-14-10:00"/>
        <s v="2017-06-14-11:00"/>
        <s v="2017-06-14-12:00"/>
        <s v="2017-06-14-13:00"/>
        <s v="2017-06-14-14:00"/>
        <s v="2017-06-14-15:00"/>
        <s v="2017-06-14-16:00"/>
        <s v="2017-06-14-17:00"/>
        <s v="2017-06-14-18:00"/>
        <s v="2017-06-27-22:00"/>
        <s v="2017-06-14-20:00"/>
        <s v="2017-06-14-21:00"/>
        <s v="2017-06-14-22:00"/>
        <s v="2017-06-14-23:00"/>
        <s v="2017-06-15-00:00"/>
        <s v="2017-06-15-01:00"/>
        <s v="2017-06-15-02:00"/>
        <s v="2017-06-15-03:00"/>
        <s v="2017-06-15-04:00"/>
        <s v="2017-06-15-05:00"/>
        <s v="2017-06-15-06:00"/>
        <s v="2017-06-15-07:00"/>
        <s v="2017-06-15-08:00"/>
        <s v="2017-06-28-13:00"/>
        <s v="2017-06-15-10:00"/>
        <s v="2017-06-15-11:00"/>
        <s v="2017-06-15-12:00"/>
        <s v="2017-06-15-13:00"/>
        <s v="2017-06-15-14:00"/>
        <s v="2017-06-15-15:00"/>
        <s v="2017-06-15-16:00"/>
        <s v="2017-06-15-17:00"/>
        <s v="2017-06-15-18:00"/>
        <s v="2017-06-15-19:00"/>
        <s v="2017-06-15-20:00"/>
        <s v="2017-06-15-21:00"/>
        <s v="2017-06-15-22:00"/>
        <s v="2017-06-15-23:00"/>
        <s v="2017-06-29-04:00"/>
        <s v="2017-06-16-01:00"/>
        <s v="2017-06-16-02:00"/>
        <s v="2017-06-16-03:00"/>
        <s v="2017-06-16-04:00"/>
        <s v="2017-06-16-05:00"/>
        <s v="2017-06-16-06:00"/>
        <s v="2017-06-16-07:00"/>
        <s v="2017-06-16-08:00"/>
        <s v="2017-06-16-09:00"/>
        <s v="2017-06-16-10:00"/>
        <s v="2017-06-16-11:00"/>
        <s v="2017-06-16-12:00"/>
        <s v="2017-06-16-13:00"/>
        <s v="2017-06-29-18:00"/>
        <s v="2017-06-16-15:00"/>
        <s v="2017-06-16-16:00"/>
        <s v="2017-06-16-17:00"/>
        <s v="2017-06-16-18:00"/>
        <s v="2017-06-16-19:00"/>
        <s v="2017-06-16-20:00"/>
        <s v="2017-06-16-21:00"/>
        <s v="2017-06-16-22:00"/>
        <s v="2017-06-16-23:00"/>
        <s v="2017-06-19-00:00"/>
        <s v="2017-06-19-01:00"/>
        <s v="2017-06-19-02:00"/>
        <s v="2017-06-19-03:00"/>
        <s v="2017-06-19-04:00"/>
        <s v="2017-06-30-09:00"/>
        <s v="2017-06-19-06:00"/>
        <s v="2017-06-19-07:00"/>
        <s v="2017-06-19-08:00"/>
        <s v="2017-06-19-09:00"/>
        <s v="2017-06-19-10:00"/>
        <s v="2017-06-19-11:00"/>
        <s v="2017-06-19-12:00"/>
        <s v="2017-06-19-13:00"/>
        <s v="2017-06-19-14:00"/>
        <s v="2017-06-19-15:00"/>
        <s v="2017-06-19-16:00"/>
        <s v="2017-06-19-17:00"/>
        <s v="2017-06-19-18:00"/>
        <s v="2017-06-19-19:00"/>
        <s v="2017-07-03-00:00"/>
        <s v="2017-06-19-21:00"/>
        <s v="2017-06-19-22:00"/>
        <s v="2017-06-19-23:00"/>
        <s v="2017-06-20-00:00"/>
        <s v="2017-06-20-01:00"/>
        <s v="2017-06-20-02:00"/>
        <s v="2017-06-20-03:00"/>
        <s v="2017-06-20-04:00"/>
        <s v="2017-06-20-05:00"/>
        <s v="2017-06-20-06:00"/>
        <s v="2017-06-20-07:00"/>
        <s v="2017-06-20-08:00"/>
        <s v="2017-06-20-09:00"/>
        <s v="2017-07-03-14:00"/>
        <s v="2017-06-20-11:00"/>
        <s v="2017-06-20-12:00"/>
        <s v="2017-06-20-13:00"/>
        <s v="2017-06-20-14:00"/>
        <s v="2017-06-20-15:00"/>
        <s v="2017-06-20-16:00"/>
        <s v="2017-06-20-17:00"/>
        <s v="2017-06-20-18:00"/>
        <s v="2017-06-20-19:00"/>
        <s v="2017-06-20-20:00"/>
        <s v="2017-06-20-21:00"/>
        <s v="2017-06-20-22:00"/>
        <s v="2017-06-20-23:00"/>
        <s v="2017-06-21-00:00"/>
        <s v="2017-07-04-05:00"/>
        <s v="2017-06-21-02:00"/>
        <s v="2017-06-21-03:00"/>
        <s v="2017-06-21-04:00"/>
        <s v="2017-06-21-05:00"/>
        <s v="2017-06-21-06:00"/>
        <s v="2017-06-21-07:00"/>
        <s v="2017-06-21-08:00"/>
        <s v="2017-06-21-09:00"/>
        <s v="2017-06-21-10:00"/>
        <s v="2017-06-21-11:00"/>
        <s v="2017-06-21-12:00"/>
        <s v="2017-06-21-13:00"/>
        <s v="2017-06-21-14:00"/>
        <s v="2017-06-21-15:00"/>
        <s v="2017-07-04-19:00"/>
        <s v="2017-06-21-17:00"/>
        <s v="2017-06-21-18:00"/>
        <s v="2017-06-21-19:00"/>
        <s v="2017-06-21-20:00"/>
        <s v="2017-06-21-21:00"/>
        <s v="2017-06-21-22:00"/>
        <s v="2017-06-21-23:00"/>
        <s v="2017-06-22-00:00"/>
        <s v="2017-06-22-01:00"/>
        <s v="2017-06-22-02:00"/>
        <s v="2017-06-22-03:00"/>
        <s v="2017-06-22-04:00"/>
        <s v="2017-06-22-05:00"/>
        <s v="2017-06-22-06:00"/>
        <s v="2017-07-05-10:00"/>
        <s v="2017-06-22-08:00"/>
        <s v="2017-06-22-09:00"/>
        <s v="2017-06-22-10:00"/>
        <s v="2017-06-22-11:00"/>
        <s v="2017-06-22-12:00"/>
        <s v="2017-06-22-13:00"/>
        <s v="2017-06-22-14:00"/>
        <s v="2017-06-22-15:00"/>
        <s v="2017-06-22-16:00"/>
        <s v="2017-06-22-17:00"/>
        <s v="2017-06-22-18:00"/>
        <s v="2017-06-22-19:00"/>
        <s v="2017-06-22-20:00"/>
        <s v="2017-06-22-21:00"/>
        <s v="2017-07-06-01:00"/>
        <s v="2017-06-09-03:00"/>
        <s v="2017-06-09-04:00"/>
        <s v="2017-06-09-05:00"/>
        <s v="2017-06-09-06:00"/>
        <s v="2017-06-09-07:00"/>
        <s v="2017-06-09-08:00"/>
        <s v="2017-06-09-09:00"/>
        <s v="2017-06-09-10:00"/>
        <s v="2017-06-09-11:00"/>
        <s v="2017-06-09-12:00"/>
        <s v="2017-06-09-13:00"/>
        <s v="2017-06-09-14:00"/>
        <s v="2017-06-09-15:00"/>
        <s v="2017-06-09-16:00"/>
        <s v="2017-06-09-17:00"/>
        <s v="2017-06-09-18:00"/>
        <s v="2017-06-09-19:00"/>
        <s v="2017-06-09-20:00"/>
        <s v="2017-06-09-21:00"/>
        <s v="2017-06-09-22:00"/>
        <s v="2017-06-09-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3-00:00"/>
        <s v="2017-06-13-01:00"/>
        <s v="2017-06-13-02:00"/>
        <s v="2017-06-13-03:00"/>
        <s v="2017-06-13-04:00"/>
        <s v="2017-06-13-05:00"/>
        <s v="2017-06-13-06:00"/>
        <s v="2017-06-13-07:00"/>
        <s v="2017-06-13-08:00"/>
        <s v="2017-06-13-09:00"/>
        <s v="2017-06-13-10:00"/>
        <s v="2017-06-13-11:00"/>
        <s v="2017-06-13-12:00"/>
        <s v="2017-06-26-17:00"/>
        <s v="2017-06-13-14:00"/>
        <s v="2017-06-13-15:00"/>
        <s v="2017-06-13-16:00"/>
        <s v="2017-06-13-17:00"/>
        <s v="2017-06-13-18:00"/>
        <s v="2017-06-13-19:00"/>
        <s v="2017-06-13-20:00"/>
        <s v="2017-06-13-21:00"/>
        <s v="2017-06-13-22:00"/>
        <s v="2017-06-13-23:00"/>
        <s v="2017-06-14-00:00"/>
        <s v="2017-06-14-01:00"/>
        <s v="2017-06-14-02:00"/>
        <s v="2017-06-14-03:00"/>
        <s v="2017-06-27-08:00"/>
        <s v="2017-06-27-23:00"/>
        <s v="2017-06-28-00:00"/>
        <s v="2017-06-28-01:00"/>
        <s v="2017-06-28-02:00"/>
        <s v="2017-06-28-03:00"/>
        <s v="2017-06-28-04:00"/>
        <s v="2017-06-28-05:00"/>
        <s v="2017-06-28-06:00"/>
        <s v="2017-06-28-07:00"/>
        <s v="2017-06-28-08:00"/>
        <s v="2017-06-28-09:00"/>
        <s v="2017-06-28-10:00"/>
        <s v="2017-06-28-11:00"/>
        <s v="2017-06-28-12:00"/>
        <s v="2017-07-11-16:00"/>
        <s v="2017-06-28-14:00"/>
        <s v="2017-06-28-15:00"/>
        <s v="2017-06-28-16:00"/>
        <s v="2017-06-28-17:00"/>
        <s v="2017-06-28-18:00"/>
        <s v="2017-06-28-19:00"/>
        <s v="2017-06-28-20:00"/>
        <s v="2017-06-28-21:00"/>
        <s v="2017-06-28-22:00"/>
        <s v="2017-06-28-23:00"/>
        <s v="2017-06-29-00:00"/>
        <s v="2017-06-29-01:00"/>
        <s v="2017-06-29-02:00"/>
        <s v="2017-06-29-03:00"/>
        <s v="2017-07-12-07:00"/>
        <s v="2017-06-29-05:00"/>
        <s v="2017-06-29-06:00"/>
        <s v="2017-06-29-07:00"/>
        <s v="2017-06-29-08:00"/>
        <s v="2017-06-29-09:00"/>
        <s v="2017-06-29-10:00"/>
        <s v="2017-06-29-11:00"/>
        <s v="2017-06-29-12:00"/>
        <s v="2017-06-29-13:00"/>
        <s v="2017-06-29-14:00"/>
        <s v="2017-06-29-15:00"/>
        <s v="2017-06-29-16:00"/>
        <s v="2017-06-29-17:00"/>
        <s v="2017-07-12-22:00"/>
        <s v="2017-06-29-19:00"/>
        <s v="2017-06-29-20:00"/>
        <s v="2017-06-29-21:00"/>
        <s v="2017-06-29-22:00"/>
        <s v="2017-06-29-23:00"/>
        <s v="2017-06-30-00:00"/>
        <s v="2017-06-30-01:00"/>
        <s v="2017-06-30-02:00"/>
        <s v="2017-06-30-03:00"/>
        <s v="2017-06-30-04:00"/>
        <s v="2017-06-30-05:00"/>
        <s v="2017-06-30-06:00"/>
        <s v="2017-06-30-07:00"/>
        <s v="2017-06-30-08:00"/>
        <s v="2017-07-13-12:00"/>
        <s v="2017-06-30-10:00"/>
        <s v="2017-06-30-11:00"/>
        <s v="2017-06-30-12:00"/>
        <s v="2017-06-30-13:00"/>
        <s v="2017-06-30-14:00"/>
        <s v="2017-06-30-15:00"/>
        <s v="2017-06-30-16:00"/>
        <s v="2017-06-30-17:00"/>
        <s v="2017-06-30-18:00"/>
        <s v="2017-06-30-19:00"/>
        <s v="2017-06-30-20:00"/>
        <s v="2017-06-30-21:00"/>
        <s v="2017-06-30-22:00"/>
        <s v="2017-06-30-23:00"/>
        <s v="2017-07-14-03:00"/>
        <s v="2017-07-03-01:00"/>
        <s v="2017-07-03-02:00"/>
        <s v="2017-07-03-03:00"/>
        <s v="2017-07-03-04:00"/>
        <s v="2017-07-03-05:00"/>
        <s v="2017-07-03-06:00"/>
        <s v="2017-07-03-07:00"/>
        <s v="2017-07-03-08:00"/>
        <s v="2017-07-03-09:00"/>
        <s v="2017-07-03-10:00"/>
        <s v="2017-07-03-11:00"/>
        <s v="2017-07-03-12:00"/>
        <s v="2017-07-03-13:00"/>
        <s v="2017-07-14-18:00"/>
        <s v="2017-07-03-15:00"/>
        <s v="2017-07-03-16:00"/>
        <s v="2017-07-03-17:00"/>
        <s v="2017-07-03-18:00"/>
        <s v="2017-07-03-19:00"/>
        <s v="2017-07-03-20:00"/>
        <s v="2017-07-03-21:00"/>
        <s v="2017-07-03-22:00"/>
        <s v="2017-07-03-23:00"/>
        <s v="2017-07-04-00:00"/>
        <s v="2017-07-04-01:00"/>
        <s v="2017-07-04-02:00"/>
        <s v="2017-07-04-03:00"/>
        <s v="2017-07-04-04:00"/>
        <s v="2017-07-17-08:00"/>
        <s v="2017-07-04-06:00"/>
        <s v="2017-07-04-07:00"/>
        <s v="2017-07-04-08:00"/>
        <s v="2017-07-04-09:00"/>
        <s v="2017-07-04-10:00"/>
        <s v="2017-07-04-11:00"/>
        <s v="2017-07-04-12:00"/>
        <s v="2017-07-04-13:00"/>
        <s v="2017-07-04-14:00"/>
        <s v="2017-07-04-15:00"/>
        <s v="2017-07-04-16:00"/>
        <s v="2017-07-04-17:00"/>
        <s v="2017-07-04-18:00"/>
        <s v="2017-07-17-23:00"/>
        <s v="2017-07-04-20:00"/>
        <s v="2017-07-04-21:00"/>
        <s v="2017-07-04-22:00"/>
        <s v="2017-07-04-23:00"/>
        <s v="2017-07-05-00:00"/>
        <s v="2017-07-05-01:00"/>
        <s v="2017-07-05-02:00"/>
        <s v="2017-07-05-03:00"/>
        <s v="2017-07-05-04:00"/>
        <s v="2017-07-05-05:00"/>
        <s v="2017-07-05-06:00"/>
        <s v="2017-07-05-07:00"/>
        <s v="2017-07-05-08:00"/>
        <s v="2017-07-05-09:00"/>
        <s v="2017-07-18-14:00"/>
        <s v="2017-07-05-11:00"/>
        <s v="2017-07-05-12:00"/>
        <s v="2017-07-05-13:00"/>
        <s v="2017-07-05-14:00"/>
        <s v="2017-07-05-15:00"/>
        <s v="2017-07-05-16:00"/>
        <s v="2017-07-05-17:00"/>
        <s v="2017-07-05-18:00"/>
        <s v="2017-07-05-19:00"/>
        <s v="2017-07-05-20:00"/>
        <s v="2017-07-05-21:00"/>
        <s v="2017-07-05-22:00"/>
        <s v="2017-07-05-23:00"/>
        <s v="2017-07-06-00:00"/>
        <s v="2017-07-19-04:00"/>
        <s v="2017-07-06-02:00"/>
        <s v="2017-07-06-03:00"/>
        <s v="2017-07-06-04:00"/>
        <s v="2017-07-06-05:00"/>
        <s v="2017-07-06-06:00"/>
        <s v="2017-07-06-07:00"/>
        <s v="2017-07-06-08:00"/>
        <s v="2017-07-06-09:00"/>
        <s v="2017-07-06-10:00"/>
        <s v="2017-07-06-11:00"/>
        <s v="2017-07-06-12:00"/>
        <s v="2017-07-06-13:00"/>
        <s v="2017-07-06-14:00"/>
        <s v="2017-07-06-15:00"/>
        <s v="2017-07-19-19: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3-17:00"/>
        <s v="2017-06-23-18:00"/>
        <s v="2017-06-23-19:00"/>
        <s v="2017-06-23-20:00"/>
        <s v="2017-06-23-21:00"/>
        <s v="2017-06-23-22:00"/>
        <s v="2017-06-23-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7-07-21:00"/>
        <s v="2017-06-26-18:00"/>
        <s v="2017-06-26-19:00"/>
        <s v="2017-06-26-20:00"/>
        <s v="2017-06-26-21:00"/>
        <s v="2017-06-26-22:00"/>
        <s v="2017-06-26-23:00"/>
        <s v="2017-06-27-00:00"/>
        <s v="2017-06-27-01:00"/>
        <s v="2017-06-27-02:00"/>
        <s v="2017-06-27-03:00"/>
        <s v="2017-06-27-04:00"/>
        <s v="2017-06-27-05:00"/>
        <s v="2017-06-27-06:00"/>
        <s v="2017-06-27-07:00"/>
        <s v="2017-07-10-11:00"/>
        <s v="2017-06-27-09:00"/>
        <s v="2017-06-27-10:00"/>
        <s v="2017-06-27-11:00"/>
        <s v="2017-06-27-12:00"/>
        <s v="2017-06-27-13:00"/>
        <s v="2017-06-27-14:00"/>
        <s v="2017-06-27-15:00"/>
        <s v="2017-06-27-16:00"/>
        <s v="2017-06-27-17:00"/>
        <s v="2017-06-27-18:00"/>
        <s v="2017-06-27-19:00"/>
        <s v="2017-06-27-20:00"/>
        <s v="2017-06-27-21:00"/>
        <s v="2017-07-11-02:00"/>
        <s v="2017-07-11-17:00"/>
        <s v="2017-07-11-18:00"/>
        <s v="2017-07-11-19:00"/>
        <s v="2017-07-11-20:00"/>
        <s v="2017-07-11-21:00"/>
        <s v="2017-07-11-22:00"/>
        <s v="2017-07-11-23:00"/>
        <s v="2017-07-12-00:00"/>
        <s v="2017-07-12-01:00"/>
        <s v="2017-07-12-02:00"/>
        <s v="2017-07-12-03:00"/>
        <s v="2017-07-12-04:00"/>
        <s v="2017-07-12-05:00"/>
        <s v="2017-07-12-06:00"/>
        <s v="2017-07-25-11:00"/>
        <s v="2017-07-12-08:00"/>
        <s v="2017-07-12-09:00"/>
        <s v="2017-07-12-10:00"/>
        <s v="2017-07-12-11:00"/>
        <s v="2017-07-12-12:00"/>
        <s v="2017-07-12-13:00"/>
        <s v="2017-07-12-14:00"/>
        <s v="2017-07-12-15:00"/>
        <s v="2017-07-12-16:00"/>
        <s v="2017-07-12-17:00"/>
        <s v="2017-07-12-18:00"/>
        <s v="2017-07-12-19:00"/>
        <s v="2017-07-12-20:00"/>
        <s v="2017-07-12-21:00"/>
        <s v="2017-07-26-02:00"/>
        <s v="2017-07-12-23:00"/>
        <s v="2017-07-13-00:00"/>
        <s v="2017-07-13-01:00"/>
        <s v="2017-07-13-02:00"/>
        <s v="2017-07-13-03:00"/>
        <s v="2017-07-13-04:00"/>
        <s v="2017-07-13-05:00"/>
        <s v="2017-07-13-06:00"/>
        <s v="2017-07-13-07:00"/>
        <s v="2017-07-13-08:00"/>
        <s v="2017-07-13-09:00"/>
        <s v="2017-07-13-10:00"/>
        <s v="2017-07-13-11:00"/>
        <s v="2017-07-26-16:00"/>
        <s v="2017-07-13-13:00"/>
        <s v="2017-07-13-14:00"/>
        <s v="2017-07-13-15:00"/>
        <s v="2017-07-13-16:00"/>
        <s v="2017-07-13-17:00"/>
        <s v="2017-07-13-18:00"/>
        <s v="2017-07-13-19:00"/>
        <s v="2017-07-13-20:00"/>
        <s v="2017-07-13-21:00"/>
        <s v="2017-07-13-22:00"/>
        <s v="2017-07-13-23:00"/>
        <s v="2017-07-14-00:00"/>
        <s v="2017-07-14-01:00"/>
        <s v="2017-07-14-02:00"/>
        <s v="2017-07-27-07:00"/>
        <s v="2017-07-14-04:00"/>
        <s v="2017-07-14-05:00"/>
        <s v="2017-07-14-06:00"/>
        <s v="2017-07-14-07:00"/>
        <s v="2017-07-14-08:00"/>
        <s v="2017-07-14-09:00"/>
        <s v="2017-07-14-10:00"/>
        <s v="2017-07-14-11:00"/>
        <s v="2017-07-14-12:00"/>
        <s v="2017-07-14-13:00"/>
        <s v="2017-07-14-14:00"/>
        <s v="2017-07-14-15:00"/>
        <s v="2017-07-14-16:00"/>
        <s v="2017-07-14-17:00"/>
        <s v="2017-07-27-21:00"/>
        <s v="2017-07-14-19:00"/>
        <s v="2017-07-14-20:00"/>
        <s v="2017-07-14-21:00"/>
        <s v="2017-07-14-22:00"/>
        <s v="2017-07-14-23:00"/>
        <s v="2017-07-17-00:00"/>
        <s v="2017-07-17-01:00"/>
        <s v="2017-07-17-02:00"/>
        <s v="2017-07-17-03:00"/>
        <s v="2017-07-17-04:00"/>
        <s v="2017-07-17-05:00"/>
        <s v="2017-07-17-06:00"/>
        <s v="2017-07-17-07:00"/>
        <s v="2017-07-28-12:00"/>
        <s v="2017-07-17-09:00"/>
        <s v="2017-07-17-10:00"/>
        <s v="2017-07-17-11:00"/>
        <s v="2017-07-17-12:00"/>
        <s v="2017-07-17-13:00"/>
        <s v="2017-07-17-14:00"/>
        <s v="2017-07-17-15:00"/>
        <s v="2017-07-17-16:00"/>
        <s v="2017-07-17-17:00"/>
        <s v="2017-07-17-18:00"/>
        <s v="2017-07-17-19:00"/>
        <s v="2017-07-17-20:00"/>
        <s v="2017-07-17-21:00"/>
        <s v="2017-07-17-22:00"/>
        <s v="2017-07-31-03:00"/>
        <s v="2017-07-18-00:00"/>
        <s v="2017-07-18-01:00"/>
        <s v="2017-07-18-02:00"/>
        <s v="2017-07-18-03:00"/>
        <s v="2017-07-18-04:00"/>
        <s v="2017-07-18-05:00"/>
        <s v="2017-07-18-06:00"/>
        <s v="2017-07-18-07:00"/>
        <s v="2017-07-18-08:00"/>
        <s v="2017-07-18-09:00"/>
        <s v="2017-07-18-10:00"/>
        <s v="2017-07-18-11:00"/>
        <s v="2017-07-18-12:00"/>
        <s v="2017-07-18-13:00"/>
        <s v="2017-07-31-18:00"/>
        <s v="2017-07-18-15:00"/>
        <s v="2017-07-18-16:00"/>
        <s v="2017-07-18-17:00"/>
        <s v="2017-07-18-18:00"/>
        <s v="2017-07-18-19:00"/>
        <s v="2017-07-18-20:00"/>
        <s v="2017-07-18-21:00"/>
        <s v="2017-07-18-22:00"/>
        <s v="2017-07-18-23:00"/>
        <s v="2017-07-19-00:00"/>
        <s v="2017-07-19-01:00"/>
        <s v="2017-07-19-02:00"/>
        <s v="2017-07-19-03:00"/>
        <s v="2017-08-01-08:00"/>
        <s v="2017-07-19-05:00"/>
        <s v="2017-07-19-06:00"/>
        <s v="2017-07-19-07:00"/>
        <s v="2017-07-19-08:00"/>
        <s v="2017-07-19-09:00"/>
        <s v="2017-07-19-10:00"/>
        <s v="2017-07-19-11:00"/>
        <s v="2017-07-19-12:00"/>
        <s v="2017-07-19-13:00"/>
        <s v="2017-07-19-14:00"/>
        <s v="2017-07-19-15:00"/>
        <s v="2017-07-19-16:00"/>
        <s v="2017-07-19-17:00"/>
        <s v="2017-07-19-18:00"/>
        <s v="2017-08-01-23:00"/>
        <s v="2017-07-19-20:00"/>
        <s v="2017-07-19-21:00"/>
        <s v="2017-07-19-22:00"/>
        <s v="2017-07-19-23:00"/>
        <s v="2017-07-20-00:00"/>
        <s v="2017-07-20-01:00"/>
        <s v="2017-07-20-02:00"/>
        <s v="2017-07-20-03:00"/>
        <s v="2017-07-20-04:00"/>
        <s v="2017-07-20-05:00"/>
        <s v="2017-07-20-06:00"/>
        <s v="2017-07-20-07:00"/>
        <s v="2017-07-20-08:00"/>
        <s v="2017-07-20-09:00"/>
        <s v="2017-08-02-14: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7-17:00"/>
        <s v="2017-07-07-18:00"/>
        <s v="2017-07-07-19:00"/>
        <s v="2017-07-07-20:00"/>
        <s v="2017-07-07-22:00"/>
        <s v="2017-07-07-23:00"/>
        <s v="2017-07-10-00:00"/>
        <s v="2017-07-10-01:00"/>
        <s v="2017-07-10-02:00"/>
        <s v="2017-07-10-03:00"/>
        <s v="2017-07-10-04:00"/>
        <s v="2017-07-10-05:00"/>
        <s v="2017-07-10-06:00"/>
        <s v="2017-07-10-07:00"/>
        <s v="2017-07-10-08:00"/>
        <s v="2017-07-10-09:00"/>
        <s v="2017-07-10-10:00"/>
        <s v="2017-07-21-15:00"/>
        <s v="2017-07-10-12:00"/>
        <s v="2017-07-10-13:00"/>
        <s v="2017-07-10-14:00"/>
        <s v="2017-07-10-15:00"/>
        <s v="2017-07-10-16:00"/>
        <s v="2017-07-10-17:00"/>
        <s v="2017-07-10-18:00"/>
        <s v="2017-07-10-19:00"/>
        <s v="2017-07-10-20:00"/>
        <s v="2017-07-10-21:00"/>
        <s v="2017-07-10-22:00"/>
        <s v="2017-07-10-23:00"/>
        <s v="2017-07-11-00:00"/>
        <s v="2017-07-11-01:00"/>
        <s v="2017-07-24-06:00"/>
        <s v="2017-07-11-03:00"/>
        <s v="2017-07-11-04:00"/>
        <s v="2017-07-11-05:00"/>
        <s v="2017-07-11-06:00"/>
        <s v="2017-07-11-07:00"/>
        <s v="2017-07-11-08:00"/>
        <s v="2017-07-11-09:00"/>
        <s v="2017-07-11-10:00"/>
        <s v="2017-07-11-11:00"/>
        <s v="2017-07-11-12:00"/>
        <s v="2017-07-11-13:00"/>
        <s v="2017-07-11-14:00"/>
        <s v="2017-07-11-15:00"/>
        <s v="2017-07-24-20:00"/>
        <s v="2017-07-25-12:00"/>
        <s v="2017-07-25-13:00"/>
        <s v="2017-07-25-14:00"/>
        <s v="2017-07-25-15:00"/>
        <s v="2017-07-25-16:00"/>
        <s v="2017-07-25-17:00"/>
        <s v="2017-07-25-18:00"/>
        <s v="2017-07-25-19:00"/>
        <s v="2017-07-25-20:00"/>
        <s v="2017-07-25-21:00"/>
        <s v="2017-07-25-22:00"/>
        <s v="2017-07-25-23:00"/>
        <s v="2017-07-26-00:00"/>
        <s v="2017-07-26-01:00"/>
        <s v="2017-08-08-05:00"/>
        <s v="2017-07-26-03:00"/>
        <s v="2017-07-26-04:00"/>
        <s v="2017-07-26-05:00"/>
        <s v="2017-07-26-06:00"/>
        <s v="2017-07-26-07:00"/>
        <s v="2017-07-26-08:00"/>
        <s v="2017-07-26-09:00"/>
        <s v="2017-07-26-10:00"/>
        <s v="2017-07-26-11:00"/>
        <s v="2017-07-26-12:00"/>
        <s v="2017-07-26-13:00"/>
        <s v="2017-07-26-14:00"/>
        <s v="2017-07-26-15:00"/>
        <s v="2017-08-08-20:00"/>
        <s v="2017-07-26-17:00"/>
        <s v="2017-07-26-18:00"/>
        <s v="2017-07-26-19:00"/>
        <s v="2017-07-26-20:00"/>
        <s v="2017-07-26-21:00"/>
        <s v="2017-07-26-22:00"/>
        <s v="2017-07-26-23:00"/>
        <s v="2017-07-27-00:00"/>
        <s v="2017-07-27-01:00"/>
        <s v="2017-07-27-02:00"/>
        <s v="2017-07-27-03:00"/>
        <s v="2017-07-27-04:00"/>
        <s v="2017-07-27-05:00"/>
        <s v="2017-07-27-06:00"/>
        <s v="2017-08-09-10:00"/>
        <s v="2017-07-27-08:00"/>
        <s v="2017-07-27-09:00"/>
        <s v="2017-07-27-10:00"/>
        <s v="2017-07-27-11:00"/>
        <s v="2017-07-27-12:00"/>
        <s v="2017-07-27-13:00"/>
        <s v="2017-07-27-14:00"/>
        <s v="2017-07-27-15:00"/>
        <s v="2017-07-27-16:00"/>
        <s v="2017-07-27-17:00"/>
        <s v="2017-07-27-18:00"/>
        <s v="2017-07-27-19:00"/>
        <s v="2017-07-27-20:00"/>
        <s v="2017-08-10-01:00"/>
        <s v="2017-07-27-22:00"/>
        <s v="2017-07-27-23:00"/>
        <s v="2017-07-28-00:00"/>
        <s v="2017-07-28-01:00"/>
        <s v="2017-07-28-02:00"/>
        <s v="2017-07-28-03:00"/>
        <s v="2017-07-28-04:00"/>
        <s v="2017-07-28-05:00"/>
        <s v="2017-07-28-06:00"/>
        <s v="2017-07-28-07:00"/>
        <s v="2017-07-28-08:00"/>
        <s v="2017-07-28-09:00"/>
        <s v="2017-07-28-10:00"/>
        <s v="2017-07-28-11:00"/>
        <s v="2017-08-10-15:00"/>
        <s v="2017-07-28-13:00"/>
        <s v="2017-07-28-14:00"/>
        <s v="2017-07-28-15:00"/>
        <s v="2017-07-28-16:00"/>
        <s v="2017-07-28-17:00"/>
        <s v="2017-07-28-18:00"/>
        <s v="2017-07-28-19:00"/>
        <s v="2017-07-28-20:00"/>
        <s v="2017-07-28-21:00"/>
        <s v="2017-07-28-22:00"/>
        <s v="2017-07-28-23:00"/>
        <s v="2017-07-31-00:00"/>
        <s v="2017-07-31-01:00"/>
        <s v="2017-07-31-02:00"/>
        <s v="2017-08-11-06:00"/>
        <s v="2017-07-31-04:00"/>
        <s v="2017-07-31-05:00"/>
        <s v="2017-07-31-06:00"/>
        <s v="2017-07-31-07:00"/>
        <s v="2017-07-31-08:00"/>
        <s v="2017-07-31-09:00"/>
        <s v="2017-07-31-10:00"/>
        <s v="2017-07-31-11:00"/>
        <s v="2017-07-31-12:00"/>
        <s v="2017-07-31-13:00"/>
        <s v="2017-07-31-14:00"/>
        <s v="2017-07-31-15:00"/>
        <s v="2017-07-31-16:00"/>
        <s v="2017-07-31-17:00"/>
        <s v="2017-08-11-20:00"/>
        <s v="2017-07-31-19:00"/>
        <s v="2017-07-31-20:00"/>
        <s v="2017-07-31-21:00"/>
        <s v="2017-07-31-22:00"/>
        <s v="2017-07-31-23:00"/>
        <s v="2017-08-01-00:00"/>
        <s v="2017-08-01-01:00"/>
        <s v="2017-08-01-02:00"/>
        <s v="2017-08-01-03:00"/>
        <s v="2017-08-01-04:00"/>
        <s v="2017-08-01-05:00"/>
        <s v="2017-08-01-06:00"/>
        <s v="2017-08-01-07:00"/>
        <s v="2017-08-01-09:00"/>
        <s v="2017-08-01-10:00"/>
        <s v="2017-08-01-11:00"/>
        <s v="2017-08-01-12:00"/>
        <s v="2017-08-01-13:00"/>
        <s v="2017-08-01-14:00"/>
        <s v="2017-08-01-15:00"/>
        <s v="2017-08-01-16:00"/>
        <s v="2017-08-01-17:00"/>
        <s v="2017-08-01-18:00"/>
        <s v="2017-08-01-19:00"/>
        <s v="2017-08-01-20:00"/>
        <s v="2017-08-01-21:00"/>
        <s v="2017-08-01-22:00"/>
        <s v="2017-08-15-01:00"/>
        <s v="2017-08-02-00:00"/>
        <s v="2017-08-02-01:00"/>
        <s v="2017-08-02-02:00"/>
        <s v="2017-08-02-03:00"/>
        <s v="2017-08-02-04:00"/>
        <s v="2017-08-02-05:00"/>
        <s v="2017-08-02-06:00"/>
        <s v="2017-08-02-07:00"/>
        <s v="2017-08-02-08:00"/>
        <s v="2017-08-02-09:00"/>
        <s v="2017-08-02-10:00"/>
        <s v="2017-08-02-11:00"/>
        <s v="2017-08-02-12:00"/>
        <s v="2017-08-02-13:00"/>
        <s v="2017-08-15-16:00"/>
        <s v="2017-08-02-15:00"/>
        <s v="2017-08-02-16:00"/>
        <s v="2017-08-02-17:00"/>
        <s v="2017-08-02-18:00"/>
        <s v="2017-08-02-19:00"/>
        <s v="2017-08-02-20:00"/>
        <s v="2017-08-02-21:00"/>
        <s v="2017-08-02-22:00"/>
        <s v="2017-08-02-23:00"/>
        <s v="2017-08-03-00:00"/>
        <s v="2017-08-03-01:00"/>
        <s v="2017-08-03-02:00"/>
        <s v="2017-08-03-03:00"/>
        <s v="2017-08-03-04:00"/>
        <s v="2017-08-16-06: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6:00"/>
        <s v="2017-07-21-17:00"/>
        <s v="2017-07-21-18:00"/>
        <s v="2017-07-21-19:00"/>
        <s v="2017-07-21-20:00"/>
        <s v="2017-07-21-21:00"/>
        <s v="2017-07-21-22:00"/>
        <s v="2017-07-21-23:00"/>
        <s v="2017-07-24-00:00"/>
        <s v="2017-07-24-01:00"/>
        <s v="2017-07-24-02:00"/>
        <s v="2017-07-24-03:00"/>
        <s v="2017-07-24-04:00"/>
        <s v="2017-07-24-05:00"/>
        <s v="2017-08-04-10:00"/>
        <s v="2017-07-24-07:00"/>
        <s v="2017-07-24-08:00"/>
        <s v="2017-07-24-09:00"/>
        <s v="2017-07-24-10:00"/>
        <s v="2017-07-24-11:00"/>
        <s v="2017-07-24-12:00"/>
        <s v="2017-07-24-13:00"/>
        <s v="2017-07-24-14:00"/>
        <s v="2017-07-24-15:00"/>
        <s v="2017-07-24-16:00"/>
        <s v="2017-07-24-17:00"/>
        <s v="2017-07-24-18:00"/>
        <s v="2017-07-24-19:00"/>
        <s v="2017-08-07-00:00"/>
        <s v="2017-07-24-21:00"/>
        <s v="2017-07-24-22:00"/>
        <s v="2017-07-24-23:00"/>
        <s v="2017-07-25-00:00"/>
        <s v="2017-07-25-01:00"/>
        <s v="2017-07-25-02:00"/>
        <s v="2017-07-25-03:00"/>
        <s v="2017-07-25-04:00"/>
        <s v="2017-07-25-05:00"/>
        <s v="2017-07-25-06:00"/>
        <s v="2017-07-25-07:00"/>
        <s v="2017-07-25-08:00"/>
        <s v="2017-07-25-09:00"/>
        <s v="2017-07-25-10:00"/>
        <s v="2017-08-07-15:00"/>
        <s v="2017-08-08-06:00"/>
        <s v="2017-08-08-07:00"/>
        <s v="2017-08-08-08:00"/>
        <s v="2017-08-08-09:00"/>
        <s v="2017-08-08-10:00"/>
        <s v="2017-08-08-11:00"/>
        <s v="2017-08-08-12:00"/>
        <s v="2017-08-08-13:00"/>
        <s v="2017-08-08-14:00"/>
        <s v="2017-08-08-15:00"/>
        <s v="2017-08-08-16:00"/>
        <s v="2017-08-08-17:00"/>
        <s v="2017-08-08-18:00"/>
        <s v="2017-08-08-19:00"/>
        <s v="2017-08-21-21:00"/>
        <s v="2017-08-08-21:00"/>
        <s v="2017-08-08-22:00"/>
        <s v="2017-08-08-23:00"/>
        <s v="2017-08-09-00:00"/>
        <s v="2017-08-09-01:00"/>
        <s v="2017-08-09-02:00"/>
        <s v="2017-08-09-03:00"/>
        <s v="2017-08-09-04:00"/>
        <s v="2017-08-09-05:00"/>
        <s v="2017-08-09-06:00"/>
        <s v="2017-08-09-07:00"/>
        <s v="2017-08-09-08:00"/>
        <s v="2017-08-09-09:00"/>
        <s v="2017-08-22-12:00"/>
        <s v="2017-08-09-11:00"/>
        <s v="2017-08-09-12:00"/>
        <s v="2017-08-09-13:00"/>
        <s v="2017-08-09-14:00"/>
        <s v="2017-08-09-15:00"/>
        <s v="2017-08-09-16:00"/>
        <s v="2017-08-09-17:00"/>
        <s v="2017-08-09-18:00"/>
        <s v="2017-08-09-19:00"/>
        <s v="2017-08-09-20:00"/>
        <s v="2017-08-09-21:00"/>
        <s v="2017-08-09-22:00"/>
        <s v="2017-08-09-23:00"/>
        <s v="2017-08-10-00:00"/>
        <s v="2017-08-23-02:00"/>
        <s v="2017-08-10-02:00"/>
        <s v="2017-08-10-03:00"/>
        <s v="2017-08-10-04:00"/>
        <s v="2017-08-10-05:00"/>
        <s v="2017-08-10-06:00"/>
        <s v="2017-08-10-07:00"/>
        <s v="2017-08-10-08:00"/>
        <s v="2017-08-10-09:00"/>
        <s v="2017-08-10-10:00"/>
        <s v="2017-08-10-11:00"/>
        <s v="2017-08-10-12:00"/>
        <s v="2017-08-10-13:00"/>
        <s v="2017-08-10-14:00"/>
        <s v="2017-08-23-17:00"/>
        <s v="2017-08-10-16:00"/>
        <s v="2017-08-10-17:00"/>
        <s v="2017-08-10-18:00"/>
        <s v="2017-08-10-19:00"/>
        <s v="2017-08-10-20:00"/>
        <s v="2017-08-10-21:00"/>
        <s v="2017-08-10-22:00"/>
        <s v="2017-08-10-23:00"/>
        <s v="2017-08-11-00:00"/>
        <s v="2017-08-11-01:00"/>
        <s v="2017-08-11-02:00"/>
        <s v="2017-08-11-03:00"/>
        <s v="2017-08-11-04:00"/>
        <s v="2017-08-11-05:00"/>
        <s v="2017-08-24-07:00"/>
        <s v="2017-08-11-07:00"/>
        <s v="2017-08-11-08:00"/>
        <s v="2017-08-11-09:00"/>
        <s v="2017-08-11-10:00"/>
        <s v="2017-08-11-11:00"/>
        <s v="2017-08-11-12:00"/>
        <s v="2017-08-11-13:00"/>
        <s v="2017-08-11-14:00"/>
        <s v="2017-08-11-15:00"/>
        <s v="2017-08-11-16:00"/>
        <s v="2017-08-11-17:00"/>
        <s v="2017-08-11-18:00"/>
        <s v="2017-08-11-19:00"/>
        <s v="2017-08-24-22:00"/>
        <s v="2017-08-11-21:00"/>
        <s v="2017-08-11-22:00"/>
        <s v="2017-08-11-23:00"/>
        <s v="2017-08-14-00:00"/>
        <s v="2017-08-14-01:00"/>
        <s v="2017-08-14-02:00"/>
        <s v="2017-08-14-03:00"/>
        <s v="2017-08-14-04:00"/>
        <s v="2017-08-14-05:00"/>
        <s v="2017-08-14-06:00"/>
        <s v="2017-08-14-07:00"/>
        <s v="2017-08-14-08:00"/>
        <s v="2017-08-14-09:00"/>
        <s v="2017-08-14-10:00"/>
        <s v="2017-08-25-12:00"/>
        <s v="2017-08-14-11:00"/>
        <s v="2017-08-14-12:00"/>
        <s v="2017-08-14-13:00"/>
        <s v="2017-08-14-14:00"/>
        <s v="2017-08-14-15:00"/>
        <s v="2017-08-14-16:00"/>
        <s v="2017-08-14-17:00"/>
        <s v="2017-08-14-18:00"/>
        <s v="2017-08-14-19:00"/>
        <s v="2017-08-14-20:00"/>
        <s v="2017-08-14-21:00"/>
        <s v="2017-08-14-22:00"/>
        <s v="2017-08-14-23:00"/>
        <s v="2017-08-15-00:00"/>
        <s v="2017-08-15-02:00"/>
        <s v="2017-08-15-03:00"/>
        <s v="2017-08-15-04:00"/>
        <s v="2017-08-15-05:00"/>
        <s v="2017-08-15-06:00"/>
        <s v="2017-08-15-07:00"/>
        <s v="2017-08-15-08:00"/>
        <s v="2017-08-15-09:00"/>
        <s v="2017-08-15-10:00"/>
        <s v="2017-08-15-11:00"/>
        <s v="2017-08-15-12:00"/>
        <s v="2017-08-15-13:00"/>
        <s v="2017-08-15-14:00"/>
        <s v="2017-08-15-15:00"/>
        <s v="2017-08-28-17:00"/>
        <s v="2017-08-15-17:00"/>
        <s v="2017-08-15-18:00"/>
        <s v="2017-08-15-19:00"/>
        <s v="2017-08-15-20:00"/>
        <s v="2017-08-15-21:00"/>
        <s v="2017-08-15-22:00"/>
        <s v="2017-08-15-23:00"/>
        <s v="2017-08-16-00:00"/>
        <s v="2017-08-16-01:00"/>
        <s v="2017-08-16-02:00"/>
        <s v="2017-08-16-03:00"/>
        <s v="2017-08-16-04:00"/>
        <s v="2017-08-16-05:00"/>
        <s v="2017-08-29-08:00"/>
        <s v="2017-08-16-07:00"/>
        <s v="2017-08-16-08:00"/>
        <s v="2017-08-16-09:00"/>
        <s v="2017-08-16-10:00"/>
        <s v="2017-08-16-11:00"/>
        <s v="2017-08-16-12:00"/>
        <s v="2017-08-16-13:00"/>
        <s v="2017-08-16-14:00"/>
        <s v="2017-08-16-15:00"/>
        <s v="2017-08-16-16:00"/>
        <s v="2017-08-16-17:00"/>
        <s v="2017-08-16-18:00"/>
        <s v="2017-08-16-19:00"/>
        <s v="2017-08-16-20:00"/>
        <s v="2017-08-29-22: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1:00"/>
        <s v="2017-08-04-12:00"/>
        <s v="2017-08-04-13:00"/>
        <s v="2017-08-04-14:00"/>
        <s v="2017-08-04-15:00"/>
        <s v="2017-08-04-16:00"/>
        <s v="2017-08-04-17:00"/>
        <s v="2017-08-04-18:00"/>
        <s v="2017-08-04-19:00"/>
        <s v="2017-08-04-20:00"/>
        <s v="2017-08-04-21:00"/>
        <s v="2017-08-04-22:00"/>
        <s v="2017-08-04-23:00"/>
        <s v="2017-08-18-02:00"/>
        <s v="2017-08-07-01:00"/>
        <s v="2017-08-07-02:00"/>
        <s v="2017-08-07-03:00"/>
        <s v="2017-08-07-04:00"/>
        <s v="2017-08-07-05:00"/>
        <s v="2017-08-07-06:00"/>
        <s v="2017-08-07-07:00"/>
        <s v="2017-08-07-08:00"/>
        <s v="2017-08-07-09:00"/>
        <s v="2017-08-07-10:00"/>
        <s v="2017-08-07-11:00"/>
        <s v="2017-08-07-12:00"/>
        <s v="2017-08-07-13:00"/>
        <s v="2017-08-07-14:00"/>
        <s v="2017-08-18-16:00"/>
        <s v="2017-08-07-16:00"/>
        <s v="2017-08-07-17:00"/>
        <s v="2017-08-07-18:00"/>
        <s v="2017-08-07-19:00"/>
        <s v="2017-08-07-20:00"/>
        <s v="2017-08-07-21:00"/>
        <s v="2017-08-07-22:00"/>
        <s v="2017-08-07-23:00"/>
        <s v="2017-08-08-00:00"/>
        <s v="2017-08-08-01:00"/>
        <s v="2017-08-08-02:00"/>
        <s v="2017-08-08-03:00"/>
        <s v="2017-08-08-04:00"/>
        <s v="2017-08-21-07:00"/>
        <s v="2017-08-21-22:00"/>
        <s v="2017-08-21-23:00"/>
        <s v="2017-08-22-00:00"/>
        <s v="2017-08-22-01:00"/>
        <s v="2017-08-22-02:00"/>
        <s v="2017-08-22-03:00"/>
        <s v="2017-08-22-04:00"/>
        <s v="2017-08-22-05:00"/>
        <s v="2017-08-22-06:00"/>
        <s v="2017-08-22-07:00"/>
        <s v="2017-08-22-08:00"/>
        <s v="2017-08-22-09:00"/>
        <s v="2017-08-22-10:00"/>
        <s v="2017-08-22-11:00"/>
        <s v="2017-09-04-13:00"/>
        <s v="2017-08-22-13:00"/>
        <s v="2017-08-22-14:00"/>
        <s v="2017-08-22-15:00"/>
        <s v="2017-08-22-16:00"/>
        <s v="2017-08-22-17:00"/>
        <s v="2017-08-22-18:00"/>
        <s v="2017-08-22-19:00"/>
        <s v="2017-08-22-20:00"/>
        <s v="2017-08-22-21:00"/>
        <s v="2017-08-22-22:00"/>
        <s v="2017-08-22-23:00"/>
        <s v="2017-08-23-00:00"/>
        <s v="2017-08-23-01:00"/>
        <s v="2017-09-05-04:00"/>
        <s v="2017-08-23-03:00"/>
        <s v="2017-08-23-04:00"/>
        <s v="2017-08-23-05:00"/>
        <s v="2017-08-23-06:00"/>
        <s v="2017-08-23-07:00"/>
        <s v="2017-08-23-08:00"/>
        <s v="2017-08-23-09:00"/>
        <s v="2017-08-23-10:00"/>
        <s v="2017-08-23-11:00"/>
        <s v="2017-08-23-12:00"/>
        <s v="2017-08-23-13:00"/>
        <s v="2017-08-23-14:00"/>
        <s v="2017-08-23-15:00"/>
        <s v="2017-08-23-16:00"/>
        <s v="2017-09-05-18:00"/>
        <s v="2017-08-23-18:00"/>
        <s v="2017-08-23-19:00"/>
        <s v="2017-08-23-20:00"/>
        <s v="2017-08-23-21:00"/>
        <s v="2017-08-23-22:00"/>
        <s v="2017-08-23-23:00"/>
        <s v="2017-08-24-00:00"/>
        <s v="2017-08-24-01:00"/>
        <s v="2017-08-24-02:00"/>
        <s v="2017-08-24-03:00"/>
        <s v="2017-08-24-04:00"/>
        <s v="2017-08-24-05:00"/>
        <s v="2017-08-24-06:00"/>
        <s v="2017-09-06-09:00"/>
        <s v="2017-08-24-08:00"/>
        <s v="2017-08-24-09:00"/>
        <s v="2017-08-24-10:00"/>
        <s v="2017-08-24-11:00"/>
        <s v="2017-08-24-12:00"/>
        <s v="2017-08-24-13:00"/>
        <s v="2017-08-24-14:00"/>
        <s v="2017-08-24-15:00"/>
        <s v="2017-08-24-16:00"/>
        <s v="2017-08-24-17:00"/>
        <s v="2017-08-24-18:00"/>
        <s v="2017-08-24-19:00"/>
        <s v="2017-08-24-20:00"/>
        <s v="2017-08-24-21:00"/>
        <s v="2017-09-06-23:00"/>
        <s v="2017-08-24-23:00"/>
        <s v="2017-08-25-00:00"/>
        <s v="2017-08-25-01:00"/>
        <s v="2017-08-25-02:00"/>
        <s v="2017-08-25-03:00"/>
        <s v="2017-08-25-04:00"/>
        <s v="2017-08-25-05:00"/>
        <s v="2017-08-25-06:00"/>
        <s v="2017-08-25-07:00"/>
        <s v="2017-08-25-08:00"/>
        <s v="2017-08-25-09:00"/>
        <s v="2017-08-25-10:00"/>
        <s v="2017-08-25-11:00"/>
        <s v="2017-09-07-14:00"/>
        <s v="2017-08-25-13:00"/>
        <s v="2017-08-25-14:00"/>
        <s v="2017-08-25-15:00"/>
        <s v="2017-08-25-16:00"/>
        <s v="2017-08-25-17:00"/>
        <s v="2017-08-25-18:00"/>
        <s v="2017-08-25-19:00"/>
        <s v="2017-08-25-20:00"/>
        <s v="2017-08-25-21:00"/>
        <s v="2017-08-25-22:00"/>
        <s v="2017-08-25-23:00"/>
        <s v="2017-08-28-00:00"/>
        <s v="2017-08-28-01:00"/>
        <s v="2017-08-28-02:00"/>
        <s v="2017-09-08-04:00"/>
        <s v="2017-08-28-03:00"/>
        <s v="2017-08-28-04:00"/>
        <s v="2017-08-28-05:00"/>
        <s v="2017-08-28-06:00"/>
        <s v="2017-08-28-07:00"/>
        <s v="2017-08-28-08:00"/>
        <s v="2017-08-28-09:00"/>
        <s v="2017-08-28-10:00"/>
        <s v="2017-08-28-11:00"/>
        <s v="2017-08-28-12:00"/>
        <s v="2017-08-28-13:00"/>
        <s v="2017-08-28-14:00"/>
        <s v="2017-08-28-15:00"/>
        <s v="2017-08-28-16:00"/>
        <s v="2017-08-28-18:00"/>
        <s v="2017-08-28-19:00"/>
        <s v="2017-08-28-20:00"/>
        <s v="2017-08-28-21:00"/>
        <s v="2017-08-28-22:00"/>
        <s v="2017-08-28-23:00"/>
        <s v="2017-08-29-00:00"/>
        <s v="2017-08-29-01:00"/>
        <s v="2017-08-29-02:00"/>
        <s v="2017-08-29-03:00"/>
        <s v="2017-08-29-04:00"/>
        <s v="2017-08-29-05:00"/>
        <s v="2017-08-29-06:00"/>
        <s v="2017-08-29-07:00"/>
        <s v="2017-09-11-09:00"/>
        <s v="2017-08-29-09:00"/>
        <s v="2017-08-29-10:00"/>
        <s v="2017-08-29-11:00"/>
        <s v="2017-08-29-12:00"/>
        <s v="2017-08-29-13:00"/>
        <s v="2017-08-29-14:00"/>
        <s v="2017-08-29-15:00"/>
        <s v="2017-08-29-16:00"/>
        <s v="2017-08-29-17:00"/>
        <s v="2017-08-29-18:00"/>
        <s v="2017-08-29-19:00"/>
        <s v="2017-08-29-20:00"/>
        <s v="2017-08-29-21:00"/>
        <s v="2017-09-12-00:00"/>
        <s v="2017-08-29-23:00"/>
        <s v="2017-08-30-00:00"/>
        <s v="2017-08-30-01:00"/>
        <s v="2017-08-30-02:00"/>
        <s v="2017-08-30-03:00"/>
        <s v="2017-08-30-04:00"/>
        <s v="2017-08-30-05:00"/>
        <s v="2017-08-30-06:00"/>
        <s v="2017-08-30-07:00"/>
        <s v="2017-08-30-08:00"/>
        <s v="2017-08-30-09:00"/>
        <s v="2017-08-30-10:00"/>
        <s v="2017-08-30-11:00"/>
        <s v="2017-08-30-12:00"/>
        <s v="2017-09-12-14: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3:00"/>
        <s v="2017-08-18-04:00"/>
        <s v="2017-08-18-05:00"/>
        <s v="2017-08-18-06:00"/>
        <s v="2017-08-18-07:00"/>
        <s v="2017-08-18-08:00"/>
        <s v="2017-08-18-09:00"/>
        <s v="2017-08-18-10:00"/>
        <s v="2017-08-18-11:00"/>
        <s v="2017-08-18-12:00"/>
        <s v="2017-08-18-13:00"/>
        <s v="2017-08-18-14:00"/>
        <s v="2017-08-18-15:00"/>
        <s v="2017-08-31-18:00"/>
        <s v="2017-08-18-17:00"/>
        <s v="2017-08-18-18:00"/>
        <s v="2017-08-18-19:00"/>
        <s v="2017-08-18-20:00"/>
        <s v="2017-08-18-21:00"/>
        <s v="2017-08-18-22:00"/>
        <s v="2017-08-18-23:00"/>
        <s v="2017-08-21-00:00"/>
        <s v="2017-08-21-01:00"/>
        <s v="2017-08-21-02:00"/>
        <s v="2017-08-21-03:00"/>
        <s v="2017-08-21-04:00"/>
        <s v="2017-08-21-05:00"/>
        <s v="2017-08-21-06:00"/>
        <s v="2017-09-01-08:00"/>
        <s v="2017-08-21-08:00"/>
        <s v="2017-08-21-09:00"/>
        <s v="2017-08-21-10:00"/>
        <s v="2017-08-21-11:00"/>
        <s v="2017-08-21-12:00"/>
        <s v="2017-08-21-13:00"/>
        <s v="2017-08-21-14:00"/>
        <s v="2017-08-21-15:00"/>
        <s v="2017-08-21-16:00"/>
        <s v="2017-08-21-17:00"/>
        <s v="2017-08-21-18:00"/>
        <s v="2017-08-21-19:00"/>
        <s v="2017-08-21-20:00"/>
        <s v="2017-09-01-23:00"/>
        <s v="2017-09-04-14:00"/>
        <s v="2017-09-04-15:00"/>
        <s v="2017-09-04-16:00"/>
        <s v="2017-09-04-17:00"/>
        <s v="2017-09-04-18:00"/>
        <s v="2017-09-04-19:00"/>
        <s v="2017-09-04-20:00"/>
        <s v="2017-09-04-21:00"/>
        <s v="2017-09-04-22:00"/>
        <s v="2017-09-04-23:00"/>
        <s v="2017-09-05-00:00"/>
        <s v="2017-09-05-01:00"/>
        <s v="2017-09-05-02:00"/>
        <s v="2017-09-05-03:00"/>
        <s v="2017-09-18-05:00"/>
        <s v="2017-09-05-05:00"/>
        <s v="2017-09-05-06:00"/>
        <s v="2017-09-05-07:00"/>
        <s v="2017-09-05-08:00"/>
        <s v="2017-09-05-09:00"/>
        <s v="2017-09-05-10:00"/>
        <s v="2017-09-05-11:00"/>
        <s v="2017-09-05-12:00"/>
        <s v="2017-09-05-13:00"/>
        <s v="2017-09-05-14:00"/>
        <s v="2017-09-05-15:00"/>
        <s v="2017-09-05-16:00"/>
        <s v="2017-09-05-17:00"/>
        <s v="2017-09-18-20:00"/>
        <s v="2017-09-05-19:00"/>
        <s v="2017-09-05-20:00"/>
        <s v="2017-09-05-21:00"/>
        <s v="2017-09-05-22:00"/>
        <s v="2017-09-05-23:00"/>
        <s v="2017-09-06-00:00"/>
        <s v="2017-09-06-01:00"/>
        <s v="2017-09-06-02:00"/>
        <s v="2017-09-06-03:00"/>
        <s v="2017-09-06-04:00"/>
        <s v="2017-09-06-05:00"/>
        <s v="2017-09-06-06:00"/>
        <s v="2017-09-06-07:00"/>
        <s v="2017-09-06-08:00"/>
        <s v="2017-09-19-10:00"/>
        <s v="2017-09-06-10:00"/>
        <s v="2017-09-06-11:00"/>
        <s v="2017-09-06-12:00"/>
        <s v="2017-09-06-13:00"/>
        <s v="2017-09-06-14:00"/>
        <s v="2017-09-06-15:00"/>
        <s v="2017-09-06-16:00"/>
        <s v="2017-09-06-17:00"/>
        <s v="2017-09-06-18:00"/>
        <s v="2017-09-06-19:00"/>
        <s v="2017-09-06-20:00"/>
        <s v="2017-09-06-21:00"/>
        <s v="2017-09-06-22:00"/>
        <s v="2017-09-20-01:00"/>
        <s v="2017-09-07-00:00"/>
        <s v="2017-09-07-01:00"/>
        <s v="2017-09-07-02:00"/>
        <s v="2017-09-07-03:00"/>
        <s v="2017-09-07-04:00"/>
        <s v="2017-09-07-05:00"/>
        <s v="2017-09-07-06:00"/>
        <s v="2017-09-07-07:00"/>
        <s v="2017-09-07-08:00"/>
        <s v="2017-09-07-09:00"/>
        <s v="2017-09-07-10:00"/>
        <s v="2017-09-07-11:00"/>
        <s v="2017-09-07-12:00"/>
        <s v="2017-09-07-13:00"/>
        <s v="2017-09-20-15:00"/>
        <s v="2017-09-07-15:00"/>
        <s v="2017-09-07-16:00"/>
        <s v="2017-09-07-17:00"/>
        <s v="2017-09-07-18:00"/>
        <s v="2017-09-07-19:00"/>
        <s v="2017-09-07-20:00"/>
        <s v="2017-09-07-21:00"/>
        <s v="2017-09-07-22:00"/>
        <s v="2017-09-07-23:00"/>
        <s v="2017-09-08-00:00"/>
        <s v="2017-09-08-01:00"/>
        <s v="2017-09-08-02:00"/>
        <s v="2017-09-08-03:00"/>
        <s v="2017-09-21-06:00"/>
        <s v="2017-09-08-05:00"/>
        <s v="2017-09-08-06:00"/>
        <s v="2017-09-08-07:00"/>
        <s v="2017-09-08-08:00"/>
        <s v="2017-09-08-09:00"/>
        <s v="2017-09-08-10:00"/>
        <s v="2017-09-08-11:00"/>
        <s v="2017-09-08-12:00"/>
        <s v="2017-09-08-13:00"/>
        <s v="2017-09-08-14:00"/>
        <s v="2017-09-08-15:00"/>
        <s v="2017-09-08-16:00"/>
        <s v="2017-09-08-17:00"/>
        <s v="2017-09-08-18:00"/>
        <s v="2017-09-21-20:00"/>
        <s v="2017-09-08-19:00"/>
        <s v="2017-09-08-20:00"/>
        <s v="2017-09-08-21:00"/>
        <s v="2017-09-08-22:00"/>
        <s v="2017-09-08-23:00"/>
        <s v="2017-09-11-00:00"/>
        <s v="2017-09-11-01:00"/>
        <s v="2017-09-11-02:00"/>
        <s v="2017-09-11-03:00"/>
        <s v="2017-09-11-04:00"/>
        <s v="2017-09-11-05:00"/>
        <s v="2017-09-11-06:00"/>
        <s v="2017-09-11-07:00"/>
        <s v="2017-09-11-08:00"/>
        <s v="2017-09-11-10:00"/>
        <s v="2017-09-11-11:00"/>
        <s v="2017-09-11-12:00"/>
        <s v="2017-09-11-13:00"/>
        <s v="2017-09-11-14:00"/>
        <s v="2017-09-11-15:00"/>
        <s v="2017-09-11-16:00"/>
        <s v="2017-09-11-17:00"/>
        <s v="2017-09-11-18:00"/>
        <s v="2017-09-11-19:00"/>
        <s v="2017-09-11-20:00"/>
        <s v="2017-09-11-21:00"/>
        <s v="2017-09-11-22:00"/>
        <s v="2017-09-11-23:00"/>
        <s v="2017-09-25-01:00"/>
        <s v="2017-09-12-01:00"/>
        <s v="2017-09-12-02:00"/>
        <s v="2017-09-12-03:00"/>
        <s v="2017-09-12-04:00"/>
        <s v="2017-09-12-05:00"/>
        <s v="2017-09-12-06:00"/>
        <s v="2017-09-12-07:00"/>
        <s v="2017-09-12-08:00"/>
        <s v="2017-09-12-09:00"/>
        <s v="2017-09-12-10:00"/>
        <s v="2017-09-12-11:00"/>
        <s v="2017-09-12-12:00"/>
        <s v="2017-09-12-13:00"/>
        <s v="2017-09-25-16:00"/>
        <s v="2017-09-12-15:00"/>
        <s v="2017-09-12-16:00"/>
        <s v="2017-09-12-17:00"/>
        <s v="2017-09-12-18:00"/>
        <s v="2017-09-12-19:00"/>
        <s v="2017-09-12-20:00"/>
        <s v="2017-09-12-21:00"/>
        <s v="2017-09-12-22:00"/>
        <s v="2017-09-12-23:00"/>
        <s v="2017-09-13-00:00"/>
        <s v="2017-09-13-01:00"/>
        <s v="2017-09-13-02:00"/>
        <s v="2017-09-13-03:00"/>
        <s v="2017-09-13-04:00"/>
        <s v="2017-09-26-06: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9:00"/>
        <s v="2017-08-31-20:00"/>
        <s v="2017-08-31-21:00"/>
        <s v="2017-08-31-22:00"/>
        <s v="2017-08-31-23:00"/>
        <s v="2017-09-01-00:00"/>
        <s v="2017-09-01-01:00"/>
        <s v="2017-09-01-02:00"/>
        <s v="2017-09-01-03:00"/>
        <s v="2017-09-01-04:00"/>
        <s v="2017-09-01-05:00"/>
        <s v="2017-09-01-06:00"/>
        <s v="2017-09-01-07:00"/>
        <s v="2017-09-14-10:00"/>
        <s v="2017-09-01-09:00"/>
        <s v="2017-09-01-10:00"/>
        <s v="2017-09-01-11:00"/>
        <s v="2017-09-01-12:00"/>
        <s v="2017-09-01-13:00"/>
        <s v="2017-09-01-14:00"/>
        <s v="2017-09-01-15:00"/>
        <s v="2017-09-01-16:00"/>
        <s v="2017-09-01-17:00"/>
        <s v="2017-09-01-18:00"/>
        <s v="2017-09-01-19:00"/>
        <s v="2017-09-01-20:00"/>
        <s v="2017-09-01-21:00"/>
        <s v="2017-09-01-22:00"/>
        <s v="2017-09-15-00:00"/>
        <s v="2017-09-04-00:00"/>
        <s v="2017-09-04-01:00"/>
        <s v="2017-09-04-02:00"/>
        <s v="2017-09-04-03:00"/>
        <s v="2017-09-04-04:00"/>
        <s v="2017-09-04-05:00"/>
        <s v="2017-09-04-06:00"/>
        <s v="2017-09-04-07:00"/>
        <s v="2017-09-04-08:00"/>
        <s v="2017-09-04-09:00"/>
        <s v="2017-09-04-10:00"/>
        <s v="2017-09-04-11:00"/>
        <s v="2017-09-04-12:00"/>
        <s v="2017-09-15-15:00"/>
        <s v="2017-09-18-06:00"/>
        <s v="2017-09-18-07:00"/>
        <s v="2017-09-18-08:00"/>
        <s v="2017-09-18-09:00"/>
        <s v="2017-09-18-10:00"/>
        <s v="2017-09-18-11:00"/>
        <s v="2017-09-18-12:00"/>
        <s v="2017-09-18-13:00"/>
        <s v="2017-09-18-14:00"/>
        <s v="2017-09-18-15:00"/>
        <s v="2017-09-18-16:00"/>
        <s v="2017-09-18-17:00"/>
        <s v="2017-09-18-18:00"/>
        <s v="2017-09-18-19:00"/>
        <s v="2017-09-29-21:00"/>
        <s v="2017-09-18-21:00"/>
        <s v="2017-09-18-22:00"/>
        <s v="2017-09-18-23:00"/>
        <s v="2017-09-19-00:00"/>
        <s v="2017-09-19-01:00"/>
        <s v="2017-09-19-02:00"/>
        <s v="2017-09-19-03:00"/>
        <s v="2017-09-19-04:00"/>
        <s v="2017-09-19-05:00"/>
        <s v="2017-09-19-06:00"/>
        <s v="2017-09-19-07:00"/>
        <s v="2017-09-19-08:00"/>
        <s v="2017-09-19-09:00"/>
        <s v="2017-10-02-12:00"/>
        <s v="2017-09-19-11:00"/>
        <s v="2017-09-19-12:00"/>
        <s v="2017-09-19-13:00"/>
        <s v="2017-09-19-14:00"/>
        <s v="2017-09-19-15:00"/>
        <s v="2017-09-19-16:00"/>
        <s v="2017-09-19-17:00"/>
        <s v="2017-09-19-18:00"/>
        <s v="2017-09-19-19:00"/>
        <s v="2017-09-19-20:00"/>
        <s v="2017-09-19-21:00"/>
        <s v="2017-09-19-22:00"/>
        <s v="2017-09-19-23:00"/>
        <s v="2017-09-20-00:00"/>
        <s v="2017-10-03-02:00"/>
        <s v="2017-09-20-02:00"/>
        <s v="2017-09-20-03:00"/>
        <s v="2017-09-20-04:00"/>
        <s v="2017-09-20-05:00"/>
        <s v="2017-09-20-06:00"/>
        <s v="2017-09-20-07:00"/>
        <s v="2017-09-20-08:00"/>
        <s v="2017-09-20-09:00"/>
        <s v="2017-09-20-10:00"/>
        <s v="2017-09-20-11:00"/>
        <s v="2017-09-20-12:00"/>
        <s v="2017-09-20-13:00"/>
        <s v="2017-09-20-14:00"/>
        <s v="2017-10-03-17:00"/>
        <s v="2017-09-20-16:00"/>
        <s v="2017-09-20-17:00"/>
        <s v="2017-09-20-18:00"/>
        <s v="2017-09-20-19:00"/>
        <s v="2017-09-20-20:00"/>
        <s v="2017-09-20-21:00"/>
        <s v="2017-09-20-22:00"/>
        <s v="2017-09-20-23:00"/>
        <s v="2017-09-21-00:00"/>
        <s v="2017-09-21-01:00"/>
        <s v="2017-09-21-02:00"/>
        <s v="2017-09-21-03:00"/>
        <s v="2017-09-21-04:00"/>
        <s v="2017-09-21-05:00"/>
        <s v="2017-10-04-07:00"/>
        <s v="2017-09-21-07:00"/>
        <s v="2017-09-21-08:00"/>
        <s v="2017-09-21-09:00"/>
        <s v="2017-09-21-10:00"/>
        <s v="2017-09-21-11:00"/>
        <s v="2017-09-21-12:00"/>
        <s v="2017-09-21-13:00"/>
        <s v="2017-09-21-14:00"/>
        <s v="2017-09-21-15:00"/>
        <s v="2017-09-21-16:00"/>
        <s v="2017-09-21-17:00"/>
        <s v="2017-09-21-18:00"/>
        <s v="2017-09-21-19:00"/>
        <s v="2017-10-04-22:00"/>
        <s v="2017-09-21-21:00"/>
        <s v="2017-09-21-22:00"/>
        <s v="2017-09-21-23:00"/>
        <s v="2017-09-22-00:00"/>
        <s v="2017-09-22-01:00"/>
        <s v="2017-09-22-02:00"/>
        <s v="2017-09-22-03:00"/>
        <s v="2017-09-22-04:00"/>
        <s v="2017-09-22-05:00"/>
        <s v="2017-09-22-06:00"/>
        <s v="2017-09-22-07:00"/>
        <s v="2017-09-22-08:00"/>
        <s v="2017-09-22-09:00"/>
        <s v="2017-09-22-10:00"/>
        <s v="2017-10-05-12:00"/>
        <s v="2017-09-22-11:00"/>
        <s v="2017-09-22-12:00"/>
        <s v="2017-09-22-13:00"/>
        <s v="2017-09-22-14:00"/>
        <s v="2017-09-22-15:00"/>
        <s v="2017-09-22-16:00"/>
        <s v="2017-09-22-17:00"/>
        <s v="2017-09-22-18:00"/>
        <s v="2017-09-22-19:00"/>
        <s v="2017-09-22-20:00"/>
        <s v="2017-09-22-21:00"/>
        <s v="2017-09-22-22:00"/>
        <s v="2017-09-22-23:00"/>
        <s v="2017-09-25-00:00"/>
        <s v="2017-09-25-02:00"/>
        <s v="2017-09-25-03:00"/>
        <s v="2017-09-25-04:00"/>
        <s v="2017-09-25-05:00"/>
        <s v="2017-09-25-06:00"/>
        <s v="2017-09-25-07:00"/>
        <s v="2017-09-25-08:00"/>
        <s v="2017-09-25-09:00"/>
        <s v="2017-09-25-10:00"/>
        <s v="2017-09-25-11:00"/>
        <s v="2017-09-25-12:00"/>
        <s v="2017-09-25-13:00"/>
        <s v="2017-09-25-14:00"/>
        <s v="2017-09-25-15:00"/>
        <s v="2017-10-06-17:00"/>
        <s v="2017-09-25-17:00"/>
        <s v="2017-09-25-18:00"/>
        <s v="2017-09-25-19:00"/>
        <s v="2017-09-25-20:00"/>
        <s v="2017-09-25-21:00"/>
        <s v="2017-09-25-22:00"/>
        <s v="2017-09-25-23:00"/>
        <s v="2017-09-26-00:00"/>
        <s v="2017-09-26-01:00"/>
        <s v="2017-09-26-02:00"/>
        <s v="2017-09-26-03:00"/>
        <s v="2017-09-26-04:00"/>
        <s v="2017-09-26-05:00"/>
        <s v="2017-10-09-08:00"/>
        <s v="2017-09-26-07:00"/>
        <s v="2017-09-26-08:00"/>
        <s v="2017-09-26-09:00"/>
        <s v="2017-09-26-10:00"/>
        <s v="2017-09-26-11:00"/>
        <s v="2017-09-26-12:00"/>
        <s v="2017-09-26-13:00"/>
        <s v="2017-09-26-14:00"/>
        <s v="2017-09-26-15:00"/>
        <s v="2017-09-26-16:00"/>
        <s v="2017-09-26-17:00"/>
        <s v="2017-09-26-18:00"/>
        <s v="2017-09-26-19:00"/>
        <s v="2017-09-26-20:00"/>
        <s v="2017-10-09-22: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1:00"/>
        <s v="2017-09-14-12:00"/>
        <s v="2017-09-14-13:00"/>
        <s v="2017-09-14-14:00"/>
        <s v="2017-09-14-15:00"/>
        <s v="2017-09-14-16:00"/>
        <s v="2017-09-14-17:00"/>
        <s v="2017-09-14-18:00"/>
        <s v="2017-09-14-19:00"/>
        <s v="2017-09-14-20:00"/>
        <s v="2017-09-14-21:00"/>
        <s v="2017-09-14-22:00"/>
        <s v="2017-09-14-23:00"/>
        <s v="2017-09-28-02:00"/>
        <s v="2017-09-15-01:00"/>
        <s v="2017-09-15-02:00"/>
        <s v="2017-09-15-03:00"/>
        <s v="2017-09-15-04:00"/>
        <s v="2017-09-15-05:00"/>
        <s v="2017-09-15-06:00"/>
        <s v="2017-09-15-07:00"/>
        <s v="2017-09-15-08:00"/>
        <s v="2017-09-15-09:00"/>
        <s v="2017-09-15-10:00"/>
        <s v="2017-09-15-11:00"/>
        <s v="2017-09-15-12:00"/>
        <s v="2017-09-15-13:00"/>
        <s v="2017-09-15-14:00"/>
        <s v="2017-09-28-16:00"/>
        <s v="2017-09-15-16:00"/>
        <s v="2017-09-15-17:00"/>
        <s v="2017-09-15-18:00"/>
        <s v="2017-09-15-19:00"/>
        <s v="2017-09-15-20:00"/>
        <s v="2017-09-15-21:00"/>
        <s v="2017-09-15-22:00"/>
        <s v="2017-09-15-23:00"/>
        <s v="2017-09-18-00:00"/>
        <s v="2017-09-18-01:00"/>
        <s v="2017-09-18-02:00"/>
        <s v="2017-09-18-03:00"/>
        <s v="2017-09-18-04:00"/>
        <s v="2017-09-29-07:00"/>
        <s v="2017-09-29-22:00"/>
        <s v="2017-09-29-23:00"/>
        <s v="2017-10-02-00:00"/>
        <s v="2017-10-02-01:00"/>
        <s v="2017-10-02-02:00"/>
        <s v="2017-10-02-03:00"/>
        <s v="2017-10-02-04:00"/>
        <s v="2017-10-02-05:00"/>
        <s v="2017-10-02-06:00"/>
        <s v="2017-10-02-07:00"/>
        <s v="2017-10-02-08:00"/>
        <s v="2017-10-02-09:00"/>
        <s v="2017-10-02-10:00"/>
        <s v="2017-10-02-11:00"/>
        <s v="2017-10-13-13:00"/>
        <s v="2017-10-02-13:00"/>
        <s v="2017-10-02-14:00"/>
        <s v="2017-10-02-15:00"/>
        <s v="2017-10-02-16:00"/>
        <s v="2017-10-02-17:00"/>
        <s v="2017-10-02-18:00"/>
        <s v="2017-10-02-19:00"/>
        <s v="2017-10-02-20:00"/>
        <s v="2017-10-02-21:00"/>
        <s v="2017-10-02-22:00"/>
        <s v="2017-10-02-23:00"/>
        <s v="2017-10-03-00:00"/>
        <s v="2017-10-03-01:00"/>
        <s v="2017-10-16-04:00"/>
        <s v="2017-10-03-03:00"/>
        <s v="2017-10-03-04:00"/>
        <s v="2017-10-03-05:00"/>
        <s v="2017-10-03-06:00"/>
        <s v="2017-10-03-07:00"/>
        <s v="2017-10-03-08:00"/>
        <s v="2017-10-03-09:00"/>
        <s v="2017-10-03-10:00"/>
        <s v="2017-10-03-11:00"/>
        <s v="2017-10-03-12:00"/>
        <s v="2017-10-03-13:00"/>
        <s v="2017-10-03-14:00"/>
        <s v="2017-10-03-15:00"/>
        <s v="2017-10-03-16:00"/>
        <s v="2017-10-16-18:00"/>
        <s v="2017-10-03-18:00"/>
        <s v="2017-10-03-19:00"/>
        <s v="2017-10-03-20:00"/>
        <s v="2017-10-03-21:00"/>
        <s v="2017-10-03-22:00"/>
        <s v="2017-10-03-23:00"/>
        <s v="2017-10-04-00:00"/>
        <s v="2017-10-04-01:00"/>
        <s v="2017-10-04-02:00"/>
        <s v="2017-10-04-03:00"/>
        <s v="2017-10-04-04:00"/>
        <s v="2017-10-04-05:00"/>
        <s v="2017-10-04-06:00"/>
        <s v="2017-10-17-09:00"/>
        <s v="2017-10-04-08:00"/>
        <s v="2017-10-04-09:00"/>
        <s v="2017-10-04-10:00"/>
        <s v="2017-10-04-11:00"/>
        <s v="2017-10-04-12:00"/>
        <s v="2017-10-04-13:00"/>
        <s v="2017-10-04-14:00"/>
        <s v="2017-10-04-15:00"/>
        <s v="2017-10-04-16:00"/>
        <s v="2017-10-04-17:00"/>
        <s v="2017-10-04-18:00"/>
        <s v="2017-10-04-19:00"/>
        <s v="2017-10-04-20:00"/>
        <s v="2017-10-04-21:00"/>
        <s v="2017-10-17-23:00"/>
        <s v="2017-10-04-23:00"/>
        <s v="2017-10-05-00:00"/>
        <s v="2017-10-05-01:00"/>
        <s v="2017-10-05-02:00"/>
        <s v="2017-10-05-03:00"/>
        <s v="2017-10-05-04:00"/>
        <s v="2017-10-05-05:00"/>
        <s v="2017-10-05-06:00"/>
        <s v="2017-10-05-07:00"/>
        <s v="2017-10-05-08:00"/>
        <s v="2017-10-05-09:00"/>
        <s v="2017-10-05-10:00"/>
        <s v="2017-10-05-11:00"/>
        <s v="2017-10-18-14:00"/>
        <s v="2017-10-05-13:00"/>
        <s v="2017-10-05-14:00"/>
        <s v="2017-10-05-15:00"/>
        <s v="2017-10-05-16:00"/>
        <s v="2017-10-05-17:00"/>
        <s v="2017-10-05-18:00"/>
        <s v="2017-10-05-19:00"/>
        <s v="2017-10-05-20:00"/>
        <s v="2017-10-05-21:00"/>
        <s v="2017-10-05-22:00"/>
        <s v="2017-10-05-23:00"/>
        <s v="2017-10-06-00:00"/>
        <s v="2017-10-06-01:00"/>
        <s v="2017-10-06-02:00"/>
        <s v="2017-10-19-04:00"/>
        <s v="2017-10-06-03:00"/>
        <s v="2017-10-06-04:00"/>
        <s v="2017-10-06-05:00"/>
        <s v="2017-10-06-06:00"/>
        <s v="2017-10-06-07:00"/>
        <s v="2017-10-06-08:00"/>
        <s v="2017-10-06-09:00"/>
        <s v="2017-10-06-10:00"/>
        <s v="2017-10-06-11:00"/>
        <s v="2017-10-06-12:00"/>
        <s v="2017-10-06-13:00"/>
        <s v="2017-10-06-14:00"/>
        <s v="2017-10-06-15:00"/>
        <s v="2017-10-06-16:00"/>
        <s v="2017-10-06-18:00"/>
        <s v="2017-10-06-19:00"/>
        <s v="2017-10-06-20:00"/>
        <s v="2017-10-06-21:00"/>
        <s v="2017-10-06-22:00"/>
        <s v="2017-10-06-23:00"/>
        <s v="2017-10-09-00:00"/>
        <s v="2017-10-09-01:00"/>
        <s v="2017-10-09-02:00"/>
        <s v="2017-10-09-03:00"/>
        <s v="2017-10-09-04:00"/>
        <s v="2017-10-09-05:00"/>
        <s v="2017-10-09-06:00"/>
        <s v="2017-10-09-07:00"/>
        <s v="2017-10-20-09:00"/>
        <s v="2017-10-09-09:00"/>
        <s v="2017-10-09-10:00"/>
        <s v="2017-10-09-11:00"/>
        <s v="2017-10-09-12:00"/>
        <s v="2017-10-09-13:00"/>
        <s v="2017-10-09-14:00"/>
        <s v="2017-10-09-15:00"/>
        <s v="2017-10-09-16:00"/>
        <s v="2017-10-09-17:00"/>
        <s v="2017-10-09-18:00"/>
        <s v="2017-10-09-19:00"/>
        <s v="2017-10-09-20:00"/>
        <s v="2017-10-09-21:00"/>
        <s v="2017-10-23-00:00"/>
        <s v="2017-10-09-23:00"/>
        <s v="2017-10-10-00:00"/>
        <s v="2017-10-10-01:00"/>
        <s v="2017-10-10-02:00"/>
        <s v="2017-10-10-03:00"/>
        <s v="2017-10-10-04:00"/>
        <s v="2017-10-10-05:00"/>
        <s v="2017-10-10-06:00"/>
        <s v="2017-10-10-07:00"/>
        <s v="2017-10-10-08:00"/>
        <s v="2017-10-10-09:00"/>
        <s v="2017-10-10-10:00"/>
        <s v="2017-10-10-11:00"/>
        <s v="2017-10-10-12:00"/>
        <s v="2017-10-23-14: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3:00"/>
        <s v="2017-09-28-04:00"/>
        <s v="2017-09-28-05:00"/>
        <s v="2017-09-28-06:00"/>
        <s v="2017-09-28-07:00"/>
        <s v="2017-09-28-08:00"/>
        <s v="2017-09-28-09:00"/>
        <s v="2017-09-28-10:00"/>
        <s v="2017-09-28-11:00"/>
        <s v="2017-09-28-12:00"/>
        <s v="2017-09-28-13:00"/>
        <s v="2017-09-28-14:00"/>
        <s v="2017-09-28-15:00"/>
        <s v="2017-10-11-18:00"/>
        <s v="2017-09-28-17:00"/>
        <s v="2017-09-28-18:00"/>
        <s v="2017-09-28-19:00"/>
        <s v="2017-09-28-20:00"/>
        <s v="2017-09-28-21:00"/>
        <s v="2017-09-28-22:00"/>
        <s v="2017-09-28-23:00"/>
        <s v="2017-09-29-00:00"/>
        <s v="2017-09-29-01:00"/>
        <s v="2017-09-29-02:00"/>
        <s v="2017-09-29-03:00"/>
        <s v="2017-09-29-04:00"/>
        <s v="2017-09-29-05:00"/>
        <s v="2017-09-29-06:00"/>
        <s v="2017-10-12-08:00"/>
        <s v="2017-09-29-08:00"/>
        <s v="2017-09-29-09:00"/>
        <s v="2017-09-29-10:00"/>
        <s v="2017-09-29-11:00"/>
        <s v="2017-09-29-12:00"/>
        <s v="2017-09-29-13:00"/>
        <s v="2017-09-29-14:00"/>
        <s v="2017-09-29-15:00"/>
        <s v="2017-09-29-16:00"/>
        <s v="2017-09-29-17:00"/>
        <s v="2017-09-29-18:00"/>
        <s v="2017-09-29-19:00"/>
        <s v="2017-09-29-20:00"/>
        <s v="2017-10-12-23:00"/>
        <s v="2017-10-13-14:00"/>
        <s v="2017-10-13-15:00"/>
        <s v="2017-10-13-16:00"/>
        <s v="2017-10-13-17:00"/>
        <s v="2017-10-13-18:00"/>
        <s v="2017-10-13-19:00"/>
        <s v="2017-10-13-20:00"/>
        <s v="2017-10-13-21:00"/>
        <s v="2017-10-13-22:00"/>
        <s v="2017-10-13-23:00"/>
        <s v="2017-10-16-00:00"/>
        <s v="2017-10-16-01:00"/>
        <s v="2017-10-16-02:00"/>
        <s v="2017-10-16-03:00"/>
        <s v="2017-03-28-02:00"/>
        <s v="2017-10-16-05:00"/>
        <s v="2017-10-16-06:00"/>
        <s v="2017-10-16-07:00"/>
        <s v="2017-10-16-08:00"/>
        <s v="2017-10-16-09:00"/>
        <s v="2017-10-16-10:00"/>
        <s v="2017-10-16-11:00"/>
        <s v="2017-10-16-12:00"/>
        <s v="2017-10-16-13:00"/>
        <s v="2017-10-16-14:00"/>
        <s v="2017-10-16-15:00"/>
        <s v="2017-10-16-16:00"/>
        <s v="2017-10-16-17:00"/>
        <s v="2017-03-28-17:00"/>
        <s v="2017-10-16-19:00"/>
        <s v="2017-10-16-20:00"/>
        <s v="2017-10-16-21:00"/>
        <s v="2017-10-16-22:00"/>
        <s v="2017-10-16-23:00"/>
        <s v="2017-10-17-00:00"/>
        <s v="2017-10-17-01:00"/>
        <s v="2017-10-17-02:00"/>
        <s v="2017-10-17-03:00"/>
        <s v="2017-10-17-04:00"/>
        <s v="2017-10-17-05:00"/>
        <s v="2017-10-17-06:00"/>
        <s v="2017-10-17-07:00"/>
        <s v="2017-10-17-08:00"/>
        <s v="2017-03-29-08:00"/>
        <s v="2017-10-17-10:00"/>
        <s v="2017-10-17-11:00"/>
        <s v="2017-10-17-12:00"/>
        <s v="2017-10-17-13:00"/>
        <s v="2017-10-17-14:00"/>
        <s v="2017-10-17-15:00"/>
        <s v="2017-10-17-16:00"/>
        <s v="2017-10-17-17:00"/>
        <s v="2017-10-17-18:00"/>
        <s v="2017-10-17-19:00"/>
        <s v="2017-10-17-20:00"/>
        <s v="2017-10-17-21:00"/>
        <s v="2017-10-17-22:00"/>
        <s v="2017-03-29-22:00"/>
        <s v="2017-10-18-00:00"/>
        <s v="2017-10-18-01:00"/>
        <s v="2017-10-18-02:00"/>
        <s v="2017-10-18-03:00"/>
        <s v="2017-10-18-04:00"/>
        <s v="2017-10-18-05:00"/>
        <s v="2017-10-18-06:00"/>
        <s v="2017-10-18-07:00"/>
        <s v="2017-10-18-08:00"/>
        <s v="2017-10-18-09:00"/>
        <s v="2017-10-18-10:00"/>
        <s v="2017-10-18-11:00"/>
        <s v="2017-10-18-12:00"/>
        <s v="2017-10-18-13:00"/>
        <s v="2017-03-30-13:00"/>
        <s v="2017-10-18-15:00"/>
        <s v="2017-10-18-16:00"/>
        <s v="2017-10-18-17:00"/>
        <s v="2017-10-18-18:00"/>
        <s v="2017-10-18-19:00"/>
        <s v="2017-10-18-20:00"/>
        <s v="2017-10-18-21:00"/>
        <s v="2017-10-18-22:00"/>
        <s v="2017-10-18-23:00"/>
        <s v="2017-10-19-00:00"/>
        <s v="2017-10-19-01:00"/>
        <s v="2017-10-19-02:00"/>
        <s v="2017-10-19-03:00"/>
        <s v="2017-03-31-03:00"/>
        <s v="2017-10-19-05:00"/>
        <s v="2017-10-19-06:00"/>
        <s v="2017-10-19-07:00"/>
        <s v="2017-10-19-08:00"/>
        <s v="2017-10-19-09:00"/>
        <s v="2017-10-19-10:00"/>
        <s v="2017-10-19-11:00"/>
        <s v="2017-10-19-12:00"/>
        <s v="2017-10-19-13:00"/>
        <s v="2017-10-19-14:00"/>
        <s v="2017-10-19-15:00"/>
        <s v="2017-10-19-16:00"/>
        <s v="2017-10-19-17:00"/>
        <s v="2017-10-19-18:00"/>
        <s v="2017-03-31-18:00"/>
        <s v="2017-10-19-19:00"/>
        <s v="2017-10-19-20:00"/>
        <s v="2017-10-19-21:00"/>
        <s v="2017-10-19-22:00"/>
        <s v="2017-10-19-23:00"/>
        <s v="2017-10-20-00:00"/>
        <s v="2017-10-20-01:00"/>
        <s v="2017-10-20-02:00"/>
        <s v="2017-10-20-03:00"/>
        <s v="2017-10-20-04:00"/>
        <s v="2017-10-20-05:00"/>
        <s v="2017-10-20-06:00"/>
        <s v="2017-10-20-07:00"/>
        <s v="2017-10-20-08:00"/>
        <s v="2017-10-20-10:00"/>
        <s v="2017-10-20-11:00"/>
        <s v="2017-10-20-12:00"/>
        <s v="2017-10-20-13:00"/>
        <s v="2017-10-20-14:00"/>
        <s v="2017-10-20-15:00"/>
        <s v="2017-10-20-16:00"/>
        <s v="2017-10-20-17:00"/>
        <s v="2017-10-20-18:00"/>
        <s v="2017-10-20-19:00"/>
        <s v="2017-10-20-20:00"/>
        <s v="2017-10-20-21:00"/>
        <s v="2017-10-20-22:00"/>
        <s v="2017-10-20-23:00"/>
        <s v="2017-04-03-23:00"/>
        <s v="2017-10-23-01:00"/>
        <s v="2017-10-23-02:00"/>
        <s v="2017-10-23-03:00"/>
        <s v="2017-10-23-04:00"/>
        <s v="2017-10-23-05:00"/>
        <s v="2017-10-23-06:00"/>
        <s v="2017-10-23-07:00"/>
        <s v="2017-10-23-08:00"/>
        <s v="2017-10-23-09:00"/>
        <s v="2017-10-23-10:00"/>
        <s v="2017-10-23-11:00"/>
        <s v="2017-10-23-12:00"/>
        <s v="2017-10-23-13:00"/>
        <s v="2017-04-04-14:00"/>
        <s v="2017-10-23-15:00"/>
        <s v="2017-10-23-16:00"/>
        <s v="2017-10-23-17:00"/>
        <s v="2017-10-23-18:00"/>
        <s v="2017-10-23-19:00"/>
        <s v="2017-10-23-20:00"/>
        <s v="2017-10-23-21:00"/>
        <s v="2017-10-23-22:00"/>
        <s v="2017-10-23-23:00"/>
        <s v="2017-10-24-00:00"/>
        <s v="2017-10-24-01:00"/>
        <s v="2017-10-24-02:00"/>
        <s v="2017-10-24-03:00"/>
        <s v="2017-10-24-04:00"/>
        <s v="2017-04-05-04: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9:00"/>
        <s v="2017-10-11-20:00"/>
        <s v="2017-10-11-21:00"/>
        <s v="2017-10-11-22:00"/>
        <s v="2017-10-11-23:00"/>
        <s v="2017-10-12-00:00"/>
        <s v="2017-10-12-01:00"/>
        <s v="2017-10-12-02:00"/>
        <s v="2017-10-12-03:00"/>
        <s v="2017-10-12-04:00"/>
        <s v="2017-10-12-05:00"/>
        <s v="2017-10-12-06:00"/>
        <s v="2017-10-12-07:00"/>
        <s v="2017-10-25-10:00"/>
        <s v="2017-10-12-09:00"/>
        <s v="2017-10-12-10:00"/>
        <s v="2017-10-12-11:00"/>
        <s v="2017-10-12-12:00"/>
        <s v="2017-10-12-13:00"/>
        <s v="2017-10-12-14:00"/>
        <s v="2017-10-12-15:00"/>
        <s v="2017-10-12-16:00"/>
        <s v="2017-10-12-17:00"/>
        <s v="2017-10-12-18:00"/>
        <s v="2017-10-12-19:00"/>
        <s v="2017-10-12-20:00"/>
        <s v="2017-10-12-21:00"/>
        <s v="2017-10-12-22:00"/>
        <s v="2017-10-13-00:00"/>
        <s v="2017-10-13-01:00"/>
        <s v="2017-10-13-02:00"/>
        <s v="2017-10-13-03:00"/>
        <s v="2017-10-13-04:00"/>
        <s v="2017-10-13-05:00"/>
        <s v="2017-10-13-06:00"/>
        <s v="2017-10-13-07:00"/>
        <s v="2017-10-13-08:00"/>
        <s v="2017-10-13-09:00"/>
        <s v="2017-10-13-10:00"/>
        <s v="2017-10-13-11:00"/>
        <s v="2017-10-13-12:00"/>
        <s v="2017-03-27-12:00"/>
        <s v="2017-03-28-03:00"/>
        <s v="2017-03-28-04:00"/>
        <s v="2017-03-28-05:00"/>
        <s v="2017-03-28-06:00"/>
        <s v="2017-03-28-07:00"/>
        <s v="2017-03-28-08:00"/>
        <s v="2017-03-28-09:00"/>
        <s v="2017-03-28-10:00"/>
        <s v="2017-03-28-11:00"/>
        <s v="2017-03-28-12:00"/>
        <s v="2017-03-28-13:00"/>
        <s v="2017-03-28-14:00"/>
        <s v="2017-03-28-15:00"/>
        <s v="2017-03-28-16:00"/>
        <s v="2017-04-10-20:00"/>
        <s v="2017-03-28-18:00"/>
        <s v="2017-03-28-19:00"/>
        <s v="2017-03-28-20:00"/>
        <s v="2017-03-28-21:00"/>
        <s v="2017-03-28-22:00"/>
        <s v="2017-03-28-23:00"/>
        <s v="2017-03-29-00:00"/>
        <s v="2017-03-29-01:00"/>
        <s v="2017-03-29-02:00"/>
        <s v="2017-03-29-03:00"/>
        <s v="2017-03-29-04:00"/>
        <s v="2017-03-29-05:00"/>
        <s v="2017-03-29-06:00"/>
        <s v="2017-03-29-07:00"/>
        <s v="2017-04-11-10:00"/>
        <s v="2017-03-29-09:00"/>
        <s v="2017-03-29-10:00"/>
        <s v="2017-03-29-11:00"/>
        <s v="2017-03-29-12:00"/>
        <s v="2017-03-29-13:00"/>
        <s v="2017-03-29-14:00"/>
        <s v="2017-03-29-15:00"/>
        <s v="2017-03-29-16:00"/>
        <s v="2017-03-29-17:00"/>
        <s v="2017-03-29-18:00"/>
        <s v="2017-03-29-19:00"/>
        <s v="2017-03-29-20:00"/>
        <s v="2017-03-29-21:00"/>
        <s v="2017-04-12-01:00"/>
        <s v="2017-03-29-23:00"/>
        <s v="2017-03-30-00:00"/>
        <s v="2017-03-30-01:00"/>
        <s v="2017-03-30-02:00"/>
        <s v="2017-03-30-03:00"/>
        <s v="2017-03-30-04:00"/>
        <s v="2017-03-30-05:00"/>
        <s v="2017-03-30-06:00"/>
        <s v="2017-03-30-07:00"/>
        <s v="2017-03-30-08:00"/>
        <s v="2017-03-30-09:00"/>
        <s v="2017-03-30-10:00"/>
        <s v="2017-03-30-11:00"/>
        <s v="2017-03-30-12:00"/>
        <s v="2017-04-12-16:00"/>
        <s v="2017-03-30-14:00"/>
        <s v="2017-03-30-15:00"/>
        <s v="2017-03-30-16:00"/>
        <s v="2017-03-30-17:00"/>
        <s v="2017-03-30-18:00"/>
        <s v="2017-03-30-19:00"/>
        <s v="2017-03-30-20:00"/>
        <s v="2017-03-30-21:00"/>
        <s v="2017-03-30-22:00"/>
        <s v="2017-03-30-23:00"/>
        <s v="2017-03-31-00:00"/>
        <s v="2017-03-31-01:00"/>
        <s v="2017-03-31-02:00"/>
        <s v="2017-04-13-07:00"/>
        <s v="2017-03-31-04:00"/>
        <s v="2017-03-31-05:00"/>
        <s v="2017-03-31-06:00"/>
        <s v="2017-03-31-07:00"/>
        <s v="2017-03-31-08:00"/>
        <s v="2017-03-31-09:00"/>
        <s v="2017-03-31-10:00"/>
        <s v="2017-03-31-11:00"/>
        <s v="2017-03-31-12:00"/>
        <s v="2017-03-31-13:00"/>
        <s v="2017-03-31-14:00"/>
        <s v="2017-03-31-15:00"/>
        <s v="2017-03-31-16:00"/>
        <s v="2017-03-31-17:00"/>
        <s v="2017-04-13-21:00"/>
        <s v="2017-03-31-19:00"/>
        <s v="2017-03-31-20:00"/>
        <s v="2017-03-31-21:00"/>
        <s v="2017-03-31-22:00"/>
        <s v="2017-03-31-23:00"/>
        <s v="2017-04-03-00:00"/>
        <s v="2017-04-03-01:00"/>
        <s v="2017-04-03-02:00"/>
        <s v="2017-04-03-03:00"/>
        <s v="2017-04-03-04:00"/>
        <s v="2017-04-03-05:00"/>
        <s v="2017-04-03-06:00"/>
        <s v="2017-04-03-07:00"/>
        <s v="2017-04-03-08:00"/>
        <s v="2017-04-14-12:00"/>
        <s v="2017-04-03-09:00"/>
        <s v="2017-04-03-10:00"/>
        <s v="2017-04-03-11:00"/>
        <s v="2017-04-03-12:00"/>
        <s v="2017-04-03-13:00"/>
        <s v="2017-04-03-14:00"/>
        <s v="2017-04-03-15:00"/>
        <s v="2017-04-03-16:00"/>
        <s v="2017-04-03-17:00"/>
        <s v="2017-04-03-18:00"/>
        <s v="2017-04-03-19:00"/>
        <s v="2017-04-03-20:00"/>
        <s v="2017-04-03-21:00"/>
        <s v="2017-04-03-22:00"/>
        <s v="2017-04-04-00:00"/>
        <s v="2017-04-04-01:00"/>
        <s v="2017-04-04-02:00"/>
        <s v="2017-04-04-03:00"/>
        <s v="2017-04-04-04:00"/>
        <s v="2017-04-04-05:00"/>
        <s v="2017-04-04-06:00"/>
        <s v="2017-04-04-07:00"/>
        <s v="2017-04-04-08:00"/>
        <s v="2017-04-04-09:00"/>
        <s v="2017-04-04-10:00"/>
        <s v="2017-04-04-11:00"/>
        <s v="2017-04-04-12:00"/>
        <s v="2017-04-04-13:00"/>
        <s v="2017-04-17-17:00"/>
        <s v="2017-04-04-15:00"/>
        <s v="2017-04-04-16:00"/>
        <s v="2017-04-04-17:00"/>
        <s v="2017-04-04-18:00"/>
        <s v="2017-04-04-19:00"/>
        <s v="2017-04-04-20:00"/>
        <s v="2017-04-04-21:00"/>
        <s v="2017-04-04-22:00"/>
        <s v="2017-04-04-23:00"/>
        <s v="2017-04-05-00:00"/>
        <s v="2017-04-05-01:00"/>
        <s v="2017-04-05-02:00"/>
        <s v="2017-04-05-03:00"/>
        <s v="2017-04-18-08:00"/>
        <s v="2017-04-05-05:00"/>
        <s v="2017-04-05-06:00"/>
        <s v="2017-04-05-07:00"/>
        <s v="2017-04-05-08:00"/>
        <s v="2017-04-05-09:00"/>
        <s v="2017-04-05-10:00"/>
        <s v="2017-04-05-11:00"/>
        <s v="2017-04-05-12:00"/>
        <s v="2017-04-05-13:00"/>
        <s v="2017-04-05-14:00"/>
        <s v="2017-04-05-15:00"/>
        <s v="2017-04-05-16:00"/>
        <s v="2017-04-05-17:00"/>
        <s v="2017-04-05-18:00"/>
        <s v="2017-04-05-19:00"/>
        <s v="2017-04-18-22: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1:00"/>
        <s v="2017-10-25-12:00"/>
        <s v="2017-10-25-13:00"/>
        <s v="2017-10-25-14:00"/>
        <s v="2017-10-25-15:00"/>
        <s v="2017-10-25-16:00"/>
        <s v="2017-10-25-17:00"/>
        <s v="2017-10-25-18:00"/>
        <s v="2017-10-25-19:00"/>
        <s v="2017-10-25-20:00"/>
        <s v="2017-10-25-21:00"/>
        <s v="2017-10-25-22:00"/>
        <s v="2017-10-25-23:00"/>
        <s v="2017-10-26-00:00"/>
        <s v="2017-04-07-00:00"/>
        <s v="2017-03-24-21:00"/>
        <s v="2017-03-24-22:00"/>
        <s v="2017-03-27-00:00"/>
        <s v="2017-03-27-01:00"/>
        <s v="2017-03-27-02:00"/>
        <s v="2017-03-27-03:00"/>
        <s v="2017-03-27-04:00"/>
        <s v="2017-03-27-05:00"/>
        <s v="2017-03-27-06:00"/>
        <s v="2017-03-27-07:00"/>
        <s v="2017-03-27-08:00"/>
        <s v="2017-03-27-09:00"/>
        <s v="2017-03-27-10:00"/>
        <s v="2017-03-27-11:00"/>
        <s v="2017-04-07-15:00"/>
        <s v="2017-03-27-13:00"/>
        <s v="2017-03-27-14:00"/>
        <s v="2017-03-27-15:00"/>
        <s v="2017-03-27-16:00"/>
        <s v="2017-03-27-17:00"/>
        <s v="2017-03-27-18:00"/>
        <s v="2017-03-27-19:00"/>
        <s v="2017-03-27-20:00"/>
        <s v="2017-03-27-21:00"/>
        <s v="2017-03-27-22:00"/>
        <s v="2017-03-27-23:00"/>
        <s v="2017-03-28-00:00"/>
        <s v="2017-03-28-01:00"/>
        <s v="2017-04-10-05:00"/>
        <s v="2017-04-10-21:00"/>
        <s v="2017-04-10-22:00"/>
        <s v="2017-04-10-23:00"/>
        <s v="2017-04-11-00:00"/>
        <s v="2017-04-11-01:00"/>
        <s v="2017-04-11-02:00"/>
        <s v="2017-04-11-03:00"/>
        <s v="2017-04-11-04:00"/>
        <s v="2017-04-11-05:00"/>
        <s v="2017-04-11-06:00"/>
        <s v="2017-04-11-07:00"/>
        <s v="2017-04-11-08:00"/>
        <s v="2017-04-11-09:00"/>
        <s v="2017-04-24-14:00"/>
        <s v="2017-04-11-11:00"/>
        <s v="2017-04-11-12:00"/>
        <s v="2017-04-11-13:00"/>
        <s v="2017-04-11-14:00"/>
        <s v="2017-04-11-15:00"/>
        <s v="2017-04-11-16:00"/>
        <s v="2017-04-11-17:00"/>
        <s v="2017-04-11-18:00"/>
        <s v="2017-04-11-19:00"/>
        <s v="2017-04-11-20:00"/>
        <s v="2017-04-11-21:00"/>
        <s v="2017-04-11-22:00"/>
        <s v="2017-04-11-23:00"/>
        <s v="2017-04-12-00:00"/>
        <s v="2017-04-25-05:00"/>
        <s v="2017-04-12-02:00"/>
        <s v="2017-04-12-03:00"/>
        <s v="2017-04-12-04:00"/>
        <s v="2017-04-12-05:00"/>
        <s v="2017-04-12-06:00"/>
        <s v="2017-04-12-07:00"/>
        <s v="2017-04-12-08:00"/>
        <s v="2017-04-12-09:00"/>
        <s v="2017-04-12-10:00"/>
        <s v="2017-04-12-11:00"/>
        <s v="2017-04-12-12:00"/>
        <s v="2017-04-12-13:00"/>
        <s v="2017-04-12-14:00"/>
        <s v="2017-04-12-15:00"/>
        <s v="2017-04-25-19:00"/>
        <s v="2017-04-12-17:00"/>
        <s v="2017-04-12-18:00"/>
        <s v="2017-04-12-19:00"/>
        <s v="2017-04-12-20:00"/>
        <s v="2017-04-12-21:00"/>
        <s v="2017-04-12-22:00"/>
        <s v="2017-04-12-23:00"/>
        <s v="2017-04-13-00:00"/>
        <s v="2017-04-13-01:00"/>
        <s v="2017-04-13-02:00"/>
        <s v="2017-04-13-03:00"/>
        <s v="2017-04-13-04:00"/>
        <s v="2017-04-13-05:00"/>
        <s v="2017-04-13-06:00"/>
        <s v="2017-04-26-10:00"/>
        <s v="2017-04-13-08:00"/>
        <s v="2017-04-13-09:00"/>
        <s v="2017-04-13-10:00"/>
        <s v="2017-04-13-11:00"/>
        <s v="2017-04-13-12:00"/>
        <s v="2017-04-13-13:00"/>
        <s v="2017-04-13-14:00"/>
        <s v="2017-04-13-15:00"/>
        <s v="2017-04-13-16:00"/>
        <s v="2017-04-13-17:00"/>
        <s v="2017-04-13-18:00"/>
        <s v="2017-04-13-19:00"/>
        <s v="2017-04-13-20:00"/>
        <s v="2017-04-27-00:00"/>
        <s v="2017-04-13-22:00"/>
        <s v="2017-04-13-23:00"/>
        <s v="2017-04-14-00:00"/>
        <s v="2017-04-14-01:00"/>
        <s v="2017-04-14-02:00"/>
        <s v="2017-04-14-03:00"/>
        <s v="2017-04-14-04:00"/>
        <s v="2017-04-14-05:00"/>
        <s v="2017-04-14-06:00"/>
        <s v="2017-04-14-07:00"/>
        <s v="2017-04-14-08:00"/>
        <s v="2017-04-14-09:00"/>
        <s v="2017-04-14-10:00"/>
        <s v="2017-04-14-11:00"/>
        <s v="2017-04-27-15:00"/>
        <s v="2017-04-14-13:00"/>
        <s v="2017-04-14-14:00"/>
        <s v="2017-04-14-15:00"/>
        <s v="2017-04-14-16:00"/>
        <s v="2017-04-14-17:00"/>
        <s v="2017-04-14-18:00"/>
        <s v="2017-04-14-19:00"/>
        <s v="2017-04-14-20:00"/>
        <s v="2017-04-14-21:00"/>
        <s v="2017-04-14-22:00"/>
        <s v="2017-04-14-23:00"/>
        <s v="2017-04-17-00:00"/>
        <s v="2017-04-17-01:00"/>
        <s v="2017-04-17-02:00"/>
        <s v="2017-04-28-05:00"/>
        <s v="2017-04-17-03:00"/>
        <s v="2017-04-17-04:00"/>
        <s v="2017-04-17-05:00"/>
        <s v="2017-04-17-06:00"/>
        <s v="2017-04-17-07:00"/>
        <s v="2017-04-17-08:00"/>
        <s v="2017-04-17-09:00"/>
        <s v="2017-04-17-10:00"/>
        <s v="2017-04-17-11:00"/>
        <s v="2017-04-17-12:00"/>
        <s v="2017-04-17-13:00"/>
        <s v="2017-04-17-14:00"/>
        <s v="2017-04-17-15:00"/>
        <s v="2017-04-17-16:00"/>
        <s v="2017-04-17-18:00"/>
        <s v="2017-04-17-19:00"/>
        <s v="2017-04-17-20:00"/>
        <s v="2017-04-17-21:00"/>
        <s v="2017-04-17-22:00"/>
        <s v="2017-04-17-23:00"/>
        <s v="2017-04-18-00:00"/>
        <s v="2017-04-18-01:00"/>
        <s v="2017-04-18-02:00"/>
        <s v="2017-04-18-03:00"/>
        <s v="2017-04-18-04:00"/>
        <s v="2017-04-18-05:00"/>
        <s v="2017-04-18-06:00"/>
        <s v="2017-04-18-07:00"/>
        <s v="2017-05-01-11:00"/>
        <s v="2017-04-18-09:00"/>
        <s v="2017-04-18-10:00"/>
        <s v="2017-04-18-11:00"/>
        <s v="2017-04-18-12:00"/>
        <s v="2017-04-18-13:00"/>
        <s v="2017-04-18-14:00"/>
        <s v="2017-04-18-15:00"/>
        <s v="2017-04-18-16:00"/>
        <s v="2017-04-18-17:00"/>
        <s v="2017-04-18-18:00"/>
        <s v="2017-04-18-19:00"/>
        <s v="2017-04-18-20:00"/>
        <s v="2017-04-18-21:00"/>
        <s v="2017-05-02-01:00"/>
        <s v="2017-04-18-23:00"/>
        <s v="2017-04-19-00:00"/>
        <s v="2017-04-19-01:00"/>
        <s v="2017-04-19-02:00"/>
        <s v="2017-04-19-03:00"/>
        <s v="2017-04-19-04:00"/>
        <s v="2017-04-19-05:00"/>
        <s v="2017-04-19-06:00"/>
        <s v="2017-04-19-07:00"/>
        <s v="2017-04-19-08:00"/>
        <s v="2017-04-19-09:00"/>
        <s v="2017-04-19-10:00"/>
        <s v="2017-04-19-11:00"/>
        <s v="2017-04-19-12:00"/>
        <s v="2017-04-19-13:00"/>
        <s v="2017-05-02-16: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1:00"/>
        <s v="2017-04-07-02:00"/>
        <s v="2017-04-07-03:00"/>
        <s v="2017-04-07-04:00"/>
        <s v="2017-04-07-05:00"/>
        <s v="2017-04-07-06:00"/>
        <s v="2017-04-07-07:00"/>
        <s v="2017-04-07-08:00"/>
        <s v="2017-04-07-09:00"/>
        <s v="2017-04-07-10:00"/>
        <s v="2017-04-07-11:00"/>
        <s v="2017-04-07-12:00"/>
        <s v="2017-04-07-13:00"/>
        <s v="2017-04-07-14:00"/>
        <s v="2017-04-20-18:00"/>
        <s v="2017-04-07-16:00"/>
        <s v="2017-04-07-17:00"/>
        <s v="2017-04-07-18:00"/>
        <s v="2017-04-07-19:00"/>
        <s v="2017-04-07-20:00"/>
        <s v="2017-04-07-21:00"/>
        <s v="2017-04-07-22:00"/>
        <s v="2017-04-07-23:00"/>
        <s v="2017-04-10-00:00"/>
        <s v="2017-04-10-01:00"/>
        <s v="2017-04-10-02:00"/>
        <s v="2017-04-10-03:00"/>
        <s v="2017-04-10-04:00"/>
        <s v="2017-04-21-09:00"/>
        <s v="2017-04-10-06:00"/>
        <s v="2017-04-10-07:00"/>
        <s v="2017-04-10-08:00"/>
        <s v="2017-04-10-09:00"/>
        <s v="2017-04-10-10:00"/>
        <s v="2017-04-10-11:00"/>
        <s v="2017-04-10-12:00"/>
        <s v="2017-04-10-13:00"/>
        <s v="2017-04-10-14:00"/>
        <s v="2017-04-10-15:00"/>
        <s v="2017-04-10-16:00"/>
        <s v="2017-04-10-17:00"/>
        <s v="2017-04-10-18:00"/>
        <s v="2017-04-10-19:00"/>
        <s v="2017-04-21-23:00"/>
        <s v="2017-04-24-15:00"/>
        <s v="2017-04-24-16:00"/>
        <s v="2017-04-24-17:00"/>
        <s v="2017-04-24-18:00"/>
        <s v="2017-04-24-19:00"/>
        <s v="2017-04-24-20:00"/>
        <s v="2017-04-24-21:00"/>
        <s v="2017-04-24-22:00"/>
        <s v="2017-04-24-23:00"/>
        <s v="2017-04-25-00:00"/>
        <s v="2017-04-25-01:00"/>
        <s v="2017-04-25-02:00"/>
        <s v="2017-04-25-03:00"/>
        <s v="2017-04-25-04:00"/>
        <s v="2017-04-25-06:00"/>
        <s v="2017-04-25-07:00"/>
        <s v="2017-04-25-08:00"/>
        <s v="2017-04-25-09:00"/>
        <s v="2017-04-25-10:00"/>
        <s v="2017-04-25-11:00"/>
        <s v="2017-04-25-12:00"/>
        <s v="2017-04-25-13:00"/>
        <s v="2017-04-25-14:00"/>
        <s v="2017-04-25-15:00"/>
        <s v="2017-04-25-16:00"/>
        <s v="2017-04-25-17:00"/>
        <s v="2017-04-25-18:00"/>
        <s v="2017-04-25-20:00"/>
        <s v="2017-04-25-21:00"/>
        <s v="2017-04-25-22:00"/>
        <s v="2017-04-25-23:00"/>
        <s v="2017-04-26-00:00"/>
        <s v="2017-04-26-01:00"/>
        <s v="2017-04-26-02:00"/>
        <s v="2017-04-26-03:00"/>
        <s v="2017-04-26-04:00"/>
        <s v="2017-04-26-05:00"/>
        <s v="2017-04-26-06:00"/>
        <s v="2017-04-26-07:00"/>
        <s v="2017-04-26-08:00"/>
        <s v="2017-04-26-09:00"/>
        <s v="2017-05-05-03:00"/>
        <s v="2017-04-26-11:00"/>
        <s v="2017-04-26-12:00"/>
        <s v="2017-04-26-13:00"/>
        <s v="2017-04-26-14:00"/>
        <s v="2017-04-26-15:00"/>
        <s v="2017-04-26-16:00"/>
        <s v="2017-04-26-17:00"/>
        <s v="2017-04-26-18:00"/>
        <s v="2017-04-26-19:00"/>
        <s v="2017-04-26-20:00"/>
        <s v="2017-04-26-21:00"/>
        <s v="2017-04-26-22:00"/>
        <s v="2017-04-26-23:00"/>
        <s v="2017-05-05-17:00"/>
        <s v="2017-04-27-01:00"/>
        <s v="2017-04-27-02:00"/>
        <s v="2017-04-27-03:00"/>
        <s v="2017-04-27-04:00"/>
        <s v="2017-04-27-05:00"/>
        <s v="2017-04-27-06:00"/>
        <s v="2017-04-27-07:00"/>
        <s v="2017-04-27-08:00"/>
        <s v="2017-04-27-09:00"/>
        <s v="2017-04-27-10:00"/>
        <s v="2017-04-27-11:00"/>
        <s v="2017-04-27-12:00"/>
        <s v="2017-04-27-13:00"/>
        <s v="2017-04-27-14:00"/>
        <s v="2017-05-08-08:00"/>
        <s v="2017-04-27-16:00"/>
        <s v="2017-04-27-17:00"/>
        <s v="2017-04-27-18:00"/>
        <s v="2017-04-27-19:00"/>
        <s v="2017-04-27-20:00"/>
        <s v="2017-04-27-21:00"/>
        <s v="2017-04-27-22:00"/>
        <s v="2017-04-27-23:00"/>
        <s v="2017-04-28-00:00"/>
        <s v="2017-04-28-01:00"/>
        <s v="2017-04-28-02:00"/>
        <s v="2017-04-28-03:00"/>
        <s v="2017-04-28-04:00"/>
        <s v="2017-05-08-22:00"/>
        <s v="2017-04-28-06:00"/>
        <s v="2017-04-28-07:00"/>
        <s v="2017-04-28-08:00"/>
        <s v="2017-04-28-09:00"/>
        <s v="2017-04-28-10:00"/>
        <s v="2017-04-28-11:00"/>
        <s v="2017-04-28-12:00"/>
        <s v="2017-04-28-13:00"/>
        <s v="2017-04-28-14:00"/>
        <s v="2017-04-28-15:00"/>
        <s v="2017-04-28-16:00"/>
        <s v="2017-04-28-17:00"/>
        <s v="2017-04-28-18:00"/>
        <s v="2017-04-28-19:00"/>
        <s v="2017-04-28-20:00"/>
        <s v="2017-05-09-13:00"/>
        <s v="2017-04-28-21:00"/>
        <s v="2017-04-28-22:00"/>
        <s v="2017-04-28-23:00"/>
        <s v="2017-05-01-00:00"/>
        <s v="2017-05-01-01:00"/>
        <s v="2017-05-01-02:00"/>
        <s v="2017-05-01-03:00"/>
        <s v="2017-05-01-04:00"/>
        <s v="2017-05-01-05:00"/>
        <s v="2017-05-01-06:00"/>
        <s v="2017-05-01-07:00"/>
        <s v="2017-05-01-08:00"/>
        <s v="2017-05-01-09:00"/>
        <s v="2017-05-01-10:00"/>
        <s v="2017-05-01-12:00"/>
        <s v="2017-05-01-13:00"/>
        <s v="2017-05-01-14:00"/>
        <s v="2017-05-01-15:00"/>
        <s v="2017-05-01-16:00"/>
        <s v="2017-05-01-17:00"/>
        <s v="2017-05-01-18:00"/>
        <s v="2017-05-01-19:00"/>
        <s v="2017-05-01-20:00"/>
        <s v="2017-05-01-21:00"/>
        <s v="2017-05-01-22:00"/>
        <s v="2017-05-01-23:00"/>
        <s v="2017-05-02-00:00"/>
        <s v="2017-05-10-18:00"/>
        <s v="2017-05-02-02:00"/>
        <s v="2017-05-02-03:00"/>
        <s v="2017-05-02-04:00"/>
        <s v="2017-05-02-05:00"/>
        <s v="2017-05-02-06:00"/>
        <s v="2017-05-02-07:00"/>
        <s v="2017-05-02-08:00"/>
        <s v="2017-05-02-09:00"/>
        <s v="2017-05-02-10:00"/>
        <s v="2017-05-02-11:00"/>
        <s v="2017-05-02-12:00"/>
        <s v="2017-05-02-13:00"/>
        <s v="2017-05-02-14:00"/>
        <s v="2017-05-02-15:00"/>
        <s v="2017-05-11-09:00"/>
        <s v="2017-05-02-17:00"/>
        <s v="2017-05-02-18:00"/>
        <s v="2017-05-02-19:00"/>
        <s v="2017-05-02-20:00"/>
        <s v="2017-05-02-21:00"/>
        <s v="2017-05-02-22:00"/>
        <s v="2017-05-02-23:00"/>
        <s v="2017-05-03-00:00"/>
        <s v="2017-05-03-01:00"/>
        <s v="2017-05-03-02:00"/>
        <s v="2017-05-03-03:00"/>
        <s v="2017-05-03-04:00"/>
        <s v="2017-05-03-05:00"/>
        <s v="2017-05-03-06:00"/>
        <s v="2017-05-03-07:00"/>
        <s v="2017-05-11-2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9:00"/>
        <s v="2017-04-20-20:00"/>
        <s v="2017-04-20-21:00"/>
        <s v="2017-04-20-22:00"/>
        <s v="2017-04-20-23:00"/>
        <s v="2017-04-21-00:00"/>
        <s v="2017-04-21-01:00"/>
        <s v="2017-04-21-02:00"/>
        <s v="2017-04-21-03:00"/>
        <s v="2017-04-21-04:00"/>
        <s v="2017-04-21-05:00"/>
        <s v="2017-04-21-06:00"/>
        <s v="2017-04-21-07:00"/>
        <s v="2017-04-21-08:00"/>
        <s v="2017-05-04-12:00"/>
        <s v="2017-04-21-10:00"/>
        <s v="2017-04-21-11:00"/>
        <s v="2017-04-21-12:00"/>
        <s v="2017-04-21-13:00"/>
        <s v="2017-04-21-14:00"/>
        <s v="2017-04-21-15:00"/>
        <s v="2017-04-21-16:00"/>
        <s v="2017-04-21-17:00"/>
        <s v="2017-04-21-18:00"/>
        <s v="2017-04-21-19:00"/>
        <s v="2017-04-21-20:00"/>
        <s v="2017-04-21-21:00"/>
        <s v="2017-04-21-22:00"/>
        <s v="2017-04-24-00:00"/>
        <s v="2017-04-24-01:00"/>
        <s v="2017-04-24-02:00"/>
        <s v="2017-04-24-03:00"/>
        <s v="2017-04-24-04:00"/>
        <s v="2017-04-24-05:00"/>
        <s v="2017-04-24-06:00"/>
        <s v="2017-04-24-07:00"/>
        <s v="2017-04-24-08:00"/>
        <s v="2017-04-24-09:00"/>
        <s v="2017-04-24-10:00"/>
        <s v="2017-04-24-11:00"/>
        <s v="2017-04-24-12:00"/>
        <s v="2017-04-24-13:00"/>
        <s v="2017-05-05-04:00"/>
        <s v="2017-05-05-05:00"/>
        <s v="2017-05-05-06:00"/>
        <s v="2017-05-05-07:00"/>
        <s v="2017-05-05-08:00"/>
        <s v="2017-05-05-09:00"/>
        <s v="2017-05-05-10:00"/>
        <s v="2017-05-05-11:00"/>
        <s v="2017-05-05-12:00"/>
        <s v="2017-05-05-13:00"/>
        <s v="2017-05-05-14:00"/>
        <s v="2017-05-05-15:00"/>
        <s v="2017-05-05-16:00"/>
        <s v="2017-05-05-18:00"/>
        <s v="2017-05-05-19:00"/>
        <s v="2017-05-05-20:00"/>
        <s v="2017-05-05-21:00"/>
        <s v="2017-05-05-22:00"/>
        <s v="2017-05-05-23:00"/>
        <s v="2017-05-08-00:00"/>
        <s v="2017-05-08-01:00"/>
        <s v="2017-05-08-02:00"/>
        <s v="2017-05-08-03:00"/>
        <s v="2017-05-08-04:00"/>
        <s v="2017-05-08-05:00"/>
        <s v="2017-05-08-06:00"/>
        <s v="2017-05-08-07:00"/>
        <s v="2017-05-08-09:00"/>
        <s v="2017-05-08-10:00"/>
        <s v="2017-05-08-11:00"/>
        <s v="2017-05-08-12:00"/>
        <s v="2017-05-08-13:00"/>
        <s v="2017-05-08-14:00"/>
        <s v="2017-05-08-15:00"/>
        <s v="2017-05-08-16:00"/>
        <s v="2017-05-08-17:00"/>
        <s v="2017-05-08-18:00"/>
        <s v="2017-05-08-19:00"/>
        <s v="2017-05-08-20:00"/>
        <s v="2017-05-08-21:00"/>
        <s v="2017-05-08-23:00"/>
        <s v="2017-05-09-00:00"/>
        <s v="2017-05-09-01:00"/>
        <s v="2017-05-09-02:00"/>
        <s v="2017-05-09-03:00"/>
        <s v="2017-05-09-04:00"/>
        <s v="2017-05-09-05:00"/>
        <s v="2017-05-09-06:00"/>
        <s v="2017-05-09-07:00"/>
        <s v="2017-05-09-08:00"/>
        <s v="2017-05-09-09:00"/>
        <s v="2017-05-09-10:00"/>
        <s v="2017-05-09-11:00"/>
        <s v="2017-05-09-12: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9:00"/>
        <s v="2017-05-10-20:00"/>
        <s v="2017-05-10-21:00"/>
        <s v="2017-05-10-22:00"/>
        <s v="2017-05-10-23:00"/>
        <s v="2017-05-11-00:00"/>
        <s v="2017-05-11-01:00"/>
        <s v="2017-05-11-02:00"/>
        <s v="2017-05-11-03:00"/>
        <s v="2017-05-11-04:00"/>
        <s v="2017-05-11-05:00"/>
        <s v="2017-05-11-06:00"/>
        <s v="2017-05-11-07:00"/>
        <s v="2017-05-11-08:00"/>
        <s v="2017-05-11-10:00"/>
        <s v="2017-05-11-11:00"/>
        <s v="2017-05-11-12:00"/>
        <s v="2017-05-11-13:00"/>
        <s v="2017-05-11-14:00"/>
        <s v="2017-05-11-15:00"/>
        <s v="2017-05-11-16:00"/>
        <s v="2017-05-11-17:00"/>
        <s v="2017-05-11-18:00"/>
        <s v="2017-05-11-19:00"/>
        <s v="2017-05-11-20:00"/>
        <s v="2017-05-11-21:00"/>
        <s v="2017-05-11-22:00"/>
        <s v="2017-05-12-00:00"/>
        <s v="2017-05-12-01:00"/>
        <s v="2017-05-12-02:00"/>
        <s v="2017-05-12-03:00"/>
        <s v="2017-05-12-04:00"/>
        <s v="2017-05-12-05:00"/>
        <s v="2017-05-12-06:00"/>
        <s v="2017-05-12-07:00"/>
        <s v="2017-05-12-08:00"/>
        <s v="2017-05-12-09:00"/>
        <s v="2017-05-12-10:00"/>
        <s v="2017-05-12-11:00"/>
        <s v="2017-05-12-12:00"/>
        <s v="2017-05-12-13: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3:00"/>
        <s v="2017-05-04-14:00"/>
        <s v="2017-05-04-15:00"/>
        <s v="2017-05-04-16:00"/>
        <s v="2017-05-04-17:00"/>
        <s v="2017-05-04-18:00"/>
        <s v="2017-05-04-19:00"/>
        <s v="2017-05-04-20:00"/>
        <s v="2017-05-04-21:00"/>
        <s v="2017-05-04-22:00"/>
        <s v="2017-05-04-23:00"/>
        <s v="2017-05-05-00:00"/>
        <s v="2017-05-05-01:00"/>
        <s v="2017-05-05-02:00"/>
        <s v="2017-12-20-07:00"/>
        <s v="2017-12-20-08:00"/>
        <s v="2017-12-20-09:00"/>
        <s v="2017-12-20-10:00"/>
        <s v="2017-12-20-11:00"/>
        <s v="2017-12-20-12:00"/>
        <s v="2017-12-20-13:00"/>
        <s v="2017-12-20-14:00"/>
        <s v="2017-12-20-15:00"/>
        <s v="2017-12-20-16:00"/>
        <s v="2017-12-20-17:00"/>
        <s v="2017-12-20-18:00"/>
        <s v="2017-12-20-19:00"/>
        <s v="2017-12-20-20:00"/>
        <s v="2017-12-20-21:00"/>
        <s v="2018-01-08-07:00"/>
        <s v="2017-12-20-22:00"/>
        <s v="2017-12-20-23:00"/>
        <s v="2017-12-21-00:00"/>
        <s v="2017-12-21-01:00"/>
        <s v="2017-12-21-02:00"/>
        <s v="2017-12-21-03:00"/>
        <s v="2017-12-21-04:00"/>
        <s v="2017-12-21-05:00"/>
        <s v="2017-12-21-06:00"/>
        <s v="2017-12-21-07:00"/>
        <s v="2017-12-21-08:00"/>
        <s v="2017-12-21-09:00"/>
        <s v="2017-12-21-10:00"/>
        <s v="2017-12-21-11:00"/>
        <s v="2018-01-08-22:00"/>
        <s v="2017-12-21-12:00"/>
        <s v="2017-12-21-13:00"/>
        <s v="2017-12-21-14:00"/>
        <s v="2017-12-21-15:00"/>
        <s v="2017-12-21-16:00"/>
        <s v="2017-12-21-17:00"/>
        <s v="2017-12-21-18:00"/>
        <s v="2017-12-21-19:00"/>
        <s v="2017-12-21-20:00"/>
        <s v="2017-12-21-21:00"/>
        <s v="2017-12-21-22:00"/>
        <s v="2017-12-21-23:00"/>
        <s v="2017-12-22-00:00"/>
        <s v="2017-12-22-01:00"/>
        <s v="2017-12-22-02:00"/>
        <s v="2018-01-09-12:00"/>
        <s v="2017-12-22-03:00"/>
        <s v="2017-12-22-04:00"/>
        <s v="2017-12-22-05:00"/>
        <s v="2017-12-22-06:00"/>
        <s v="2017-12-22-07:00"/>
        <s v="2017-12-22-08:00"/>
        <s v="2017-12-22-09:00"/>
        <s v="2017-12-22-10:00"/>
        <s v="2017-12-22-11:00"/>
        <s v="2017-12-22-12:00"/>
        <s v="2017-12-22-13:00"/>
        <s v="2017-12-22-14:00"/>
        <s v="2017-12-22-15:00"/>
        <s v="2017-12-22-16:00"/>
        <s v="2018-01-10-03:00"/>
        <s v="2017-12-22-17:00"/>
        <s v="2017-12-22-18:00"/>
        <s v="2017-12-22-19:00"/>
        <s v="2017-12-22-20:00"/>
        <s v="2017-12-22-21:00"/>
        <s v="2017-12-22-22:00"/>
        <s v="2017-12-22-23:00"/>
        <s v="2017-12-26-09:00"/>
        <s v="2017-12-26-10:00"/>
        <s v="2017-12-26-11:00"/>
        <s v="2017-12-26-12:00"/>
        <s v="2017-12-26-13:00"/>
        <s v="2017-12-26-14:00"/>
        <s v="2017-12-26-15:00"/>
        <s v="2017-12-26-16:00"/>
        <s v="2018-01-10-17:00"/>
        <s v="2017-12-26-17:00"/>
        <s v="2017-12-26-18:00"/>
        <s v="2017-12-26-19:00"/>
        <s v="2017-12-26-20:00"/>
        <s v="2017-12-26-21:00"/>
        <s v="2017-12-26-22:00"/>
        <s v="2017-12-26-23:00"/>
        <s v="2017-12-27-00:00"/>
        <s v="2017-12-27-01:00"/>
        <s v="2017-12-27-02:00"/>
        <s v="2017-12-27-03:00"/>
        <s v="2017-12-27-04:00"/>
        <s v="2017-12-27-05:00"/>
        <s v="2017-12-27-06:00"/>
        <s v="2018-01-11-08:00"/>
        <s v="2017-12-27-07:00"/>
        <s v="2017-12-27-08:00"/>
        <s v="2017-12-27-09:00"/>
        <s v="2017-12-27-10:00"/>
        <s v="2017-12-27-11:00"/>
        <s v="2017-12-27-12:00"/>
        <s v="2017-12-27-13:00"/>
        <s v="2017-12-27-14:00"/>
        <s v="2017-12-27-15:00"/>
        <s v="2017-12-27-16:00"/>
        <s v="2017-12-27-17:00"/>
        <s v="2017-12-27-18:00"/>
        <s v="2017-12-27-19:00"/>
        <s v="2017-12-27-20:00"/>
        <s v="2017-12-27-21:00"/>
        <s v="2018-01-11-22:00"/>
        <s v="2017-12-27-22:00"/>
        <s v="2017-12-27-23:00"/>
        <s v="2017-12-28-00:00"/>
        <s v="2017-12-28-01:00"/>
        <s v="2017-12-28-02:00"/>
        <s v="2017-12-28-03:00"/>
        <s v="2017-12-28-04:00"/>
        <s v="2017-12-28-05:00"/>
        <s v="2017-12-28-06:00"/>
        <s v="2017-12-28-07:00"/>
        <s v="2017-12-28-08:00"/>
        <s v="2017-12-28-09:00"/>
        <s v="2017-12-28-10:00"/>
        <s v="2017-12-28-11:00"/>
        <s v="2018-01-12-13:00"/>
        <s v="2017-12-28-12:00"/>
        <s v="2017-12-28-13:00"/>
        <s v="2017-12-28-14:00"/>
        <s v="2017-12-28-15:00"/>
        <s v="2017-12-28-16:00"/>
        <s v="2017-12-28-17:00"/>
        <s v="2017-12-28-18:00"/>
        <s v="2017-12-28-19:00"/>
        <s v="2017-12-28-20:00"/>
        <s v="2017-12-28-21:00"/>
        <s v="2017-12-28-22:00"/>
        <s v="2017-12-28-23:00"/>
        <s v="2017-12-29-00:00"/>
        <s v="2017-12-29-01:00"/>
        <s v="2017-12-29-02:00"/>
        <s v="2018-01-15-03:00"/>
        <s v="2017-12-29-12:00"/>
        <s v="2017-12-29-13:00"/>
        <s v="2017-12-29-14:00"/>
        <s v="2017-12-29-15:00"/>
        <s v="2017-12-29-16:00"/>
        <s v="2018-01-15-18:00"/>
        <s v="2018-01-15-19:00"/>
        <s v="2018-01-15-20:00"/>
        <s v="2018-01-15-21:00"/>
        <s v="2018-01-15-22:00"/>
        <s v="2018-01-15-23:00"/>
        <s v="2018-01-16-00:00"/>
        <s v="2018-01-16-01:00"/>
        <s v="2018-01-16-02:00"/>
        <s v="2018-01-16-03:00"/>
        <s v="2018-01-02-11:00"/>
        <s v="2018-01-02-12:00"/>
        <s v="2018-01-02-13:00"/>
        <s v="2018-01-02-14:00"/>
        <s v="2018-01-02-15:00"/>
        <s v="2018-01-02-16:00"/>
        <s v="2018-01-16-08:00"/>
        <s v="2018-01-16-09:00"/>
        <s v="2018-01-16-10:00"/>
        <s v="2018-01-16-11:00"/>
        <s v="2018-01-16-12:00"/>
        <s v="2018-01-16-13:00"/>
        <s v="2018-01-16-14:00"/>
        <s v="2018-01-16-15:00"/>
        <s v="2018-01-16-16:00"/>
        <s v="2018-01-16-17:00"/>
        <s v="2018-01-03-02:00"/>
        <s v="2018-01-03-03:00"/>
        <s v="2018-01-03-04:00"/>
        <s v="2018-01-03-05:00"/>
        <s v="2018-01-03-06:00"/>
        <s v="2017-12-15-21:00"/>
        <s v="2017-12-15-22:00"/>
        <s v="2017-12-15-23:00"/>
        <s v="2017-12-18-00:00"/>
        <s v="2017-12-18-01:00"/>
        <s v="2017-12-18-02:00"/>
        <s v="2017-12-18-03:00"/>
        <s v="2017-12-18-04:00"/>
        <s v="2017-12-18-05:00"/>
        <s v="2017-12-18-06:00"/>
        <s v="2017-12-18-07:00"/>
        <s v="2017-12-18-08:00"/>
        <s v="2017-12-18-09:00"/>
        <s v="2017-12-18-10:00"/>
        <s v="2017-12-18-11:00"/>
        <s v="2018-01-03-21:00"/>
        <s v="2017-12-18-12:00"/>
        <s v="2017-12-18-13:00"/>
        <s v="2017-12-18-14:00"/>
        <s v="2017-12-18-15:00"/>
        <s v="2017-12-18-16:00"/>
        <s v="2017-12-18-17:00"/>
        <s v="2017-12-18-18:00"/>
        <s v="2017-12-18-19:00"/>
        <s v="2017-12-18-20:00"/>
        <s v="2017-12-18-21:00"/>
        <s v="2017-12-18-22:00"/>
        <s v="2017-12-18-23:00"/>
        <s v="2017-12-19-00:00"/>
        <s v="2017-12-19-01:00"/>
        <s v="2018-01-04-12:00"/>
        <s v="2017-12-19-02:00"/>
        <s v="2017-12-19-03:00"/>
        <s v="2017-12-19-04:00"/>
        <s v="2017-12-19-05:00"/>
        <s v="2017-12-19-06:00"/>
        <s v="2017-12-19-07:00"/>
        <s v="2017-12-19-08:00"/>
        <s v="2017-12-19-09:00"/>
        <s v="2017-12-19-10:00"/>
        <s v="2017-12-19-11:00"/>
        <s v="2017-12-19-12:00"/>
        <s v="2017-12-19-13:00"/>
        <s v="2017-12-19-14:00"/>
        <s v="2017-12-19-15:00"/>
        <s v="2017-12-19-16:00"/>
        <s v="2018-01-05-02:00"/>
        <s v="2017-12-19-17:00"/>
        <s v="2017-12-19-18:00"/>
        <s v="2017-12-19-19:00"/>
        <s v="2017-12-19-20:00"/>
        <s v="2017-12-19-21:00"/>
        <s v="2017-12-19-22:00"/>
        <s v="2017-12-19-23:00"/>
        <s v="2017-12-20-00:00"/>
        <s v="2017-12-20-01:00"/>
        <s v="2017-12-20-02:00"/>
        <s v="2017-12-20-03:00"/>
        <s v="2017-12-20-04:00"/>
        <s v="2017-12-20-05:00"/>
        <s v="2017-12-20-06:00"/>
        <s v="2018-01-05-17:00"/>
        <s v="2018-01-08-08:00"/>
        <s v="2018-01-08-09:00"/>
        <s v="2018-01-08-10:00"/>
        <s v="2018-01-08-11:00"/>
        <s v="2018-01-08-12:00"/>
        <s v="2018-01-08-13:00"/>
        <s v="2018-01-08-14:00"/>
        <s v="2018-01-08-15:00"/>
        <s v="2018-01-08-16:00"/>
        <s v="2018-01-08-17:00"/>
        <s v="2018-01-08-18:00"/>
        <s v="2018-01-08-19:00"/>
        <s v="2018-01-08-20:00"/>
        <s v="2018-01-08-21:00"/>
        <s v="2018-01-19-23:00"/>
        <s v="2018-01-08-23:00"/>
        <s v="2018-01-09-00:00"/>
        <s v="2018-01-09-01:00"/>
        <s v="2018-01-09-02:00"/>
        <s v="2018-01-09-03:00"/>
        <s v="2018-01-09-04:00"/>
        <s v="2018-01-09-05:00"/>
        <s v="2018-01-09-06:00"/>
        <s v="2018-01-09-07:00"/>
        <s v="2018-01-09-08:00"/>
        <s v="2018-01-09-09:00"/>
        <s v="2018-01-09-10:00"/>
        <s v="2018-01-09-11:00"/>
        <s v="2018-01-22-14:00"/>
        <s v="2018-01-09-13:00"/>
        <s v="2018-01-09-14:00"/>
        <s v="2018-01-09-15:00"/>
        <s v="2018-01-09-16:00"/>
        <s v="2018-01-09-17:00"/>
        <s v="2018-01-09-18:00"/>
        <s v="2018-01-09-19:00"/>
        <s v="2018-01-09-20:00"/>
        <s v="2018-01-09-21:00"/>
        <s v="2018-01-09-22:00"/>
        <s v="2018-01-09-23:00"/>
        <s v="2018-01-10-00:00"/>
        <s v="2018-01-10-01:00"/>
        <s v="2018-01-10-02:00"/>
        <s v="2018-01-23-04:00"/>
        <s v="2018-01-10-04:00"/>
        <s v="2018-01-10-05:00"/>
        <s v="2018-01-10-06:00"/>
        <s v="2018-01-10-07:00"/>
        <s v="2018-01-10-08:00"/>
        <s v="2018-01-10-09:00"/>
        <s v="2018-01-10-10:00"/>
        <s v="2018-01-10-11:00"/>
        <s v="2018-01-10-12:00"/>
        <s v="2018-01-10-13:00"/>
        <s v="2018-01-10-14:00"/>
        <s v="2018-01-10-15:00"/>
        <s v="2018-01-10-16:00"/>
        <s v="2018-01-23-19:00"/>
        <s v="2018-01-10-18:00"/>
        <s v="2018-01-10-19:00"/>
        <s v="2018-01-10-20:00"/>
        <s v="2018-01-10-21:00"/>
        <s v="2018-01-10-22:00"/>
        <s v="2018-01-10-23:00"/>
        <s v="2018-01-11-00:00"/>
        <s v="2018-01-11-01:00"/>
        <s v="2018-01-11-02:00"/>
        <s v="2018-01-11-03:00"/>
        <s v="2018-01-11-04:00"/>
        <s v="2018-01-11-05:00"/>
        <s v="2018-01-11-06:00"/>
        <s v="2018-01-11-07:00"/>
        <s v="2018-01-24-09:00"/>
        <s v="2018-01-11-09:00"/>
        <s v="2018-01-11-10:00"/>
        <s v="2018-01-11-11:00"/>
        <s v="2018-01-11-12:00"/>
        <s v="2018-01-11-13:00"/>
        <s v="2018-01-11-14:00"/>
        <s v="2018-01-11-15:00"/>
        <s v="2018-01-11-16:00"/>
        <s v="2018-01-11-17:00"/>
        <s v="2018-01-11-18:00"/>
        <s v="2018-01-11-19:00"/>
        <s v="2018-01-11-20:00"/>
        <s v="2018-01-11-21:00"/>
        <s v="2018-01-25-00:00"/>
        <s v="2018-01-11-23:00"/>
        <s v="2018-01-12-00:00"/>
        <s v="2018-01-12-01:00"/>
        <s v="2018-01-12-02:00"/>
        <s v="2018-01-12-03:00"/>
        <s v="2018-01-12-04:00"/>
        <s v="2018-01-12-05:00"/>
        <s v="2018-01-12-06:00"/>
        <s v="2018-01-12-07:00"/>
        <s v="2018-01-12-08:00"/>
        <s v="2018-01-12-09:00"/>
        <s v="2018-01-12-10:00"/>
        <s v="2018-01-12-11:00"/>
        <s v="2018-01-12-12:00"/>
        <s v="2018-01-25-14:00"/>
        <s v="2018-01-12-14:00"/>
        <s v="2018-01-12-15:00"/>
        <s v="2018-01-12-16:00"/>
        <s v="2018-01-12-17:00"/>
        <s v="2018-01-12-18:00"/>
        <s v="2018-01-12-19:00"/>
        <s v="2018-01-12-20:00"/>
        <s v="2018-01-12-21:00"/>
        <s v="2018-01-12-22:00"/>
        <s v="2018-01-12-23:00"/>
        <s v="2018-01-15-00:00"/>
        <s v="2018-01-15-01:00"/>
        <s v="2018-01-15-02:00"/>
        <s v="2018-01-26-05:00"/>
        <s v="2018-01-15-04:00"/>
        <s v="2018-01-15-05:00"/>
        <s v="2018-01-15-06:00"/>
        <s v="2018-01-15-07:00"/>
        <s v="2018-01-15-08:00"/>
        <s v="2018-01-15-09:00"/>
        <s v="2018-01-15-10:00"/>
        <s v="2018-01-15-11:00"/>
        <s v="2018-01-15-12:00"/>
        <s v="2018-01-15-13:00"/>
        <s v="2018-01-15-14:00"/>
        <s v="2018-01-15-15:00"/>
        <s v="2018-01-15-16:00"/>
        <s v="2018-01-15-17:00"/>
        <s v="2018-01-26-19:00"/>
        <s v="2018-01-16-04:00"/>
        <s v="2018-01-16-05:00"/>
        <s v="2018-01-16-06:00"/>
        <s v="2018-01-16-07:00"/>
        <s v="2018-01-29-10:00"/>
        <s v="2018-01-29-11:00"/>
        <s v="2018-01-29-12:00"/>
        <s v="2018-01-29-13:00"/>
        <s v="2018-01-29-14:00"/>
        <s v="2018-01-29-15:00"/>
        <s v="2018-01-29-16:00"/>
        <s v="2018-01-29-17:00"/>
        <s v="2018-01-29-18:00"/>
        <s v="2018-01-29-19:00"/>
        <s v="2018-01-16-18:00"/>
        <s v="2018-01-16-19:00"/>
        <s v="2018-01-16-20:00"/>
        <s v="2018-01-16-21:00"/>
        <s v="2018-01-16-22:00"/>
        <s v="2018-01-30-00:00"/>
        <s v="2018-01-30-01:00"/>
        <s v="2018-01-30-02:00"/>
        <s v="2018-01-30-03:00"/>
        <s v="2018-01-30-04:00"/>
        <s v="2018-01-30-05:00"/>
        <s v="2018-01-30-06:00"/>
        <s v="2018-01-30-07:00"/>
        <s v="2018-01-30-08:00"/>
        <s v="2018-01-30-09:00"/>
        <s v="2018-01-03-08:00"/>
        <s v="2018-01-03-09:00"/>
        <s v="2018-01-03-10:00"/>
        <s v="2018-01-03-11:00"/>
        <s v="2018-01-03-12:00"/>
        <s v="2018-01-03-13:00"/>
        <s v="2018-01-03-14:00"/>
        <s v="2018-01-03-15:00"/>
        <s v="2018-01-03-16:00"/>
        <s v="2018-01-03-17:00"/>
        <s v="2018-01-03-18:00"/>
        <s v="2018-01-03-19:00"/>
        <s v="2018-01-03-20:00"/>
        <s v="2018-01-16-23:00"/>
        <s v="2018-01-03-22:00"/>
        <s v="2018-01-03-23:00"/>
        <s v="2018-01-04-00:00"/>
        <s v="2018-01-04-01:00"/>
        <s v="2018-01-04-02:00"/>
        <s v="2018-01-04-03:00"/>
        <s v="2018-01-04-04:00"/>
        <s v="2018-01-04-05:00"/>
        <s v="2018-01-04-06:00"/>
        <s v="2018-01-04-07:00"/>
        <s v="2018-01-04-08:00"/>
        <s v="2018-01-04-09:00"/>
        <s v="2018-01-04-10:00"/>
        <s v="2018-01-04-11:00"/>
        <s v="2018-01-17-13:00"/>
        <s v="2018-01-04-13:00"/>
        <s v="2018-01-04-14:00"/>
        <s v="2018-01-04-15:00"/>
        <s v="2018-01-04-16:00"/>
        <s v="2018-01-04-17:00"/>
        <s v="2018-01-04-18:00"/>
        <s v="2018-01-04-19:00"/>
        <s v="2018-01-04-20:00"/>
        <s v="2018-01-04-21:00"/>
        <s v="2018-01-04-22:00"/>
        <s v="2018-01-04-23:00"/>
        <s v="2018-01-05-00:00"/>
        <s v="2018-01-05-01:00"/>
        <s v="2018-01-18-04:00"/>
        <s v="2018-01-05-03:00"/>
        <s v="2018-01-05-04:00"/>
        <s v="2018-01-05-05:00"/>
        <s v="2018-01-05-06:00"/>
        <s v="2018-01-05-07:00"/>
        <s v="2018-01-05-08:00"/>
        <s v="2018-01-05-09:00"/>
        <s v="2018-01-05-10:00"/>
        <s v="2018-01-05-11:00"/>
        <s v="2018-01-05-12:00"/>
        <s v="2018-01-05-13:00"/>
        <s v="2018-01-05-14:00"/>
        <s v="2018-01-05-15:00"/>
        <s v="2018-01-05-16:00"/>
        <s v="2018-01-18-18:00"/>
        <s v="2018-01-05-18:00"/>
        <s v="2018-01-05-19:00"/>
        <s v="2018-01-05-20:00"/>
        <s v="2018-01-05-21:00"/>
        <s v="2018-01-05-22:00"/>
        <s v="2018-01-05-23:00"/>
        <s v="2018-01-08-00:00"/>
        <s v="2018-01-08-01:00"/>
        <s v="2018-01-08-02:00"/>
        <s v="2018-01-08-03:00"/>
        <s v="2018-01-08-04:00"/>
        <s v="2018-01-08-05:00"/>
        <s v="2018-01-08-06:00"/>
        <s v="2018-01-19-09:00"/>
        <s v="2018-01-22-00:00"/>
        <s v="2018-01-22-01:00"/>
        <s v="2018-01-22-02:00"/>
        <s v="2018-01-22-03:00"/>
        <s v="2018-01-22-04:00"/>
        <s v="2018-01-22-05:00"/>
        <s v="2018-01-22-06:00"/>
        <s v="2018-01-22-07:00"/>
        <s v="2018-01-22-08:00"/>
        <s v="2018-01-22-09:00"/>
        <s v="2018-01-22-10:00"/>
        <s v="2018-01-22-11:00"/>
        <s v="2018-01-22-12:00"/>
        <s v="2018-01-22-13:00"/>
        <s v="2018-02-02-15:00"/>
        <s v="2018-01-22-15:00"/>
        <s v="2018-01-22-16:00"/>
        <s v="2018-01-22-17:00"/>
        <s v="2018-01-22-18:00"/>
        <s v="2018-01-22-19:00"/>
        <s v="2018-01-22-20:00"/>
        <s v="2018-01-22-21:00"/>
        <s v="2018-01-22-22:00"/>
        <s v="2018-01-22-23:00"/>
        <s v="2018-01-23-00:00"/>
        <s v="2018-01-23-01:00"/>
        <s v="2018-01-23-02:00"/>
        <s v="2018-01-23-03:00"/>
        <s v="2018-02-05-06:00"/>
        <s v="2018-01-23-05:00"/>
        <s v="2018-01-23-06:00"/>
        <s v="2018-01-23-07:00"/>
        <s v="2018-01-23-08:00"/>
        <s v="2018-01-23-09:00"/>
        <s v="2018-01-23-10:00"/>
        <s v="2018-01-23-11:00"/>
        <s v="2018-01-23-12:00"/>
        <s v="2018-01-23-13:00"/>
        <s v="2018-01-23-14:00"/>
        <s v="2018-01-23-15:00"/>
        <s v="2018-01-23-16:00"/>
        <s v="2018-01-23-17:00"/>
        <s v="2018-01-23-18:00"/>
        <s v="2018-02-05-20:00"/>
        <s v="2018-01-23-20:00"/>
        <s v="2018-01-23-21:00"/>
        <s v="2018-01-23-22:00"/>
        <s v="2018-01-23-23:00"/>
        <s v="2018-01-24-00:00"/>
        <s v="2018-01-24-01:00"/>
        <s v="2018-01-24-02:00"/>
        <s v="2018-01-24-03:00"/>
        <s v="2018-01-24-04:00"/>
        <s v="2018-01-24-05:00"/>
        <s v="2018-01-24-06:00"/>
        <s v="2018-01-24-07:00"/>
        <s v="2018-01-24-08:00"/>
        <s v="2018-02-06-11:00"/>
        <s v="2018-01-24-10:00"/>
        <s v="2018-01-24-11:00"/>
        <s v="2018-01-24-12:00"/>
        <s v="2018-01-24-13:00"/>
        <s v="2018-01-24-14:00"/>
        <s v="2018-01-24-15:00"/>
        <s v="2018-01-24-16:00"/>
        <s v="2018-01-24-17:00"/>
        <s v="2018-01-24-18:00"/>
        <s v="2018-01-24-19:00"/>
        <s v="2018-01-24-20:00"/>
        <s v="2018-01-24-21:00"/>
        <s v="2018-01-24-22:00"/>
        <s v="2018-01-24-23:00"/>
        <s v="2018-02-07-01:00"/>
        <s v="2018-01-25-01:00"/>
        <s v="2018-01-25-02:00"/>
        <s v="2018-01-25-03:00"/>
        <s v="2018-01-25-04:00"/>
        <s v="2018-01-25-05:00"/>
        <s v="2018-01-25-06:00"/>
        <s v="2018-01-25-07:00"/>
        <s v="2018-01-25-08:00"/>
        <s v="2018-01-25-09:00"/>
        <s v="2018-01-25-10:00"/>
        <s v="2018-01-25-11:00"/>
        <s v="2018-01-25-12:00"/>
        <s v="2018-01-25-13:00"/>
        <s v="2018-02-07-16:00"/>
        <s v="2018-01-25-15:00"/>
        <s v="2018-01-25-16:00"/>
        <s v="2018-01-25-17:00"/>
        <s v="2018-01-25-18:00"/>
        <s v="2018-01-25-19:00"/>
        <s v="2018-01-25-20:00"/>
        <s v="2018-01-25-21:00"/>
        <s v="2018-01-25-22:00"/>
        <s v="2018-01-25-23:00"/>
        <s v="2018-01-26-00:00"/>
        <s v="2018-01-26-01:00"/>
        <s v="2018-01-26-02:00"/>
        <s v="2018-01-26-03:00"/>
        <s v="2018-01-26-04:00"/>
        <s v="2018-02-08-06:00"/>
        <s v="2018-01-26-06:00"/>
        <s v="2018-01-26-07:00"/>
        <s v="2018-01-26-08:00"/>
        <s v="2018-01-26-09:00"/>
        <s v="2018-01-26-10:00"/>
        <s v="2018-01-26-11:00"/>
        <s v="2018-01-26-12:00"/>
        <s v="2018-01-26-13:00"/>
        <s v="2018-01-26-14:00"/>
        <s v="2018-01-26-15:00"/>
        <s v="2018-01-26-16:00"/>
        <s v="2018-01-26-17:00"/>
        <s v="2018-01-26-18:00"/>
        <s v="2018-02-08-21:00"/>
        <s v="2018-01-26-20:00"/>
        <s v="2018-01-26-21:00"/>
        <s v="2018-01-26-22:00"/>
        <s v="2018-01-26-23:00"/>
        <s v="2018-01-29-00:00"/>
        <s v="2018-01-29-01:00"/>
        <s v="2018-01-29-02:00"/>
        <s v="2018-01-29-03:00"/>
        <s v="2018-01-29-04:00"/>
        <s v="2018-01-29-05:00"/>
        <s v="2018-01-29-06:00"/>
        <s v="2018-01-29-07:00"/>
        <s v="2018-01-29-08:00"/>
        <s v="2018-01-29-09:00"/>
        <s v="2018-02-09-11:00"/>
        <s v="2018-01-29-20:00"/>
        <s v="2018-01-29-21:00"/>
        <s v="2018-01-29-22:00"/>
        <s v="2018-01-29-23:00"/>
        <s v="2018-02-12-02:00"/>
        <s v="2018-02-12-03:00"/>
        <s v="2018-02-12-04:00"/>
        <s v="2018-02-12-05:00"/>
        <s v="2018-02-12-06:00"/>
        <s v="2018-02-12-07:00"/>
        <s v="2018-02-12-08:00"/>
        <s v="2018-02-12-09:00"/>
        <s v="2018-02-12-10:00"/>
        <s v="2018-02-12-11:00"/>
        <s v="2018-01-30-10:00"/>
        <s v="2018-01-30-11:00"/>
        <s v="2018-01-30-12:00"/>
        <s v="2018-01-30-13:00"/>
        <s v="2018-01-30-14:00"/>
        <s v="2018-02-12-16:00"/>
        <s v="2018-02-12-17:00"/>
        <s v="2018-02-12-18:00"/>
        <s v="2018-02-12-19:00"/>
        <s v="2018-02-12-20:00"/>
        <s v="2018-02-12-21:00"/>
        <s v="2018-02-12-22:00"/>
        <s v="2018-02-12-23:00"/>
        <s v="2018-02-13-00:00"/>
        <s v="2018-02-13-01:00"/>
        <s v="2018-01-17-00:00"/>
        <s v="2018-01-17-01:00"/>
        <s v="2018-01-17-02:00"/>
        <s v="2018-01-17-03:00"/>
        <s v="2018-01-17-04:00"/>
        <s v="2018-01-17-05:00"/>
        <s v="2018-01-17-06:00"/>
        <s v="2018-01-17-07:00"/>
        <s v="2018-01-17-08:00"/>
        <s v="2018-01-17-09:00"/>
        <s v="2018-01-17-10:00"/>
        <s v="2018-01-17-11:00"/>
        <s v="2018-01-17-12:00"/>
        <s v="2018-01-30-15:00"/>
        <s v="2018-01-17-14:00"/>
        <s v="2018-01-17-15:00"/>
        <s v="2018-01-17-16:00"/>
        <s v="2018-01-17-17:00"/>
        <s v="2018-01-17-18:00"/>
        <s v="2018-01-17-19:00"/>
        <s v="2018-01-17-20:00"/>
        <s v="2018-01-17-21:00"/>
        <s v="2018-01-17-22:00"/>
        <s v="2018-01-17-23:00"/>
        <s v="2018-01-18-00:00"/>
        <s v="2018-01-18-01:00"/>
        <s v="2018-01-18-02:00"/>
        <s v="2018-01-18-03:00"/>
        <s v="2018-01-31-05:00"/>
        <s v="2018-01-18-05:00"/>
        <s v="2018-01-18-06:00"/>
        <s v="2018-01-18-07:00"/>
        <s v="2018-01-18-08:00"/>
        <s v="2018-01-18-09:00"/>
        <s v="2018-01-18-10:00"/>
        <s v="2018-01-18-11:00"/>
        <s v="2018-01-18-12:00"/>
        <s v="2018-01-18-13:00"/>
        <s v="2018-01-18-14:00"/>
        <s v="2018-01-18-15:00"/>
        <s v="2018-01-18-16:00"/>
        <s v="2018-01-18-17:00"/>
        <s v="2018-01-31-20:00"/>
        <s v="2018-01-18-19:00"/>
        <s v="2018-01-18-20:00"/>
        <s v="2018-01-18-21:00"/>
        <s v="2018-01-18-22:00"/>
        <s v="2018-01-18-23:00"/>
        <s v="2018-01-19-00:00"/>
        <s v="2018-01-19-01:00"/>
        <s v="2018-01-19-02:00"/>
        <s v="2018-01-19-03:00"/>
        <s v="2018-01-19-04:00"/>
        <s v="2018-01-19-05:00"/>
        <s v="2018-01-19-06:00"/>
        <s v="2018-01-19-07:00"/>
        <s v="2018-01-19-08:00"/>
        <s v="2018-02-01-10:00"/>
        <s v="2018-01-19-10:00"/>
        <s v="2018-01-19-11:00"/>
        <s v="2018-01-19-12:00"/>
        <s v="2018-01-19-13:00"/>
        <s v="2018-01-19-14:00"/>
        <s v="2018-01-19-15:00"/>
        <s v="2018-01-19-16:00"/>
        <s v="2018-01-19-17:00"/>
        <s v="2018-01-19-18:00"/>
        <s v="2018-01-19-19:00"/>
        <s v="2018-01-19-20:00"/>
        <s v="2018-01-19-21:00"/>
        <s v="2018-01-19-22:00"/>
        <s v="2018-02-02-01:00"/>
        <s v="2018-02-02-16:00"/>
        <s v="2018-02-02-17:00"/>
        <s v="2018-02-02-18:00"/>
        <s v="2018-02-02-19:00"/>
        <s v="2018-02-02-20:00"/>
        <s v="2018-02-02-21:00"/>
        <s v="2018-02-02-22:00"/>
        <s v="2018-02-02-23:00"/>
        <s v="2018-02-05-00:00"/>
        <s v="2018-02-05-01:00"/>
        <s v="2018-02-05-02:00"/>
        <s v="2018-02-05-03:00"/>
        <s v="2018-02-05-04:00"/>
        <s v="2018-02-05-05:00"/>
        <s v="2018-02-16-07:00"/>
        <s v="2018-02-05-07:00"/>
        <s v="2018-02-05-08:00"/>
        <s v="2018-02-05-09:00"/>
        <s v="2018-02-05-10:00"/>
        <s v="2018-02-05-11:00"/>
        <s v="2018-02-05-12:00"/>
        <s v="2018-02-05-13:00"/>
        <s v="2018-02-05-14:00"/>
        <s v="2018-02-05-15:00"/>
        <s v="2018-02-05-16:00"/>
        <s v="2018-02-05-17:00"/>
        <s v="2018-02-05-18:00"/>
        <s v="2018-02-05-19:00"/>
        <s v="2018-02-16-22:00"/>
        <s v="2018-02-05-21:00"/>
        <s v="2018-02-05-22:00"/>
        <s v="2018-02-05-23:00"/>
        <s v="2018-02-06-00:00"/>
        <s v="2018-02-06-01:00"/>
        <s v="2018-02-06-02:00"/>
        <s v="2018-02-06-03:00"/>
        <s v="2018-02-06-04:00"/>
        <s v="2018-02-06-05:00"/>
        <s v="2018-02-06-06:00"/>
        <s v="2018-02-06-07:00"/>
        <s v="2018-02-06-08:00"/>
        <s v="2018-02-06-09:00"/>
        <s v="2018-02-06-10:00"/>
        <s v="2018-02-19-12:00"/>
        <s v="2018-02-06-12:00"/>
        <s v="2018-02-06-13:00"/>
        <s v="2018-02-06-14:00"/>
        <s v="2018-02-06-15:00"/>
        <s v="2018-02-06-16:00"/>
        <s v="2018-02-06-17:00"/>
        <s v="2018-02-06-18:00"/>
        <s v="2018-02-06-19:00"/>
        <s v="2018-02-06-20:00"/>
        <s v="2018-02-06-21:00"/>
        <s v="2018-02-06-22:00"/>
        <s v="2018-02-06-23:00"/>
        <s v="2018-02-07-00:00"/>
        <s v="2018-02-20-03:00"/>
        <s v="2018-02-07-02:00"/>
        <s v="2018-02-07-03:00"/>
        <s v="2018-02-07-04:00"/>
        <s v="2018-02-07-05:00"/>
        <s v="2018-02-07-06:00"/>
        <s v="2018-02-07-07:00"/>
        <s v="2018-02-07-08:00"/>
        <s v="2018-02-07-09:00"/>
        <s v="2018-02-07-10:00"/>
        <s v="2018-02-07-11:00"/>
        <s v="2018-02-07-12:00"/>
        <s v="2018-02-07-13:00"/>
        <s v="2018-02-07-14:00"/>
        <s v="2018-02-07-15:00"/>
        <s v="2018-02-20-17:00"/>
        <s v="2018-02-07-17:00"/>
        <s v="2018-02-07-18:00"/>
        <s v="2018-02-07-19:00"/>
        <s v="2018-02-07-20:00"/>
        <s v="2018-02-07-21:00"/>
        <s v="2018-02-07-22:00"/>
        <s v="2018-02-07-23:00"/>
        <s v="2018-02-08-00:00"/>
        <s v="2018-02-08-01:00"/>
        <s v="2018-02-08-02:00"/>
        <s v="2018-02-08-03:00"/>
        <s v="2018-02-08-04:00"/>
        <s v="2018-02-08-05:00"/>
        <s v="2018-02-21-08:00"/>
        <s v="2018-02-08-07:00"/>
        <s v="2018-02-08-08:00"/>
        <s v="2018-02-08-09:00"/>
        <s v="2018-02-08-10:00"/>
        <s v="2018-02-08-11:00"/>
        <s v="2018-02-08-12:00"/>
        <s v="2018-02-08-13:00"/>
        <s v="2018-02-08-14:00"/>
        <s v="2018-02-08-15:00"/>
        <s v="2018-02-08-16:00"/>
        <s v="2018-02-08-17:00"/>
        <s v="2018-02-08-18:00"/>
        <s v="2018-02-08-19:00"/>
        <s v="2018-02-08-20:00"/>
        <s v="2018-02-21-22:00"/>
        <s v="2018-02-08-22:00"/>
        <s v="2018-02-08-23:00"/>
        <s v="2018-02-09-00:00"/>
        <s v="2018-02-09-01:00"/>
        <s v="2018-02-09-02:00"/>
        <s v="2018-02-09-03:00"/>
        <s v="2018-02-09-04:00"/>
        <s v="2018-02-09-05:00"/>
        <s v="2018-02-09-06:00"/>
        <s v="2018-02-09-07:00"/>
        <s v="2018-02-09-08:00"/>
        <s v="2018-02-09-09:00"/>
        <s v="2018-02-09-10:00"/>
        <s v="2018-02-22-13:00"/>
        <s v="2018-02-09-12:00"/>
        <s v="2018-02-09-13:00"/>
        <s v="2018-02-09-14:00"/>
        <s v="2018-02-09-15:00"/>
        <s v="2018-02-09-16:00"/>
        <s v="2018-02-09-17:00"/>
        <s v="2018-02-09-18:00"/>
        <s v="2018-02-09-19:00"/>
        <s v="2018-02-09-20:00"/>
        <s v="2018-02-09-21:00"/>
        <s v="2018-02-09-22:00"/>
        <s v="2018-02-09-23:00"/>
        <s v="2018-02-12-00:00"/>
        <s v="2018-02-12-01:00"/>
        <s v="2018-02-23-03:00"/>
        <s v="2018-02-12-12:00"/>
        <s v="2018-02-12-13:00"/>
        <s v="2018-02-12-14:00"/>
        <s v="2018-02-12-15:00"/>
        <s v="2018-02-23-18:00"/>
        <s v="2018-02-23-19:00"/>
        <s v="2018-02-23-20:00"/>
        <s v="2018-02-23-21:00"/>
        <s v="2018-02-23-22:00"/>
        <s v="2018-02-23-23:00"/>
        <s v="2018-02-26-00:00"/>
        <s v="2018-02-26-01:00"/>
        <s v="2018-02-26-02:00"/>
        <s v="2018-02-26-03:00"/>
        <s v="2018-02-13-02:00"/>
        <s v="2018-02-13-03:00"/>
        <s v="2018-02-13-04:00"/>
        <s v="2018-02-13-05:00"/>
        <s v="2018-02-13-06:00"/>
        <s v="2018-02-26-08:00"/>
        <s v="2018-02-26-09:00"/>
        <s v="2018-02-26-10:00"/>
        <s v="2018-02-26-11:00"/>
        <s v="2018-02-26-12:00"/>
        <s v="2018-02-26-13:00"/>
        <s v="2018-02-26-14:00"/>
        <s v="2018-02-26-15:00"/>
        <s v="2018-02-26-16:00"/>
        <s v="2018-02-26-17:00"/>
        <s v="2018-01-30-16:00"/>
        <s v="2018-01-30-17:00"/>
        <s v="2018-01-30-18:00"/>
        <s v="2018-01-30-19:00"/>
        <s v="2018-01-30-20:00"/>
        <s v="2018-01-30-21:00"/>
        <s v="2018-01-30-22:00"/>
        <s v="2018-01-30-23:00"/>
        <s v="2018-01-31-00:00"/>
        <s v="2018-01-31-01:00"/>
        <s v="2018-01-31-02:00"/>
        <s v="2018-01-31-03:00"/>
        <s v="2018-01-31-04:00"/>
        <s v="2018-02-13-07:00"/>
        <s v="2018-01-31-06:00"/>
        <s v="2018-01-31-07:00"/>
        <s v="2018-01-31-08:00"/>
        <s v="2018-01-31-09:00"/>
        <s v="2018-01-31-10:00"/>
        <s v="2018-01-31-11:00"/>
        <s v="2018-01-31-12:00"/>
        <s v="2018-01-31-13:00"/>
        <s v="2018-01-31-14:00"/>
        <s v="2018-01-31-15:00"/>
        <s v="2018-01-31-16:00"/>
        <s v="2018-01-31-17:00"/>
        <s v="2018-01-31-18:00"/>
        <s v="2018-01-31-19:00"/>
        <s v="2018-02-13-21:00"/>
        <s v="2018-01-31-21:00"/>
        <s v="2018-01-31-22:00"/>
        <s v="2018-01-31-23:00"/>
        <s v="2018-02-01-00:00"/>
        <s v="2018-02-01-01:00"/>
        <s v="2018-02-01-02:00"/>
        <s v="2018-02-01-03:00"/>
        <s v="2018-02-01-04:00"/>
        <s v="2018-02-01-05:00"/>
        <s v="2018-02-01-06:00"/>
        <s v="2018-02-01-07:00"/>
        <s v="2018-02-01-08:00"/>
        <s v="2018-02-01-09:00"/>
        <s v="2018-02-14-12:00"/>
        <s v="2018-02-01-11:00"/>
        <s v="2018-02-01-12:00"/>
        <s v="2018-02-01-13:00"/>
        <s v="2018-02-01-14:00"/>
        <s v="2018-02-01-15:00"/>
        <s v="2018-02-01-16:00"/>
        <s v="2018-02-01-17:00"/>
        <s v="2018-02-01-18:00"/>
        <s v="2018-02-01-19:00"/>
        <s v="2018-02-01-20:00"/>
        <s v="2018-02-01-21:00"/>
        <s v="2018-02-01-22:00"/>
        <s v="2018-02-01-23:00"/>
        <s v="2018-02-02-00:00"/>
        <s v="2018-02-15-02:00"/>
        <s v="2018-02-02-02:00"/>
        <s v="2018-02-02-03:00"/>
        <s v="2018-02-02-04:00"/>
        <s v="2018-02-02-05:00"/>
        <s v="2018-02-02-06:00"/>
        <s v="2018-02-02-07:00"/>
        <s v="2018-02-02-08:00"/>
        <s v="2018-02-02-09:00"/>
        <s v="2018-02-02-10:00"/>
        <s v="2018-02-02-11:00"/>
        <s v="2018-02-02-12:00"/>
        <s v="2018-02-02-13:00"/>
        <s v="2018-02-02-14:00"/>
        <s v="2018-02-15-17:00"/>
        <s v="2018-02-16-08:00"/>
        <s v="2018-02-16-09:00"/>
        <s v="2018-02-16-10:00"/>
        <s v="2018-02-16-11:00"/>
        <s v="2018-02-16-12:00"/>
        <s v="2018-02-16-13:00"/>
        <s v="2018-02-16-14:00"/>
        <s v="2018-02-16-15:00"/>
        <s v="2018-02-16-16:00"/>
        <s v="2018-02-16-17:00"/>
        <s v="2018-02-16-18:00"/>
        <s v="2018-02-16-19:00"/>
        <s v="2018-02-16-20:00"/>
        <s v="2018-02-16-21:00"/>
        <s v="2018-03-01-23:00"/>
        <s v="2018-02-16-23:00"/>
        <s v="2018-02-19-00:00"/>
        <s v="2018-02-19-01:00"/>
        <s v="2018-02-19-02:00"/>
        <s v="2018-02-19-03:00"/>
        <s v="2018-02-19-04:00"/>
        <s v="2018-02-19-05:00"/>
        <s v="2018-02-19-06:00"/>
        <s v="2018-02-19-07:00"/>
        <s v="2018-02-19-08:00"/>
        <s v="2018-02-19-09:00"/>
        <s v="2018-02-19-10:00"/>
        <s v="2018-02-19-11:00"/>
        <s v="2018-03-02-14:00"/>
        <s v="2018-02-19-13:00"/>
        <s v="2018-02-19-14:00"/>
        <s v="2018-02-19-15:00"/>
        <s v="2018-02-19-16:00"/>
        <s v="2018-02-19-17:00"/>
        <s v="2018-02-19-18:00"/>
        <s v="2018-02-19-19:00"/>
        <s v="2018-02-19-20:00"/>
        <s v="2018-02-19-21:00"/>
        <s v="2018-02-19-22:00"/>
        <s v="2018-02-19-23:00"/>
        <s v="2018-02-20-00:00"/>
        <s v="2018-02-20-01:00"/>
        <s v="2018-02-20-02:00"/>
        <s v="2018-03-05-04:00"/>
        <s v="2018-02-20-04:00"/>
        <s v="2018-02-20-05:00"/>
        <s v="2018-02-20-06:00"/>
        <s v="2018-02-20-07:00"/>
        <s v="2018-02-20-08:00"/>
        <s v="2018-02-20-09:00"/>
        <s v="2018-02-20-10:00"/>
        <s v="2018-02-20-11:00"/>
        <s v="2018-02-20-12:00"/>
        <s v="2018-02-20-13:00"/>
        <s v="2018-02-20-14:00"/>
        <s v="2018-02-20-15:00"/>
        <s v="2018-02-20-16:00"/>
        <s v="2018-03-05-19:00"/>
        <s v="2018-02-20-18:00"/>
        <s v="2018-02-20-19:00"/>
        <s v="2018-02-20-20:00"/>
        <s v="2018-02-20-21:00"/>
        <s v="2018-02-20-22:00"/>
        <s v="2018-02-20-23:00"/>
        <s v="2018-02-21-00:00"/>
        <s v="2018-02-21-01:00"/>
        <s v="2018-02-21-02:00"/>
        <s v="2018-02-21-03:00"/>
        <s v="2018-02-21-04:00"/>
        <s v="2018-02-21-05:00"/>
        <s v="2018-02-21-06:00"/>
        <s v="2018-02-21-07:00"/>
        <s v="2018-03-06-09:00"/>
        <s v="2018-02-21-09:00"/>
        <s v="2018-02-21-10:00"/>
        <s v="2018-02-21-11:00"/>
        <s v="2018-02-21-12:00"/>
        <s v="2018-02-21-13:00"/>
        <s v="2018-02-21-14:00"/>
        <s v="2018-02-21-15:00"/>
        <s v="2018-02-21-16:00"/>
        <s v="2018-02-21-17:00"/>
        <s v="2018-02-21-18:00"/>
        <s v="2018-02-21-19:00"/>
        <s v="2018-02-21-20:00"/>
        <s v="2018-02-21-21:00"/>
        <s v="2018-03-07-00:00"/>
        <s v="2018-02-21-23:00"/>
        <s v="2018-02-22-00:00"/>
        <s v="2018-02-22-01:00"/>
        <s v="2018-02-22-02:00"/>
        <s v="2018-02-22-03:00"/>
        <s v="2018-02-22-04:00"/>
        <s v="2018-02-22-05:00"/>
        <s v="2018-02-22-06:00"/>
        <s v="2018-02-22-07:00"/>
        <s v="2018-02-22-08:00"/>
        <s v="2018-02-22-09:00"/>
        <s v="2018-02-22-10:00"/>
        <s v="2018-02-22-11:00"/>
        <s v="2018-02-22-12:00"/>
        <s v="2018-03-07-14:00"/>
        <s v="2018-02-22-14:00"/>
        <s v="2018-02-22-15:00"/>
        <s v="2018-02-22-16:00"/>
        <s v="2018-02-22-17:00"/>
        <s v="2018-02-22-18:00"/>
        <s v="2018-02-22-19:00"/>
        <s v="2018-02-22-20:00"/>
        <s v="2018-02-22-21:00"/>
        <s v="2018-02-22-22:00"/>
        <s v="2018-02-22-23:00"/>
        <s v="2018-02-23-00:00"/>
        <s v="2018-02-23-01:00"/>
        <s v="2018-02-23-02:00"/>
        <s v="2018-03-08-05:00"/>
        <s v="2018-02-23-04:00"/>
        <s v="2018-02-23-05:00"/>
        <s v="2018-02-23-06:00"/>
        <s v="2018-02-23-07:00"/>
        <s v="2018-02-23-08:00"/>
        <s v="2018-02-23-09:00"/>
        <s v="2018-02-23-10:00"/>
        <s v="2018-02-23-11:00"/>
        <s v="2018-02-23-12:00"/>
        <s v="2018-02-23-13:00"/>
        <s v="2018-02-23-14:00"/>
        <s v="2018-02-23-15:00"/>
        <s v="2018-02-23-16:00"/>
        <s v="2018-02-23-17:00"/>
        <s v="2018-03-08-19:00"/>
        <s v="2018-02-26-04:00"/>
        <s v="2018-02-26-05:00"/>
        <s v="2018-02-26-06:00"/>
        <s v="2018-02-26-07:00"/>
        <s v="2018-03-09-10:00"/>
        <s v="2018-03-09-11:00"/>
        <s v="2018-03-09-12:00"/>
        <s v="2018-03-09-13:00"/>
        <s v="2018-03-09-14:00"/>
        <s v="2018-03-09-15:00"/>
        <s v="2018-03-09-16:00"/>
        <s v="2018-03-09-17:00"/>
        <s v="2018-03-09-18:00"/>
        <s v="2018-03-09-19:00"/>
        <s v="2018-02-26-18:00"/>
        <s v="2018-02-26-19:00"/>
        <s v="2018-02-26-20:00"/>
        <s v="2018-02-26-21:00"/>
        <s v="2018-02-26-22:00"/>
        <s v="2018-03-11-23:00"/>
        <s v="2018-03-12-00:00"/>
        <s v="2018-03-12-01:00"/>
        <s v="2018-03-12-02:00"/>
        <s v="2018-03-12-03:00"/>
        <s v="2018-03-12-04:00"/>
        <s v="2018-03-12-05:00"/>
        <s v="2018-03-12-06:00"/>
        <s v="2018-03-12-07:00"/>
        <s v="2018-03-12-08:00"/>
        <s v="2018-02-13-08:00"/>
        <s v="2018-02-13-09:00"/>
        <s v="2018-02-13-10:00"/>
        <s v="2018-02-13-11:00"/>
        <s v="2018-02-13-12:00"/>
        <s v="2018-02-13-13:00"/>
        <s v="2018-02-13-14:00"/>
        <s v="2018-02-13-15:00"/>
        <s v="2018-02-13-16:00"/>
        <s v="2018-02-13-17:00"/>
        <s v="2018-02-13-18:00"/>
        <s v="2018-02-13-19:00"/>
        <s v="2018-02-13-20:00"/>
        <s v="2018-02-26-23:00"/>
        <s v="2018-02-13-22:00"/>
        <s v="2018-02-13-23:00"/>
        <s v="2018-02-14-00:00"/>
        <s v="2018-02-14-01:00"/>
        <s v="2018-02-14-02:00"/>
        <s v="2018-02-14-03:00"/>
        <s v="2018-02-14-04:00"/>
        <s v="2018-02-14-05:00"/>
        <s v="2018-02-14-06:00"/>
        <s v="2018-02-14-07:00"/>
        <s v="2018-02-14-08:00"/>
        <s v="2018-02-14-09:00"/>
        <s v="2018-02-14-10:00"/>
        <s v="2018-02-14-11:00"/>
        <s v="2018-02-27-13:00"/>
        <s v="2018-02-14-13:00"/>
        <s v="2018-02-14-14:00"/>
        <s v="2018-02-14-15:00"/>
        <s v="2018-02-14-16:00"/>
        <s v="2018-02-14-17:00"/>
        <s v="2018-02-14-18:00"/>
        <s v="2018-02-14-19:00"/>
        <s v="2018-02-14-20:00"/>
        <s v="2018-02-14-21:00"/>
        <s v="2018-02-14-22:00"/>
        <s v="2018-02-14-23:00"/>
        <s v="2018-02-15-00:00"/>
        <s v="2018-02-15-01:00"/>
        <s v="2018-02-28-04:00"/>
        <s v="2018-02-15-03:00"/>
        <s v="2018-02-15-04:00"/>
        <s v="2018-02-15-05:00"/>
        <s v="2018-02-15-06:00"/>
        <s v="2018-02-15-07:00"/>
        <s v="2018-02-15-08:00"/>
        <s v="2018-02-15-09:00"/>
        <s v="2018-02-15-10:00"/>
        <s v="2018-02-15-11:00"/>
        <s v="2018-02-15-12:00"/>
        <s v="2018-02-15-13:00"/>
        <s v="2018-02-15-14:00"/>
        <s v="2018-02-15-15:00"/>
        <s v="2018-02-15-16:00"/>
        <s v="2018-02-28-18:00"/>
        <s v="2018-02-15-18:00"/>
        <s v="2018-02-15-19:00"/>
        <s v="2018-02-15-20:00"/>
        <s v="2018-02-15-21:00"/>
        <s v="2018-02-15-22:00"/>
        <s v="2018-02-15-23:00"/>
        <s v="2018-02-16-00:00"/>
        <s v="2018-02-16-01:00"/>
        <s v="2018-02-16-02:00"/>
        <s v="2018-02-16-03:00"/>
        <s v="2018-02-16-04:00"/>
        <s v="2018-02-16-05:00"/>
        <s v="2018-02-16-06:00"/>
        <s v="2018-03-01-09:00"/>
        <s v="2018-03-02-00:00"/>
        <s v="2018-03-02-01:00"/>
        <s v="2018-03-02-02:00"/>
        <s v="2018-03-02-03:00"/>
        <s v="2018-03-02-04:00"/>
        <s v="2018-03-02-05:00"/>
        <s v="2018-03-02-06:00"/>
        <s v="2018-03-02-07:00"/>
        <s v="2018-03-02-08:00"/>
        <s v="2018-03-02-09:00"/>
        <s v="2018-03-02-10:00"/>
        <s v="2018-03-02-11:00"/>
        <s v="2018-03-02-12:00"/>
        <s v="2018-03-02-13:00"/>
        <s v="2018-03-15-14:00"/>
        <s v="2018-03-02-15:00"/>
        <s v="2018-03-02-16:00"/>
        <s v="2018-03-02-17:00"/>
        <s v="2018-03-02-18:00"/>
        <s v="2018-03-02-19:00"/>
        <s v="2018-03-02-20:00"/>
        <s v="2018-03-02-21:00"/>
        <s v="2018-03-02-22:00"/>
        <s v="2018-03-02-23:00"/>
        <s v="2018-03-05-00:00"/>
        <s v="2018-03-05-01:00"/>
        <s v="2018-03-05-02:00"/>
        <s v="2018-03-05-03:00"/>
        <s v="2018-03-16-05:00"/>
        <s v="2018-03-05-05:00"/>
        <s v="2018-03-05-06:00"/>
        <s v="2018-03-05-07:00"/>
        <s v="2018-03-05-08:00"/>
        <s v="2018-03-05-09:00"/>
        <s v="2018-03-05-10:00"/>
        <s v="2018-03-05-11:00"/>
        <s v="2018-03-05-12:00"/>
        <s v="2018-03-05-13:00"/>
        <s v="2018-03-05-14:00"/>
        <s v="2018-03-05-15:00"/>
        <s v="2018-03-05-16:00"/>
        <s v="2018-03-05-17:00"/>
        <s v="2018-03-05-18:00"/>
        <s v="2018-03-16-19:00"/>
        <s v="2018-03-05-20:00"/>
        <s v="2018-03-05-21:00"/>
        <s v="2018-03-05-22:00"/>
        <s v="2018-03-05-23:00"/>
        <s v="2018-03-06-00:00"/>
        <s v="2018-03-06-01:00"/>
        <s v="2018-03-06-02:00"/>
        <s v="2018-03-06-03:00"/>
        <s v="2018-03-06-04:00"/>
        <s v="2018-03-06-05:00"/>
        <s v="2018-03-06-06:00"/>
        <s v="2018-03-06-07:00"/>
        <s v="2018-03-06-08:00"/>
        <s v="2018-03-19-10:00"/>
        <s v="2018-03-06-10:00"/>
        <s v="2018-03-06-11:00"/>
        <s v="2018-03-06-12:00"/>
        <s v="2018-03-06-13:00"/>
        <s v="2018-03-06-14:00"/>
        <s v="2018-03-06-15:00"/>
        <s v="2018-03-06-16:00"/>
        <s v="2018-03-06-17:00"/>
        <s v="2018-03-06-18:00"/>
        <s v="2018-03-06-19:00"/>
        <s v="2018-03-06-20:00"/>
        <s v="2018-03-06-21:00"/>
        <s v="2018-03-06-22:00"/>
        <s v="2018-03-06-23:00"/>
        <s v="2018-03-20-00:00"/>
        <s v="2018-03-07-01:00"/>
        <s v="2018-03-07-02:00"/>
        <s v="2018-03-07-03:00"/>
        <s v="2018-03-07-04:00"/>
        <s v="2018-03-07-05:00"/>
        <s v="2018-03-07-06:00"/>
        <s v="2018-03-07-07:00"/>
        <s v="2018-03-07-08:00"/>
        <s v="2018-03-07-09:00"/>
        <s v="2018-03-07-10:00"/>
        <s v="2018-03-07-11:00"/>
        <s v="2018-03-07-12:00"/>
        <s v="2018-03-07-13:00"/>
        <s v="2018-03-20-15:00"/>
        <s v="2018-03-07-15:00"/>
        <s v="2018-03-07-16:00"/>
        <s v="2018-03-07-17:00"/>
        <s v="2018-03-07-18:00"/>
        <s v="2018-03-07-19:00"/>
        <s v="2018-03-07-20:00"/>
        <s v="2018-03-07-21:00"/>
        <s v="2018-03-07-22:00"/>
        <s v="2018-03-07-23:00"/>
        <s v="2018-03-08-00:00"/>
        <s v="2018-03-08-01:00"/>
        <s v="2018-03-08-02:00"/>
        <s v="2018-03-08-03:00"/>
        <s v="2018-03-08-04:00"/>
        <s v="2018-03-21-05:00"/>
        <s v="2018-03-08-06:00"/>
        <s v="2018-03-08-07:00"/>
        <s v="2018-03-08-08:00"/>
        <s v="2018-03-08-09:00"/>
        <s v="2018-03-08-10:00"/>
        <s v="2018-03-08-11:00"/>
        <s v="2018-03-08-12:00"/>
        <s v="2018-03-08-13:00"/>
        <s v="2018-03-08-14:00"/>
        <s v="2018-03-08-15:00"/>
        <s v="2018-03-08-16:00"/>
        <s v="2018-03-08-17:00"/>
        <s v="2018-03-08-18:00"/>
        <s v="2018-03-21-20:00"/>
        <s v="2018-03-08-20:00"/>
        <s v="2018-03-08-21:00"/>
        <s v="2018-03-08-22:00"/>
        <s v="2018-03-08-23:00"/>
        <s v="2018-03-09-00:00"/>
        <s v="2018-03-09-01:00"/>
        <s v="2018-03-09-02:00"/>
        <s v="2018-03-09-03:00"/>
        <s v="2018-03-09-04:00"/>
        <s v="2018-03-09-05:00"/>
        <s v="2018-03-09-06:00"/>
        <s v="2018-03-09-07:00"/>
        <s v="2018-03-09-08:00"/>
        <s v="2018-03-09-09:00"/>
        <s v="2018-03-22-10:00"/>
        <s v="2018-03-09-20:00"/>
        <s v="2018-03-09-21:00"/>
        <s v="2018-03-09-22:00"/>
        <s v="2018-03-09-23:00"/>
        <s v="2018-03-23-01:00"/>
        <s v="2018-03-23-02:00"/>
        <s v="2018-03-23-03:00"/>
        <s v="2018-03-23-04:00"/>
        <s v="2018-03-23-05:00"/>
        <s v="2018-03-23-06:00"/>
        <s v="2018-03-23-07:00"/>
        <s v="2018-03-23-08:00"/>
        <s v="2018-03-23-09:00"/>
        <s v="2018-03-23-10:00"/>
        <s v="2018-03-12-09:00"/>
        <s v="2018-03-12-10:00"/>
        <s v="2018-03-12-11:00"/>
        <s v="2018-03-12-12:00"/>
        <s v="2018-03-12-13:00"/>
        <s v="2018-03-23-15:00"/>
        <s v="2018-03-23-16:00"/>
        <s v="2018-03-23-17:00"/>
        <s v="2018-03-23-18:00"/>
        <s v="2018-03-23-19:00"/>
        <s v="2018-03-23-20:00"/>
        <s v="2018-03-23-21:00"/>
        <s v="2018-03-23-22:00"/>
        <s v="2018-03-26-00:00"/>
        <s v="2018-03-26-01:00"/>
        <s v="2018-02-27-00:00"/>
        <s v="2018-02-27-01:00"/>
        <s v="2018-02-27-02:00"/>
        <s v="2018-02-27-03:00"/>
        <s v="2018-02-27-04:00"/>
        <s v="2018-02-27-05:00"/>
        <s v="2018-02-27-06:00"/>
        <s v="2018-02-27-07:00"/>
        <s v="2018-02-27-08:00"/>
        <s v="2018-02-27-09:00"/>
        <s v="2018-02-27-10:00"/>
        <s v="2018-02-27-11:00"/>
        <s v="2018-02-27-12:00"/>
        <s v="2018-03-12-14:00"/>
        <s v="2018-02-27-14:00"/>
        <s v="2018-02-27-15:00"/>
        <s v="2018-02-27-16:00"/>
        <s v="2018-02-27-17:00"/>
        <s v="2018-02-27-18:00"/>
        <s v="2018-02-27-19:00"/>
        <s v="2018-02-27-20:00"/>
        <s v="2018-02-27-21:00"/>
        <s v="2018-02-27-22:00"/>
        <s v="2018-02-27-23:00"/>
        <s v="2018-02-28-00:00"/>
        <s v="2018-02-28-01:00"/>
        <s v="2018-02-28-02:00"/>
        <s v="2018-02-28-03:00"/>
        <s v="2018-03-13-04:00"/>
        <s v="2018-02-28-05:00"/>
        <s v="2018-02-28-06:00"/>
        <s v="2018-02-28-07:00"/>
        <s v="2018-02-28-08:00"/>
        <s v="2018-02-28-09:00"/>
        <s v="2018-02-28-10:00"/>
        <s v="2018-02-28-11:00"/>
        <s v="2018-02-28-12:00"/>
        <s v="2018-02-28-13:00"/>
        <s v="2018-02-28-14:00"/>
        <s v="2018-02-28-15:00"/>
        <s v="2018-02-28-16:00"/>
        <s v="2018-02-28-17:00"/>
        <s v="2018-03-13-19:00"/>
        <s v="2018-02-28-19:00"/>
        <s v="2018-02-28-20:00"/>
        <s v="2018-02-28-21:00"/>
        <s v="2018-02-28-22:00"/>
        <s v="2018-02-28-23:00"/>
        <s v="2018-03-01-00:00"/>
        <s v="2018-03-01-01:00"/>
        <s v="2018-03-01-02:00"/>
        <s v="2018-03-01-03:00"/>
        <s v="2018-03-01-04:00"/>
        <s v="2018-03-01-05:00"/>
        <s v="2018-03-01-06:00"/>
        <s v="2018-03-01-07:00"/>
        <s v="2018-03-01-08:00"/>
        <s v="2018-03-14-09:00"/>
        <s v="2018-03-01-10:00"/>
        <s v="2018-03-01-11:00"/>
        <s v="2018-03-01-12:00"/>
        <s v="2018-03-01-13:00"/>
        <s v="2018-03-01-14:00"/>
        <s v="2018-03-01-15:00"/>
        <s v="2018-03-01-16:00"/>
        <s v="2018-03-01-17:00"/>
        <s v="2018-03-01-18:00"/>
        <s v="2018-03-01-19:00"/>
        <s v="2018-03-01-20:00"/>
        <s v="2018-03-01-21:00"/>
        <s v="2018-03-01-22:00"/>
        <s v="2018-03-15-00:00"/>
        <s v="2018-03-15-15:00"/>
        <s v="2018-03-15-16:00"/>
        <s v="2018-03-15-17:00"/>
        <s v="2018-03-15-18:00"/>
        <s v="2018-03-15-19:00"/>
        <s v="2018-03-15-20:00"/>
        <s v="2018-03-15-21:00"/>
        <s v="2018-03-15-22:00"/>
        <s v="2018-03-15-23:00"/>
        <s v="2018-03-16-00:00"/>
        <s v="2018-03-16-01:00"/>
        <s v="2018-03-16-02:00"/>
        <s v="2018-03-16-03:00"/>
        <s v="2018-03-16-04:00"/>
        <s v="2018-03-29-07:00"/>
        <s v="2018-03-16-06:00"/>
        <s v="2018-03-16-07:00"/>
        <s v="2018-03-16-08:00"/>
        <s v="2018-03-16-09:00"/>
        <s v="2018-03-16-10:00"/>
        <s v="2018-03-16-11:00"/>
        <s v="2018-03-16-12:00"/>
        <s v="2018-03-16-13:00"/>
        <s v="2018-03-16-14:00"/>
        <s v="2018-03-16-15:00"/>
        <s v="2018-03-16-16:00"/>
        <s v="2018-03-16-17:00"/>
        <s v="2018-03-16-18:00"/>
        <s v="2018-03-29-22:00"/>
        <s v="2018-03-16-20:00"/>
        <s v="2018-03-16-21:00"/>
        <s v="2018-03-16-22:00"/>
        <s v="2018-03-18-23:00"/>
        <s v="2018-03-19-00:00"/>
        <s v="2018-03-19-01:00"/>
        <s v="2018-03-19-02:00"/>
        <s v="2018-03-19-03:00"/>
        <s v="2018-03-19-04:00"/>
        <s v="2018-03-19-05:00"/>
        <s v="2018-03-19-06:00"/>
        <s v="2018-03-19-07:00"/>
        <s v="2018-03-19-08:00"/>
        <s v="2018-03-19-09:00"/>
        <s v="2018-03-30-12:00"/>
        <s v="2018-03-19-11:00"/>
        <s v="2018-03-19-12:00"/>
        <s v="2018-03-19-13:00"/>
        <s v="2018-03-19-14:00"/>
        <s v="2018-03-19-15:00"/>
        <s v="2018-03-19-16:00"/>
        <s v="2018-03-19-17:00"/>
        <s v="2018-03-19-18:00"/>
        <s v="2018-03-19-19:00"/>
        <s v="2018-03-19-20:00"/>
        <s v="2018-03-19-21:00"/>
        <s v="2018-03-19-22:00"/>
        <s v="2018-03-19-23:00"/>
        <s v="2018-04-02-03:00"/>
        <s v="2018-03-20-01:00"/>
        <s v="2018-03-20-02:00"/>
        <s v="2018-03-20-03:00"/>
        <s v="2018-03-20-04:00"/>
        <s v="2018-03-20-05:00"/>
        <s v="2018-03-20-06:00"/>
        <s v="2018-03-20-07:00"/>
        <s v="2018-03-20-08:00"/>
        <s v="2018-03-20-09:00"/>
        <s v="2018-03-20-10:00"/>
        <s v="2018-03-20-11:00"/>
        <s v="2018-03-20-12:00"/>
        <s v="2018-03-20-13:00"/>
        <s v="2018-03-20-14:00"/>
        <s v="2018-04-02-17:00"/>
        <s v="2018-03-20-16:00"/>
        <s v="2018-03-20-17:00"/>
        <s v="2018-03-20-18:00"/>
        <s v="2018-03-20-19:00"/>
        <s v="2018-03-20-20:00"/>
        <s v="2018-03-20-21:00"/>
        <s v="2018-03-20-22:00"/>
        <s v="2018-03-20-23:00"/>
        <s v="2018-03-21-00:00"/>
        <s v="2018-03-21-01:00"/>
        <s v="2018-03-21-02:00"/>
        <s v="2018-03-21-03:00"/>
        <s v="2018-03-21-04:00"/>
        <s v="2018-04-03-08:00"/>
        <s v="2018-03-21-06:00"/>
        <s v="2018-03-21-07:00"/>
        <s v="2018-03-21-08:00"/>
        <s v="2018-03-21-09:00"/>
        <s v="2018-03-21-10:00"/>
        <s v="2018-03-21-11:00"/>
        <s v="2018-03-21-12:00"/>
        <s v="2018-03-21-13:00"/>
        <s v="2018-03-21-14:00"/>
        <s v="2018-03-21-15:00"/>
        <s v="2018-03-21-16:00"/>
        <s v="2018-03-21-17:00"/>
        <s v="2018-03-21-18:00"/>
        <s v="2018-03-21-19:00"/>
        <s v="2018-04-03-22:00"/>
        <s v="2018-03-21-21:00"/>
        <s v="2018-03-21-22:00"/>
        <s v="2018-03-21-23:00"/>
        <s v="2018-03-22-00:00"/>
        <s v="2018-03-22-01:00"/>
        <s v="2018-03-22-02:00"/>
        <s v="2018-03-22-03:00"/>
        <s v="2018-03-22-04:00"/>
        <s v="2018-03-22-05:00"/>
        <s v="2018-03-22-06:00"/>
        <s v="2018-03-22-07:00"/>
        <s v="2018-03-22-08:00"/>
        <s v="2018-03-22-09:00"/>
        <s v="2018-04-04-13:00"/>
        <s v="2018-03-22-11:00"/>
        <s v="2018-03-22-12:00"/>
        <s v="2018-03-22-13:00"/>
        <s v="2018-03-22-14:00"/>
        <s v="2018-03-22-15:00"/>
        <s v="2018-03-22-16:00"/>
        <s v="2018-03-22-17:00"/>
        <s v="2018-03-22-18:00"/>
        <s v="2018-03-22-19:00"/>
        <s v="2018-03-22-20:00"/>
        <s v="2018-03-22-21:00"/>
        <s v="2018-03-22-22:00"/>
        <s v="2018-03-22-23:00"/>
        <s v="2018-03-23-00:00"/>
        <s v="2018-04-05-03:00"/>
        <s v="2018-03-23-11:00"/>
        <s v="2018-03-23-12:00"/>
        <s v="2018-03-23-13:00"/>
        <s v="2018-03-23-14:00"/>
        <s v="2018-04-05-18:00"/>
        <s v="2018-04-05-19:00"/>
        <s v="2018-04-05-20:00"/>
        <s v="2018-04-05-21:00"/>
        <s v="2018-04-05-22:00"/>
        <s v="2018-04-05-23:00"/>
        <s v="2018-04-06-00:00"/>
        <s v="2018-04-06-01:00"/>
        <s v="2018-04-06-02:00"/>
        <s v="2018-04-06-03:00"/>
        <s v="2018-03-26-02:00"/>
        <s v="2018-03-26-03:00"/>
        <s v="2018-03-26-04:00"/>
        <s v="2018-03-26-05:00"/>
        <s v="2018-03-26-06:00"/>
        <s v="2018-04-06-08:00"/>
        <s v="2018-04-06-09:00"/>
        <s v="2018-04-06-10:00"/>
        <s v="2018-04-06-11:00"/>
        <s v="2018-04-06-12:00"/>
        <s v="2018-04-06-13:00"/>
        <s v="2018-04-06-14:00"/>
        <s v="2018-04-06-15:00"/>
        <s v="2018-04-06-16:00"/>
        <s v="2018-04-06-17:00"/>
        <s v="2018-03-12-15:00"/>
        <s v="2018-03-12-16:00"/>
        <s v="2018-03-12-17:00"/>
        <s v="2018-03-12-18:00"/>
        <s v="2018-03-12-19:00"/>
        <s v="2018-03-12-20:00"/>
        <s v="2018-03-12-21:00"/>
        <s v="2018-03-12-22:00"/>
        <s v="2018-03-12-23:00"/>
        <s v="2018-03-13-00:00"/>
        <s v="2018-03-13-01:00"/>
        <s v="2018-03-13-02:00"/>
        <s v="2018-03-13-03:00"/>
        <s v="2018-03-26-07:00"/>
        <s v="2018-03-13-05:00"/>
        <s v="2018-03-13-06:00"/>
        <s v="2018-03-13-07:00"/>
        <s v="2018-03-13-08:00"/>
        <s v="2018-03-13-09:00"/>
        <s v="2018-03-13-10:00"/>
        <s v="2018-03-13-11:00"/>
        <s v="2018-03-13-12:00"/>
        <s v="2018-03-13-13:00"/>
        <s v="2018-03-13-14:00"/>
        <s v="2018-03-13-15:00"/>
        <s v="2018-03-13-16:00"/>
        <s v="2018-03-13-17:00"/>
        <s v="2018-03-13-18:00"/>
        <s v="2018-03-26-21:00"/>
        <s v="2018-03-13-20:00"/>
        <s v="2018-03-13-21:00"/>
        <s v="2018-03-13-22:00"/>
        <s v="2018-03-13-23:00"/>
        <s v="2018-03-14-00:00"/>
        <s v="2018-03-14-01:00"/>
        <s v="2018-03-14-02:00"/>
        <s v="2018-03-14-03:00"/>
        <s v="2018-03-14-04:00"/>
        <s v="2018-03-14-05:00"/>
        <s v="2018-03-14-06:00"/>
        <s v="2018-03-14-07:00"/>
        <s v="2018-03-14-08:00"/>
        <s v="2018-03-27-12:00"/>
        <s v="2018-03-14-10:00"/>
        <s v="2018-03-14-11:00"/>
        <s v="2018-03-14-12:00"/>
        <s v="2018-03-14-13:00"/>
        <s v="2018-03-14-14:00"/>
        <s v="2018-03-14-15:00"/>
        <s v="2018-03-14-16:00"/>
        <s v="2018-03-14-17:00"/>
        <s v="2018-03-14-18:00"/>
        <s v="2018-03-14-19:00"/>
        <s v="2018-03-14-20:00"/>
        <s v="2018-03-14-21:00"/>
        <s v="2018-03-14-22:00"/>
        <s v="2018-03-14-23:00"/>
        <s v="2018-03-28-02:00"/>
        <s v="2018-03-15-01:00"/>
        <s v="2018-03-15-02:00"/>
        <s v="2018-03-15-03:00"/>
        <s v="2018-03-15-04:00"/>
        <s v="2018-03-15-05:00"/>
        <s v="2018-03-15-06:00"/>
        <s v="2018-03-15-07:00"/>
        <s v="2018-03-15-08:00"/>
        <s v="2018-03-15-09:00"/>
        <s v="2018-03-15-10:00"/>
        <s v="2018-03-15-11:00"/>
        <s v="2018-03-15-12:00"/>
        <s v="2018-03-15-13:00"/>
        <s v="2018-03-28-17:00"/>
        <s v="2018-03-29-08:00"/>
        <s v="2018-03-29-09:00"/>
        <s v="2018-03-29-10:00"/>
        <s v="2018-03-29-11:00"/>
        <s v="2018-03-29-12:00"/>
        <s v="2018-03-29-13:00"/>
        <s v="2018-03-29-14:00"/>
        <s v="2018-03-29-15:00"/>
        <s v="2018-03-29-16:00"/>
        <s v="2018-03-29-17:00"/>
        <s v="2018-03-29-18:00"/>
        <s v="2018-03-29-19:00"/>
        <s v="2018-03-29-20:00"/>
        <s v="2018-03-29-21:00"/>
        <s v="2018-04-11-23:00"/>
        <s v="2018-03-29-23:00"/>
        <s v="2018-03-30-00:00"/>
        <s v="2018-03-30-01:00"/>
        <s v="2018-03-30-02:00"/>
        <s v="2018-03-30-03:00"/>
        <s v="2018-03-30-04:00"/>
        <s v="2018-03-30-05:00"/>
        <s v="2018-03-30-06:00"/>
        <s v="2018-03-30-07:00"/>
        <s v="2018-03-30-08:00"/>
        <s v="2018-03-30-09:00"/>
        <s v="2018-03-30-10:00"/>
        <s v="2018-03-30-11:00"/>
        <s v="2018-04-12-14:00"/>
        <s v="2018-03-30-13:00"/>
        <s v="2018-03-30-14:00"/>
        <s v="2018-03-30-15:00"/>
        <s v="2018-03-30-16:00"/>
        <s v="2018-03-30-17:00"/>
        <s v="2018-03-30-18:00"/>
        <s v="2018-03-30-19:00"/>
        <s v="2018-03-30-20:00"/>
        <s v="2018-03-30-21:00"/>
        <s v="2018-03-30-22:00"/>
        <s v="2018-03-30-23:00"/>
        <s v="2018-04-02-00:00"/>
        <s v="2018-04-02-01:00"/>
        <s v="2018-04-02-02:00"/>
        <s v="2018-04-13-04:00"/>
        <s v="2018-04-02-04:00"/>
        <s v="2018-04-02-05:00"/>
        <s v="2018-04-02-06:00"/>
        <s v="2018-04-02-07:00"/>
        <s v="2018-04-02-08:00"/>
        <s v="2018-04-02-09:00"/>
        <s v="2018-04-02-10:00"/>
        <s v="2018-04-02-11:00"/>
        <s v="2018-04-02-12:00"/>
        <s v="2018-04-02-13:00"/>
        <s v="2018-04-02-14:00"/>
        <s v="2018-04-02-15:00"/>
        <s v="2018-04-02-16:00"/>
        <s v="2018-04-13-19:00"/>
        <s v="2018-04-02-18:00"/>
        <s v="2018-04-02-19:00"/>
        <s v="2018-04-02-20:00"/>
        <s v="2018-04-02-21:00"/>
        <s v="2018-04-02-22:00"/>
        <s v="2018-04-02-23:00"/>
        <s v="2018-04-03-00:00"/>
        <s v="2018-04-03-01:00"/>
        <s v="2018-04-03-02:00"/>
        <s v="2018-04-03-03:00"/>
        <s v="2018-04-03-04:00"/>
        <s v="2018-04-03-05:00"/>
        <s v="2018-04-03-06:00"/>
        <s v="2018-04-03-07:00"/>
        <s v="2018-04-16-09:00"/>
        <s v="2018-04-03-09:00"/>
        <s v="2018-04-03-10:00"/>
        <s v="2018-04-03-11:00"/>
        <s v="2018-04-03-12:00"/>
        <s v="2018-04-03-13:00"/>
        <s v="2018-04-03-14:00"/>
        <s v="2018-04-03-15:00"/>
        <s v="2018-04-03-16:00"/>
        <s v="2018-04-03-17:00"/>
        <s v="2018-04-03-18:00"/>
        <s v="2018-04-03-19:00"/>
        <s v="2018-04-03-20:00"/>
        <s v="2018-04-03-21:00"/>
        <s v="2018-04-17-00:00"/>
        <s v="2018-04-03-23:00"/>
        <s v="2018-04-04-00:00"/>
        <s v="2018-04-04-01:00"/>
        <s v="2018-04-04-02:00"/>
        <s v="2018-04-04-03:00"/>
        <s v="2018-04-04-04:00"/>
        <s v="2018-04-04-05:00"/>
        <s v="2018-04-04-06:00"/>
        <s v="2018-04-04-07:00"/>
        <s v="2018-04-04-08:00"/>
        <s v="2018-04-04-09:00"/>
        <s v="2018-04-04-10:00"/>
        <s v="2018-04-04-11:00"/>
        <s v="2018-04-04-12:00"/>
        <s v="2018-04-17-14:00"/>
        <s v="2018-04-04-14:00"/>
        <s v="2018-04-04-15:00"/>
        <s v="2018-04-04-16:00"/>
        <s v="2018-04-04-17:00"/>
        <s v="2018-04-04-18:00"/>
        <s v="2018-04-04-19:00"/>
        <s v="2018-04-04-20:00"/>
        <s v="2018-04-04-21:00"/>
        <s v="2018-04-04-22:00"/>
        <s v="2018-04-04-23:00"/>
        <s v="2018-04-05-00:00"/>
        <s v="2018-04-05-01:00"/>
        <s v="2018-04-05-02:00"/>
        <s v="2018-04-18-05:00"/>
        <s v="2018-04-05-04:00"/>
        <s v="2018-04-05-05:00"/>
        <s v="2018-04-05-06:00"/>
        <s v="2018-04-05-07:00"/>
        <s v="2018-04-05-08:00"/>
        <s v="2018-04-05-09:00"/>
        <s v="2018-04-05-10:00"/>
        <s v="2018-04-05-11:00"/>
        <s v="2018-04-05-12:00"/>
        <s v="2018-04-05-13:00"/>
        <s v="2018-04-05-14:00"/>
        <s v="2018-04-05-15:00"/>
        <s v="2018-04-05-16:00"/>
        <s v="2018-04-05-17:00"/>
        <s v="2018-04-18-19:00"/>
        <s v="2018-04-06-04:00"/>
        <s v="2018-04-06-05:00"/>
        <s v="2018-04-06-06:00"/>
        <s v="2018-04-06-07:00"/>
        <s v="2018-04-19-10:00"/>
        <s v="2018-04-19-11:00"/>
        <s v="2018-04-19-12:00"/>
        <s v="2018-04-19-13:00"/>
        <s v="2018-04-19-14:00"/>
        <s v="2018-04-19-15:00"/>
        <s v="2018-04-19-16:00"/>
        <s v="2018-04-19-17:00"/>
        <s v="2018-04-19-18:00"/>
        <s v="2018-04-19-19:00"/>
        <s v="2018-04-06-18:00"/>
        <s v="2018-04-06-19:00"/>
        <s v="2018-04-06-20:00"/>
        <s v="2018-04-06-21:00"/>
        <s v="2018-04-06-22:00"/>
        <s v="2018-04-20-00:00"/>
        <s v="2018-04-20-01:00"/>
        <s v="2018-04-20-02:00"/>
        <s v="2018-04-20-03:00"/>
        <s v="2018-04-20-04:00"/>
        <s v="2018-04-20-05:00"/>
        <s v="2018-04-20-06:00"/>
        <s v="2018-04-20-07:00"/>
        <s v="2018-04-20-08:00"/>
        <s v="2018-04-20-09:00"/>
        <s v="2018-03-26-08:00"/>
        <s v="2018-03-26-09:00"/>
        <s v="2018-03-26-10:00"/>
        <s v="2018-03-26-11:00"/>
        <s v="2018-03-26-12:00"/>
        <s v="2018-03-26-13:00"/>
        <s v="2018-03-26-14:00"/>
        <s v="2018-03-26-15:00"/>
        <s v="2018-03-26-16:00"/>
        <s v="2018-03-26-17:00"/>
        <s v="2018-03-26-18:00"/>
        <s v="2018-03-26-19:00"/>
        <s v="2018-03-26-20:00"/>
        <s v="2018-04-06-23:00"/>
        <s v="2018-03-26-22:00"/>
        <s v="2018-03-26-23:00"/>
        <s v="2018-03-27-00:00"/>
        <s v="2018-03-27-01:00"/>
        <s v="2018-03-27-02:00"/>
        <s v="2018-03-27-03:00"/>
        <s v="2018-03-27-04:00"/>
        <s v="2018-03-27-05:00"/>
        <s v="2018-03-27-06:00"/>
        <s v="2018-03-27-07:00"/>
        <s v="2018-03-27-08:00"/>
        <s v="2018-03-27-09:00"/>
        <s v="2018-03-27-10:00"/>
        <s v="2018-03-27-11:00"/>
        <s v="2018-04-09-13:00"/>
        <s v="2018-03-27-13:00"/>
        <s v="2018-03-27-14:00"/>
        <s v="2018-03-27-15:00"/>
        <s v="2018-03-27-16:00"/>
        <s v="2018-03-27-17:00"/>
        <s v="2018-03-27-18:00"/>
        <s v="2018-03-27-19:00"/>
        <s v="2018-03-27-20:00"/>
        <s v="2018-03-27-21:00"/>
        <s v="2018-03-27-22:00"/>
        <s v="2018-03-27-23:00"/>
        <s v="2018-03-28-00:00"/>
        <s v="2018-03-28-01:00"/>
        <s v="2018-04-10-04:00"/>
        <s v="2018-03-28-03:00"/>
        <s v="2018-03-28-04:00"/>
        <s v="2018-03-28-05:00"/>
        <s v="2018-03-28-06:00"/>
        <s v="2018-03-28-07:00"/>
        <s v="2018-03-28-08:00"/>
        <s v="2018-03-28-09:00"/>
        <s v="2018-03-28-10:00"/>
        <s v="2018-03-28-11:00"/>
        <s v="2018-03-28-12:00"/>
        <s v="2018-03-28-13:00"/>
        <s v="2018-03-28-14:00"/>
        <s v="2018-03-28-15:00"/>
        <s v="2018-03-28-16:00"/>
        <s v="2018-04-10-18:00"/>
        <s v="2018-03-28-18:00"/>
        <s v="2018-03-28-19:00"/>
        <s v="2018-03-28-20:00"/>
        <s v="2018-03-28-21:00"/>
        <s v="2018-03-28-22:00"/>
        <s v="2018-03-28-23:00"/>
        <s v="2018-03-29-00:00"/>
        <s v="2018-03-29-01:00"/>
        <s v="2018-03-29-02:00"/>
        <s v="2018-03-29-03:00"/>
        <s v="2018-03-29-04:00"/>
        <s v="2018-03-29-05:00"/>
        <s v="2018-03-29-06:00"/>
        <s v="2018-04-11-09:00"/>
        <s v="2018-04-12-00:00"/>
        <s v="2018-04-12-01:00"/>
        <s v="2018-04-12-02:00"/>
        <s v="2018-04-12-03:00"/>
        <s v="2018-04-12-04:00"/>
        <s v="2018-04-12-05:00"/>
        <s v="2018-04-12-06:00"/>
        <s v="2018-04-12-07:00"/>
        <s v="2018-04-12-08:00"/>
        <s v="2018-04-12-09:00"/>
        <s v="2018-04-12-10:00"/>
        <s v="2018-04-12-11:00"/>
        <s v="2018-04-12-12:00"/>
        <s v="2018-04-12-13:00"/>
        <s v="2018-04-25-15:00"/>
        <s v="2018-04-12-15:00"/>
        <s v="2018-04-12-16:00"/>
        <s v="2018-04-12-17:00"/>
        <s v="2018-04-12-18:00"/>
        <s v="2018-04-12-19:00"/>
        <s v="2018-04-12-20:00"/>
        <s v="2018-04-12-21:00"/>
        <s v="2018-04-12-22:00"/>
        <s v="2018-04-12-23:00"/>
        <s v="2018-04-13-00:00"/>
        <s v="2018-04-13-01:00"/>
        <s v="2018-04-13-02:00"/>
        <s v="2018-04-13-03:00"/>
        <s v="2018-04-26-06:00"/>
        <s v="2018-04-13-05:00"/>
        <s v="2018-04-13-06:00"/>
        <s v="2018-04-13-07:00"/>
        <s v="2018-04-13-08:00"/>
        <s v="2018-04-13-09:00"/>
        <s v="2018-04-13-10:00"/>
        <s v="2018-04-13-11:00"/>
        <s v="2018-04-13-12:00"/>
        <s v="2018-04-13-13:00"/>
        <s v="2018-04-13-14:00"/>
        <s v="2018-04-13-15:00"/>
        <s v="2018-04-13-16:00"/>
        <s v="2018-04-13-17:00"/>
        <s v="2018-04-13-18:00"/>
        <s v="2018-04-26-20:00"/>
        <s v="2018-04-13-20:00"/>
        <s v="2018-04-13-21:00"/>
        <s v="2018-04-13-22:00"/>
        <s v="2018-04-13-23:00"/>
        <s v="2018-04-16-00:00"/>
        <s v="2018-04-16-01:00"/>
        <s v="2018-04-16-02:00"/>
        <s v="2018-04-16-03:00"/>
        <s v="2018-04-16-04:00"/>
        <s v="2018-04-16-05:00"/>
        <s v="2018-04-16-06:00"/>
        <s v="2018-04-16-07:00"/>
        <s v="2018-04-16-08:00"/>
        <s v="2018-04-27-11:00"/>
        <s v="2018-04-16-10:00"/>
        <s v="2018-04-16-11:00"/>
        <s v="2018-04-16-12:00"/>
        <s v="2018-04-16-13:00"/>
        <s v="2018-04-16-14:00"/>
        <s v="2018-04-16-15:00"/>
        <s v="2018-04-16-16:00"/>
        <s v="2018-04-16-17:00"/>
        <s v="2018-04-16-18:00"/>
        <s v="2018-04-16-19:00"/>
        <s v="2018-04-16-20:00"/>
        <s v="2018-04-16-21:00"/>
        <s v="2018-04-16-22:00"/>
        <s v="2018-04-16-23:00"/>
        <s v="2018-04-30-01:00"/>
        <s v="2018-04-17-01:00"/>
        <s v="2018-04-17-02:00"/>
        <s v="2018-04-17-03:00"/>
        <s v="2018-04-17-04:00"/>
        <s v="2018-04-17-05:00"/>
        <s v="2018-04-17-06:00"/>
        <s v="2018-04-17-07:00"/>
        <s v="2018-04-17-08:00"/>
        <s v="2018-04-17-09:00"/>
        <s v="2018-04-17-10:00"/>
        <s v="2018-04-17-11:00"/>
        <s v="2018-04-17-12:00"/>
        <s v="2018-04-17-13:00"/>
        <s v="2018-04-30-16:00"/>
        <s v="2018-04-17-15:00"/>
        <s v="2018-04-17-16:00"/>
        <s v="2018-04-17-17:00"/>
        <s v="2018-04-17-18:00"/>
        <s v="2018-04-17-19:00"/>
        <s v="2018-04-17-20:00"/>
        <s v="2018-04-17-21:00"/>
        <s v="2018-04-17-22:00"/>
        <s v="2018-04-17-23:00"/>
        <s v="2018-04-18-00:00"/>
        <s v="2018-04-18-01:00"/>
        <s v="2018-04-18-02:00"/>
        <s v="2018-04-18-03:00"/>
        <s v="2018-04-18-04:00"/>
        <s v="2018-05-01-06:00"/>
        <s v="2018-04-18-06:00"/>
        <s v="2018-04-18-07:00"/>
        <s v="2018-04-18-08:00"/>
        <s v="2018-04-18-09:00"/>
        <s v="2018-04-18-10:00"/>
        <s v="2018-04-18-11:00"/>
        <s v="2018-04-18-12:00"/>
        <s v="2018-04-18-13:00"/>
        <s v="2018-04-18-14:00"/>
        <s v="2018-04-18-15:00"/>
        <s v="2018-04-18-16:00"/>
        <s v="2018-04-18-17:00"/>
        <s v="2018-04-18-18:00"/>
        <s v="2018-05-01-21:00"/>
        <s v="2018-04-18-20:00"/>
        <s v="2018-04-18-21:00"/>
        <s v="2018-04-18-22:00"/>
        <s v="2018-04-18-23:00"/>
        <s v="2018-04-19-00:00"/>
        <s v="2018-04-19-01:00"/>
        <s v="2018-04-19-02:00"/>
        <s v="2018-04-19-03:00"/>
        <s v="2018-04-19-04:00"/>
        <s v="2018-04-19-05:00"/>
        <s v="2018-04-19-06:00"/>
        <s v="2018-04-19-07:00"/>
        <s v="2018-04-19-08:00"/>
        <s v="2018-04-19-09:00"/>
        <s v="2018-05-02-11:00"/>
        <s v="2018-04-19-20:00"/>
        <s v="2018-04-19-21:00"/>
        <s v="2018-04-19-22:00"/>
        <s v="2018-04-19-23:00"/>
        <s v="2018-05-03-02:00"/>
        <s v="2018-05-03-03:00"/>
        <s v="2018-05-03-04:00"/>
        <s v="2018-05-03-05:00"/>
        <s v="2018-05-03-06:00"/>
        <s v="2018-05-03-07:00"/>
        <s v="2018-05-03-08:00"/>
        <s v="2018-05-03-09:00"/>
        <s v="2018-05-03-10:00"/>
        <s v="2018-05-03-11:00"/>
        <s v="2018-04-20-10:00"/>
        <s v="2018-04-20-11:00"/>
        <s v="2018-04-20-12:00"/>
        <s v="2018-04-20-13:00"/>
        <s v="2018-04-20-14:00"/>
        <s v="2018-05-03-16:00"/>
        <s v="2018-05-03-17:00"/>
        <s v="2018-05-03-18:00"/>
        <s v="2018-05-03-19:00"/>
        <s v="2018-05-03-20:00"/>
        <s v="2018-05-03-21:00"/>
        <s v="2018-05-03-22:00"/>
        <s v="2018-05-03-23:00"/>
        <s v="2018-05-04-00:00"/>
        <s v="2018-05-04-01:00"/>
        <s v="2018-04-09-00:00"/>
        <s v="2018-04-09-01:00"/>
        <s v="2018-04-09-02:00"/>
        <s v="2018-04-09-03:00"/>
        <s v="2018-04-09-04:00"/>
        <s v="2018-04-09-05:00"/>
        <s v="2018-04-09-06:00"/>
        <s v="2018-04-09-07:00"/>
        <s v="2018-04-09-08:00"/>
        <s v="2018-04-09-09:00"/>
        <s v="2018-04-09-10:00"/>
        <s v="2018-04-09-11:00"/>
        <s v="2018-04-09-12:00"/>
        <s v="2018-04-20-15:00"/>
        <s v="2018-04-09-14:00"/>
        <s v="2018-04-09-15:00"/>
        <s v="2018-04-09-16:00"/>
        <s v="2018-04-09-17:00"/>
        <s v="2018-04-09-18:00"/>
        <s v="2018-04-09-19:00"/>
        <s v="2018-04-09-20:00"/>
        <s v="2018-04-09-21:00"/>
        <s v="2018-04-09-22:00"/>
        <s v="2018-04-09-23:00"/>
        <s v="2018-04-10-00:00"/>
        <s v="2018-04-10-01:00"/>
        <s v="2018-04-10-02:00"/>
        <s v="2018-04-10-03:00"/>
        <s v="2018-04-23-05:00"/>
        <s v="2018-04-10-05:00"/>
        <s v="2018-04-10-06:00"/>
        <s v="2018-04-10-07:00"/>
        <s v="2018-04-10-08:00"/>
        <s v="2018-04-10-09:00"/>
        <s v="2018-04-10-10:00"/>
        <s v="2018-04-10-11:00"/>
        <s v="2018-04-10-12:00"/>
        <s v="2018-04-10-13:00"/>
        <s v="2018-04-10-14:00"/>
        <s v="2018-04-10-15:00"/>
        <s v="2018-04-10-16:00"/>
        <s v="2018-04-10-17:00"/>
        <s v="2018-04-23-20:00"/>
        <s v="2018-04-10-19:00"/>
        <s v="2018-04-10-20:00"/>
        <s v="2018-04-10-21:00"/>
        <s v="2018-04-10-22:00"/>
        <s v="2018-04-10-23:00"/>
        <s v="2018-04-11-00:00"/>
        <s v="2018-04-11-01:00"/>
        <s v="2018-04-11-02:00"/>
        <s v="2018-04-11-03:00"/>
        <s v="2018-04-11-04:00"/>
        <s v="2018-04-11-05:00"/>
        <s v="2018-04-11-06:00"/>
        <s v="2018-04-11-07:00"/>
        <s v="2018-04-11-08:00"/>
        <s v="2018-04-24-10:00"/>
        <s v="2018-04-11-10:00"/>
        <s v="2018-04-11-11:00"/>
        <s v="2018-04-11-12:00"/>
        <s v="2018-04-11-13:00"/>
        <s v="2018-04-11-14:00"/>
        <s v="2018-04-11-15:00"/>
        <s v="2018-04-11-16:00"/>
        <s v="2018-04-11-17:00"/>
        <s v="2018-04-11-18:00"/>
        <s v="2018-04-11-19:00"/>
        <s v="2018-04-11-20:00"/>
        <s v="2018-04-11-21:00"/>
        <s v="2018-04-11-22:00"/>
        <s v="2018-04-25-01:00"/>
        <s v="2018-04-25-16:00"/>
        <s v="2018-04-25-17:00"/>
        <s v="2018-04-25-18:00"/>
        <s v="2018-04-25-19:00"/>
        <s v="2018-04-25-20:00"/>
        <s v="2018-04-25-21:00"/>
        <s v="2018-04-25-22:00"/>
        <s v="2018-04-25-23:00"/>
        <s v="2018-04-26-00:00"/>
        <s v="2018-04-26-01:00"/>
        <s v="2018-04-26-02:00"/>
        <s v="2018-04-26-03:00"/>
        <s v="2018-04-26-04:00"/>
        <s v="2018-04-26-05:00"/>
        <s v="2018-05-09-07:00"/>
        <s v="2018-04-26-07:00"/>
        <s v="2018-04-26-08:00"/>
        <s v="2018-04-26-09:00"/>
        <s v="2018-04-26-10:00"/>
        <s v="2018-04-26-11:00"/>
        <s v="2018-04-26-12:00"/>
        <s v="2018-04-26-13:00"/>
        <s v="2018-04-26-14:00"/>
        <s v="2018-04-26-15:00"/>
        <s v="2018-04-26-16:00"/>
        <s v="2018-04-26-17:00"/>
        <s v="2018-04-26-18:00"/>
        <s v="2018-04-26-19:00"/>
        <s v="2018-05-09-22:00"/>
        <s v="2018-04-26-21:00"/>
        <s v="2018-04-26-22:00"/>
        <s v="2018-04-26-23:00"/>
        <s v="2018-04-27-00:00"/>
        <s v="2018-04-27-01:00"/>
        <s v="2018-04-27-02:00"/>
        <s v="2018-04-27-03:00"/>
        <s v="2018-04-27-04:00"/>
        <s v="2018-04-27-05:00"/>
        <s v="2018-04-27-06:00"/>
        <s v="2018-04-27-07:00"/>
        <s v="2018-04-27-08:00"/>
        <s v="2018-04-27-09:00"/>
        <s v="2018-04-27-10:00"/>
        <s v="2018-05-10-12:00"/>
        <s v="2018-04-27-12:00"/>
        <s v="2018-04-27-13:00"/>
        <s v="2018-04-27-14:00"/>
        <s v="2018-04-27-15:00"/>
        <s v="2018-04-27-16:00"/>
        <s v="2018-04-27-17:00"/>
        <s v="2018-04-27-18:00"/>
        <s v="2018-04-27-19:00"/>
        <s v="2018-04-27-20:00"/>
        <s v="2018-04-27-21:00"/>
        <s v="2018-04-27-22:00"/>
        <s v="2018-04-27-23:00"/>
        <s v="2018-04-30-00:00"/>
        <s v="2018-05-11-03:00"/>
        <s v="2018-04-30-02:00"/>
        <s v="2018-04-30-03:00"/>
        <s v="2018-04-30-04:00"/>
        <s v="2018-04-30-05:00"/>
        <s v="2018-04-30-06:00"/>
        <s v="2018-04-30-07:00"/>
        <s v="2018-04-30-08:00"/>
        <s v="2018-04-30-09:00"/>
        <s v="2018-04-30-10:00"/>
        <s v="2018-04-30-11:00"/>
        <s v="2018-04-30-12:00"/>
        <s v="2018-04-30-13:00"/>
        <s v="2018-04-30-14:00"/>
        <s v="2018-04-30-15:00"/>
        <s v="2018-05-11-17:00"/>
        <s v="2018-04-30-17:00"/>
        <s v="2018-04-30-18:00"/>
        <s v="2018-04-30-19:00"/>
        <s v="2018-04-30-20:00"/>
        <s v="2018-04-30-21:00"/>
        <s v="2018-04-30-22:00"/>
        <s v="2018-04-30-23:00"/>
        <s v="2018-05-01-00:00"/>
        <s v="2018-05-01-01:00"/>
        <s v="2018-05-01-02:00"/>
        <s v="2018-05-01-03:00"/>
        <s v="2018-05-01-04:00"/>
        <s v="2018-05-01-05:00"/>
        <s v="2018-05-14-08:00"/>
        <s v="2018-05-01-07:00"/>
        <s v="2018-05-01-08:00"/>
        <s v="2018-05-01-09:00"/>
        <s v="2018-05-01-10:00"/>
        <s v="2018-05-01-11:00"/>
        <s v="2018-05-01-12:00"/>
        <s v="2018-05-01-13:00"/>
        <s v="2018-05-01-14:00"/>
        <s v="2018-05-01-15:00"/>
        <s v="2018-05-01-16:00"/>
        <s v="2018-05-01-17:00"/>
        <s v="2018-05-01-18:00"/>
        <s v="2018-05-01-19:00"/>
        <s v="2018-05-01-20:00"/>
        <s v="2018-05-14-22:00"/>
        <s v="2018-05-01-22:00"/>
        <s v="2018-05-01-23:00"/>
        <s v="2018-05-02-00:00"/>
        <s v="2018-05-02-01:00"/>
        <s v="2018-05-02-02:00"/>
        <s v="2018-05-02-03:00"/>
        <s v="2018-05-02-04:00"/>
        <s v="2018-05-02-05:00"/>
        <s v="2018-05-02-06:00"/>
        <s v="2018-05-02-07:00"/>
        <s v="2018-05-02-08:00"/>
        <s v="2018-05-02-09:00"/>
        <s v="2018-05-02-10:00"/>
        <s v="2018-05-15-13:00"/>
        <s v="2018-05-02-12:00"/>
        <s v="2018-05-02-13:00"/>
        <s v="2018-05-02-14:00"/>
        <s v="2018-05-02-15:00"/>
        <s v="2018-05-02-16:00"/>
        <s v="2018-05-02-17:00"/>
        <s v="2018-05-02-18:00"/>
        <s v="2018-05-02-19:00"/>
        <s v="2018-05-02-20:00"/>
        <s v="2018-05-02-21:00"/>
        <s v="2018-05-02-22:00"/>
        <s v="2018-05-02-23:00"/>
        <s v="2018-05-03-00:00"/>
        <s v="2018-05-03-01:00"/>
        <s v="2018-05-16-03:00"/>
        <s v="2018-05-03-12:00"/>
        <s v="2018-05-03-13:00"/>
        <s v="2018-05-03-14:00"/>
        <s v="2018-05-03-15:00"/>
        <s v="2018-05-16-18:00"/>
        <s v="2018-05-16-19:00"/>
        <s v="2018-05-16-20:00"/>
        <s v="2018-05-16-21:00"/>
        <s v="2018-05-16-22:00"/>
        <s v="2018-05-16-23:00"/>
        <s v="2018-05-17-00:00"/>
        <s v="2018-05-17-01:00"/>
        <s v="2018-05-17-02:00"/>
        <s v="2018-05-17-03:00"/>
        <s v="2018-05-04-02:00"/>
        <s v="2018-05-04-03:00"/>
        <s v="2018-05-04-04:00"/>
        <s v="2018-05-04-05:00"/>
        <s v="2018-05-04-06:00"/>
        <s v="2018-05-17-08:00"/>
        <s v="2018-05-17-09:00"/>
        <s v="2018-05-17-10:00"/>
        <s v="2018-05-17-11:00"/>
        <s v="2018-05-17-12:00"/>
        <s v="2018-05-17-13:00"/>
        <s v="2018-05-17-14:00"/>
        <s v="2018-05-17-15:00"/>
        <s v="2018-05-17-16:00"/>
        <s v="2018-05-17-17:00"/>
        <s v="2018-04-20-16:00"/>
        <s v="2018-04-20-17:00"/>
        <s v="2018-04-20-18:00"/>
        <s v="2018-04-20-19:00"/>
        <s v="2018-04-20-20:00"/>
        <s v="2018-04-20-21:00"/>
        <s v="2018-04-20-22:00"/>
        <s v="2018-04-20-23:00"/>
        <s v="2018-04-23-00:00"/>
        <s v="2018-04-23-01:00"/>
        <s v="2018-04-23-02:00"/>
        <s v="2018-04-23-03:00"/>
        <s v="2018-04-23-04:00"/>
        <s v="2018-05-04-07:00"/>
        <s v="2018-04-23-06:00"/>
        <s v="2018-04-23-07:00"/>
        <s v="2018-04-23-08:00"/>
        <s v="2018-04-23-09:00"/>
        <s v="2018-04-23-10:00"/>
        <s v="2018-04-23-11:00"/>
        <s v="2018-04-23-12:00"/>
        <s v="2018-04-23-13:00"/>
        <s v="2018-04-23-14:00"/>
        <s v="2018-04-23-15:00"/>
        <s v="2018-04-23-16:00"/>
        <s v="2018-04-23-17:00"/>
        <s v="2018-04-23-18:00"/>
        <s v="2018-04-23-19:00"/>
        <s v="2018-05-04-21:00"/>
        <s v="2018-04-23-21:00"/>
        <s v="2018-04-23-22:00"/>
        <s v="2018-04-23-23:00"/>
        <s v="2018-04-24-00:00"/>
        <s v="2018-04-24-01:00"/>
        <s v="2018-04-24-02:00"/>
        <s v="2018-04-24-03:00"/>
        <s v="2018-04-24-04:00"/>
        <s v="2018-04-24-05:00"/>
        <s v="2018-04-24-06:00"/>
        <s v="2018-04-24-07:00"/>
        <s v="2018-04-24-08:00"/>
        <s v="2018-04-24-09:00"/>
        <s v="2018-05-07-12:00"/>
        <s v="2018-04-24-11:00"/>
        <s v="2018-04-24-12:00"/>
        <s v="2018-04-24-13:00"/>
        <s v="2018-04-24-14:00"/>
        <s v="2018-04-24-15:00"/>
        <s v="2018-04-24-16:00"/>
        <s v="2018-04-24-17:00"/>
        <s v="2018-04-24-18:00"/>
        <s v="2018-04-24-19:00"/>
        <s v="2018-04-24-20:00"/>
        <s v="2018-04-24-21:00"/>
        <s v="2018-04-24-22:00"/>
        <s v="2018-04-24-23:00"/>
        <s v="2018-04-25-00:00"/>
        <s v="2018-05-08-02:00"/>
        <s v="2018-04-25-02:00"/>
        <s v="2018-04-25-03:00"/>
        <s v="2018-04-25-04:00"/>
        <s v="2018-04-25-05:00"/>
        <s v="2018-04-25-06:00"/>
        <s v="2018-04-25-07:00"/>
        <s v="2018-04-25-08:00"/>
        <s v="2018-04-25-09:00"/>
        <s v="2018-04-25-10:00"/>
        <s v="2018-04-25-11:00"/>
        <s v="2018-04-25-12:00"/>
        <s v="2018-04-25-13:00"/>
        <s v="2018-04-25-14:00"/>
        <s v="2018-05-08-17:00"/>
        <s v="2018-05-09-08:00"/>
        <s v="2018-05-09-09:00"/>
        <s v="2018-05-09-10:00"/>
        <s v="2018-05-09-11:00"/>
        <s v="2018-05-09-12:00"/>
        <s v="2018-05-09-13:00"/>
        <s v="2018-05-09-14:00"/>
        <s v="2018-05-09-15:00"/>
        <s v="2018-05-09-16:00"/>
        <s v="2018-05-09-17:00"/>
        <s v="2018-05-09-18:00"/>
        <s v="2018-05-09-19:00"/>
        <s v="2018-05-09-20:00"/>
        <s v="2018-05-09-21:00"/>
        <s v="2018-05-22-23:00"/>
        <s v="2018-05-09-23:00"/>
        <s v="2018-05-10-00:00"/>
        <s v="2018-05-10-01:00"/>
        <s v="2018-05-10-02:00"/>
        <s v="2018-05-10-03:00"/>
        <s v="2018-05-10-04:00"/>
        <s v="2018-05-10-05:00"/>
        <s v="2018-05-10-06:00"/>
        <s v="2018-05-10-07:00"/>
        <s v="2018-05-10-08:00"/>
        <s v="2018-05-10-09:00"/>
        <s v="2018-05-10-10:00"/>
        <s v="2018-05-10-11:00"/>
        <s v="2018-05-23-14:00"/>
        <s v="2018-05-10-13:00"/>
        <s v="2018-05-10-14:00"/>
        <s v="2018-05-10-15:00"/>
        <s v="2018-05-10-16:00"/>
        <s v="2018-05-10-17:00"/>
        <s v="2018-05-10-18:00"/>
        <s v="2018-05-10-19:00"/>
        <s v="2018-05-10-20:00"/>
        <s v="2018-05-10-21:00"/>
        <s v="2018-05-10-22:00"/>
        <s v="2018-05-10-23:00"/>
        <s v="2018-05-11-00:00"/>
        <s v="2018-05-11-01:00"/>
        <s v="2018-05-11-02:00"/>
        <s v="2018-05-24-04:00"/>
        <s v="2018-05-11-04:00"/>
        <s v="2018-05-11-05:00"/>
        <s v="2018-05-11-06:00"/>
        <s v="2018-05-11-07:00"/>
        <s v="2018-05-11-08:00"/>
        <s v="2018-05-11-09:00"/>
        <s v="2018-05-11-10:00"/>
        <s v="2018-05-11-11:00"/>
        <s v="2018-05-11-12:00"/>
        <s v="2018-05-11-13:00"/>
        <s v="2018-05-11-14:00"/>
        <s v="2018-05-11-15:00"/>
        <s v="2018-05-11-16:00"/>
        <s v="2018-05-24-19:00"/>
        <s v="2018-05-11-18:00"/>
        <s v="2018-05-11-19:00"/>
        <s v="2018-05-11-20:00"/>
        <s v="2018-05-11-21:00"/>
        <s v="2018-05-11-22:00"/>
        <s v="2018-05-11-23:00"/>
        <s v="2018-05-14-00:00"/>
        <s v="2018-05-14-01:00"/>
        <s v="2018-05-14-02:00"/>
        <s v="2018-05-14-03:00"/>
        <s v="2018-05-14-04:00"/>
        <s v="2018-05-14-05:00"/>
        <s v="2018-05-14-06:00"/>
        <s v="2018-05-14-07:00"/>
        <s v="2018-05-25-09:00"/>
        <s v="2018-05-14-09:00"/>
        <s v="2018-05-14-10:00"/>
        <s v="2018-05-14-11:00"/>
        <s v="2018-05-14-12:00"/>
        <s v="2018-05-14-13:00"/>
        <s v="2018-05-14-14:00"/>
        <s v="2018-05-14-15:00"/>
        <s v="2018-05-14-16:00"/>
        <s v="2018-05-14-17:00"/>
        <s v="2018-05-14-18:00"/>
        <s v="2018-05-14-19:00"/>
        <s v="2018-05-14-20:00"/>
        <s v="2018-05-14-21:00"/>
        <s v="2018-05-28-00:00"/>
        <s v="2018-05-14-23:00"/>
        <s v="2018-05-15-00:00"/>
        <s v="2018-05-15-01:00"/>
        <s v="2018-05-15-02:00"/>
        <s v="2018-05-15-03:00"/>
        <s v="2018-05-15-04:00"/>
        <s v="2018-05-15-05:00"/>
        <s v="2018-05-15-06:00"/>
        <s v="2018-05-15-07:00"/>
        <s v="2018-05-15-08:00"/>
        <s v="2018-05-15-09:00"/>
        <s v="2018-05-15-10:00"/>
        <s v="2018-05-15-11:00"/>
        <s v="2018-05-15-12:00"/>
        <s v="2018-05-28-14:00"/>
        <s v="2018-05-15-14:00"/>
        <s v="2018-05-15-15:00"/>
        <s v="2018-05-15-16:00"/>
        <s v="2018-05-15-17:00"/>
        <s v="2018-05-15-18:00"/>
        <s v="2018-05-15-19:00"/>
        <s v="2018-05-15-20:00"/>
        <s v="2018-05-15-21:00"/>
        <s v="2018-05-15-22:00"/>
        <s v="2018-05-15-23:00"/>
        <s v="2018-05-16-00:00"/>
        <s v="2018-05-16-01:00"/>
        <s v="2018-05-16-02:00"/>
        <s v="2018-05-29-05:00"/>
        <s v="2018-05-16-04:00"/>
        <s v="2018-05-16-05:00"/>
        <s v="2018-05-16-06:00"/>
        <s v="2018-05-16-07:00"/>
        <s v="2018-05-16-08:00"/>
        <s v="2018-05-16-09:00"/>
        <s v="2018-05-16-10:00"/>
        <s v="2018-05-16-11:00"/>
        <s v="2018-05-16-12:00"/>
        <s v="2018-05-16-13:00"/>
        <s v="2018-05-16-14:00"/>
        <s v="2018-05-16-15:00"/>
        <s v="2018-05-16-16:00"/>
        <s v="2018-05-16-17:00"/>
        <s v="2018-05-17-04:00"/>
        <s v="2018-05-17-05:00"/>
        <s v="2018-05-17-06:00"/>
        <s v="2018-05-17-07:00"/>
        <s v="2018-05-17-18:00"/>
        <s v="2018-05-17-19:00"/>
        <s v="2018-05-17-20:00"/>
        <s v="2018-05-17-21:00"/>
        <s v="2018-05-17-22:00"/>
        <s v="2018-05-04-08:00"/>
        <s v="2018-05-04-09:00"/>
        <s v="2018-05-04-10:00"/>
        <s v="2018-05-04-11:00"/>
        <s v="2018-05-04-12:00"/>
        <s v="2018-05-04-13:00"/>
        <s v="2018-05-04-14:00"/>
        <s v="2018-05-04-15:00"/>
        <s v="2018-05-04-16:00"/>
        <s v="2018-05-04-17:00"/>
        <s v="2018-05-04-18:00"/>
        <s v="2018-05-04-19:00"/>
        <s v="2018-05-04-20:00"/>
        <s v="2018-05-17-23:00"/>
        <s v="2018-05-04-22:00"/>
        <s v="2018-05-04-23:00"/>
        <s v="2018-05-07-00:00"/>
        <s v="2018-05-07-01:00"/>
        <s v="2018-05-07-02:00"/>
        <s v="2018-05-07-03:00"/>
        <s v="2018-05-07-04:00"/>
        <s v="2018-05-07-05:00"/>
        <s v="2018-05-07-06:00"/>
        <s v="2018-05-07-07:00"/>
        <s v="2018-05-07-08:00"/>
        <s v="2018-05-07-09:00"/>
        <s v="2018-05-07-10:00"/>
        <s v="2018-05-07-11:00"/>
        <s v="2018-05-18-13:00"/>
        <s v="2018-05-07-13:00"/>
        <s v="2018-05-07-14:00"/>
        <s v="2018-05-07-15:00"/>
        <s v="2018-05-07-16:00"/>
        <s v="2018-05-07-17:00"/>
        <s v="2018-05-07-18:00"/>
        <s v="2018-05-07-19:00"/>
        <s v="2018-05-07-20:00"/>
        <s v="2018-05-07-21:00"/>
        <s v="2018-05-07-22:00"/>
        <s v="2018-05-07-23:00"/>
        <s v="2018-05-08-00:00"/>
        <s v="2018-05-08-01:00"/>
        <s v="2018-05-21-04:00"/>
        <s v="2018-05-08-03:00"/>
        <s v="2018-05-08-04:00"/>
        <s v="2018-05-08-05:00"/>
        <s v="2018-05-08-06:00"/>
        <s v="2018-05-08-07:00"/>
        <s v="2018-05-08-08:00"/>
        <s v="2018-05-08-09:00"/>
        <s v="2018-05-08-10:00"/>
        <s v="2018-05-08-11:00"/>
        <s v="2018-05-08-12:00"/>
        <s v="2018-05-08-13:00"/>
        <s v="2018-05-08-14:00"/>
        <s v="2018-05-08-15:00"/>
        <s v="2018-05-08-16:00"/>
        <s v="2018-05-21-18:00"/>
        <s v="2018-05-08-18:00"/>
        <s v="2018-05-08-19:00"/>
        <s v="2018-05-08-20:00"/>
        <s v="2018-05-08-21:00"/>
        <s v="2018-05-08-22:00"/>
        <s v="2018-05-08-23:00"/>
        <s v="2018-05-09-00:00"/>
        <s v="2018-05-09-01:00"/>
        <s v="2018-05-09-02:00"/>
        <s v="2018-05-09-03:00"/>
        <s v="2018-05-09-04:00"/>
        <s v="2018-05-09-05:00"/>
        <s v="2018-05-09-06:00"/>
        <s v="2018-05-22-09:00"/>
        <s v="2018-05-23-00:00"/>
        <s v="2018-05-23-01:00"/>
        <s v="2018-05-23-02:00"/>
        <s v="2018-05-23-03:00"/>
        <s v="2018-05-23-04:00"/>
        <s v="2018-05-23-05:00"/>
        <s v="2018-05-23-06:00"/>
        <s v="2018-05-23-07:00"/>
        <s v="2018-05-23-08:00"/>
        <s v="2018-05-23-09:00"/>
        <s v="2018-05-23-10:00"/>
        <s v="2018-05-23-11:00"/>
        <s v="2018-05-23-12:00"/>
        <s v="2018-05-23-13:00"/>
        <s v="2017-10-27-05:00"/>
        <s v="2018-05-23-15:00"/>
        <s v="2018-05-23-16:00"/>
        <s v="2018-05-23-17:00"/>
        <s v="2018-05-23-18:00"/>
        <s v="2018-05-23-19:00"/>
        <s v="2018-05-23-20:00"/>
        <s v="2018-05-23-21:00"/>
        <s v="2018-05-23-22:00"/>
        <s v="2018-05-23-23:00"/>
        <s v="2018-05-24-00:00"/>
        <s v="2018-05-24-01:00"/>
        <s v="2018-05-24-02:00"/>
        <s v="2018-05-24-03:00"/>
        <s v="2017-10-27-20:00"/>
        <s v="2018-05-24-05:00"/>
        <s v="2018-05-24-06:00"/>
        <s v="2018-05-24-07:00"/>
        <s v="2018-05-24-08:00"/>
        <s v="2018-05-24-09:00"/>
        <s v="2018-05-24-10:00"/>
        <s v="2018-05-24-11:00"/>
        <s v="2018-05-24-12:00"/>
        <s v="2018-05-24-13:00"/>
        <s v="2018-05-24-14:00"/>
        <s v="2018-05-24-15:00"/>
        <s v="2018-05-24-16:00"/>
        <s v="2018-05-24-17:00"/>
        <s v="2018-05-24-18:00"/>
        <s v="2017-10-30-09:00"/>
        <s v="2018-05-24-20:00"/>
        <s v="2018-05-24-21:00"/>
        <s v="2018-05-24-22:00"/>
        <s v="2018-05-24-23:00"/>
        <s v="2018-05-25-00:00"/>
        <s v="2018-05-25-01:00"/>
        <s v="2018-05-25-02:00"/>
        <s v="2018-05-25-03:00"/>
        <s v="2018-05-25-04:00"/>
        <s v="2018-05-25-05:00"/>
        <s v="2018-05-25-06:00"/>
        <s v="2018-05-25-07:00"/>
        <s v="2018-05-25-08:00"/>
        <s v="2017-10-31-00:00"/>
        <s v="2018-05-25-10:00"/>
        <s v="2018-05-25-11:00"/>
        <s v="2018-05-25-12:00"/>
        <s v="2018-05-25-13:00"/>
        <s v="2018-05-25-14:00"/>
        <s v="2018-05-25-15:00"/>
        <s v="2018-05-25-16:00"/>
        <s v="2018-05-25-17:00"/>
        <s v="2018-05-25-18:00"/>
        <s v="2018-05-25-19:00"/>
        <s v="2018-05-25-20:00"/>
        <s v="2018-05-25-21:00"/>
        <s v="2018-05-25-22:00"/>
        <s v="2018-05-25-23:00"/>
        <s v="2017-10-31-14:00"/>
        <s v="2018-05-28-01:00"/>
        <s v="2018-05-28-02:00"/>
        <s v="2018-05-28-03:00"/>
        <s v="2018-05-28-04:00"/>
        <s v="2018-05-28-05:00"/>
        <s v="2018-05-28-06:00"/>
        <s v="2018-05-28-07:00"/>
        <s v="2018-05-28-08:00"/>
        <s v="2018-05-28-09:00"/>
        <s v="2018-05-28-10:00"/>
        <s v="2018-05-28-11:00"/>
        <s v="2018-05-28-12:00"/>
        <s v="2018-05-28-13:00"/>
        <s v="2017-11-01-05:00"/>
        <s v="2018-05-28-15:00"/>
        <s v="2018-05-28-16:00"/>
        <s v="2018-05-28-17:00"/>
        <s v="2018-05-28-18:00"/>
        <s v="2018-05-28-19:00"/>
        <s v="2018-05-28-20:00"/>
        <s v="2018-05-28-21:00"/>
        <s v="2018-05-28-22:00"/>
        <s v="2018-05-28-23:00"/>
        <s v="2018-05-29-00:00"/>
        <s v="2018-05-29-01:00"/>
        <s v="2018-05-29-02:00"/>
        <s v="2018-05-29-03:00"/>
        <s v="2018-05-29-04:00"/>
        <s v="2017-11-01-19:00"/>
        <s v="2018-05-29-06:00"/>
        <s v="2018-05-29-07:00"/>
        <s v="2018-05-29-08:00"/>
        <s v="2018-05-29-09:00"/>
        <s v="2018-05-29-10:00"/>
        <s v="2017-11-02-10:00"/>
        <s v="2017-11-03-00:00"/>
        <s v="2017-11-03-01:00"/>
        <s v="2017-11-03-02:00"/>
        <s v="2017-11-03-03:00"/>
        <s v="2017-11-03-04:00"/>
        <s v="2017-11-03-05:00"/>
        <s v="2017-11-03-06:00"/>
        <s v="2017-11-03-07:00"/>
        <s v="2017-11-03-08:00"/>
        <s v="2017-11-03-09:00"/>
        <s v="2017-11-03-15:00"/>
        <s v="2017-11-03-16:00"/>
        <s v="2017-11-03-17:00"/>
        <s v="2017-11-03-18:00"/>
        <s v="2017-11-03-19:00"/>
        <s v="2017-11-03-20:00"/>
        <s v="2017-11-03-21:00"/>
        <s v="2017-11-03-22:00"/>
        <s v="2017-11-06-00:00"/>
        <s v="2017-11-06-01:00"/>
        <s v="2017-11-06-06:00"/>
        <s v="2017-11-06-07:00"/>
        <s v="2017-11-06-08:00"/>
        <s v="2017-11-06-09:00"/>
        <s v="2017-11-06-10:00"/>
        <s v="2017-11-06-11:00"/>
        <s v="2017-11-06-12:00"/>
        <s v="2017-11-06-13:00"/>
        <s v="2017-11-06-14:00"/>
        <s v="2017-11-06-15:00"/>
        <s v="2018-05-18-00:00"/>
        <s v="2018-05-18-01:00"/>
        <s v="2018-05-18-02:00"/>
        <s v="2018-05-18-03:00"/>
        <s v="2018-05-18-04:00"/>
        <s v="2018-05-18-05:00"/>
        <s v="2018-05-18-06:00"/>
        <s v="2018-05-18-07:00"/>
        <s v="2018-05-18-08:00"/>
        <s v="2018-05-18-09:00"/>
        <s v="2018-05-18-10:00"/>
        <s v="2018-05-18-11:00"/>
        <s v="2018-05-18-12:00"/>
        <s v="2018-05-18-14:00"/>
        <s v="2018-05-18-15:00"/>
        <s v="2018-05-18-16:00"/>
        <s v="2018-05-18-17:00"/>
        <s v="2018-05-18-18:00"/>
        <s v="2018-05-18-19:00"/>
        <s v="2018-05-18-20:00"/>
        <s v="2018-05-18-21:00"/>
        <s v="2018-05-18-22:00"/>
        <s v="2018-05-18-23:00"/>
        <s v="2018-05-21-00:00"/>
        <s v="2018-05-21-01:00"/>
        <s v="2018-05-21-02:00"/>
        <s v="2018-05-21-03:00"/>
        <s v="2018-05-21-05:00"/>
        <s v="2018-05-21-06:00"/>
        <s v="2018-05-21-07:00"/>
        <s v="2018-05-21-08:00"/>
        <s v="2018-05-21-09:00"/>
        <s v="2018-05-21-10:00"/>
        <s v="2018-05-21-11:00"/>
        <s v="2018-05-21-12:00"/>
        <s v="2018-05-21-13:00"/>
        <s v="2018-05-21-14:00"/>
        <s v="2018-05-21-15:00"/>
        <s v="2018-05-21-16:00"/>
        <s v="2018-05-21-17:00"/>
        <s v="2018-05-21-19:00"/>
        <s v="2018-05-21-20:00"/>
        <s v="2018-05-21-21:00"/>
        <s v="2018-05-21-22:00"/>
        <s v="2018-05-21-23:00"/>
        <s v="2018-05-22-00:00"/>
        <s v="2018-05-22-01:00"/>
        <s v="2018-05-22-02:00"/>
        <s v="2018-05-22-03:00"/>
        <s v="2018-05-22-04:00"/>
        <s v="2018-05-22-05:00"/>
        <s v="2018-05-22-06:00"/>
        <s v="2018-05-22-07:00"/>
        <s v="2018-05-22-08:00"/>
        <s v="2018-05-22-10:00"/>
        <s v="2018-05-22-11:00"/>
        <s v="2018-05-22-12:00"/>
        <s v="2018-05-22-13:00"/>
        <s v="2018-05-22-14:00"/>
        <s v="2018-05-22-15:00"/>
        <s v="2018-05-22-16:00"/>
        <s v="2018-05-22-17:00"/>
        <s v="2018-05-22-18:00"/>
        <s v="2018-05-22-19:00"/>
        <s v="2018-05-22-20:00"/>
        <s v="2018-05-22-21:00"/>
        <s v="2018-05-22-22:00"/>
        <s v="2017-10-26-15:00"/>
        <s v="2017-10-27-06:00"/>
        <s v="2017-10-27-07:00"/>
        <s v="2017-10-27-08:00"/>
        <s v="2017-10-27-09:00"/>
        <s v="2017-10-27-10:00"/>
        <s v="2017-10-27-11:00"/>
        <s v="2017-10-27-12:00"/>
        <s v="2017-10-27-13:00"/>
        <s v="2017-10-27-14:00"/>
        <s v="2017-10-27-15:00"/>
        <s v="2017-10-27-16:00"/>
        <s v="2017-10-27-17:00"/>
        <s v="2017-10-27-18:00"/>
        <s v="2017-10-27-19:00"/>
        <s v="2017-11-09-21:00"/>
        <s v="2017-10-27-21:00"/>
        <s v="2017-10-27-22:00"/>
        <s v="2017-10-27-23:00"/>
        <s v="2017-10-29-23:00"/>
        <s v="2017-10-30-00:00"/>
        <s v="2017-10-30-01:00"/>
        <s v="2017-10-30-02:00"/>
        <s v="2017-10-30-03:00"/>
        <s v="2017-10-30-04:00"/>
        <s v="2017-10-30-05:00"/>
        <s v="2017-10-30-06:00"/>
        <s v="2017-10-30-07:00"/>
        <s v="2017-10-30-08:00"/>
        <s v="2017-11-10-12:00"/>
        <s v="2017-10-30-10:00"/>
        <s v="2017-10-30-11:00"/>
        <s v="2017-10-30-12:00"/>
        <s v="2017-10-30-13:00"/>
        <s v="2017-10-30-14:00"/>
        <s v="2017-10-30-15:00"/>
        <s v="2017-10-30-16:00"/>
        <s v="2017-10-30-17:00"/>
        <s v="2017-10-30-18:00"/>
        <s v="2017-10-30-19:00"/>
        <s v="2017-10-30-20:00"/>
        <s v="2017-10-30-21:00"/>
        <s v="2017-10-30-22:00"/>
        <s v="2017-10-30-23:00"/>
        <s v="2017-11-13-02:00"/>
        <s v="2017-10-31-01:00"/>
        <s v="2017-10-31-02:00"/>
        <s v="2017-10-31-03:00"/>
        <s v="2017-10-31-04:00"/>
        <s v="2017-10-31-05:00"/>
        <s v="2017-10-31-06:00"/>
        <s v="2017-10-31-07:00"/>
        <s v="2017-10-31-08:00"/>
        <s v="2017-10-31-09:00"/>
        <s v="2017-10-31-10:00"/>
        <s v="2017-10-31-11:00"/>
        <s v="2017-10-31-12:00"/>
        <s v="2017-10-31-13:00"/>
        <s v="2017-11-13-17:00"/>
        <s v="2017-10-31-15:00"/>
        <s v="2017-10-31-16:00"/>
        <s v="2017-10-31-17:00"/>
        <s v="2017-10-31-18:00"/>
        <s v="2017-10-31-19:00"/>
        <s v="2017-10-31-20:00"/>
        <s v="2017-10-31-21:00"/>
        <s v="2017-10-31-22:00"/>
        <s v="2017-10-31-23:00"/>
        <s v="2017-11-01-00:00"/>
        <s v="2017-11-01-01:00"/>
        <s v="2017-11-01-02:00"/>
        <s v="2017-11-01-03:00"/>
        <s v="2017-11-01-04:00"/>
        <s v="2017-11-14-07:00"/>
        <s v="2017-11-01-06:00"/>
        <s v="2017-11-01-07:00"/>
        <s v="2017-11-01-08:00"/>
        <s v="2017-11-01-09:00"/>
        <s v="2017-11-01-10:00"/>
        <s v="2017-11-01-11:00"/>
        <s v="2017-11-01-12:00"/>
        <s v="2017-11-01-13:00"/>
        <s v="2017-11-01-14:00"/>
        <s v="2017-11-01-15:00"/>
        <s v="2017-11-01-16:00"/>
        <s v="2017-11-01-17:00"/>
        <s v="2017-11-01-18:00"/>
        <s v="2017-11-14-22:00"/>
        <s v="2017-11-01-20:00"/>
        <s v="2017-11-01-21:00"/>
        <s v="2017-11-01-22:00"/>
        <s v="2017-11-01-23:00"/>
        <s v="2017-11-02-00:00"/>
        <s v="2017-11-02-01:00"/>
        <s v="2017-11-02-02:00"/>
        <s v="2017-11-02-03:00"/>
        <s v="2017-11-02-04:00"/>
        <s v="2017-11-02-05:00"/>
        <s v="2017-11-02-06:00"/>
        <s v="2017-11-02-07:00"/>
        <s v="2017-11-02-08:00"/>
        <s v="2017-11-02-09:00"/>
        <s v="2017-11-15-12:00"/>
        <s v="2017-11-02-11:00"/>
        <s v="2017-11-02-12:00"/>
        <s v="2017-11-02-13:00"/>
        <s v="2017-11-02-14:00"/>
        <s v="2017-11-02-15:00"/>
        <s v="2017-11-02-16:00"/>
        <s v="2017-11-02-17:00"/>
        <s v="2017-11-02-18:00"/>
        <s v="2017-11-02-19:00"/>
        <s v="2017-11-02-20:00"/>
        <s v="2017-11-02-21:00"/>
        <s v="2017-11-02-22:00"/>
        <s v="2017-11-02-23:00"/>
        <s v="2017-11-16-03:00"/>
        <s v="2017-11-03-10:00"/>
        <s v="2017-11-03-11:00"/>
        <s v="2017-11-03-12:00"/>
        <s v="2017-11-03-13:00"/>
        <s v="2017-11-03-14:00"/>
        <s v="2017-11-16-17:00"/>
        <s v="2017-11-16-18:00"/>
        <s v="2017-11-16-19:00"/>
        <s v="2017-11-16-20:00"/>
        <s v="2017-11-16-21:00"/>
        <s v="2017-11-16-22:00"/>
        <s v="2017-11-16-23:00"/>
        <s v="2017-11-17-00:00"/>
        <s v="2017-11-17-01:00"/>
        <s v="2017-11-17-02:00"/>
        <s v="2017-11-06-02:00"/>
        <s v="2017-11-06-03:00"/>
        <s v="2017-11-06-04:00"/>
        <s v="2017-11-06-05:00"/>
        <s v="2017-11-17-08:00"/>
        <s v="2017-11-17-09:00"/>
        <s v="2017-11-17-10:00"/>
        <s v="2017-11-17-11:00"/>
        <s v="2017-11-17-12:00"/>
        <s v="2017-11-17-13:00"/>
        <s v="2017-11-17-14:00"/>
        <s v="2017-11-17-15:00"/>
        <s v="2017-11-17-16:00"/>
        <s v="2017-11-17-17:00"/>
        <s v="2017-11-06-16:00"/>
        <s v="2017-11-06-17:00"/>
        <s v="2017-11-06-18:00"/>
        <s v="2017-11-06-19:00"/>
        <s v="2017-11-06-20:00"/>
        <s v="2017-11-17-22:00"/>
        <s v="2017-11-17-23:00"/>
        <s v="2017-11-20-00:00"/>
        <s v="2017-11-20-01:00"/>
        <s v="2017-11-20-02:00"/>
        <s v="2017-11-20-03:00"/>
        <s v="2017-11-20-04:00"/>
        <s v="2017-11-20-05:00"/>
        <s v="2017-11-20-06:00"/>
        <s v="2017-11-20-07:00"/>
        <s v="2017-11-06-21:00"/>
        <s v="2017-11-07-11:00"/>
        <s v="2017-11-08-02:00"/>
        <s v="2017-10-26-01:00"/>
        <s v="2017-10-26-02:00"/>
        <s v="2017-10-26-03:00"/>
        <s v="2017-10-26-04:00"/>
        <s v="2017-10-26-05:00"/>
        <s v="2017-10-26-06:00"/>
        <s v="2017-10-26-07:00"/>
        <s v="2017-10-26-08:00"/>
        <s v="2017-10-26-09:00"/>
        <s v="2017-10-26-10:00"/>
        <s v="2017-10-26-11:00"/>
        <s v="2017-10-26-12:00"/>
        <s v="2017-10-26-13:00"/>
        <s v="2017-10-26-14:00"/>
        <s v="2017-11-08-16:00"/>
        <s v="2017-10-26-16:00"/>
        <s v="2017-10-26-17:00"/>
        <s v="2017-10-26-18:00"/>
        <s v="2017-10-26-19:00"/>
        <s v="2017-10-26-20:00"/>
        <s v="2017-10-26-21:00"/>
        <s v="2017-10-26-22:00"/>
        <s v="2017-10-26-23:00"/>
        <s v="2017-10-27-00:00"/>
        <s v="2017-10-27-01:00"/>
        <s v="2017-10-27-02:00"/>
        <s v="2017-10-27-03:00"/>
        <s v="2017-10-27-04:00"/>
        <s v="2017-11-09-07:00"/>
        <s v="2017-11-09-22:00"/>
        <s v="2017-11-09-23:00"/>
        <s v="2017-11-10-00:00"/>
        <s v="2017-11-10-01:00"/>
        <s v="2017-11-10-02:00"/>
        <s v="2017-11-10-03:00"/>
        <s v="2017-11-10-04:00"/>
        <s v="2017-11-10-05:00"/>
        <s v="2017-11-10-06:00"/>
        <s v="2017-11-10-07:00"/>
        <s v="2017-11-10-08:00"/>
        <s v="2017-11-10-09:00"/>
        <s v="2017-11-10-10:00"/>
        <s v="2017-11-10-11:00"/>
        <s v="2017-11-23-13:00"/>
        <s v="2017-11-10-13:00"/>
        <s v="2017-11-10-14:00"/>
        <s v="2017-11-10-15:00"/>
        <s v="2017-11-10-16:00"/>
        <s v="2017-11-10-17:00"/>
        <s v="2017-11-10-18:00"/>
        <s v="2017-11-10-19:00"/>
        <s v="2017-11-10-20:00"/>
        <s v="2017-11-10-21:00"/>
        <s v="2017-11-10-22:00"/>
        <s v="2017-11-10-23:00"/>
        <s v="2017-11-13-00:00"/>
        <s v="2017-11-13-01:00"/>
        <s v="2017-11-24-04:00"/>
        <s v="2017-11-13-03:00"/>
        <s v="2017-11-13-04:00"/>
        <s v="2017-11-13-05:00"/>
        <s v="2017-11-13-06:00"/>
        <s v="2017-11-13-07:00"/>
        <s v="2017-11-13-08:00"/>
        <s v="2017-11-13-09:00"/>
        <s v="2017-11-13-10:00"/>
        <s v="2017-11-13-11:00"/>
        <s v="2017-11-13-12:00"/>
        <s v="2017-11-13-13:00"/>
        <s v="2017-11-13-14:00"/>
        <s v="2017-11-13-15:00"/>
        <s v="2017-11-13-16:00"/>
        <s v="2017-11-24-18:00"/>
        <s v="2017-11-13-18:00"/>
        <s v="2017-11-13-19:00"/>
        <s v="2017-11-13-20:00"/>
        <s v="2017-11-13-21:00"/>
        <s v="2017-11-13-22:00"/>
        <s v="2017-11-13-23:00"/>
        <s v="2017-11-14-00:00"/>
        <s v="2017-11-14-01:00"/>
        <s v="2017-11-14-02:00"/>
        <s v="2017-11-14-03:00"/>
        <s v="2017-11-14-04:00"/>
        <s v="2017-11-14-05:00"/>
        <s v="2017-11-14-06:00"/>
        <s v="2017-11-27-09:00"/>
        <s v="2017-11-14-08:00"/>
        <s v="2017-11-14-09:00"/>
        <s v="2017-11-14-10:00"/>
        <s v="2017-11-14-11:00"/>
        <s v="2017-11-14-12:00"/>
        <s v="2017-11-14-13:00"/>
        <s v="2017-11-14-14:00"/>
        <s v="2017-11-14-15:00"/>
        <s v="2017-11-14-16:00"/>
        <s v="2017-11-14-17:00"/>
        <s v="2017-11-14-18:00"/>
        <s v="2017-11-14-19:00"/>
        <s v="2017-11-14-20:00"/>
        <s v="2017-11-14-21:00"/>
        <s v="2017-11-27-23:00"/>
        <s v="2017-11-14-23:00"/>
        <s v="2017-11-15-00:00"/>
        <s v="2017-11-15-01:00"/>
        <s v="2017-11-15-02:00"/>
        <s v="2017-11-15-03:00"/>
        <s v="2017-11-15-04:00"/>
        <s v="2017-11-15-05:00"/>
        <s v="2017-11-15-06:00"/>
        <s v="2017-11-15-07:00"/>
        <s v="2017-11-15-08:00"/>
        <s v="2017-11-15-09:00"/>
        <s v="2017-11-15-10:00"/>
        <s v="2017-11-15-11:00"/>
        <s v="2017-11-28-14:00"/>
        <s v="2017-11-15-13:00"/>
        <s v="2017-11-15-14:00"/>
        <s v="2017-11-15-15:00"/>
        <s v="2017-11-15-16:00"/>
        <s v="2017-11-15-17:00"/>
        <s v="2017-11-15-18:00"/>
        <s v="2017-11-15-19:00"/>
        <s v="2017-11-15-20:00"/>
        <s v="2017-11-15-21:00"/>
        <s v="2017-11-15-22:00"/>
        <s v="2017-11-15-23:00"/>
        <s v="2017-11-16-00:00"/>
        <s v="2017-11-16-01:00"/>
        <s v="2017-11-16-02:00"/>
        <s v="2017-11-29-04:00"/>
        <s v="2017-11-16-04:00"/>
        <s v="2017-11-16-05:00"/>
        <s v="2017-11-16-06:00"/>
        <s v="2017-11-16-07:00"/>
        <s v="2017-11-16-08:00"/>
        <s v="2017-11-16-09:00"/>
        <s v="2017-11-16-10:00"/>
        <s v="2017-11-16-11:00"/>
        <s v="2017-11-16-12:00"/>
        <s v="2017-11-16-13:00"/>
        <s v="2017-11-16-14:00"/>
        <s v="2017-11-16-15:00"/>
        <s v="2017-11-16-16:00"/>
        <s v="2017-11-29-19:00"/>
        <s v="2017-11-17-03:00"/>
        <s v="2017-11-17-04:00"/>
        <s v="2017-11-17-05:00"/>
        <s v="2017-11-17-06:00"/>
        <s v="2017-11-17-07:00"/>
        <s v="2017-11-30-09:00"/>
        <s v="2017-11-30-10:00"/>
        <s v="2017-11-30-11:00"/>
        <s v="2017-11-30-12:00"/>
        <s v="2017-11-30-13:00"/>
        <s v="2017-11-30-14:00"/>
        <s v="2017-11-30-15:00"/>
        <s v="2017-11-30-16:00"/>
        <s v="2017-11-30-17:00"/>
        <s v="2017-11-30-18:00"/>
        <s v="2017-11-17-18:00"/>
        <s v="2017-11-17-19:00"/>
        <s v="2017-11-17-20:00"/>
        <s v="2017-11-17-21:00"/>
        <s v="2017-12-01-00:00"/>
        <s v="2017-12-01-01:00"/>
        <s v="2017-12-01-02:00"/>
        <s v="2017-12-01-03:00"/>
        <s v="2017-12-01-04:00"/>
        <s v="2017-12-01-05:00"/>
        <s v="2017-12-01-06:00"/>
        <s v="2017-12-01-07:00"/>
        <s v="2017-12-01-08:00"/>
        <s v="2017-12-01-09:00"/>
        <s v="2017-11-20-08:00"/>
        <s v="2017-11-20-09:00"/>
        <s v="2017-11-20-10:00"/>
        <s v="2017-11-20-11:00"/>
        <s v="2017-11-20-12:00"/>
        <s v="2017-12-01-14:00"/>
        <s v="2017-12-01-15:00"/>
        <s v="2017-12-01-16:00"/>
        <s v="2017-12-01-17:00"/>
        <s v="2017-12-01-18:00"/>
        <s v="2017-12-01-19:00"/>
        <s v="2017-12-01-20:00"/>
        <s v="2017-12-01-21:00"/>
        <s v="2017-12-01-22:00"/>
        <s v="2017-12-01-23:00"/>
        <s v="2017-11-06-22:00"/>
        <s v="2017-11-06-23:00"/>
        <s v="2017-11-07-00:00"/>
        <s v="2017-11-07-01:00"/>
        <s v="2017-11-07-02:00"/>
        <s v="2017-11-07-03:00"/>
        <s v="2017-11-07-04:00"/>
        <s v="2017-11-07-05:00"/>
        <s v="2017-11-07-06:00"/>
        <s v="2017-11-07-07:00"/>
        <s v="2017-11-07-08:00"/>
        <s v="2017-11-07-09:00"/>
        <s v="2017-11-07-10:00"/>
        <s v="2017-11-20-13:00"/>
        <s v="2017-11-07-12:00"/>
        <s v="2017-11-07-13:00"/>
        <s v="2017-11-07-14:00"/>
        <s v="2017-11-07-15:00"/>
        <s v="2017-11-07-16:00"/>
        <s v="2017-11-07-17:00"/>
        <s v="2017-11-07-18:00"/>
        <s v="2017-11-07-19:00"/>
        <s v="2017-11-07-20:00"/>
        <s v="2017-11-07-21:00"/>
        <s v="2017-11-07-22:00"/>
        <s v="2017-11-07-23:00"/>
        <s v="2017-11-08-00:00"/>
        <s v="2017-11-08-01:00"/>
        <s v="2017-11-21-03:00"/>
        <s v="2017-11-08-03:00"/>
        <s v="2017-11-08-04:00"/>
        <s v="2017-11-08-05:00"/>
        <s v="2017-11-08-06:00"/>
        <s v="2017-11-08-07:00"/>
        <s v="2017-11-08-08:00"/>
        <s v="2017-11-08-09:00"/>
        <s v="2017-11-08-10:00"/>
        <s v="2017-11-08-11:00"/>
        <s v="2017-11-08-12:00"/>
        <s v="2017-11-08-13:00"/>
        <s v="2017-11-08-14:00"/>
        <s v="2017-11-08-15:00"/>
        <s v="2017-11-21-18:00"/>
        <s v="2017-11-08-17:00"/>
        <s v="2017-11-08-18:00"/>
        <s v="2017-11-08-19:00"/>
        <s v="2017-11-08-20:00"/>
        <s v="2017-11-08-21:00"/>
        <s v="2017-11-08-22:00"/>
        <s v="2017-11-08-23:00"/>
        <s v="2017-11-09-00:00"/>
        <s v="2017-11-09-01:00"/>
        <s v="2017-11-09-02:00"/>
        <s v="2017-11-09-03:00"/>
        <s v="2017-11-09-04:00"/>
        <s v="2017-11-09-05:00"/>
        <s v="2017-11-09-06:00"/>
        <s v="2017-11-22-08:00"/>
        <s v="2017-11-09-08:00"/>
        <s v="2017-11-09-09:00"/>
        <s v="2017-11-09-10:00"/>
        <s v="2017-11-09-11:00"/>
        <s v="2017-11-09-12:00"/>
        <s v="2017-11-09-13:00"/>
        <s v="2017-11-09-14:00"/>
        <s v="2017-11-09-15:00"/>
        <s v="2017-11-09-16:00"/>
        <s v="2017-11-09-17:00"/>
        <s v="2017-11-09-18:00"/>
        <s v="2017-11-09-19:00"/>
        <s v="2017-11-09-20:00"/>
        <s v="2017-11-22-23:00"/>
        <s v="2017-11-23-14:00"/>
        <s v="2017-11-23-15:00"/>
        <s v="2017-11-23-16:00"/>
        <s v="2017-11-23-17:00"/>
        <s v="2017-11-23-18:00"/>
        <s v="2017-11-23-19:00"/>
        <s v="2017-11-23-20:00"/>
        <s v="2017-11-23-21:00"/>
        <s v="2017-11-23-22:00"/>
        <s v="2017-11-23-23:00"/>
        <s v="2017-11-24-00:00"/>
        <s v="2017-11-24-01:00"/>
        <s v="2017-11-24-02:00"/>
        <s v="2017-11-24-03:00"/>
        <s v="2017-12-07-05:00"/>
        <s v="2017-11-24-05:00"/>
        <s v="2017-11-24-06:00"/>
        <s v="2017-11-24-07:00"/>
        <s v="2017-11-24-08:00"/>
        <s v="2017-11-24-09:00"/>
        <s v="2017-11-24-10:00"/>
        <s v="2017-11-24-11:00"/>
        <s v="2017-11-24-12:00"/>
        <s v="2017-11-24-13:00"/>
        <s v="2017-11-24-14:00"/>
        <s v="2017-11-24-15:00"/>
        <s v="2017-11-24-16:00"/>
        <s v="2017-11-24-17:00"/>
        <s v="2017-12-07-20:00"/>
        <s v="2017-11-24-19:00"/>
        <s v="2017-11-24-20:00"/>
        <s v="2017-11-24-21:00"/>
        <s v="2017-11-24-22:00"/>
        <s v="2017-11-24-23:00"/>
        <s v="2017-11-27-00:00"/>
        <s v="2017-11-27-01:00"/>
        <s v="2017-11-27-02:00"/>
        <s v="2017-11-27-03:00"/>
        <s v="2017-11-27-04:00"/>
        <s v="2017-11-27-05:00"/>
        <s v="2017-11-27-06:00"/>
        <s v="2017-11-27-07:00"/>
        <s v="2017-11-27-08:00"/>
        <s v="2017-12-08-10:00"/>
        <s v="2017-11-27-10:00"/>
        <s v="2017-11-27-11:00"/>
        <s v="2017-11-27-12:00"/>
        <s v="2017-11-27-13:00"/>
        <s v="2017-11-27-14:00"/>
        <s v="2017-11-27-15:00"/>
        <s v="2017-11-27-16:00"/>
        <s v="2017-11-27-17:00"/>
        <s v="2017-11-27-18:00"/>
        <s v="2017-11-27-19:00"/>
        <s v="2017-11-27-20:00"/>
        <s v="2017-11-27-21:00"/>
        <s v="2017-11-27-22:00"/>
        <s v="2017-12-11-01:00"/>
        <s v="2017-11-28-00:00"/>
        <s v="2017-11-28-01:00"/>
        <s v="2017-11-28-02:00"/>
        <s v="2017-11-28-03:00"/>
        <s v="2017-11-28-04:00"/>
        <s v="2017-11-28-05:00"/>
        <s v="2017-11-28-06:00"/>
        <s v="2017-11-28-07:00"/>
        <s v="2017-11-28-08:00"/>
        <s v="2017-11-28-09:00"/>
        <s v="2017-11-28-10:00"/>
        <s v="2017-11-28-11:00"/>
        <s v="2017-11-28-12:00"/>
        <s v="2017-11-28-13:00"/>
        <s v="2017-12-11-15:00"/>
        <s v="2017-11-28-15:00"/>
        <s v="2017-11-28-16:00"/>
        <s v="2017-11-28-17:00"/>
        <s v="2017-11-28-18:00"/>
        <s v="2017-11-28-19:00"/>
        <s v="2017-11-28-20:00"/>
        <s v="2017-11-28-21:00"/>
        <s v="2017-11-28-22:00"/>
        <s v="2017-11-28-23:00"/>
        <s v="2017-11-29-00:00"/>
        <s v="2017-11-29-01:00"/>
        <s v="2017-11-29-02:00"/>
        <s v="2017-11-29-03:00"/>
        <s v="2017-12-12-06:00"/>
        <s v="2017-11-29-05:00"/>
        <s v="2017-11-29-06:00"/>
        <s v="2017-11-29-07:00"/>
        <s v="2017-11-29-08:00"/>
        <s v="2017-11-29-09:00"/>
        <s v="2017-11-29-10:00"/>
        <s v="2017-11-29-11:00"/>
        <s v="2017-11-29-12:00"/>
        <s v="2017-11-29-13:00"/>
        <s v="2017-11-29-14:00"/>
        <s v="2017-11-29-15:00"/>
        <s v="2017-11-29-16:00"/>
        <s v="2017-11-29-17:00"/>
        <s v="2017-11-29-18:00"/>
        <s v="2017-12-12-20:00"/>
        <s v="2017-11-29-20:00"/>
        <s v="2017-11-29-21:00"/>
        <s v="2017-11-29-22:00"/>
        <s v="2017-11-29-23:00"/>
        <s v="2017-11-30-00:00"/>
        <s v="2017-11-30-01:00"/>
        <s v="2017-11-30-02:00"/>
        <s v="2017-11-30-03:00"/>
        <s v="2017-11-30-04:00"/>
        <s v="2017-11-30-05:00"/>
        <s v="2017-11-30-06:00"/>
        <s v="2017-11-30-07:00"/>
        <s v="2017-11-30-08:00"/>
        <s v="2017-12-13-11:00"/>
        <s v="2017-11-30-19:00"/>
        <s v="2017-11-30-20:00"/>
        <s v="2017-11-30-21:00"/>
        <s v="2017-11-30-22:00"/>
        <s v="2017-11-30-23:00"/>
        <s v="2017-12-14-01:00"/>
        <s v="2017-12-14-02:00"/>
        <s v="2017-12-14-03:00"/>
        <s v="2017-12-14-04:00"/>
        <s v="2017-12-14-05:00"/>
        <s v="2017-12-14-06:00"/>
        <s v="2017-12-14-07:00"/>
        <s v="2017-12-14-08:00"/>
        <s v="2017-12-14-09:00"/>
        <s v="2017-12-14-10:00"/>
        <s v="2017-12-01-10:00"/>
        <s v="2017-12-01-11:00"/>
        <s v="2017-12-01-12:00"/>
        <s v="2017-12-01-13:00"/>
        <s v="2017-12-14-16:00"/>
        <s v="2017-12-14-17:00"/>
        <s v="2017-12-14-18:00"/>
        <s v="2017-12-14-19:00"/>
        <s v="2017-12-14-20:00"/>
        <s v="2017-12-14-21:00"/>
        <s v="2017-12-14-22:00"/>
        <s v="2017-12-14-23:00"/>
        <s v="2017-12-15-00:00"/>
        <s v="2017-12-15-01:00"/>
        <s v="2017-12-04-00:00"/>
        <s v="2017-12-04-01:00"/>
        <s v="2017-12-04-02:00"/>
        <s v="2017-12-04-03:00"/>
        <s v="2017-12-04-04:00"/>
        <s v="2017-12-15-06:00"/>
        <s v="2017-12-15-07:00"/>
        <s v="2017-12-15-08:00"/>
        <s v="2017-12-15-09:00"/>
        <s v="2017-12-15-10:00"/>
        <s v="2017-12-15-11:00"/>
        <s v="2017-12-15-12:00"/>
        <s v="2017-12-15-13:00"/>
        <s v="2017-12-15-14:00"/>
        <s v="2017-12-15-15:00"/>
        <s v="2017-11-20-14:00"/>
        <s v="2017-11-20-15:00"/>
        <s v="2017-11-20-16:00"/>
        <s v="2017-11-20-17:00"/>
        <s v="2017-11-20-18:00"/>
        <s v="2017-11-20-19:00"/>
        <s v="2017-11-20-20:00"/>
        <s v="2017-11-20-21:00"/>
        <s v="2017-11-20-22:00"/>
        <s v="2017-11-20-23:00"/>
        <s v="2017-11-21-00:00"/>
        <s v="2017-11-21-01:00"/>
        <s v="2017-11-21-02:00"/>
        <s v="2017-12-04-05:00"/>
        <s v="2017-11-21-04:00"/>
        <s v="2017-11-21-05:00"/>
        <s v="2017-11-21-06:00"/>
        <s v="2017-11-21-07:00"/>
        <s v="2017-11-21-08:00"/>
        <s v="2017-11-21-09:00"/>
        <s v="2017-11-21-10:00"/>
        <s v="2017-11-21-11:00"/>
        <s v="2017-11-21-12:00"/>
        <s v="2017-11-21-13:00"/>
        <s v="2017-11-21-14:00"/>
        <s v="2017-11-21-15:00"/>
        <s v="2017-11-21-16:00"/>
        <s v="2017-11-21-17:00"/>
        <s v="2017-12-04-19:00"/>
        <s v="2017-11-21-19:00"/>
        <s v="2017-11-21-20:00"/>
        <s v="2017-11-21-21:00"/>
        <s v="2017-11-21-22:00"/>
        <s v="2017-11-21-23:00"/>
        <s v="2017-11-22-00:00"/>
        <s v="2017-11-22-01:00"/>
        <s v="2017-11-22-02:00"/>
        <s v="2017-11-22-03:00"/>
        <s v="2017-11-22-04:00"/>
        <s v="2017-11-22-05:00"/>
        <s v="2017-11-22-06:00"/>
        <s v="2017-11-22-07:00"/>
        <s v="2017-12-05-10:00"/>
        <s v="2017-11-22-09:00"/>
        <s v="2017-11-22-10:00"/>
        <s v="2017-11-22-11:00"/>
        <s v="2017-11-22-12:00"/>
        <s v="2017-11-22-13:00"/>
        <s v="2017-11-22-14:00"/>
        <s v="2017-11-22-15:00"/>
        <s v="2017-11-22-16:00"/>
        <s v="2017-11-22-17:00"/>
        <s v="2017-11-22-18:00"/>
        <s v="2017-11-22-19:00"/>
        <s v="2017-11-22-20:00"/>
        <s v="2017-11-22-21:00"/>
        <s v="2017-11-22-22:00"/>
        <s v="2017-12-06-00:00"/>
        <s v="2017-11-23-00:00"/>
        <s v="2017-11-23-01:00"/>
        <s v="2017-11-23-02:00"/>
        <s v="2017-11-23-03:00"/>
        <s v="2017-11-23-04:00"/>
        <s v="2017-11-23-05:00"/>
        <s v="2017-11-23-06:00"/>
        <s v="2017-11-23-07:00"/>
        <s v="2017-11-23-08:00"/>
        <s v="2017-11-23-09:00"/>
        <s v="2017-11-23-10:00"/>
        <s v="2017-11-23-11:00"/>
        <s v="2017-11-23-12:00"/>
        <s v="2017-12-06-15:00"/>
        <s v="2017-12-07-06:00"/>
        <s v="2017-12-07-07:00"/>
        <s v="2017-12-07-08:00"/>
        <s v="2017-12-07-09:00"/>
        <s v="2017-12-07-10:00"/>
        <s v="2017-12-07-11:00"/>
        <s v="2017-12-07-12:00"/>
        <s v="2017-12-07-13:00"/>
        <s v="2017-12-07-14:00"/>
        <s v="2017-12-07-15:00"/>
        <s v="2017-12-07-16:00"/>
        <s v="2017-12-07-17:00"/>
        <s v="2017-12-07-18:00"/>
        <s v="2017-12-07-19:00"/>
        <s v="2017-12-07-21:00"/>
        <s v="2017-12-07-22:00"/>
        <s v="2017-12-07-23:00"/>
        <s v="2017-12-08-00:00"/>
        <s v="2017-12-08-01:00"/>
        <s v="2017-12-08-02:00"/>
        <s v="2017-12-08-03:00"/>
        <s v="2017-12-08-04:00"/>
        <s v="2017-12-08-05:00"/>
        <s v="2017-12-08-06:00"/>
        <s v="2017-12-08-07:00"/>
        <s v="2017-12-08-08:00"/>
        <s v="2017-12-08-09:00"/>
        <s v="2017-12-08-11:00"/>
        <s v="2017-12-08-12:00"/>
        <s v="2017-12-08-13:00"/>
        <s v="2017-12-08-14:00"/>
        <s v="2017-12-08-15:00"/>
        <s v="2017-12-08-16:00"/>
        <s v="2017-12-08-17:00"/>
        <s v="2017-12-08-18:00"/>
        <s v="2017-12-08-19:00"/>
        <s v="2017-12-08-20:00"/>
        <s v="2017-12-08-21:00"/>
        <s v="2017-12-08-22:00"/>
        <s v="2017-12-08-23:00"/>
        <s v="2017-12-11-00:00"/>
        <s v="2017-12-11-02:00"/>
        <s v="2017-12-11-03:00"/>
        <s v="2017-12-11-04:00"/>
        <s v="2017-12-11-05:00"/>
        <s v="2017-12-11-06:00"/>
        <s v="2017-12-11-07:00"/>
        <s v="2017-12-11-08:00"/>
        <s v="2017-12-11-09:00"/>
        <s v="2017-12-11-10:00"/>
        <s v="2017-12-11-11:00"/>
        <s v="2017-12-11-12:00"/>
        <s v="2017-12-11-13:00"/>
        <s v="2017-12-11-14:00"/>
        <s v="2017-12-11-16:00"/>
        <s v="2017-12-11-17:00"/>
        <s v="2017-12-11-18:00"/>
        <s v="2017-12-11-19:00"/>
        <s v="2017-12-11-20:00"/>
        <s v="2017-12-11-21:00"/>
        <s v="2017-12-11-22:00"/>
        <s v="2017-12-11-23:00"/>
        <s v="2017-12-12-00:00"/>
        <s v="2017-12-12-01:00"/>
        <s v="2017-12-12-02:00"/>
        <s v="2017-12-12-03:00"/>
        <s v="2017-12-12-04:00"/>
        <s v="2017-12-12-05:00"/>
        <s v="2017-12-12-07:00"/>
        <s v="2017-12-12-08:00"/>
        <s v="2017-12-12-09:00"/>
        <s v="2017-12-12-10:00"/>
        <s v="2017-12-12-11:00"/>
        <s v="2017-12-12-12:00"/>
        <s v="2017-12-12-13:00"/>
        <s v="2017-12-12-14:00"/>
        <s v="2017-12-12-15:00"/>
        <s v="2017-12-12-16:00"/>
        <s v="2017-12-12-17:00"/>
        <s v="2017-12-12-18:00"/>
        <s v="2017-12-12-19:00"/>
        <s v="2017-12-12-21:00"/>
        <s v="2017-12-12-22:00"/>
        <s v="2017-12-12-23:00"/>
        <s v="2017-12-13-00:00"/>
        <s v="2017-12-13-01:00"/>
        <s v="2017-12-13-02:00"/>
        <s v="2017-12-13-03:00"/>
        <s v="2017-12-13-04:00"/>
        <s v="2017-12-13-05:00"/>
        <s v="2017-12-13-06:00"/>
        <s v="2017-12-13-07:00"/>
        <s v="2017-12-13-08:00"/>
        <s v="2017-12-13-09:00"/>
        <s v="2017-12-13-10:00"/>
        <s v="2017-12-13-12:00"/>
        <s v="2017-12-13-13:00"/>
        <s v="2017-12-13-14:00"/>
        <s v="2017-12-13-15:00"/>
        <s v="2017-12-13-16:00"/>
        <s v="2017-12-13-17:00"/>
        <s v="2017-12-13-18:00"/>
        <s v="2017-12-13-19:00"/>
        <s v="2017-12-13-20:00"/>
        <s v="2017-12-13-21:00"/>
        <s v="2017-12-13-22:00"/>
        <s v="2017-12-13-23:00"/>
        <s v="2017-12-14-00:00"/>
        <s v="2017-12-14-11:00"/>
        <s v="2017-12-14-12:00"/>
        <s v="2017-12-14-13:00"/>
        <s v="2017-12-14-14:00"/>
        <s v="2017-12-14-15:00"/>
        <s v="2017-12-29-03:00"/>
        <s v="2017-12-29-04:00"/>
        <s v="2017-12-29-05:00"/>
        <s v="2017-12-29-06:00"/>
        <s v="2017-12-29-07:00"/>
        <s v="2017-12-29-08:00"/>
        <s v="2017-12-29-09:00"/>
        <s v="2017-12-29-10:00"/>
        <s v="2017-12-29-11:00"/>
        <s v="2017-12-15-02:00"/>
        <s v="2017-12-15-03:00"/>
        <s v="2017-12-15-04:00"/>
        <s v="2017-12-15-05:00"/>
        <s v="2017-12-29-17:00"/>
        <s v="2017-12-29-18:00"/>
        <s v="2017-12-29-19:00"/>
        <s v="2017-12-29-20:00"/>
        <s v="2017-12-29-21:00"/>
        <s v="2017-12-29-22:00"/>
        <s v="2017-12-29-23:00"/>
        <s v="2018-01-02-09:00"/>
        <s v="2018-01-02-10:00"/>
        <s v="2017-12-15-16:00"/>
        <s v="2017-12-15-17:00"/>
        <s v="2017-12-15-18:00"/>
        <s v="2017-12-15-19:00"/>
        <s v="2017-12-15-20:00"/>
        <s v="2018-01-02-17:00"/>
        <s v="2018-01-02-18:00"/>
        <s v="2018-01-02-19:00"/>
        <s v="2018-01-02-20:00"/>
        <s v="2018-01-02-21:00"/>
        <s v="2018-01-02-22:00"/>
        <s v="2018-01-02-23:00"/>
        <s v="2018-01-03-00:00"/>
        <s v="2018-01-03-01:00"/>
        <s v="2017-12-04-06:00"/>
        <s v="2017-12-04-07:00"/>
        <s v="2017-12-04-08:00"/>
        <s v="2017-12-04-09:00"/>
        <s v="2017-12-04-10:00"/>
        <s v="2017-12-04-11:00"/>
        <s v="2017-12-04-12:00"/>
        <s v="2017-12-04-13:00"/>
        <s v="2017-12-04-14:00"/>
        <s v="2017-12-04-15:00"/>
        <s v="2017-12-04-16:00"/>
        <s v="2017-12-04-17:00"/>
        <s v="2017-12-04-18:00"/>
        <s v="2017-12-04-20:00"/>
        <s v="2017-12-04-21:00"/>
        <s v="2017-12-04-22:00"/>
        <s v="2017-12-04-23:00"/>
        <s v="2017-12-05-00:00"/>
        <s v="2017-12-05-01:00"/>
        <s v="2017-12-05-02:00"/>
        <s v="2017-12-05-03:00"/>
        <s v="2017-12-05-04:00"/>
        <s v="2017-12-05-05:00"/>
        <s v="2017-12-05-06:00"/>
        <s v="2017-12-05-07:00"/>
        <s v="2017-12-05-08:00"/>
        <s v="2017-12-05-09:00"/>
        <s v="2017-12-05-11:00"/>
        <s v="2017-12-05-12:00"/>
        <s v="2017-12-05-13:00"/>
        <s v="2017-12-05-14:00"/>
        <s v="2017-12-05-15:00"/>
        <s v="2017-12-05-16:00"/>
        <s v="2017-12-05-17:00"/>
        <s v="2017-12-05-18:00"/>
        <s v="2017-12-05-19:00"/>
        <s v="2017-12-05-20:00"/>
        <s v="2017-12-05-21:00"/>
        <s v="2017-12-05-22:00"/>
        <s v="2017-12-05-23:00"/>
        <s v="2017-12-06-01:00"/>
        <s v="2017-12-06-02:00"/>
        <s v="2017-12-06-03:00"/>
        <s v="2017-12-06-04:00"/>
        <s v="2017-12-06-05:00"/>
        <s v="2017-12-06-06:00"/>
        <s v="2017-12-06-07:00"/>
        <s v="2017-12-06-08:00"/>
        <s v="2017-12-06-09:00"/>
        <s v="2017-12-06-10:00"/>
        <s v="2017-12-06-11:00"/>
        <s v="2017-12-06-12:00"/>
        <s v="2017-12-06-13:00"/>
        <s v="2017-12-06-14:00"/>
        <s v="2017-12-06-16:00"/>
        <s v="2017-12-06-17:00"/>
        <s v="2017-12-06-18:00"/>
        <s v="2017-12-06-19:00"/>
        <s v="2017-12-06-20:00"/>
        <s v="2017-12-06-21:00"/>
        <s v="2017-12-06-22:00"/>
        <s v="2017-12-06-23:00"/>
        <s v="2017-12-07-00:00"/>
        <s v="2017-12-07-01:00"/>
        <s v="2017-12-07-02:00"/>
        <s v="2017-12-07-03:00"/>
        <s v="2017-12-07-04: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m u="1"/>
        <s v="2016-01-31-19:00" u="1"/>
        <s v="2016-07-31-19:00" u="1"/>
        <s v="2017-05-21-19:00" u="1"/>
        <s v="2018-02-11-19:00" u="1"/>
        <s v="2018-03-11-19:00" u="1"/>
        <s v="2018-07-31-18:00" u="1"/>
        <s v="2016-10-30-19:00" u="1"/>
        <s v="2017-08-20-19:00" u="1"/>
        <s v="2019-09-12-19:00" u="1"/>
        <s v="2018-07-30-18:00" u="1"/>
        <s v="2018-08-10-19:00" u="1"/>
        <s v="2018-08-30-18:00" u="1"/>
        <s v="2018-01-21-19:00" u="1"/>
        <s v="2018-08-21-19:00" u="1"/>
        <s v="2019-09-11-19:00" u="1"/>
        <s v="2017-04-30-19:00" u="1"/>
        <s v="2017-07-30-19:00" u="1"/>
        <s v="2018-05-20-19:00" u="1"/>
        <s v="2018-07-20-19:00" u="1"/>
        <s v="2018-08-20-19:00" u="1"/>
        <s v="2019-08-30-18:00" u="1"/>
        <s v="2018-07-31-19:00" u="1"/>
        <s v="2018-07-30-19:00" u="1"/>
        <s v="2018-08-30-19:00" u="1"/>
        <s v="2019-08-30-19:00" u="1"/>
        <s v="2014-05-26-00:00" u="1"/>
        <s v="2014-06-06-01:00" u="1"/>
        <s v="2014-06-26-00:00" u="1"/>
        <s v="2014-08-06-01:00" u="1"/>
        <s v="2014-08-26-00:00" u="1"/>
        <s v="2014-09-26-00:00" u="1"/>
        <s v="2018-08-09-00:00" u="1"/>
        <s v="2015-01-06-01:00" u="1"/>
        <s v="2015-01-26-00:00" u="1"/>
        <s v="2015-02-06-01:00" u="1"/>
        <s v="2015-02-26-00:00" u="1"/>
        <s v="2015-03-06-01:00" u="1"/>
        <s v="2015-03-26-00:00" u="1"/>
        <s v="2015-04-06-01:00" u="1"/>
        <s v="2015-05-06-01:00" u="1"/>
        <s v="2015-05-26-00:00" u="1"/>
        <s v="2015-06-26-00:00" u="1"/>
        <s v="2015-07-06-01:00" u="1"/>
        <s v="2015-08-06-01:00" u="1"/>
        <s v="2015-08-26-00:00" u="1"/>
        <s v="2018-08-08-00:00" u="1"/>
        <s v="2018-08-07-00:00" u="1"/>
        <s v="9999-99-99-99:01" u="1"/>
        <s v="2016-12-26-00:00" u="1"/>
        <s v="2018-07-18-00:00" u="1"/>
        <s v="E2018-07-30-09:00" u="1"/>
        <s v="2018-08-17-00:00" u="1"/>
        <s v="2018-08-08-01:00" u="1"/>
        <s v="2018-08-28-00:00" u="1"/>
        <s v="2017-12-26-00:00" u="1"/>
        <s v="2015-12-22-00:00" u="1"/>
        <s v="2014-10-20-00:00" u="1"/>
        <s v="2014-11-20-00:00" u="1"/>
        <s v="2018-08-07-01:00" u="1"/>
        <s v="2018-08-27-00:00" u="1"/>
        <s v="2018-08-03-00:00" u="1"/>
        <s v="2016-12-26-01:00" u="1"/>
        <s v="2018-07-18-01:00" u="1"/>
        <s v="2018-08-06-01:00" u="1"/>
        <s v="2018-01-02-00:00" u="1"/>
        <s v="2018-08-02-00:00" u="1"/>
        <s v="2018-08-17-01:00" u="1"/>
        <s v="2018-08-09-10:00" u="1"/>
        <s v="2018-08-13-00:00" u="1"/>
        <s v="2019-09-03-00:00" u="1"/>
        <s v="9999-99-99-99:99" u="1"/>
        <s v="2014-10-24-02:00" u="1"/>
        <s v="2014-11-04-03:00" u="1"/>
        <s v="2014-11-24-02:00" u="1"/>
        <s v="2014-12-04-03:00" u="1"/>
        <s v="2014-12-24-02:00" u="1"/>
        <s v="2017-12-26-01:00" u="1"/>
        <s v="2018-08-16-01:00" u="1"/>
        <s v="2018-07-31-00:00" u="1"/>
        <s v="9999-99-99-99:02" u="1"/>
        <s v="2018-07-30-11:00" u="1"/>
        <s v="2018-07-30-12:00" u="1"/>
        <s v="2018-07-30-20:00" u="1"/>
        <s v="2018-07-30-13:00" u="1"/>
        <s v="2018-07-30-21:00" u="1"/>
        <s v="2018-07-30-14:00" u="1"/>
        <s v="2018-07-30-22:00" u="1"/>
        <s v="2018-07-30-15:00" u="1"/>
        <s v="2018-07-30-23:00" u="1"/>
        <s v="2018-07-30-16:00" u="1"/>
        <s v="9999-99-99-99:00" u="1"/>
        <s v="2018-07-30-17:00" u="1"/>
      </sharedItems>
    </cacheField>
    <cacheField name="FEATURE" numFmtId="0" sqlType="6">
      <sharedItems containsSemiMixedTypes="0" containsString="0" containsNumber="1" containsInteger="1" minValue="0" maxValue="9" count="10">
        <n v="2"/>
        <n v="3"/>
        <n v="0"/>
        <n v="1"/>
        <n v="5" u="1"/>
        <n v="6" u="1"/>
        <n v="7" u="1"/>
        <n v="8" u="1"/>
        <n v="9" u="1"/>
        <n v="4" u="1"/>
      </sharedItems>
    </cacheField>
    <cacheField name="ACTUALTRS" numFmtId="0" sqlType="6">
      <sharedItems containsSemiMixedTypes="0" containsString="0" containsNumber="1" minValue="-1.00000011920929" maxValue="70.182991027832003"/>
    </cacheField>
    <cacheField name="PREDICTEDTRS" numFmtId="0" sqlType="6">
      <sharedItems containsString="0" containsBlank="1" containsNumber="1" minValue="-0.83190703392028797" maxValue="69.744529724121094"/>
    </cacheField>
    <cacheField name="ERRORTRS" numFmtId="0" sqlType="6">
      <sharedItems containsString="0" containsBlank="1" containsNumber="1" minValue="0" maxValue="69.08135557174684"/>
    </cacheField>
    <cacheField name="ACTUALTR" numFmtId="0" sqlType="6">
      <sharedItems containsSemiMixedTypes="0" containsString="0" containsNumber="1" minValue="-2.2900102660059901E-2" maxValue="1.1742899417877199"/>
    </cacheField>
    <cacheField name="PREDICTEDTR" numFmtId="0" sqlType="6">
      <sharedItems containsString="0" containsBlank="1" containsNumber="1" minValue="-1.92011781036854E-2" maxValue="1.16732001304626"/>
    </cacheField>
    <cacheField name="ERRORTR" numFmtId="0" sqlType="6">
      <sharedItems containsString="0" containsBlank="1" containsNumber="1" minValue="0" maxValue="1.1668502226821116"/>
    </cacheField>
    <cacheField name="ACTUALBASE" numFmtId="0" sqlType="6">
      <sharedItems containsSemiMixedTypes="0" containsString="0" containsNumber="1" minValue="1.0339499711990401" maxValue="1.25545001029968"/>
    </cacheField>
    <cacheField name="PREDICTEDBASE" numFmtId="0" sqlType="6">
      <sharedItems containsString="0" containsBlank="1" containsNumber="1" minValue="-5.3025636589154601E-4" maxValue="1.25643002986908"/>
    </cacheField>
    <cacheField name="ERRORBASE" numFmtId="0" sqlType="6">
      <sharedItems containsString="0" containsBlank="1" containsNumber="1" minValue="0" maxValue="1.1668502226821116"/>
    </cacheField>
  </cacheFields>
  <extLst>
    <ext xmlns:x14="http://schemas.microsoft.com/office/spreadsheetml/2009/9/main" uri="{725AE2AE-9491-48be-B2B4-4EB974FC3084}">
      <x14:pivotCacheDefinition pivotCacheId="7"/>
    </ext>
  </extLst>
</pivotCacheDefinition>
</file>

<file path=xl/pivotCache/pivotCacheDefinition8.xml><?xml version="1.0" encoding="utf-8"?>
<pivotCacheDefinition xmlns="http://schemas.openxmlformats.org/spreadsheetml/2006/main" xmlns:r="http://schemas.openxmlformats.org/officeDocument/2006/relationships" r:id="rId1" refreshedBy="gcaglion" refreshedDate="43721.918148263889" createdVersion="5" refreshedVersion="5" minRefreshableVersion="3" recordCount="25">
  <cacheSource type="external" connectionId="11"/>
  <cacheFields count="11">
    <cacheField name="CLIENTPID" numFmtId="0" sqlType="6">
      <sharedItems containsSemiMixedTypes="0" containsString="0" containsNumber="1" containsInteger="1" minValue="224" maxValue="16280" count="237">
        <n v="11280"/>
        <n v="4572" u="1"/>
        <n v="6844" u="1"/>
        <n v="11744" u="1"/>
        <n v="1248" u="1"/>
        <n v="8412" u="1"/>
        <n v="9690" u="1"/>
        <n v="10116" u="1"/>
        <n v="11252" u="1"/>
        <n v="9695" u="1"/>
        <n v="14168" u="1"/>
        <n v="2900" u="1"/>
        <n v="5680" u="1"/>
        <n v="5964" u="1"/>
        <n v="9416" u="1"/>
        <n v="9984" u="1"/>
        <n v="11972" u="1"/>
        <n v="12540" u="1"/>
        <n v="2564" u="1"/>
        <n v="10628" u="1"/>
        <n v="13255" u="1"/>
        <n v="15172" u="1"/>
        <n v="15456" u="1"/>
        <n v="12408" u="1"/>
        <n v="472" u="1"/>
        <n v="5652" u="1"/>
        <n v="7427" u="1"/>
        <n v="10780" u="1"/>
        <n v="12200" u="1"/>
        <n v="1376" u="1"/>
        <n v="4980" u="1"/>
        <n v="7536" u="1"/>
        <n v="13696" u="1"/>
        <n v="548" u="1"/>
        <n v="2924" u="1"/>
        <n v="9512" u="1"/>
        <n v="10648" u="1"/>
        <n v="6192" u="1"/>
        <n v="6476" u="1"/>
        <n v="7115" u="1"/>
        <n v="8180" u="1"/>
        <n v="11008" u="1"/>
        <n v="4952" u="1"/>
        <n v="9735" u="1"/>
        <n v="8604" u="1"/>
        <n v="14852" u="1"/>
        <n v="4569" u="1"/>
        <n v="5492" u="1"/>
        <n v="10460" u="1"/>
        <n v="12164" u="1"/>
        <n v="13584" u="1"/>
        <n v="2612" u="1"/>
        <n v="3128" u="1"/>
        <n v="6420" u="1"/>
        <n v="9689" u="1"/>
        <n v="9552" u="1"/>
        <n v="9694" u="1"/>
        <n v="5076" u="1"/>
        <n v="7348" u="1"/>
        <n v="2972" u="1"/>
        <n v="10272" u="1"/>
        <n v="12544" u="1"/>
        <n v="2565" u="1"/>
        <n v="4584" u="1"/>
        <n v="8928" u="1"/>
        <n v="10348" u="1"/>
        <n v="10916" u="1"/>
        <n v="12407" u="1"/>
        <n v="1251" u="1"/>
        <n v="9572" u="1"/>
        <n v="5796" u="1"/>
        <n v="6080" u="1"/>
        <n v="3332" u="1"/>
        <n v="9440" u="1"/>
        <n v="10860" u="1"/>
        <n v="11996" u="1"/>
        <n v="1244" u="1"/>
        <n v="8144" u="1"/>
        <n v="15764" u="1"/>
        <n v="6336" u="1"/>
        <n v="11372" u="1"/>
        <n v="6412" u="1"/>
        <n v="6696" u="1"/>
        <n v="12584" u="1"/>
        <n v="6592" u="1"/>
        <n v="6876" u="1"/>
        <n v="8012" u="1"/>
        <n v="12376" u="1"/>
        <n v="1327" u="1"/>
        <n v="4571" u="1"/>
        <n v="6204" u="1"/>
        <n v="7624" u="1"/>
        <n v="12452" u="1"/>
        <n v="2400" u="1"/>
        <n v="8088" u="1"/>
        <n v="9404" u="1"/>
        <n v="9688" u="1"/>
        <n v="9972" u="1"/>
        <n v="5144" u="1"/>
        <n v="6280" u="1"/>
        <n v="9693" u="1"/>
        <n v="1036" u="1"/>
        <n v="1436" u="1"/>
        <n v="9348" u="1"/>
        <n v="13892" u="1"/>
        <n v="1268" u="1"/>
        <n v="5684" u="1"/>
        <n v="9992" u="1"/>
        <n v="11696" u="1"/>
        <n v="2566" u="1"/>
        <n v="3276" u="1"/>
        <n v="9003" u="1"/>
        <n v="11204" u="1"/>
        <n v="12624" u="1"/>
        <n v="2940" u="1"/>
        <n v="5192" u="1"/>
        <n v="8440" u="1"/>
        <n v="8724" u="1"/>
        <n v="10712" u="1"/>
        <n v="10996" u="1"/>
        <n v="1900" u="1"/>
        <n v="2888" u="1"/>
        <n v="4132" u="1"/>
        <n v="6475" u="1"/>
        <n v="7540" u="1"/>
        <n v="10296" u="1"/>
        <n v="14556" u="1"/>
        <n v="2216" u="1"/>
        <n v="9880" u="1"/>
        <n v="4104" u="1"/>
        <n v="10524" u="1"/>
        <n v="11376" u="1"/>
        <n v="4568" u="1"/>
        <n v="5420" u="1"/>
        <n v="8328" u="1"/>
        <n v="8896" u="1"/>
        <n v="10600" u="1"/>
        <n v="16280" u="1"/>
        <n v="4180" u="1"/>
        <n v="5316" u="1"/>
        <n v="8156" u="1"/>
        <n v="12664" u="1"/>
        <n v="6528" u="1"/>
        <n v="9692" u="1"/>
        <n v="2562" u="1"/>
        <n v="2988" u="1"/>
        <n v="5572" u="1"/>
        <n v="11259" u="1"/>
        <n v="14880" u="1"/>
        <n v="4332" u="1"/>
        <n v="9276" u="1"/>
        <n v="11832" u="1"/>
        <n v="2316" u="1"/>
        <n v="7636" u="1"/>
        <n v="3116" u="1"/>
        <n v="5828" u="1"/>
        <n v="11416" u="1"/>
        <n v="2567" u="1"/>
        <n v="7144" u="1"/>
        <n v="8936" u="1"/>
        <n v="10072" u="1"/>
        <n v="12344" u="1"/>
        <n v="12628" u="1"/>
        <n v="7324" u="1"/>
        <n v="11568" u="1"/>
        <n v="14124" u="1"/>
        <n v="7504" u="1"/>
        <n v="10295" u="1"/>
        <n v="11644" u="1"/>
        <n v="14484" u="1"/>
        <n v="4276" u="1"/>
        <n v="5980" u="1"/>
        <n v="7968" u="1"/>
        <n v="10868" u="1"/>
        <n v="5308" u="1"/>
        <n v="6728" u="1"/>
        <n v="10944" u="1"/>
        <n v="12364" u="1"/>
        <n v="2000" u="1"/>
        <n v="9884" u="1"/>
        <n v="5952" u="1"/>
        <n v="4570" u="1"/>
        <n v="4712" u="1"/>
        <n v="10036" u="1"/>
        <n v="10888" u="1"/>
        <n v="12592" u="1"/>
        <n v="14296" u="1"/>
        <n v="1212" u="1"/>
        <n v="2932" u="1"/>
        <n v="7164" u="1"/>
        <n v="7448" u="1"/>
        <n v="1257" u="1"/>
        <n v="1328" u="1"/>
        <n v="2596" u="1"/>
        <n v="4788" u="1"/>
        <n v="7344" u="1"/>
        <n v="9691" u="1"/>
        <n v="11892" u="1"/>
        <n v="9696" u="1"/>
        <n v="12536" u="1"/>
        <n v="14240" u="1"/>
        <n v="224" u="1"/>
        <n v="1008" u="1"/>
        <n v="2563" u="1"/>
        <n v="3060" u="1"/>
        <n v="3344" u="1"/>
        <n v="5716" u="1"/>
        <n v="12896" u="1"/>
        <n v="13256" u="1"/>
        <n v="4940" u="1"/>
        <n v="11344" u="1"/>
        <n v="956" u="1"/>
        <n v="2568" u="1"/>
        <n v="3988" u="1"/>
        <n v="9224" u="1"/>
        <n v="4912" u="1"/>
        <n v="7184" u="1"/>
        <n v="7648" u="1"/>
        <n v="8808" u="1"/>
        <n v="9092" u="1"/>
        <n v="9660" u="1"/>
        <n v="11364" u="1"/>
        <n v="12784" u="1"/>
        <n v="8600" u="1"/>
        <n v="9736" u="1"/>
        <n v="13428" u="1"/>
        <n v="4064" u="1"/>
        <n v="8008" u="1"/>
        <n v="1326" u="1"/>
        <n v="4567" u="1"/>
        <n v="5916" u="1"/>
        <n v="9888" u="1"/>
        <n v="16136" u="1"/>
        <n v="8084" u="1"/>
        <n v="12236" u="1"/>
        <n v="12591" u="1"/>
        <n v="13656" u="1"/>
      </sharedItems>
    </cacheField>
    <cacheField name="SESSIONID" numFmtId="0" sqlType="6">
      <sharedItems containsSemiMixedTypes="0" containsString="0" containsNumber="1" containsInteger="1" minValue="51" maxValue="32749" count="243">
        <n v="2985"/>
        <n v="21233" u="1"/>
        <n v="26771" u="1"/>
        <n v="29824" u="1"/>
        <n v="30889" u="1"/>
        <n v="1035" u="1"/>
        <n v="7521" u="1"/>
        <n v="10187" u="1"/>
        <n v="1151" u="1"/>
        <n v="17703" u="1"/>
        <n v="23312" u="1"/>
        <n v="897" u="1"/>
        <n v="10126" u="1"/>
        <n v="600" u="1"/>
        <n v="2706" u="1"/>
        <n v="4055" u="1"/>
        <n v="6428" u="1"/>
        <n v="28444" u="1"/>
        <n v="23200" u="1"/>
        <n v="25259" u="1"/>
        <n v="6575" u="1"/>
        <n v="15750" u="1"/>
        <n v="7181" u="1"/>
        <n v="24853" u="1"/>
        <n v="27906" u="1"/>
        <n v="8518" u="1"/>
        <n v="12636" u="1"/>
        <n v="15405" u="1"/>
        <n v="18554" u="1"/>
        <n v="19264" u="1"/>
        <n v="8244" u="1"/>
        <n v="16647" u="1"/>
        <n v="17002" u="1"/>
        <n v="25877" u="1"/>
        <n v="28220" u="1"/>
        <n v="29508" u="1"/>
        <n v="6022" u="1"/>
        <n v="16064" u="1"/>
        <n v="767" u="1"/>
        <n v="1788" u="1"/>
        <n v="13513" u="1"/>
        <n v="16819" u="1"/>
        <n v="29883" u="1"/>
        <n v="4252" u="1"/>
        <n v="22935" u="1"/>
        <n v="30035" u="1"/>
        <n v="26069" u="1"/>
        <n v="27063" u="1"/>
        <n v="28909" u="1"/>
        <n v="11611" u="1"/>
        <n v="20186" u="1"/>
        <n v="6141" u="1"/>
        <n v="7632" u="1"/>
        <n v="15095" u="1"/>
        <n v="22965" u="1"/>
        <n v="28077" u="1"/>
        <n v="31627" u="1"/>
        <n v="1161" u="1"/>
        <n v="2120" u="1"/>
        <n v="9065" u="1"/>
        <n v="27732" u="1"/>
        <n v="27874" u="1"/>
        <n v="31353" u="1"/>
        <n v="7140" u="1"/>
        <n v="18441" u="1"/>
        <n v="21139" u="1"/>
        <n v="23624" u="1"/>
        <n v="7320" u="1"/>
        <n v="14192" u="1"/>
        <n v="17396" u="1"/>
        <n v="24567" u="1"/>
        <n v="8943" u="1"/>
        <n v="12067" u="1"/>
        <n v="14410" u="1"/>
        <n v="21169" u="1"/>
        <n v="23370" u="1"/>
        <n v="21179" u="1"/>
        <n v="25794" u="1"/>
        <n v="30480" u="1"/>
        <n v="30206" u="1"/>
        <n v="1050" u="1"/>
        <n v="7936" u="1"/>
        <n v="8248" u="1"/>
        <n v="23897" u="1"/>
        <n v="29719" u="1"/>
        <n v="31139" u="1"/>
        <n v="13010" u="1"/>
        <n v="27031" u="1"/>
        <n v="1637" u="1"/>
        <n v="3427" u="1"/>
        <n v="10956" u="1"/>
        <n v="11524" u="1"/>
        <n v="15571" u="1"/>
        <n v="16281" u="1"/>
        <n v="19657" u="1"/>
        <n v="28319" u="1"/>
        <n v="2381" u="1"/>
        <n v="11742" u="1"/>
        <n v="13872" u="1"/>
        <n v="18389" u="1"/>
        <n v="21229" u="1"/>
        <n v="27832" u="1"/>
        <n v="27558" u="1"/>
        <n v="29404" u="1"/>
        <n v="21817" u="1"/>
        <n v="31047" u="1"/>
        <n v="8917" u="1"/>
        <n v="12538" u="1"/>
        <n v="18490" u="1"/>
        <n v="25164" u="1"/>
        <n v="19991" u="1"/>
        <n v="23754" u="1"/>
        <n v="11838" u="1"/>
        <n v="14039" u="1"/>
        <n v="18439" u="1"/>
        <n v="10778" u="1"/>
        <n v="19656" u="1"/>
        <n v="27182" u="1"/>
        <n v="27821" u="1"/>
        <n v="2088" u="1"/>
        <n v="4979" u="1"/>
        <n v="10783" u="1"/>
        <n v="19879" u="1"/>
        <n v="16623" u="1"/>
        <n v="98" u="1"/>
        <n v="16704" u="1"/>
        <n v="21390" u="1"/>
        <n v="30052" u="1"/>
        <n v="189" u="1"/>
        <n v="1010" u="1"/>
        <n v="3210" u="1"/>
        <n v="5519" u="1"/>
        <n v="16501" u="1"/>
        <n v="21329" u="1"/>
        <n v="13572" u="1"/>
        <n v="22830" u="1"/>
        <n v="23043" u="1"/>
        <n v="5666" u="1"/>
        <n v="12867" u="1"/>
        <n v="13577" u="1"/>
        <n v="24970" u="1"/>
        <n v="5207" u="1"/>
        <n v="5562" u="1"/>
        <n v="11168" u="1"/>
        <n v="16531" u="1"/>
        <n v="21643" u="1"/>
        <n v="23134" u="1"/>
        <n v="7162" u="1"/>
        <n v="26694" u="1"/>
        <n v="27546" u="1"/>
        <n v="28895" u="1"/>
        <n v="29250" u="1"/>
        <n v="1931" u="1"/>
        <n v="5780" u="1"/>
        <n v="10539" u="1"/>
        <n v="26988" u="1"/>
        <n v="28834" u="1"/>
        <n v="8840" u="1"/>
        <n v="17200" u="1"/>
        <n v="23377" u="1"/>
        <n v="32749" u="1"/>
        <n v="5004" u="1"/>
        <n v="10052" u="1"/>
        <n v="25517" u="1"/>
        <n v="25730" u="1"/>
        <n v="29635" u="1"/>
        <n v="8637" u="1"/>
        <n v="9205" u="1"/>
        <n v="19847" u="1"/>
        <n v="27515" u="1"/>
        <n v="29503" u="1"/>
        <n v="18508" u="1"/>
        <n v="22200" u="1"/>
        <n v="30933" u="1"/>
        <n v="5473" u="1"/>
        <n v="8647" u="1"/>
        <n v="16743" u="1"/>
        <n v="16178" u="1"/>
        <n v="22504" u="1"/>
        <n v="27261" u="1"/>
        <n v="27474" u="1"/>
        <n v="24928" u="1"/>
        <n v="26561" u="1"/>
        <n v="29969" u="1"/>
        <n v="31460" u="1"/>
        <n v="29695" u="1"/>
        <n v="6974" u="1"/>
        <n v="9590" u="1"/>
        <n v="14418" u="1"/>
        <n v="30131" u="1"/>
        <n v="16448" u="1"/>
        <n v="473" u="1"/>
        <n v="15498" u="1"/>
        <n v="2345" u="1"/>
        <n v="4783" u="1"/>
        <n v="13799" u="1"/>
        <n v="29958" u="1"/>
        <n v="30242" u="1"/>
        <n v="10822" u="1"/>
        <n v="15366" u="1"/>
        <n v="32595" u="1"/>
        <n v="608" u="1"/>
        <n v="25008" u="1"/>
        <n v="32321" u="1"/>
        <n v="1444" u="1"/>
        <n v="25160" u="1"/>
        <n v="4296" u="1"/>
        <n v="26448" u="1"/>
        <n v="7458" u="1"/>
        <n v="19642" u="1"/>
        <n v="26387" u="1"/>
        <n v="32209" u="1"/>
        <n v="4301" u="1"/>
        <n v="7851" u="1"/>
        <n v="15391" u="1"/>
        <n v="20078" u="1"/>
        <n v="24906" u="1"/>
        <n v="51" u="1"/>
        <n v="8296" u="1"/>
        <n v="17958" u="1"/>
        <n v="30251" u="1"/>
        <n v="3226" u="1"/>
        <n v="12921" u="1"/>
        <n v="25078" u="1"/>
        <n v="30332" u="1"/>
        <n v="930" u="1"/>
        <n v="9092" u="1"/>
        <n v="10512" u="1"/>
        <n v="14630" u="1"/>
        <n v="23029" u="1"/>
        <n v="25088" u="1"/>
        <n v="846" u="1"/>
        <n v="3264" u="1"/>
        <n v="14280" u="1"/>
        <n v="7937" u="1"/>
        <n v="31995" u="1"/>
        <n v="3728" u="1"/>
        <n v="22988" u="1"/>
        <n v="32076" u="1"/>
        <n v="6948" u="1"/>
        <n v="12733" u="1"/>
        <n v="17034" u="1"/>
        <n v="19235" u="1"/>
      </sharedItems>
    </cacheField>
    <cacheField name="TICKETID" numFmtId="0" sqlType="6">
      <sharedItems containsSemiMixedTypes="0" containsString="0" containsNumber="1" containsInteger="1" minValue="-1" maxValue="44" count="23">
        <n v="2"/>
        <n v="4"/>
        <n v="6"/>
        <n v="8"/>
        <n v="10"/>
        <n v="-1"/>
        <n v="12"/>
        <n v="14"/>
        <n v="16"/>
        <n v="18"/>
        <n v="20"/>
        <n v="22"/>
        <n v="24"/>
        <n v="26"/>
        <n v="28"/>
        <n v="30"/>
        <n v="32"/>
        <n v="34"/>
        <n v="36"/>
        <n v="38"/>
        <n v="40"/>
        <n v="42"/>
        <n v="44"/>
      </sharedItems>
    </cacheField>
    <cacheField name="ENGINEPID" numFmtId="0" sqlType="6">
      <sharedItems containsSemiMixedTypes="0" containsString="0" containsNumber="1" containsInteger="1" minValue="2" maxValue="14360" count="48">
        <n v="14096"/>
        <n v="10364" u="1"/>
        <n v="5340" u="1"/>
        <n v="4384" u="1"/>
        <n v="13224" u="1"/>
        <n v="14360" u="1"/>
        <n v="6912" u="1"/>
        <n v="8624" u="1"/>
        <n v="5748" u="1"/>
        <n v="5644" u="1"/>
        <n v="12260" u="1"/>
        <n v="2" u="1"/>
        <n v="5304" u="1"/>
        <n v="8948" u="1"/>
        <n v="2092" u="1"/>
        <n v="3228" u="1"/>
        <n v="5768" u="1"/>
        <n v="12868" u="1"/>
        <n v="9252" u="1"/>
        <n v="11808" u="1"/>
        <n v="13796" u="1"/>
        <n v="5920" u="1"/>
        <n v="9044" u="1"/>
        <n v="6564" u="1"/>
        <n v="11184" u="1"/>
        <n v="14308" u="1"/>
        <n v="8420" u="1"/>
        <n v="7284" u="1"/>
        <n v="7360" u="1"/>
        <n v="10012" u="1"/>
        <n v="12000" u="1"/>
        <n v="8384" u="1"/>
        <n v="5212" u="1"/>
        <n v="2936" u="1"/>
        <n v="5648" u="1"/>
        <n v="4124" u="1"/>
        <n v="1252" u="1"/>
        <n v="2444" u="1"/>
        <n v="3012" u="1"/>
        <n v="10964" u="1"/>
        <n v="5820" u="1"/>
        <n v="6956" u="1"/>
        <n v="4935" u="1"/>
        <n v="5688" u="1"/>
        <n v="5764" u="1"/>
        <n v="12292" u="1"/>
        <n v="7800" u="1"/>
        <n v="11952" u="1"/>
      </sharedItems>
    </cacheField>
    <cacheField name="LASTBART" numFmtId="0" sqlType="11">
      <sharedItems containsSemiMixedTypes="0" containsNonDate="0" containsDate="1" containsString="0" minDate="2017-06-30T23:00:00" maxDate="2020-09-12T17:00:00" count="1866">
        <d v="2018-07-27T21:00:00"/>
        <d v="2018-07-27T22:00:00"/>
        <d v="2018-07-27T23:00:00"/>
        <d v="2018-07-30T00:00:00"/>
        <d v="2018-07-30T01:00:00"/>
        <d v="2018-07-30T02:00:00"/>
        <d v="2018-07-30T03:00:00"/>
        <d v="2018-07-30T04:00:00"/>
        <d v="2018-07-30T05:00:00"/>
        <d v="2018-07-30T06:00:00"/>
        <d v="2018-07-30T07:00:00"/>
        <d v="2018-07-30T08:00:00"/>
        <d v="2018-07-30T09:00:00"/>
        <d v="2018-07-30T10:00:00"/>
        <d v="2018-07-30T11:00:00"/>
        <d v="2018-07-30T12:00:00"/>
        <d v="2018-07-30T13:00:00"/>
        <d v="2018-07-30T14:00:00"/>
        <d v="2018-07-30T15:00:00"/>
        <d v="2018-07-30T16:00:00"/>
        <d v="2018-07-30T17:00:00"/>
        <d v="2018-07-30T18:00:00"/>
        <d v="2018-07-30T19:00:00"/>
        <d v="2018-07-30T20:00:00"/>
        <d v="2018-07-30T21: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8-08-02T01:00:00" u="1"/>
        <d v="2017-07-06T05:00:00" u="1"/>
        <d v="2018-08-02T02:00:00" u="1"/>
        <d v="2017-07-06T06:00:00" u="1"/>
        <d v="2018-07-06T05:00:00" u="1"/>
        <d v="2018-08-02T03:00:00" u="1"/>
        <d v="2017-07-06T07:00:00" u="1"/>
        <d v="2018-07-06T06:00:00" u="1"/>
        <d v="2018-08-02T04:00:00" u="1"/>
        <d v="2017-07-06T08:00:00" u="1"/>
        <d v="2017-08-02T06:00:00" u="1"/>
        <d v="2018-08-02T05:00:00" u="1"/>
        <d v="2017-07-06T09:00:00" u="1"/>
        <d v="2017-08-02T07:00:00" u="1"/>
        <d v="2018-07-06T08:00:00" u="1"/>
        <d v="2018-08-02T06:00:00" u="1"/>
        <d v="2017-07-06T10:00:00" u="1"/>
        <d v="2018-08-02T07:00:00" u="1"/>
        <d v="2017-08-02T09:00:00" u="1"/>
        <d v="2018-07-06T10:00:00" u="1"/>
        <d v="2018-08-02T08:00:00" u="1"/>
        <d v="2017-07-06T12:00:00" u="1"/>
        <d v="2018-07-06T11:00:00" u="1"/>
        <d v="2018-08-02T09:00:00" u="1"/>
        <d v="2017-07-06T13:00:00" u="1"/>
        <d v="2017-08-02T11:00:00" u="1"/>
        <d v="2018-07-06T12:00:00" u="1"/>
        <d v="2018-08-02T10:00:00" u="1"/>
        <d v="2017-07-06T14:00:00" u="1"/>
        <d v="2017-08-02T12:00:00" u="1"/>
        <d v="2018-08-02T11:00:00" u="1"/>
        <d v="2017-07-06T15:00:00" u="1"/>
        <d v="2018-07-06T14:00:00" u="1"/>
        <d v="2018-08-02T12:00:00" u="1"/>
        <d v="2017-07-06T16:00:00" u="1"/>
        <d v="2018-08-02T13:00:00" u="1"/>
        <d v="2017-07-06T17:00:00" u="1"/>
        <d v="2017-08-02T15:00:00" u="1"/>
        <d v="2018-07-06T16:00:00" u="1"/>
        <d v="2018-08-02T14:00:00" u="1"/>
        <d v="2017-07-06T18:00:00" u="1"/>
        <d v="2017-08-02T16:00:00" u="1"/>
        <d v="2018-07-06T17:00:00" u="1"/>
        <d v="2018-08-02T15:00:00" u="1"/>
        <d v="2017-07-06T19:00:00" u="1"/>
        <d v="2017-08-02T17:00:00" u="1"/>
        <d v="2018-07-06T18:00:00" u="1"/>
        <d v="2018-08-02T16:00:00" u="1"/>
        <d v="2017-07-06T20:00:00" u="1"/>
        <d v="2018-07-06T19:00:00" u="1"/>
        <d v="2018-08-02T17:00:00" u="1"/>
        <d v="2018-07-06T20:00:00" u="1"/>
        <d v="2018-08-02T18:00:00" u="1"/>
        <d v="2017-07-06T22:00:00" u="1"/>
        <d v="2017-08-02T20:00:00" u="1"/>
        <d v="2018-07-06T21:00:00" u="1"/>
        <d v="2018-08-02T19:00:00" u="1"/>
        <d v="2018-08-02T20:00:00" u="1"/>
        <d v="2017-08-02T22:00:00" u="1"/>
        <d v="2018-07-06T23:00:00" u="1"/>
        <d v="2018-08-02T21:00:00" u="1"/>
        <d v="2018-08-02T22: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9-09-02T01:00:00" u="1"/>
        <d v="2017-07-10T08:00:00" u="1"/>
        <d v="2018-07-10T07:00:00" u="1"/>
        <d v="2019-09-02T02:00:00" u="1"/>
        <d v="2017-07-10T09:00:00" u="1"/>
        <d v="2018-07-10T08:00:00" u="1"/>
        <d v="2019-09-02T03: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9-09-02T21:00:00" u="1"/>
        <d v="2019-09-02T22:00:00" u="1"/>
        <d v="2019-09-02T23:00:00" u="1"/>
        <d v="2018-07-12T00:00:00" u="1"/>
        <d v="2018-07-12T01:00:00" u="1"/>
        <d v="2017-08-08T01:00:00" u="1"/>
        <d v="2018-07-12T02:00:00" u="1"/>
        <d v="2018-08-08T00:00:00" u="1"/>
        <d v="2018-07-12T03:00:00" u="1"/>
        <d v="2018-07-12T04:00:00" u="1"/>
        <d v="2017-08-08T04:00:00" u="1"/>
        <d v="2018-07-12T05:00:00" u="1"/>
        <d v="2019-09-04T00:00:00" u="1"/>
        <d v="2018-07-12T06:00:00" u="1"/>
        <d v="2019-09-04T01: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9-09-04T16:00:00" u="1"/>
        <d v="2017-08-08T21:00:00" u="1"/>
        <d v="2018-07-12T22:00:00" u="1"/>
        <d v="2017-08-08T22:00:00" u="1"/>
        <d v="2018-07-12T23:00:00" u="1"/>
        <d v="2019-09-04T18:00:00" u="1"/>
        <d v="2019-09-04T19:00:00" u="1"/>
        <d v="2019-09-04T20:00:00" u="1"/>
        <d v="2019-09-04T21:00:00" u="1"/>
        <d v="2019-09-04T22:00:00" u="1"/>
        <d v="2019-09-04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9-09-06T18:00:00" u="1"/>
        <d v="2019-09-06T21:00:00" u="1"/>
        <d v="2019-09-06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20-09-12T11:00:00" u="1"/>
        <d v="2017-09-12T15:00:00" u="1"/>
        <d v="2018-07-20T18:00:00" u="1"/>
        <d v="2020-09-12T12:00:00" u="1"/>
        <d v="2017-09-12T16:00:00" u="1"/>
        <d v="2018-07-20T19:00:00" u="1"/>
        <d v="2020-09-12T13:00:00" u="1"/>
        <d v="2017-08-16T19:00:00" u="1"/>
        <d v="2018-07-20T20:00:00" u="1"/>
        <d v="2020-09-12T14:00:00" u="1"/>
        <d v="2017-08-16T20:00:00" u="1"/>
        <d v="2017-09-12T18:00:00" u="1"/>
        <d v="2018-07-20T21:00:00" u="1"/>
        <d v="2019-09-12T16:00:00" u="1"/>
        <d v="2020-09-12T15:00:00" u="1"/>
        <d v="2017-08-16T21:00:00" u="1"/>
        <d v="2017-09-12T19:00:00" u="1"/>
        <d v="2018-07-20T22:00:00" u="1"/>
        <d v="2019-09-12T17:00:00" u="1"/>
        <d v="2020-09-12T16:00:00" u="1"/>
        <d v="2017-08-16T22:00:00" u="1"/>
        <d v="2017-09-12T20:00:00" u="1"/>
        <d v="2018-07-20T23:00:00" u="1"/>
        <d v="2019-09-12T18:00:00" u="1"/>
        <d v="2020-09-12T17:00:00" u="1"/>
        <d v="2017-08-16T23:00:00" u="1"/>
        <d v="2017-09-12T21:00:00" u="1"/>
        <d v="2019-09-12T19:00:00" u="1"/>
        <d v="2017-09-12T22:00:00" u="1"/>
        <d v="2019-09-12T20: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8-07-24T03:00:00" u="1"/>
        <d v="2017-07-24T05:00:00" u="1"/>
        <d v="2017-09-16T01:00:00" u="1"/>
        <d v="2018-07-24T04:00:00" u="1"/>
        <d v="2017-07-24T06:00:00" u="1"/>
        <d v="2018-07-24T05: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7-07-24T19:00:00" u="1"/>
        <d v="2017-11-08T11:00:00" u="1"/>
        <d v="2017-12-04T09:00:00" u="1"/>
        <d v="2018-07-24T18:00:00" u="1"/>
        <d v="2017-07-24T20:00:00" u="1"/>
        <d v="2017-11-08T12:00:00" u="1"/>
        <d v="2017-12-04T10:00:00" u="1"/>
        <d v="2018-07-24T19:00:00" u="1"/>
        <d v="2017-07-24T21:00:00" u="1"/>
        <d v="2017-11-08T13:00:00" u="1"/>
        <d v="2017-12-04T11:00:00" u="1"/>
        <d v="2018-07-24T20:00:00" u="1"/>
        <d v="2017-07-24T22:00:00" u="1"/>
        <d v="2017-11-08T14:00:00" u="1"/>
        <d v="2017-12-04T12:00:00" u="1"/>
        <d v="2018-07-24T21:00:00" u="1"/>
        <d v="2017-07-24T23:00:00" u="1"/>
        <d v="2017-11-08T15:00:00" u="1"/>
        <d v="2018-07-24T22: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9-07-30T00:00:00" u="1"/>
        <d v="2019-07-30T01:00:00" u="1"/>
        <d v="2019-07-30T02:00:00" u="1"/>
        <d v="2019-07-30T03:00:00" u="1"/>
        <d v="2019-07-30T04:00:00" u="1"/>
        <d v="2019-07-30T05:00:00" u="1"/>
        <d v="2017-11-14T00:00:00" u="1"/>
        <d v="2019-07-30T06:00:00" u="1"/>
        <d v="2017-11-14T01:00:00" u="1"/>
        <d v="2019-07-30T07:00:00" u="1"/>
        <d v="2017-11-14T02:00:00" u="1"/>
        <d v="2019-07-30T08:00:00" u="1"/>
        <d v="2017-11-14T03:00:00" u="1"/>
        <d v="2019-07-30T09:00:00" u="1"/>
        <d v="2017-11-14T04:00:00" u="1"/>
        <d v="2019-07-30T10:00:00" u="1"/>
        <d v="2017-11-14T05:00:00" u="1"/>
        <d v="2019-07-30T11:00:00" u="1"/>
        <d v="2017-11-14T06:00:00" u="1"/>
        <d v="2019-07-30T12:00:00" u="1"/>
        <d v="2017-11-14T07:00:00" u="1"/>
        <d v="2019-07-30T13:00:00" u="1"/>
        <d v="2017-11-14T08:00:00" u="1"/>
        <d v="2019-07-30T14:00:00" u="1"/>
        <d v="2017-11-14T09:00:00" u="1"/>
        <d v="2019-07-30T15:00:00" u="1"/>
        <d v="2017-11-14T10:00:00" u="1"/>
        <d v="2019-07-30T16:00:00" u="1"/>
        <d v="2017-11-14T11:00:00" u="1"/>
        <d v="2019-07-30T17:00:00" u="1"/>
        <d v="2017-11-14T12:00:00" u="1"/>
        <d v="2019-07-30T18:00:00" u="1"/>
        <d v="2017-11-14T13:00:00" u="1"/>
        <d v="2019-07-30T19:00:00" u="1"/>
        <d v="2017-11-14T14:00:00" u="1"/>
        <d v="2019-07-30T20:00:00" u="1"/>
        <d v="2017-11-14T15:00:00" u="1"/>
        <d v="2018-07-30T22:00:00" u="1"/>
        <d v="2019-07-30T21: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8-08-01T01:00:00" u="1"/>
        <d v="2017-08-01T03:00:00" u="1"/>
        <d v="2018-08-01T02:00:00" u="1"/>
        <d v="2017-07-05T06:00:00" u="1"/>
        <d v="2017-08-01T04:00:00" u="1"/>
        <d v="2018-07-05T05:00:00" u="1"/>
        <d v="2018-08-01T03:00:00" u="1"/>
        <d v="2017-07-05T07:00:00" u="1"/>
        <d v="2018-08-01T04:00:00" u="1"/>
        <d v="2018-08-01T05:00:00" u="1"/>
        <d v="2017-07-05T09:00:00" u="1"/>
        <d v="2017-08-01T07:00:00" u="1"/>
        <d v="2018-07-05T08:00:00" u="1"/>
        <d v="2018-08-01T06:00:00" u="1"/>
        <d v="2017-07-05T10:00:00" u="1"/>
        <d v="2017-08-01T08:00:00" u="1"/>
        <d v="2018-07-05T09:00:00" u="1"/>
        <d v="2018-08-01T07:00:00" u="1"/>
        <d v="2017-07-05T11:00:00" u="1"/>
        <d v="2017-08-01T09:00:00" u="1"/>
        <d v="2018-07-05T10:00:00" u="1"/>
        <d v="2018-08-01T08:00:00" u="1"/>
        <d v="2017-07-05T12:00:00" u="1"/>
        <d v="2018-07-05T11:00:00" u="1"/>
        <d v="2018-08-01T09:00:00" u="1"/>
        <d v="2017-07-05T13:00:00" u="1"/>
        <d v="2017-08-01T11:00:00" u="1"/>
        <d v="2018-07-05T12:00:00" u="1"/>
        <d v="2018-08-01T10:00:00" u="1"/>
        <d v="2017-07-05T14:00:00" u="1"/>
        <d v="2017-08-01T12:00:00" u="1"/>
        <d v="2018-07-05T13:00:00" u="1"/>
        <d v="2018-08-01T11:00:00" u="1"/>
        <d v="2017-07-05T15:00:00" u="1"/>
        <d v="2017-08-01T13:00:00" u="1"/>
        <d v="2018-07-05T14:00:00" u="1"/>
        <d v="2018-08-01T12:00:00" u="1"/>
        <d v="2017-07-05T16:00:00" u="1"/>
        <d v="2017-08-01T14:00:00" u="1"/>
        <d v="2018-07-05T15:00:00" u="1"/>
        <d v="2018-08-01T13:00:00" u="1"/>
        <d v="2017-07-05T17:00:00" u="1"/>
        <d v="2017-08-01T15:00:00" u="1"/>
        <d v="2018-07-05T16:00:00" u="1"/>
        <d v="2018-08-01T14:00:00" u="1"/>
        <d v="2017-07-05T18:00:00" u="1"/>
        <d v="2017-08-01T16:00:00" u="1"/>
        <d v="2018-07-05T17:00:00" u="1"/>
        <d v="2018-08-01T15:00:00" u="1"/>
        <d v="2017-07-05T19:00:00" u="1"/>
        <d v="2017-08-01T17:00:00" u="1"/>
        <d v="2018-07-05T18:00:00" u="1"/>
        <d v="2018-08-01T16:00:00" u="1"/>
        <d v="2017-08-01T18:00:00" u="1"/>
        <d v="2018-07-05T19:00:00" u="1"/>
        <d v="2018-08-01T17:00:00" u="1"/>
        <d v="2017-07-05T21:00:00" u="1"/>
        <d v="2018-07-05T20:00:00" u="1"/>
        <d v="2018-08-01T18:00:00" u="1"/>
        <d v="2017-07-05T22:00:00" u="1"/>
        <d v="2018-07-05T21:00:00" u="1"/>
        <d v="2018-08-01T19:00:00" u="1"/>
        <d v="2017-07-05T23:00:00" u="1"/>
        <d v="2017-08-01T21:00:00" u="1"/>
        <d v="2018-07-05T22:00:00" u="1"/>
        <d v="2018-08-01T20:00:00" u="1"/>
        <d v="2018-07-05T23:00:00" u="1"/>
        <d v="2018-08-01T21:00:00" u="1"/>
        <d v="2018-08-01T22:00:00" u="1"/>
        <d v="2018-08-01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9-09-03T00:00:00" u="1"/>
        <d v="2017-07-11T07:00:00" u="1"/>
        <d v="2018-07-11T06:00:00" u="1"/>
        <d v="2017-08-07T06:00:00" u="1"/>
        <d v="2018-07-11T07:00:00" u="1"/>
        <d v="2019-09-03T02:00:00" u="1"/>
        <d v="2018-07-11T08:00:00" u="1"/>
        <d v="2019-09-03T03:00:00" u="1"/>
        <d v="2017-07-11T10:00:00" u="1"/>
        <d v="2018-07-11T09:00:00" u="1"/>
        <d v="2017-08-07T09:00:00" u="1"/>
        <d v="2018-07-11T10:00:00" u="1"/>
        <d v="2019-09-03T05:00:00" u="1"/>
        <d v="2017-07-11T12:00:00" u="1"/>
        <d v="2017-08-07T10:00:00" u="1"/>
        <d v="2018-07-11T11:00:00" u="1"/>
        <d v="2019-09-03T06:00:00" u="1"/>
        <d v="2017-08-07T11:00:00" u="1"/>
        <d v="2018-07-11T12:00:00" u="1"/>
        <d v="2019-09-03T07:00:00" u="1"/>
        <d v="2017-07-11T14:00:00" u="1"/>
        <d v="2017-08-07T12:00:00" u="1"/>
        <d v="2018-07-11T13:00:00" u="1"/>
        <d v="2017-07-11T15:00:00" u="1"/>
        <d v="2017-08-07T13:00:00" u="1"/>
        <d v="2018-07-11T14:00:00" u="1"/>
        <d v="2019-09-03T09:00:00" u="1"/>
        <d v="2017-07-11T16:00:00" u="1"/>
        <d v="2017-08-07T14:00:00" u="1"/>
        <d v="2018-07-11T15:00:00" u="1"/>
        <d v="2017-07-11T17:00:00" u="1"/>
        <d v="2017-08-07T15:00:00" u="1"/>
        <d v="2018-07-11T16:00:00" u="1"/>
        <d v="2019-09-03T11:00:00" u="1"/>
        <d v="2018-07-11T17:00:00" u="1"/>
        <d v="2018-07-11T18:00:00" u="1"/>
        <d v="2018-07-11T19:00:00" u="1"/>
        <d v="2018-07-11T20:00:00" u="1"/>
        <d v="2018-07-11T21:00:00" u="1"/>
        <d v="2018-07-11T22:00:00" u="1"/>
        <d v="2018-07-11T23:00:00" u="1"/>
        <d v="2019-09-03T22:00:00" u="1"/>
        <d v="2019-09-03T23:00:00" u="1"/>
        <d v="2018-07-13T00:00:00" u="1"/>
        <d v="2018-07-13T01:00:00" u="1"/>
        <d v="2018-07-13T02:00:00" u="1"/>
        <d v="2018-08-09T00:00:00" u="1"/>
        <d v="2018-07-13T03:00:00" u="1"/>
        <d v="2017-08-09T03:00:00" u="1"/>
        <d v="2018-07-13T04:00:00" u="1"/>
        <d v="2017-08-09T04:00:00" u="1"/>
        <d v="2018-07-13T05:00:00" u="1"/>
        <d v="2019-09-05T00:00:00" u="1"/>
        <d v="2017-08-09T05:00:00" u="1"/>
        <d v="2018-07-13T06:00:00" u="1"/>
        <d v="2019-09-05T01:00:00" u="1"/>
        <d v="2017-09-05T04:00:00" u="1"/>
        <d v="2018-07-13T07:00:00" u="1"/>
        <d v="2019-09-05T02:00:00" u="1"/>
        <d v="2017-08-09T07:00:00" u="1"/>
        <d v="2017-09-05T05:00:00" u="1"/>
        <d v="2018-07-13T08: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9-09-05T19: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9-09-11T10:00:00" u="1"/>
        <d v="2017-08-15T15:00:00" u="1"/>
        <d v="2017-09-11T13:00:00" u="1"/>
        <d v="2017-11-03T09:00:00" u="1"/>
        <d v="2018-07-19T16:00:00" u="1"/>
        <d v="2019-09-11T11: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9-09-13T11:00:00" u="1"/>
        <d v="2017-08-17T16:00:00" u="1"/>
        <d v="2017-09-13T14:00:00" u="1"/>
        <d v="2017-12-01T08:00:00" u="1"/>
        <d v="2019-09-13T12: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8-07-25T00:00:00" u="1"/>
        <d v="2017-07-25T02:00:00" u="1"/>
        <d v="2018-07-25T01:00:00" u="1"/>
        <d v="2017-07-25T03:00:00" u="1"/>
        <d v="2018-07-25T02:00:00" u="1"/>
        <d v="2018-08-21T00:00:00" u="1"/>
        <d v="2017-07-25T04:00:00" u="1"/>
        <d v="2018-07-25T03:00:00" u="1"/>
        <d v="2017-07-25T05:00:00" u="1"/>
        <d v="2018-07-25T04:00:00" u="1"/>
        <d v="2017-07-25T06:00:00" u="1"/>
        <d v="2018-07-25T05:00:00" u="1"/>
        <d v="2017-07-25T07:00:00" u="1"/>
        <d v="2018-07-25T06:00:00" u="1"/>
        <d v="2017-07-25T08:00:00" u="1"/>
        <d v="2017-11-09T00:00:00" u="1"/>
        <d v="2018-07-25T07:00:00" u="1"/>
        <d v="2017-07-25T09:00:00" u="1"/>
        <d v="2017-11-09T01:00:00" u="1"/>
        <d v="2018-07-25T08:00:00" u="1"/>
        <d v="2017-07-25T10:00:00" u="1"/>
        <d v="2017-11-09T02:00:00" u="1"/>
        <d v="2018-07-25T09:00:00" u="1"/>
        <d v="2017-07-25T11:00:00" u="1"/>
        <d v="2017-11-09T03:00:00" u="1"/>
        <d v="2017-12-05T01:00:00" u="1"/>
        <d v="2018-07-25T10:00:00" u="1"/>
        <d v="2017-07-25T12:00:00" u="1"/>
        <d v="2017-11-09T04:00:00" u="1"/>
        <d v="2017-12-05T02:00:00" u="1"/>
        <d v="2018-07-25T11:00:00" u="1"/>
        <d v="2017-07-25T13: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07-25T22:00:00" u="1"/>
        <d v="2017-11-09T14:00:00" u="1"/>
        <d v="2017-12-05T12:00:00" u="1"/>
        <d v="2018-06-29T23:00:00" u="1"/>
        <d v="2018-07-25T21:00:00" u="1"/>
        <d v="2017-07-25T23: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8-07-27T05:00:00" u="1"/>
        <d v="2017-07-27T07:00:00" u="1"/>
        <d v="2017-09-19T03:00:00" u="1"/>
        <d v="2018-07-27T06:00:00" u="1"/>
        <d v="2017-07-27T08:00:00" u="1"/>
        <d v="2017-11-11T00:00:00" u="1"/>
        <d v="2018-07-27T07:00:00" u="1"/>
        <d v="2017-07-27T09:00:00" u="1"/>
        <d v="2018-07-27T08:00:00" u="1"/>
        <d v="2017-07-27T10:00:00" u="1"/>
        <d v="2018-07-27T09:00:00" u="1"/>
        <d v="2017-07-27T11:00:00" u="1"/>
        <d v="2017-12-07T01:00:00" u="1"/>
        <d v="2018-07-27T10:00:00" u="1"/>
        <d v="2017-07-27T12:00:00" u="1"/>
        <d v="2018-07-27T11:00:00" u="1"/>
        <d v="2017-07-27T13:00:00" u="1"/>
        <d v="2017-09-19T09:00:00" u="1"/>
        <d v="2017-12-07T03:00:00" u="1"/>
        <d v="2018-07-27T12:00:00" u="1"/>
        <d v="2017-07-27T14:00:00" u="1"/>
        <d v="2017-09-19T10:00:00" u="1"/>
        <d v="2018-07-27T13:00:00" u="1"/>
        <d v="2017-07-27T15:00:00" u="1"/>
        <d v="2017-09-19T11:00:00" u="1"/>
        <d v="2018-07-27T14:00:00" u="1"/>
        <d v="2017-07-27T16:00:00" u="1"/>
        <d v="2017-09-19T12:00:00" u="1"/>
        <d v="2018-07-27T15:00:00" u="1"/>
        <d v="2017-07-27T17:00:00" u="1"/>
        <d v="2017-09-19T13:00:00" u="1"/>
        <d v="2018-07-27T16:00:00" u="1"/>
        <d v="2017-07-27T18:00:00" u="1"/>
        <d v="2018-07-27T17:00:00" u="1"/>
        <d v="2017-07-27T19:00:00" u="1"/>
        <d v="2017-12-07T09:00:00" u="1"/>
        <d v="2018-07-27T18:00:00" u="1"/>
        <d v="2017-07-27T20:00:00" u="1"/>
        <d v="2017-09-19T16:00:00" u="1"/>
        <d v="2018-07-27T19:00:00" u="1"/>
        <d v="2017-07-27T21:00:00" u="1"/>
        <d v="2017-09-19T17:00:00" u="1"/>
        <d v="2017-12-07T11:00:00" u="1"/>
        <d v="2018-07-27T20:00:00" u="1"/>
        <d v="2017-07-27T22:00:00" u="1"/>
        <d v="2017-09-19T19:00:00" u="1"/>
        <d v="2017-12-07T13:00:00" u="1"/>
        <d v="2017-12-07T14:00:00" u="1"/>
        <d v="2019-07-27T22:00:00" u="1"/>
        <d v="2017-09-19T21:00:00" u="1"/>
        <d v="2017-12-07T15:00:00" u="1"/>
        <d v="2019-07-27T23: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8-07-31T22:00:00" u="1"/>
        <d v="2017-11-15T16:00:00" u="1"/>
        <d v="2018-07-31T23: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1654500000000001" maxValue="1.1718" count="24">
        <n v="1.16595"/>
        <n v="1.1663600000000001"/>
        <n v="1.1660200000000001"/>
        <n v="1.1658500000000001"/>
        <n v="1.16597"/>
        <n v="1.1664099999999999"/>
        <n v="1.16608"/>
        <n v="1.1657900000000001"/>
        <n v="1.1654500000000001"/>
        <n v="1.1656299999999999"/>
        <n v="1.16642"/>
        <n v="1.16631"/>
        <n v="1.1673199999999999"/>
        <n v="1.16761"/>
        <n v="1.1692"/>
        <n v="1.16862"/>
        <n v="1.1687000000000001"/>
        <n v="1.1694599999999999"/>
        <n v="1.17099"/>
        <n v="1.17154"/>
        <n v="1.1718"/>
        <n v="1.17171"/>
        <n v="1.17167"/>
        <n v="1.17134"/>
      </sharedItems>
    </cacheField>
    <cacheField name="LASTBARL" numFmtId="0" sqlType="6">
      <sharedItems containsSemiMixedTypes="0" containsString="0" containsNumber="1" minValue="1.16473" maxValue="1.1709799999999999" count="24">
        <n v="1.1654899999999999"/>
        <n v="1.16543"/>
        <n v="1.1652499999999999"/>
        <n v="1.16561"/>
        <n v="1.16574"/>
        <n v="1.1655199999999999"/>
        <n v="1.1650700000000001"/>
        <n v="1.16492"/>
        <n v="1.16499"/>
        <n v="1.16523"/>
        <n v="1.1652899999999999"/>
        <n v="1.1651899999999999"/>
        <n v="1.16473"/>
        <n v="1.1663699999999999"/>
        <n v="1.16736"/>
        <n v="1.16764"/>
        <n v="1.1677500000000001"/>
        <n v="1.1677999999999999"/>
        <n v="1.1690799999999999"/>
        <n v="1.1698500000000001"/>
        <n v="1.1707000000000001"/>
        <n v="1.1709799999999999"/>
        <n v="1.1708000000000001"/>
        <n v="1.17075"/>
      </sharedItems>
    </cacheField>
    <cacheField name="FORECASTH_PREV" numFmtId="0" sqlType="6">
      <sharedItems containsString="0" containsBlank="1" containsNumber="1" minValue="1.1651560000000001" maxValue="1.171821" count="25">
        <n v="1.166906"/>
        <n v="1.165872"/>
        <n v="1.1663790000000001"/>
        <n v="1.165694"/>
        <n v="1.16588"/>
        <m/>
        <n v="1.1661969999999999"/>
        <n v="1.1664140000000001"/>
        <n v="1.165988"/>
        <n v="1.1660239999999999"/>
        <n v="1.1651560000000001"/>
        <n v="1.1655249999999999"/>
        <n v="1.165799"/>
        <n v="1.1659930000000001"/>
        <n v="1.1675180000000001"/>
        <n v="1.168121"/>
        <n v="1.1690940000000001"/>
        <n v="1.1684140000000001"/>
        <n v="1.1687829999999999"/>
        <n v="1.1703650000000001"/>
        <n v="1.1715949999999999"/>
        <n v="1.1714690000000001"/>
        <n v="1.171821"/>
        <n v="1.1717089999999999"/>
        <n v="1.171225"/>
      </sharedItems>
    </cacheField>
    <cacheField name="FORECASTL_PREV" numFmtId="0" sqlType="6">
      <sharedItems containsString="0" containsBlank="1" containsNumber="1" minValue="1.1645479999999999" maxValue="1.1708419999999999" count="25">
        <n v="1.165489"/>
        <n v="1.1648970000000001"/>
        <n v="1.1655949999999999"/>
        <n v="1.16533"/>
        <n v="1.1655439999999999"/>
        <m/>
        <n v="1.1657409999999999"/>
        <n v="1.165486"/>
        <n v="1.165243"/>
        <n v="1.1654450000000001"/>
        <n v="1.1645479999999999"/>
        <n v="1.1648989999999999"/>
        <n v="1.16489"/>
        <n v="1.164588"/>
        <n v="1.1657839999999999"/>
        <n v="1.1667590000000001"/>
        <n v="1.1675610000000001"/>
        <n v="1.16706"/>
        <n v="1.167141"/>
        <n v="1.168493"/>
        <n v="1.169942"/>
        <n v="1.1700459999999999"/>
        <n v="1.1708419999999999"/>
        <n v="1.1707609999999999"/>
        <n v="1.1703190000000001"/>
      </sharedItems>
    </cacheField>
    <cacheField name="BarWidth" numFmtId="0" formula="LASTBARH-LASTBARL" databaseField="0"/>
    <cacheField name="errH" numFmtId="0" formula="IF(FORECASTH_PREV&gt;0,ABS(LASTBARH-FORECASTH_PREV),0)"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25">
  <r>
    <x v="0"/>
    <x v="0"/>
    <x v="0"/>
    <x v="0"/>
    <x v="0"/>
    <x v="0"/>
    <x v="0"/>
    <x v="0"/>
    <x v="0"/>
    <x v="0"/>
    <x v="0"/>
    <x v="0"/>
    <x v="0"/>
    <x v="0"/>
  </r>
  <r>
    <x v="1"/>
    <x v="0"/>
    <x v="0"/>
    <x v="1"/>
    <x v="0"/>
    <x v="1"/>
    <x v="0"/>
    <x v="0"/>
    <x v="0"/>
    <x v="0"/>
    <x v="0"/>
    <x v="0"/>
    <x v="0"/>
    <x v="0"/>
  </r>
  <r>
    <x v="2"/>
    <x v="0"/>
    <x v="1"/>
    <x v="2"/>
    <x v="0"/>
    <x v="2"/>
    <x v="0"/>
    <x v="0"/>
    <x v="0"/>
    <x v="0"/>
    <x v="0"/>
    <x v="0"/>
    <x v="0"/>
    <x v="0"/>
  </r>
  <r>
    <x v="3"/>
    <x v="0"/>
    <x v="0"/>
    <x v="1"/>
    <x v="0"/>
    <x v="2"/>
    <x v="0"/>
    <x v="0"/>
    <x v="0"/>
    <x v="0"/>
    <x v="0"/>
    <x v="0"/>
    <x v="0"/>
    <x v="0"/>
  </r>
  <r>
    <x v="4"/>
    <x v="0"/>
    <x v="0"/>
    <x v="1"/>
    <x v="0"/>
    <x v="2"/>
    <x v="0"/>
    <x v="0"/>
    <x v="0"/>
    <x v="0"/>
    <x v="0"/>
    <x v="0"/>
    <x v="0"/>
    <x v="0"/>
  </r>
  <r>
    <x v="5"/>
    <x v="0"/>
    <x v="0"/>
    <x v="1"/>
    <x v="0"/>
    <x v="2"/>
    <x v="0"/>
    <x v="0"/>
    <x v="0"/>
    <x v="0"/>
    <x v="0"/>
    <x v="0"/>
    <x v="0"/>
    <x v="0"/>
  </r>
  <r>
    <x v="6"/>
    <x v="0"/>
    <x v="0"/>
    <x v="1"/>
    <x v="0"/>
    <x v="2"/>
    <x v="0"/>
    <x v="0"/>
    <x v="0"/>
    <x v="0"/>
    <x v="0"/>
    <x v="0"/>
    <x v="0"/>
    <x v="0"/>
  </r>
  <r>
    <x v="7"/>
    <x v="0"/>
    <x v="0"/>
    <x v="1"/>
    <x v="0"/>
    <x v="2"/>
    <x v="0"/>
    <x v="0"/>
    <x v="0"/>
    <x v="0"/>
    <x v="0"/>
    <x v="0"/>
    <x v="0"/>
    <x v="0"/>
  </r>
  <r>
    <x v="8"/>
    <x v="0"/>
    <x v="0"/>
    <x v="1"/>
    <x v="0"/>
    <x v="2"/>
    <x v="0"/>
    <x v="0"/>
    <x v="0"/>
    <x v="0"/>
    <x v="0"/>
    <x v="0"/>
    <x v="0"/>
    <x v="0"/>
  </r>
  <r>
    <x v="9"/>
    <x v="0"/>
    <x v="2"/>
    <x v="1"/>
    <x v="0"/>
    <x v="2"/>
    <x v="0"/>
    <x v="0"/>
    <x v="0"/>
    <x v="0"/>
    <x v="0"/>
    <x v="0"/>
    <x v="0"/>
    <x v="0"/>
  </r>
  <r>
    <x v="10"/>
    <x v="0"/>
    <x v="2"/>
    <x v="1"/>
    <x v="0"/>
    <x v="2"/>
    <x v="0"/>
    <x v="0"/>
    <x v="0"/>
    <x v="0"/>
    <x v="0"/>
    <x v="0"/>
    <x v="0"/>
    <x v="0"/>
  </r>
  <r>
    <x v="11"/>
    <x v="0"/>
    <x v="2"/>
    <x v="2"/>
    <x v="0"/>
    <x v="3"/>
    <x v="0"/>
    <x v="0"/>
    <x v="0"/>
    <x v="0"/>
    <x v="0"/>
    <x v="0"/>
    <x v="0"/>
    <x v="0"/>
  </r>
  <r>
    <x v="12"/>
    <x v="0"/>
    <x v="0"/>
    <x v="0"/>
    <x v="0"/>
    <x v="2"/>
    <x v="0"/>
    <x v="0"/>
    <x v="0"/>
    <x v="0"/>
    <x v="0"/>
    <x v="0"/>
    <x v="0"/>
    <x v="0"/>
  </r>
  <r>
    <x v="13"/>
    <x v="0"/>
    <x v="0"/>
    <x v="0"/>
    <x v="0"/>
    <x v="0"/>
    <x v="0"/>
    <x v="0"/>
    <x v="0"/>
    <x v="0"/>
    <x v="0"/>
    <x v="0"/>
    <x v="0"/>
    <x v="0"/>
  </r>
  <r>
    <x v="14"/>
    <x v="0"/>
    <x v="1"/>
    <x v="1"/>
    <x v="0"/>
    <x v="2"/>
    <x v="0"/>
    <x v="0"/>
    <x v="0"/>
    <x v="0"/>
    <x v="0"/>
    <x v="0"/>
    <x v="0"/>
    <x v="0"/>
  </r>
  <r>
    <x v="15"/>
    <x v="0"/>
    <x v="2"/>
    <x v="2"/>
    <x v="0"/>
    <x v="2"/>
    <x v="0"/>
    <x v="0"/>
    <x v="0"/>
    <x v="0"/>
    <x v="0"/>
    <x v="0"/>
    <x v="0"/>
    <x v="0"/>
  </r>
  <r>
    <x v="16"/>
    <x v="0"/>
    <x v="2"/>
    <x v="2"/>
    <x v="0"/>
    <x v="2"/>
    <x v="0"/>
    <x v="0"/>
    <x v="0"/>
    <x v="0"/>
    <x v="0"/>
    <x v="0"/>
    <x v="0"/>
    <x v="0"/>
  </r>
  <r>
    <x v="17"/>
    <x v="0"/>
    <x v="2"/>
    <x v="2"/>
    <x v="0"/>
    <x v="0"/>
    <x v="0"/>
    <x v="0"/>
    <x v="0"/>
    <x v="0"/>
    <x v="0"/>
    <x v="0"/>
    <x v="0"/>
    <x v="0"/>
  </r>
  <r>
    <x v="18"/>
    <x v="0"/>
    <x v="0"/>
    <x v="1"/>
    <x v="0"/>
    <x v="1"/>
    <x v="0"/>
    <x v="0"/>
    <x v="0"/>
    <x v="0"/>
    <x v="0"/>
    <x v="0"/>
    <x v="0"/>
    <x v="0"/>
  </r>
  <r>
    <x v="19"/>
    <x v="0"/>
    <x v="2"/>
    <x v="2"/>
    <x v="0"/>
    <x v="2"/>
    <x v="0"/>
    <x v="0"/>
    <x v="0"/>
    <x v="0"/>
    <x v="0"/>
    <x v="0"/>
    <x v="0"/>
    <x v="0"/>
  </r>
  <r>
    <x v="20"/>
    <x v="0"/>
    <x v="1"/>
    <x v="1"/>
    <x v="0"/>
    <x v="2"/>
    <x v="0"/>
    <x v="0"/>
    <x v="0"/>
    <x v="0"/>
    <x v="0"/>
    <x v="0"/>
    <x v="0"/>
    <x v="0"/>
  </r>
  <r>
    <x v="21"/>
    <x v="0"/>
    <x v="0"/>
    <x v="1"/>
    <x v="0"/>
    <x v="2"/>
    <x v="0"/>
    <x v="0"/>
    <x v="0"/>
    <x v="0"/>
    <x v="0"/>
    <x v="0"/>
    <x v="0"/>
    <x v="0"/>
  </r>
  <r>
    <x v="22"/>
    <x v="0"/>
    <x v="1"/>
    <x v="2"/>
    <x v="0"/>
    <x v="2"/>
    <x v="0"/>
    <x v="0"/>
    <x v="0"/>
    <x v="0"/>
    <x v="0"/>
    <x v="0"/>
    <x v="0"/>
    <x v="0"/>
  </r>
  <r>
    <x v="23"/>
    <x v="0"/>
    <x v="0"/>
    <x v="3"/>
    <x v="0"/>
    <x v="2"/>
    <x v="0"/>
    <x v="0"/>
    <x v="0"/>
    <x v="0"/>
    <x v="0"/>
    <x v="0"/>
    <x v="0"/>
    <x v="0"/>
  </r>
  <r>
    <x v="24"/>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25">
  <r>
    <x v="0"/>
    <x v="0"/>
    <x v="0"/>
    <x v="0"/>
    <x v="0"/>
    <x v="0"/>
    <x v="0"/>
    <x v="0"/>
    <x v="0"/>
  </r>
  <r>
    <x v="0"/>
    <x v="0"/>
    <x v="1"/>
    <x v="0"/>
    <x v="1"/>
    <x v="1"/>
    <x v="0"/>
    <x v="1"/>
    <x v="1"/>
  </r>
  <r>
    <x v="0"/>
    <x v="0"/>
    <x v="2"/>
    <x v="0"/>
    <x v="2"/>
    <x v="2"/>
    <x v="1"/>
    <x v="2"/>
    <x v="2"/>
  </r>
  <r>
    <x v="0"/>
    <x v="0"/>
    <x v="3"/>
    <x v="0"/>
    <x v="3"/>
    <x v="3"/>
    <x v="2"/>
    <x v="3"/>
    <x v="3"/>
  </r>
  <r>
    <x v="0"/>
    <x v="0"/>
    <x v="4"/>
    <x v="0"/>
    <x v="4"/>
    <x v="4"/>
    <x v="3"/>
    <x v="4"/>
    <x v="4"/>
  </r>
  <r>
    <x v="0"/>
    <x v="0"/>
    <x v="5"/>
    <x v="0"/>
    <x v="5"/>
    <x v="4"/>
    <x v="4"/>
    <x v="5"/>
    <x v="5"/>
  </r>
  <r>
    <x v="0"/>
    <x v="0"/>
    <x v="6"/>
    <x v="0"/>
    <x v="6"/>
    <x v="5"/>
    <x v="5"/>
    <x v="6"/>
    <x v="6"/>
  </r>
  <r>
    <x v="0"/>
    <x v="0"/>
    <x v="7"/>
    <x v="0"/>
    <x v="7"/>
    <x v="6"/>
    <x v="6"/>
    <x v="7"/>
    <x v="7"/>
  </r>
  <r>
    <x v="0"/>
    <x v="0"/>
    <x v="8"/>
    <x v="0"/>
    <x v="8"/>
    <x v="7"/>
    <x v="7"/>
    <x v="8"/>
    <x v="8"/>
  </r>
  <r>
    <x v="0"/>
    <x v="0"/>
    <x v="5"/>
    <x v="0"/>
    <x v="9"/>
    <x v="8"/>
    <x v="8"/>
    <x v="9"/>
    <x v="9"/>
  </r>
  <r>
    <x v="0"/>
    <x v="0"/>
    <x v="9"/>
    <x v="0"/>
    <x v="10"/>
    <x v="9"/>
    <x v="9"/>
    <x v="10"/>
    <x v="10"/>
  </r>
  <r>
    <x v="0"/>
    <x v="0"/>
    <x v="5"/>
    <x v="0"/>
    <x v="11"/>
    <x v="10"/>
    <x v="10"/>
    <x v="11"/>
    <x v="11"/>
  </r>
  <r>
    <x v="0"/>
    <x v="0"/>
    <x v="10"/>
    <x v="0"/>
    <x v="12"/>
    <x v="11"/>
    <x v="11"/>
    <x v="12"/>
    <x v="12"/>
  </r>
  <r>
    <x v="0"/>
    <x v="0"/>
    <x v="11"/>
    <x v="0"/>
    <x v="13"/>
    <x v="12"/>
    <x v="12"/>
    <x v="13"/>
    <x v="13"/>
  </r>
  <r>
    <x v="0"/>
    <x v="0"/>
    <x v="12"/>
    <x v="0"/>
    <x v="14"/>
    <x v="13"/>
    <x v="13"/>
    <x v="14"/>
    <x v="14"/>
  </r>
  <r>
    <x v="0"/>
    <x v="0"/>
    <x v="13"/>
    <x v="0"/>
    <x v="15"/>
    <x v="14"/>
    <x v="14"/>
    <x v="15"/>
    <x v="15"/>
  </r>
  <r>
    <x v="0"/>
    <x v="0"/>
    <x v="14"/>
    <x v="0"/>
    <x v="16"/>
    <x v="15"/>
    <x v="15"/>
    <x v="16"/>
    <x v="16"/>
  </r>
  <r>
    <x v="0"/>
    <x v="0"/>
    <x v="15"/>
    <x v="0"/>
    <x v="17"/>
    <x v="16"/>
    <x v="16"/>
    <x v="17"/>
    <x v="17"/>
  </r>
  <r>
    <x v="0"/>
    <x v="0"/>
    <x v="16"/>
    <x v="0"/>
    <x v="18"/>
    <x v="17"/>
    <x v="17"/>
    <x v="18"/>
    <x v="18"/>
  </r>
  <r>
    <x v="0"/>
    <x v="0"/>
    <x v="17"/>
    <x v="0"/>
    <x v="19"/>
    <x v="18"/>
    <x v="18"/>
    <x v="19"/>
    <x v="19"/>
  </r>
  <r>
    <x v="0"/>
    <x v="0"/>
    <x v="18"/>
    <x v="0"/>
    <x v="20"/>
    <x v="19"/>
    <x v="19"/>
    <x v="20"/>
    <x v="20"/>
  </r>
  <r>
    <x v="0"/>
    <x v="0"/>
    <x v="19"/>
    <x v="0"/>
    <x v="21"/>
    <x v="20"/>
    <x v="20"/>
    <x v="21"/>
    <x v="21"/>
  </r>
  <r>
    <x v="0"/>
    <x v="0"/>
    <x v="20"/>
    <x v="0"/>
    <x v="22"/>
    <x v="21"/>
    <x v="21"/>
    <x v="22"/>
    <x v="22"/>
  </r>
  <r>
    <x v="0"/>
    <x v="0"/>
    <x v="21"/>
    <x v="0"/>
    <x v="23"/>
    <x v="22"/>
    <x v="22"/>
    <x v="23"/>
    <x v="23"/>
  </r>
  <r>
    <x v="0"/>
    <x v="0"/>
    <x v="22"/>
    <x v="0"/>
    <x v="24"/>
    <x v="23"/>
    <x v="23"/>
    <x v="24"/>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52" firstHeaderRow="0" firstDataRow="1" firstDataCol="1"/>
  <pivotFields count="7">
    <pivotField showAll="0" defaultSubtotal="0">
      <items count="46">
        <item m="1" x="28"/>
        <item m="1" x="18"/>
        <item m="1" x="29"/>
        <item m="1" x="43"/>
        <item m="1" x="13"/>
        <item m="1" x="20"/>
        <item m="1" x="23"/>
        <item m="1" x="30"/>
        <item m="1" x="33"/>
        <item m="1" x="35"/>
        <item m="1" x="39"/>
        <item m="1" x="44"/>
        <item m="1" x="16"/>
        <item x="3"/>
        <item m="1" x="25"/>
        <item m="1" x="27"/>
        <item x="1"/>
        <item m="1" x="42"/>
        <item m="1" x="45"/>
        <item x="4"/>
        <item m="1" x="21"/>
        <item m="1" x="37"/>
        <item x="6"/>
        <item m="1" x="40"/>
        <item m="1" x="15"/>
        <item x="2"/>
        <item x="8"/>
        <item x="5"/>
        <item x="7"/>
        <item x="9"/>
        <item x="0"/>
        <item m="1" x="38"/>
        <item m="1" x="31"/>
        <item m="1" x="22"/>
        <item m="1" x="14"/>
        <item m="1" x="41"/>
        <item m="1" x="32"/>
        <item x="10"/>
        <item m="1" x="24"/>
        <item m="1" x="17"/>
        <item m="1" x="11"/>
        <item m="1" x="34"/>
        <item m="1" x="26"/>
        <item m="1" x="19"/>
        <item m="1" x="12"/>
        <item m="1" x="36"/>
      </items>
    </pivotField>
    <pivotField showAll="0">
      <items count="615">
        <item h="1" m="1" x="324"/>
        <item h="1" m="1" x="208"/>
        <item h="1" m="1" x="403"/>
        <item h="1" m="1" x="77"/>
        <item h="1" m="1" x="209"/>
        <item h="1" m="1" x="599"/>
        <item h="1" m="1" x="541"/>
        <item h="1" m="1" x="532"/>
        <item h="1" m="1" x="162"/>
        <item h="1" m="1" x="149"/>
        <item h="1" m="1" x="193"/>
        <item h="1" m="1" x="303"/>
        <item h="1" m="1" x="344"/>
        <item h="1" m="1" x="444"/>
        <item h="1" m="1" x="183"/>
        <item h="1" m="1" x="435"/>
        <item h="1" m="1" x="236"/>
        <item h="1" m="1" x="405"/>
        <item h="1" m="1" x="393"/>
        <item h="1" m="1" x="492"/>
        <item h="1" m="1" x="156"/>
        <item h="1" m="1" x="75"/>
        <item h="1" m="1" x="123"/>
        <item h="1" m="1" x="422"/>
        <item h="1" m="1" x="556"/>
        <item h="1" m="1" x="48"/>
        <item h="1" m="1" x="200"/>
        <item h="1" m="1" x="309"/>
        <item h="1" m="1" x="381"/>
        <item h="1" m="1" x="95"/>
        <item h="1" m="1" x="431"/>
        <item h="1" x="0"/>
        <item h="1" m="1" x="120"/>
        <item h="1" m="1" x="166"/>
        <item h="1" m="1" x="186"/>
        <item h="1" m="1" x="210"/>
        <item h="1" m="1" x="410"/>
        <item h="1" m="1" x="490"/>
        <item h="1" m="1" x="524"/>
        <item h="1" m="1" x="43"/>
        <item h="1" m="1" x="255"/>
        <item h="1" m="1" x="398"/>
        <item h="1" m="1" x="533"/>
        <item h="1" m="1" x="56"/>
        <item h="1" m="1" x="228"/>
        <item h="1" m="1" x="295"/>
        <item h="1" m="1" x="195"/>
        <item h="1" m="1" x="218"/>
        <item h="1" m="1" x="270"/>
        <item h="1" m="1" x="380"/>
        <item h="1" m="1" x="464"/>
        <item h="1" m="1" x="596"/>
        <item h="1" m="1" x="407"/>
        <item h="1" m="1" x="474"/>
        <item h="1" m="1" x="520"/>
        <item h="1" m="1" x="37"/>
        <item h="1" m="1" x="102"/>
        <item h="1" m="1" x="126"/>
        <item h="1" m="1" x="267"/>
        <item h="1" m="1" x="426"/>
        <item h="1" m="1" x="480"/>
        <item h="1" m="1" x="553"/>
        <item h="1" m="1" x="608"/>
        <item h="1" m="1" x="35"/>
        <item h="1" m="1" x="62"/>
        <item h="1" m="1" x="115"/>
        <item h="1" m="1" x="334"/>
        <item h="1" m="1" x="385"/>
        <item h="1" m="1" x="518"/>
        <item h="1" m="1" x="60"/>
        <item h="1" m="1" x="82"/>
        <item h="1" m="1" x="135"/>
        <item h="1" m="1" x="159"/>
        <item h="1" m="1" x="223"/>
        <item h="1" m="1" x="237"/>
        <item h="1" m="1" x="355"/>
        <item h="1" m="1" x="361"/>
        <item h="1" m="1" x="433"/>
        <item h="1" m="1" x="473"/>
        <item h="1" m="1" x="551"/>
        <item h="1" m="1" x="81"/>
        <item h="1" m="1" x="584"/>
        <item h="1" m="1" x="179"/>
        <item h="1" m="1" x="477"/>
        <item h="1" m="1" x="486"/>
        <item h="1" m="1" x="517"/>
        <item h="1" m="1" x="538"/>
        <item h="1" m="1" x="70"/>
        <item h="1" m="1" x="215"/>
        <item h="1" m="1" x="376"/>
        <item h="1" m="1" x="406"/>
        <item h="1" m="1" x="417"/>
        <item h="1" m="1" x="442"/>
        <item h="1" m="1" x="470"/>
        <item h="1" m="1" x="506"/>
        <item h="1" m="1" x="550"/>
        <item h="1" m="1" x="558"/>
        <item h="1" m="1" x="170"/>
        <item h="1" m="1" x="214"/>
        <item h="1" m="1" x="259"/>
        <item h="1" m="1" x="280"/>
        <item h="1" m="1" x="310"/>
        <item h="1" m="1" x="448"/>
        <item h="1" m="1" x="549"/>
        <item h="1" m="1" x="587"/>
        <item h="1" m="1" x="80"/>
        <item h="1" m="1" x="114"/>
        <item h="1" m="1" x="134"/>
        <item h="1" m="1" x="264"/>
        <item h="1" m="1" x="288"/>
        <item h="1" m="1" x="340"/>
        <item h="1" m="1" x="375"/>
        <item h="1" m="1" x="461"/>
        <item h="1" m="1" x="594"/>
        <item h="1" m="1" x="613"/>
        <item h="1" m="1" x="33"/>
        <item h="1" m="1" x="98"/>
        <item h="1" m="1" x="133"/>
        <item h="1" m="1" x="145"/>
        <item h="1" m="1" x="168"/>
        <item h="1" m="1" x="191"/>
        <item h="1" m="1" x="252"/>
        <item h="1" m="1" x="287"/>
        <item h="1" m="1" x="322"/>
        <item h="1" m="1" x="331"/>
        <item h="1" m="1" x="367"/>
        <item h="1" m="1" x="423"/>
        <item h="1" m="1" x="491"/>
        <item h="1" m="1" x="387"/>
        <item h="1" m="1" x="51"/>
        <item h="1" m="1" x="69"/>
        <item h="1" m="1" x="76"/>
        <item h="1" m="1" x="177"/>
        <item h="1" m="1" x="221"/>
        <item h="1" m="1" x="274"/>
        <item h="1" m="1" x="298"/>
        <item h="1" m="1" x="59"/>
        <item h="1" m="1" x="392"/>
        <item h="1" m="1" x="113"/>
        <item h="1" m="1" x="432"/>
        <item h="1" m="1" x="441"/>
        <item h="1" m="1" x="144"/>
        <item h="1" m="1" x="234"/>
        <item h="1" m="1" x="548"/>
        <item h="1" m="1" x="603"/>
        <item h="1" m="1" x="50"/>
        <item h="1" m="1" x="112"/>
        <item h="1" m="1" x="188"/>
        <item h="1" m="1" x="201"/>
        <item h="1" m="1" x="49"/>
        <item h="1" m="1" x="374"/>
        <item h="1" m="1" x="58"/>
        <item h="1" m="1" x="143"/>
        <item h="1" m="1" x="459"/>
        <item h="1" m="1" x="243"/>
        <item h="1" m="1" x="284"/>
        <item h="1" m="1" x="297"/>
        <item h="1" m="1" x="601"/>
        <item h="1" m="1" x="611"/>
        <item h="1" m="1" x="68"/>
        <item h="1" m="1" x="74"/>
        <item h="1" m="1" x="96"/>
        <item h="1" m="1" x="121"/>
        <item h="1" m="1" x="39"/>
        <item h="1" m="1" x="131"/>
        <item h="1" m="1" x="483"/>
        <item h="1" m="1" x="219"/>
        <item h="1" m="1" x="503"/>
        <item h="1" m="1" x="262"/>
        <item h="1" m="1" x="574"/>
        <item h="1" m="1" x="307"/>
        <item h="1" m="1" x="581"/>
        <item h="1" m="1" x="415"/>
        <item h="1" m="1" x="130"/>
        <item h="1" m="1" x="153"/>
        <item h="1" m="1" x="456"/>
        <item h="1" m="1" x="211"/>
        <item h="1" m="1" x="250"/>
        <item h="1" m="1" x="547"/>
        <item h="1" m="1" x="306"/>
        <item h="1" m="1" x="78"/>
        <item h="1" m="1" x="328"/>
        <item h="1" m="1" x="600"/>
        <item h="1" m="1" x="350"/>
        <item h="1" m="1" x="46"/>
        <item h="1" m="1" x="372"/>
        <item h="1" m="1" x="108"/>
        <item h="1" m="1" x="513"/>
        <item h="1" m="1" x="273"/>
        <item h="1" m="1" x="327"/>
        <item h="1" x="1"/>
        <item h="1" m="1" x="365"/>
        <item h="1" m="1" x="371"/>
        <item h="1" m="1" x="409"/>
        <item h="1" m="1" x="93"/>
        <item h="1" m="1" x="421"/>
        <item h="1" m="1" x="64"/>
        <item h="1" m="1" x="152"/>
        <item h="1" m="1" x="175"/>
        <item h="1" m="1" x="476"/>
        <item h="1" m="1" x="198"/>
        <item h="1" m="1" x="489"/>
        <item h="1" m="1" x="497"/>
        <item h="1" m="1" x="242"/>
        <item h="1" m="1" x="256"/>
        <item h="1" m="1" x="261"/>
        <item h="1" m="1" x="282"/>
        <item h="1" m="1" x="566"/>
        <item h="1" m="1" x="571"/>
        <item h="1" m="1" x="348"/>
        <item h="1" m="1" x="57"/>
        <item h="1" m="1" x="390"/>
        <item h="1" m="1" x="399"/>
        <item h="1" m="1" x="86"/>
        <item h="1" m="1" x="106"/>
        <item h="1" m="1" x="151"/>
        <item h="1" m="1" x="229"/>
        <item h="1" m="1" x="555"/>
        <item h="1" m="1" x="296"/>
        <item h="1" x="2"/>
        <item h="1" m="1" x="347"/>
        <item h="1" m="1" x="364"/>
        <item h="1" m="1" x="42"/>
        <item h="1" m="1" x="370"/>
        <item h="1" m="1" x="408"/>
        <item h="1" m="1" x="164"/>
        <item h="1" m="1" x="466"/>
        <item h="1" m="1" x="496"/>
        <item h="1" m="1" x="137"/>
        <item h="1" m="1" x="241"/>
        <item h="1" m="1" x="523"/>
        <item h="1" m="1" x="281"/>
        <item h="1" m="1" x="580"/>
        <item h="1" m="1" x="326"/>
        <item h="1" m="1" x="592"/>
        <item h="1" m="1" x="292"/>
        <item h="1" m="1" x="66"/>
        <item h="1" m="1" x="397"/>
        <item h="1" m="1" x="119"/>
        <item h="1" m="1" x="34"/>
        <item h="1" m="1" x="129"/>
        <item h="1" m="1" x="446"/>
        <item h="1" m="1" x="488"/>
        <item h="1" m="1" x="207"/>
        <item h="1" m="1" x="495"/>
        <item h="1" m="1" x="502"/>
        <item h="1" m="1" x="463"/>
        <item h="1" m="1" x="271"/>
        <item h="1" m="1" x="305"/>
        <item h="1" m="1" x="579"/>
        <item h="1" m="1" x="316"/>
        <item h="1" m="1" x="527"/>
        <item h="1" m="1" x="337"/>
        <item h="1" m="1" x="41"/>
        <item h="1" x="3"/>
        <item h="1" m="1" x="389"/>
        <item h="1" m="1" x="105"/>
        <item h="1" m="1" x="117"/>
        <item h="1" m="1" x="141"/>
        <item h="1" m="1" x="163"/>
        <item h="1" m="1" x="465"/>
        <item h="1" m="1" x="475"/>
        <item h="1" m="1" x="196"/>
        <item h="1" m="1" x="136"/>
        <item h="1" m="1" x="227"/>
        <item h="1" m="1" x="542"/>
        <item h="1" m="1" x="260"/>
        <item h="1" m="1" x="560"/>
        <item h="1" m="1" x="293"/>
        <item h="1" x="4"/>
        <item h="1" m="1" x="591"/>
        <item h="1" m="1" x="336"/>
        <item h="1" m="1" x="346"/>
        <item h="1" m="1" x="40"/>
        <item h="1" x="5"/>
        <item h="1" m="1" x="72"/>
        <item h="1" m="1" x="91"/>
        <item h="1" m="1" x="437"/>
        <item h="1" m="1" x="194"/>
        <item h="1" m="1" x="206"/>
        <item h="1" m="1" x="226"/>
        <item h="1" m="1" x="248"/>
        <item h="1" m="1" x="570"/>
        <item h="1" m="1" x="325"/>
        <item h="1" m="1" x="597"/>
        <item h="1" m="1" x="345"/>
        <item h="1" m="1" x="65"/>
        <item h="1" m="1" x="388"/>
        <item h="1" m="1" x="90"/>
        <item h="1" m="1" x="104"/>
        <item h="1" m="1" x="420"/>
        <item h="1" m="1" x="116"/>
        <item h="1" x="6"/>
        <item h="1" m="1" x="53"/>
        <item h="1" m="1" x="140"/>
        <item h="1" m="1" x="455"/>
        <item h="1" m="1" x="184"/>
        <item h="1" m="1" x="522"/>
        <item h="1" m="1" x="247"/>
        <item h="1" m="1" x="540"/>
        <item h="1" m="1" x="216"/>
        <item h="1" m="1" x="507"/>
        <item h="1" m="1" x="590"/>
        <item h="1" m="1" x="335"/>
        <item h="1" m="1" x="358"/>
        <item h="1" m="1" x="31"/>
        <item h="1" m="1" x="38"/>
        <item h="1" m="1" x="369"/>
        <item h="1" m="1" x="84"/>
        <item h="1" m="1" x="89"/>
        <item h="1" m="1" x="103"/>
        <item h="1" m="1" x="419"/>
        <item h="1" m="1" x="428"/>
        <item h="1" m="1" x="128"/>
        <item h="1" m="1" x="172"/>
        <item h="1" m="1" x="481"/>
        <item h="1" m="1" x="511"/>
        <item h="1" m="1" x="240"/>
        <item h="1" m="1" x="521"/>
        <item h="1" m="1" x="531"/>
        <item h="1" m="1" x="539"/>
        <item h="1" m="1" x="269"/>
        <item h="1" m="1" x="277"/>
        <item h="1" m="1" x="315"/>
        <item h="1" m="1" x="609"/>
        <item h="1" m="1" x="275"/>
        <item h="1" m="1" x="396"/>
        <item h="1" m="1" x="127"/>
        <item h="1" m="1" x="445"/>
        <item h="1" m="1" x="161"/>
        <item h="1" m="1" x="217"/>
        <item h="1" m="1" x="225"/>
        <item h="1" m="1" x="239"/>
        <item h="1" m="1" x="246"/>
        <item h="1" m="1" x="530"/>
        <item h="1" m="1" x="268"/>
        <item h="1" m="1" x="554"/>
        <item h="1" m="1" x="569"/>
        <item h="1" m="1" x="578"/>
        <item h="1" m="1" x="357"/>
        <item h="1" m="1" x="386"/>
        <item h="1" m="1" x="427"/>
        <item h="1" m="1" x="139"/>
        <item h="1" m="1" x="150"/>
        <item h="1" m="1" x="510"/>
        <item h="1" m="1" x="146"/>
        <item h="1" m="1" x="519"/>
        <item h="1" m="1" x="245"/>
        <item h="1" m="1" x="529"/>
        <item h="1" m="1" x="545"/>
        <item h="1" m="1" x="266"/>
        <item h="1" m="1" x="411"/>
        <item h="1" m="1" x="568"/>
        <item h="1" m="1" x="304"/>
        <item h="1" m="1" x="577"/>
        <item h="1" m="1" x="167"/>
        <item h="1" m="1" x="468"/>
        <item h="1" m="1" x="176"/>
        <item h="1" m="1" x="213"/>
        <item h="1" m="1" x="363"/>
        <item h="1" m="1" x="498"/>
        <item h="1" m="1" x="36"/>
        <item h="1" m="1" x="505"/>
        <item h="1" m="1" x="63"/>
        <item h="1" x="7"/>
        <item h="1" m="1" x="525"/>
        <item h="1" m="1" x="251"/>
        <item h="1" m="1" x="537"/>
        <item h="1" m="1" x="258"/>
        <item h="1" m="1" x="263"/>
        <item h="1" x="8"/>
        <item h="1" m="1" x="557"/>
        <item h="1" m="1" x="425"/>
        <item h="1" m="1" x="286"/>
        <item h="1" m="1" x="138"/>
        <item h="1" m="1" x="454"/>
        <item h="1" m="1" x="321"/>
        <item h="1" m="1" x="586"/>
        <item h="1" m="1" x="330"/>
        <item h="1" m="1" x="339"/>
        <item h="1" m="1" x="604"/>
        <item h="1" m="1" x="352"/>
        <item h="1" m="1" x="359"/>
        <item h="1" m="1" x="366"/>
        <item h="1" m="1" x="501"/>
        <item h="1" m="1" x="509"/>
        <item h="1" m="1" x="528"/>
        <item h="1" m="1" x="253"/>
        <item h="1" m="1" x="402"/>
        <item h="1" m="1" x="122"/>
        <item h="1" m="1" x="132"/>
        <item h="1" m="1" x="314"/>
        <item h="1" m="1" x="460"/>
        <item h="1" m="1" x="189"/>
        <item h="1" m="1" x="202"/>
        <item h="1" m="1" x="30"/>
        <item h="1" m="1" x="212"/>
        <item h="1" m="1" x="379"/>
        <item h="1" m="1" x="605"/>
        <item h="1" m="1" x="61"/>
        <item h="1" m="1" x="536"/>
        <item h="1" m="1" x="83"/>
        <item h="1" m="1" x="88"/>
        <item h="1" m="1" x="101"/>
        <item h="1" m="1" x="424"/>
        <item h="1" m="1" x="567"/>
        <item h="1" m="1" x="576"/>
        <item h="1" m="1" x="148"/>
        <item h="1" x="9"/>
        <item h="1" m="1" x="338"/>
        <item h="1" m="1" x="479"/>
        <item h="1" m="1" x="192"/>
        <item h="1" m="1" x="452"/>
        <item h="1" m="1" x="224"/>
        <item h="1" m="1" x="238"/>
        <item h="1" m="1" x="383"/>
        <item h="1" m="1" x="44"/>
        <item h="1" m="1" x="412"/>
        <item h="1" m="1" x="544"/>
        <item h="1" m="1" x="265"/>
        <item h="1" m="1" x="111"/>
        <item h="1" m="1" x="291"/>
        <item h="1" m="1" x="440"/>
        <item h="1" m="1" x="302"/>
        <item h="1" m="1" x="155"/>
        <item h="1" m="1" x="589"/>
        <item h="1" m="1" x="343"/>
        <item h="1" m="1" x="362"/>
        <item h="1" m="1" x="220"/>
        <item h="1" m="1" x="55"/>
        <item h="1" m="1" x="233"/>
        <item h="1" m="1" x="515"/>
        <item h="1" m="1" x="100"/>
        <item h="1" m="1" x="285"/>
        <item h="1" m="1" x="436"/>
        <item h="1" m="1" x="575"/>
        <item h="1" m="1" x="160"/>
        <item h="1" m="1" x="329"/>
        <item h="1" m="1" x="182"/>
        <item h="1" m="1" x="478"/>
        <item h="1" m="1" x="602"/>
        <item h="1" m="1" x="351"/>
        <item h="1" m="1" x="612"/>
        <item h="1" m="1" x="205"/>
        <item h="1" m="1" x="47"/>
        <item h="1" m="1" x="373"/>
        <item h="1" m="1" x="382"/>
        <item h="1" x="10"/>
        <item h="1" m="1" x="97"/>
        <item h="1" m="1" x="110"/>
        <item h="1" m="1" x="276"/>
        <item h="1" m="1" x="559"/>
        <item h="1" m="1" x="290"/>
        <item h="1" m="1" x="301"/>
        <item h="1" m="1" x="154"/>
        <item h="1" m="1" x="313"/>
        <item h="1" m="1" x="458"/>
        <item h="1" m="1" x="333"/>
        <item h="1" m="1" x="342"/>
        <item h="1" m="1" x="484"/>
        <item h="1" m="1" x="356"/>
        <item h="1" m="1" x="504"/>
        <item h="1" m="1" x="54"/>
        <item h="1" m="1" x="232"/>
        <item h="1" m="1" x="378"/>
        <item h="1" x="11"/>
        <item h="1" x="12"/>
        <item h="1" m="1" x="543"/>
        <item h="1" m="1" x="87"/>
        <item h="1" m="1" x="418"/>
        <item h="1" m="1" x="562"/>
        <item h="1" m="1" x="125"/>
        <item h="1" m="1" x="283"/>
        <item h="1" m="1" x="434"/>
        <item h="1" x="13"/>
        <item h="1" m="1" x="308"/>
        <item h="1" m="1" x="582"/>
        <item h="1" m="1" x="320"/>
        <item h="1" m="1" x="181"/>
        <item h="1" m="1" x="487"/>
        <item h="1" m="1" x="494"/>
        <item h="1" m="1" x="32"/>
        <item h="1" m="1" x="500"/>
        <item h="1" m="1" x="508"/>
        <item h="1" m="1" x="67"/>
        <item h="1" m="1" x="401"/>
        <item h="1" m="1" x="94"/>
        <item h="1" m="1" x="416"/>
        <item h="1" m="1" x="552"/>
        <item h="1" m="1" x="109"/>
        <item h="1" m="1" x="430"/>
        <item h="1" m="1" x="289"/>
        <item h="1" m="1" x="312"/>
        <item h="1" m="1" x="457"/>
        <item h="1" m="1" x="588"/>
        <item h="1" m="1" x="187"/>
        <item h="1" m="1" x="447"/>
        <item h="1" m="1" x="607"/>
        <item h="1" m="1" x="199"/>
        <item h="1" x="14"/>
        <item h="1" m="1" x="514"/>
        <item h="1" m="1" x="257"/>
        <item h="1" m="1" x="279"/>
        <item h="1" m="1" x="443"/>
        <item h="1" m="1" x="453"/>
        <item h="1" m="1" x="319"/>
        <item h="1" m="1" x="585"/>
        <item h="1" m="1" x="171"/>
        <item h="1" m="1" x="472"/>
        <item h="1" m="1" x="180"/>
        <item h="1" m="1" x="222"/>
        <item h="1" m="1" x="429"/>
        <item h="1" m="1" x="439"/>
        <item h="1" m="1" x="165"/>
        <item h="1" m="1" x="606"/>
        <item h="1" m="1" x="231"/>
        <item h="1" m="1" x="377"/>
        <item h="1" m="1" x="384"/>
        <item h="1" m="1" x="71"/>
        <item h="1" m="1" x="395"/>
        <item h="1" m="1" x="535"/>
        <item h="1" m="1" x="546"/>
        <item h="1" m="1" x="573"/>
        <item h="1" m="1" x="593"/>
        <item h="1" m="1" x="349"/>
        <item h="1" m="1" x="169"/>
        <item h="1" m="1" x="45"/>
        <item h="1" x="15"/>
        <item h="1" m="1" x="73"/>
        <item h="1" m="1" x="414"/>
        <item h="1" m="1" x="107"/>
        <item h="1" m="1" x="354"/>
        <item h="1" m="1" x="52"/>
        <item h="1" m="1" x="512"/>
        <item h="1" m="1" x="272"/>
        <item h="1" m="1" x="572"/>
        <item h="1" m="1" x="318"/>
        <item h="1" m="1" x="471"/>
        <item h="1" m="1" x="204"/>
        <item h="1" m="1" x="244"/>
        <item h="1" m="1" x="391"/>
        <item h="1" m="1" x="526"/>
        <item h="1" m="1" x="400"/>
        <item h="1" x="16"/>
        <item h="1" m="1" x="438"/>
        <item h="1" m="1" x="311"/>
        <item h="1" m="1" x="323"/>
        <item h="1" m="1" x="467"/>
        <item h="1" x="17"/>
        <item h="1" m="1" x="595"/>
        <item h="1" m="1" x="185"/>
        <item h="1" m="1" x="341"/>
        <item h="1" m="1" x="230"/>
        <item h="1" m="1" x="534"/>
        <item h="1" m="1" x="561"/>
        <item h="1" m="1" x="450"/>
        <item h="1" m="1" x="158"/>
        <item h="1" m="1" x="178"/>
        <item h="1" m="1" x="485"/>
        <item h="1" m="1" x="85"/>
        <item h="1" x="18"/>
        <item h="1" m="1" x="174"/>
        <item h="1" x="19"/>
        <item h="1" m="1" x="449"/>
        <item h="1" x="20"/>
        <item h="1" x="21"/>
        <item h="1" m="1" x="610"/>
        <item h="1" m="1" x="516"/>
        <item h="1" m="1" x="92"/>
        <item h="1" m="1" x="300"/>
        <item h="1" m="1" x="173"/>
        <item h="1" m="1" x="482"/>
        <item h="1" m="1" x="249"/>
        <item h="1" m="1" x="565"/>
        <item h="1" m="1" x="294"/>
        <item h="1" m="1" x="317"/>
        <item h="1" m="1" x="469"/>
        <item h="1" m="1" x="598"/>
        <item h="1" m="1" x="203"/>
        <item h="1" m="1" x="118"/>
        <item h="1" m="1" x="142"/>
        <item h="1" m="1" x="197"/>
        <item h="1" m="1" x="394"/>
        <item h="1" m="1" x="564"/>
        <item h="1" m="1" x="157"/>
        <item h="1" x="22"/>
        <item h="1" m="1" x="413"/>
        <item h="1" m="1" x="299"/>
        <item h="1" m="1" x="332"/>
        <item h="1" m="1" x="368"/>
        <item h="1" x="23"/>
        <item h="1" m="1" x="404"/>
        <item h="1" x="24"/>
        <item h="1" m="1" x="278"/>
        <item h="1" m="1" x="124"/>
        <item h="1" m="1" x="462"/>
        <item h="1" m="1" x="493"/>
        <item h="1" m="1" x="499"/>
        <item h="1" x="25"/>
        <item h="1" x="26"/>
        <item h="1" x="27"/>
        <item h="1" m="1" x="79"/>
        <item h="1" m="1" x="99"/>
        <item h="1" m="1" x="235"/>
        <item h="1" m="1" x="563"/>
        <item h="1" m="1" x="254"/>
        <item x="28"/>
        <item h="1" m="1" x="190"/>
        <item h="1" x="29"/>
        <item h="1" m="1" x="583"/>
        <item h="1" m="1" x="360"/>
        <item h="1" m="1" x="353"/>
        <item h="1" m="1" x="147"/>
        <item h="1" m="1" x="45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763"/>
        <item m="1" x="3062"/>
        <item m="1" x="3361"/>
        <item m="1" x="3660"/>
        <item m="1" x="3958"/>
        <item m="1" x="4253"/>
        <item m="1" x="4547"/>
        <item m="1" x="4847"/>
        <item m="1" x="297"/>
        <item m="1" x="595"/>
        <item m="1" x="893"/>
        <item m="1" x="1191"/>
        <item m="1" x="1488"/>
        <item m="1" x="1785"/>
        <item m="1" x="2082"/>
        <item m="1" x="2382"/>
        <item m="1" x="2684"/>
        <item m="1" x="2983"/>
        <item m="1" x="3282"/>
        <item m="1" x="3581"/>
        <item m="1" x="3880"/>
        <item m="1" x="4175"/>
        <item m="1" x="4470"/>
        <item m="1" x="4768"/>
        <item m="1" x="219"/>
        <item m="1" x="517"/>
        <item m="1" x="815"/>
        <item m="1" x="1113"/>
        <item m="1" x="1411"/>
        <item m="1" x="1707"/>
        <item m="1" x="2005"/>
        <item m="1" x="2303"/>
        <item m="1" x="2605"/>
        <item m="1" x="2905"/>
        <item m="1" x="3204"/>
        <item m="1" x="3503"/>
        <item m="1" x="3802"/>
        <item m="1" x="4098"/>
        <item m="1" x="4393"/>
        <item m="1" x="4689"/>
        <item m="1" x="4990"/>
        <item m="1" x="439"/>
        <item m="1" x="737"/>
        <item m="1" x="1035"/>
        <item m="1" x="1333"/>
        <item m="1" x="1629"/>
        <item m="1" x="1927"/>
        <item m="1" x="2224"/>
        <item m="1" x="2526"/>
        <item m="1" x="2827"/>
        <item m="1" x="3126"/>
        <item m="1" x="3424"/>
        <item m="1" x="3723"/>
        <item m="1" x="4020"/>
        <item m="1" x="4315"/>
        <item m="1" x="4610"/>
        <item m="1" x="4911"/>
        <item m="1" x="361"/>
        <item m="1" x="659"/>
        <item m="1" x="956"/>
        <item m="1" x="1254"/>
        <item m="1" x="1550"/>
        <item m="1" x="1848"/>
        <item m="1" x="2144"/>
        <item m="1" x="2446"/>
        <item m="1" x="2747"/>
        <item m="1" x="3046"/>
        <item m="1" x="3344"/>
        <item m="1" x="3643"/>
        <item m="1" x="3941"/>
        <item m="1" x="4236"/>
        <item m="1" x="4530"/>
        <item m="1" x="4830"/>
        <item m="1" x="281"/>
        <item m="1" x="579"/>
        <item m="1" x="877"/>
        <item m="1" x="1174"/>
        <item m="1" x="1471"/>
        <item m="1" x="1768"/>
        <item m="1" x="2066"/>
        <item m="1" x="2366"/>
        <item m="1" x="2668"/>
        <item m="1" x="2967"/>
        <item m="1" x="3266"/>
        <item m="1" x="3564"/>
        <item m="1" x="3863"/>
        <item m="1" x="4158"/>
        <item m="1" x="4453"/>
        <item m="1" x="4752"/>
        <item m="1" x="203"/>
        <item m="1" x="501"/>
        <item m="1" x="799"/>
        <item m="1" x="1096"/>
        <item m="1" x="1394"/>
        <item m="1" x="1690"/>
        <item m="1" x="1988"/>
        <item m="1" x="2287"/>
        <item m="1" x="2589"/>
        <item m="1" x="2889"/>
        <item m="1" x="3188"/>
        <item m="1" x="3486"/>
        <item m="1" x="3785"/>
        <item m="1" x="4081"/>
        <item m="1" x="4376"/>
        <item m="1" x="4673"/>
        <item m="1" x="4974"/>
        <item m="1" x="423"/>
        <item m="1" x="572"/>
        <item m="1" x="721"/>
        <item m="1" x="870"/>
        <item m="1" x="1018"/>
        <item m="1" x="1167"/>
        <item m="1" x="1316"/>
        <item m="1" x="1464"/>
        <item m="1" x="1611"/>
        <item m="1" x="1760"/>
        <item m="1" x="1909"/>
        <item m="1" x="2058"/>
        <item m="1" x="2206"/>
        <item m="1" x="2357"/>
        <item m="1" x="2508"/>
        <item m="1" x="2659"/>
        <item m="1" x="2809"/>
        <item m="1" x="2958"/>
        <item m="1" x="3108"/>
        <item m="1" x="3257"/>
        <item m="1" x="3406"/>
        <item m="1" x="3555"/>
        <item m="1" x="3705"/>
        <item m="1" x="3854"/>
        <item m="1" x="4002"/>
        <item m="1" x="4149"/>
        <item m="1" x="4297"/>
        <item m="1" x="4444"/>
        <item m="1" x="4592"/>
        <item m="1" x="4742"/>
        <item m="1" x="4893"/>
        <item m="1" x="193"/>
        <item m="1" x="343"/>
        <item m="1" x="491"/>
        <item m="1" x="641"/>
        <item m="1" x="789"/>
        <item m="1" x="938"/>
        <item m="1" x="1086"/>
        <item m="1" x="1236"/>
        <item m="1" x="1384"/>
        <item m="1" x="1532"/>
        <item m="1" x="1679"/>
        <item m="1" x="1829"/>
        <item m="1" x="1977"/>
        <item m="1" x="2126"/>
        <item m="1" x="2275"/>
        <item m="1" x="2427"/>
        <item m="1" x="2577"/>
        <item m="1" x="2728"/>
        <item m="1" x="2877"/>
        <item m="1" x="3027"/>
        <item m="1" x="3176"/>
        <item m="1" x="3325"/>
        <item m="1" x="3474"/>
        <item m="1" x="3624"/>
        <item m="1" x="3773"/>
        <item m="1" x="3922"/>
        <item m="1" x="4069"/>
        <item m="1" x="4217"/>
        <item m="1" x="4364"/>
        <item m="1" x="4512"/>
        <item m="1" x="4660"/>
        <item m="1" x="4811"/>
        <item m="1" x="4961"/>
        <item m="1" x="262"/>
        <item m="1" x="410"/>
        <item m="1" x="559"/>
        <item m="1" x="708"/>
        <item m="1" x="857"/>
        <item m="1" x="1005"/>
        <item m="1" x="1154"/>
        <item m="1" x="1303"/>
        <item m="1" x="1452"/>
        <item m="1" x="1599"/>
        <item m="1" x="1748"/>
        <item m="1" x="1897"/>
        <item m="1" x="2046"/>
        <item m="1" x="2194"/>
        <item m="1" x="2345"/>
        <item m="1" x="2496"/>
        <item m="1" x="2647"/>
        <item m="1" x="2797"/>
        <item m="1" x="2946"/>
        <item m="1" x="3096"/>
        <item m="1" x="3245"/>
        <item m="1" x="3394"/>
        <item m="1" x="3543"/>
        <item m="1" x="3693"/>
        <item m="1" x="3842"/>
        <item m="1" x="3991"/>
        <item m="1" x="4138"/>
        <item m="1" x="4286"/>
        <item m="1" x="4433"/>
        <item m="1" x="4581"/>
        <item m="1" x="4731"/>
        <item m="1" x="4882"/>
        <item m="1" x="182"/>
        <item m="1" x="332"/>
        <item m="1" x="480"/>
        <item m="1" x="630"/>
        <item m="1" x="778"/>
        <item m="1" x="927"/>
        <item m="1" x="1075"/>
        <item m="1" x="1225"/>
        <item m="1" x="1373"/>
        <item m="1" x="1522"/>
        <item m="1" x="1669"/>
        <item m="1" x="1819"/>
        <item m="1" x="1967"/>
        <item m="1" x="2116"/>
        <item m="1" x="2265"/>
        <item m="1" x="2417"/>
        <item m="1" x="2567"/>
        <item m="1" x="2718"/>
        <item m="1" x="2867"/>
        <item m="1" x="3017"/>
        <item m="1" x="3166"/>
        <item m="1" x="3315"/>
        <item m="1" x="3464"/>
        <item m="1" x="3614"/>
        <item m="1" x="3763"/>
        <item m="1" x="3913"/>
        <item m="1" x="4060"/>
        <item m="1" x="4208"/>
        <item m="1" x="4355"/>
        <item m="1" x="4503"/>
        <item m="1" x="4651"/>
        <item m="1" x="4802"/>
        <item m="1" x="4952"/>
        <item m="1" x="253"/>
        <item m="1" x="401"/>
        <item m="1" x="550"/>
        <item m="1" x="699"/>
        <item m="1" x="848"/>
        <item m="1" x="996"/>
        <item m="1" x="1145"/>
        <item m="1" x="1294"/>
        <item m="1" x="1443"/>
        <item m="1" x="1590"/>
        <item m="1" x="1739"/>
        <item m="1" x="1888"/>
        <item m="1" x="2037"/>
        <item m="1" x="2184"/>
        <item m="1" x="2335"/>
        <item m="1" x="2486"/>
        <item m="1" x="2637"/>
        <item m="1" x="2787"/>
        <item m="1" x="2936"/>
        <item m="1" x="3086"/>
        <item m="1" x="3235"/>
        <item m="1" x="3384"/>
        <item m="1" x="3533"/>
        <item m="1" x="3683"/>
        <item m="1" x="3832"/>
        <item m="1" x="3981"/>
        <item m="1" x="4128"/>
        <item m="1" x="4276"/>
        <item m="1" x="4423"/>
        <item m="1" x="4570"/>
        <item m="1" x="4720"/>
        <item m="1" x="4871"/>
        <item m="1" x="171"/>
        <item m="1" x="321"/>
        <item m="1" x="469"/>
        <item m="1" x="619"/>
        <item m="1" x="767"/>
        <item m="1" x="916"/>
        <item m="1" x="1064"/>
        <item m="1" x="1214"/>
        <item m="1" x="1362"/>
        <item m="1" x="1511"/>
        <item m="1" x="1658"/>
        <item m="1" x="1808"/>
        <item m="1" x="1956"/>
        <item m="1" x="2105"/>
        <item m="1" x="2253"/>
        <item m="1" x="2405"/>
        <item m="1" x="2555"/>
        <item m="1" x="2706"/>
        <item m="1" x="2855"/>
        <item m="1" x="3005"/>
        <item m="1" x="3154"/>
        <item m="1" x="3303"/>
        <item m="1" x="3452"/>
        <item m="1" x="3602"/>
        <item m="1" x="3751"/>
        <item m="1" x="3901"/>
        <item m="1" x="4048"/>
        <item m="1" x="4196"/>
        <item m="1" x="4343"/>
        <item m="1" x="4491"/>
        <item m="1" x="4638"/>
        <item m="1" x="4789"/>
        <item m="1" x="4939"/>
        <item m="1" x="240"/>
        <item m="1" x="388"/>
        <item m="1" x="537"/>
        <item m="1" x="686"/>
        <item m="1" x="835"/>
        <item m="1" x="984"/>
        <item m="1" x="1133"/>
        <item m="1" x="1282"/>
        <item m="1" x="1431"/>
        <item m="1" x="1578"/>
        <item m="1" x="1727"/>
        <item m="1" x="1876"/>
        <item m="1" x="2025"/>
        <item m="1" x="2172"/>
        <item m="1" x="2323"/>
        <item m="1" x="2474"/>
        <item m="1" x="2625"/>
        <item m="1" x="2775"/>
        <item m="1" x="2924"/>
        <item m="1" x="3074"/>
        <item m="1" x="3223"/>
        <item m="1" x="3373"/>
        <item m="1" x="3522"/>
        <item m="1" x="3672"/>
        <item m="1" x="3821"/>
        <item m="1" x="3970"/>
        <item m="1" x="4117"/>
        <item m="1" x="4265"/>
        <item m="1" x="4412"/>
        <item m="1" x="4559"/>
        <item m="1" x="4709"/>
        <item m="1" x="4860"/>
        <item m="1" x="160"/>
        <item m="1" x="310"/>
        <item m="1" x="458"/>
        <item m="1" x="608"/>
        <item m="1" x="756"/>
        <item m="1" x="906"/>
        <item m="1" x="1054"/>
        <item m="1" x="1204"/>
        <item m="1" x="1352"/>
        <item m="1" x="1501"/>
        <item m="1" x="1648"/>
        <item m="1" x="1798"/>
        <item m="1" x="1946"/>
        <item m="1" x="2095"/>
        <item m="1" x="2243"/>
        <item m="1" x="2395"/>
        <item m="1" x="2545"/>
        <item m="1" x="2696"/>
        <item m="1" x="2845"/>
        <item m="1" x="2995"/>
        <item m="1" x="3144"/>
        <item m="1" x="3294"/>
        <item m="1" x="3443"/>
        <item m="1" x="3593"/>
        <item m="1" x="3742"/>
        <item m="1" x="3892"/>
        <item m="1" x="4039"/>
        <item m="1" x="4187"/>
        <item m="1" x="4334"/>
        <item m="1" x="4482"/>
        <item m="1" x="4629"/>
        <item m="1" x="4704"/>
        <item m="1" x="4780"/>
        <item m="1" x="4855"/>
        <item m="1" x="4930"/>
        <item m="1" x="155"/>
        <item m="1" x="231"/>
        <item m="1" x="305"/>
        <item m="1" x="379"/>
        <item m="1" x="453"/>
        <item m="1" x="528"/>
        <item m="1" x="603"/>
        <item m="1" x="677"/>
        <item m="1" x="751"/>
        <item m="1" x="826"/>
        <item m="1" x="901"/>
        <item m="1" x="975"/>
        <item m="1" x="1049"/>
        <item m="1" x="1124"/>
        <item m="1" x="1199"/>
        <item m="1" x="1273"/>
        <item m="1" x="1347"/>
        <item m="1" x="1422"/>
        <item m="1" x="1496"/>
        <item m="1" x="1569"/>
        <item m="1" x="1643"/>
        <item m="1" x="1718"/>
        <item m="1" x="1793"/>
        <item m="1" x="1867"/>
        <item m="1" x="1941"/>
        <item m="1" x="2016"/>
        <item m="1" x="2090"/>
        <item m="1" x="2163"/>
        <item m="1" x="2238"/>
        <item m="1" x="2314"/>
        <item m="1" x="2390"/>
        <item m="1" x="2465"/>
        <item m="1" x="2540"/>
        <item m="1" x="2616"/>
        <item m="1" x="2691"/>
        <item m="1" x="2766"/>
        <item m="1" x="2840"/>
        <item m="1" x="2915"/>
        <item m="1" x="2990"/>
        <item m="1" x="3065"/>
        <item m="1" x="3139"/>
        <item m="1" x="3214"/>
        <item m="1" x="3289"/>
        <item m="1" x="3364"/>
        <item m="1" x="3438"/>
        <item m="1" x="3513"/>
        <item m="1" x="3588"/>
        <item m="1" x="3663"/>
        <item m="1" x="3737"/>
        <item m="1" x="3812"/>
        <item m="1" x="3887"/>
        <item m="1" x="3961"/>
        <item m="1" x="4034"/>
        <item m="1" x="4108"/>
        <item m="1" x="4182"/>
        <item m="1" x="4256"/>
        <item m="1" x="4329"/>
        <item m="1" x="4403"/>
        <item m="1" x="4477"/>
        <item m="1" x="4550"/>
        <item m="1" x="4624"/>
        <item m="1" x="4699"/>
        <item m="1" x="4775"/>
        <item m="1" x="4850"/>
        <item m="1" x="4925"/>
        <item m="1" x="150"/>
        <item m="1" x="226"/>
        <item m="1" x="300"/>
        <item m="1" x="374"/>
        <item m="1" x="448"/>
        <item m="1" x="523"/>
        <item m="1" x="598"/>
        <item m="1" x="672"/>
        <item m="1" x="746"/>
        <item m="1" x="821"/>
        <item m="1" x="896"/>
        <item m="1" x="970"/>
        <item m="1" x="1044"/>
        <item m="1" x="1119"/>
        <item m="1" x="1194"/>
        <item m="1" x="1268"/>
        <item m="1" x="1342"/>
        <item m="1" x="1417"/>
        <item m="1" x="1491"/>
        <item m="1" x="1564"/>
        <item m="1" x="1638"/>
        <item m="1" x="1713"/>
        <item m="1" x="1788"/>
        <item m="1" x="1862"/>
        <item m="1" x="1936"/>
        <item m="1" x="2011"/>
        <item m="1" x="2085"/>
        <item m="1" x="2158"/>
        <item m="1" x="2233"/>
        <item m="1" x="2309"/>
        <item m="1" x="2385"/>
        <item m="1" x="2460"/>
        <item m="1" x="2535"/>
        <item m="1" x="2611"/>
        <item m="1" x="2686"/>
        <item m="1" x="2760"/>
        <item m="1" x="2835"/>
        <item m="1" x="2910"/>
        <item m="1" x="2985"/>
        <item m="1" x="3059"/>
        <item m="1" x="3134"/>
        <item m="1" x="3209"/>
        <item m="1" x="3284"/>
        <item m="1" x="3358"/>
        <item m="1" x="3433"/>
        <item m="1" x="3508"/>
        <item m="1" x="3583"/>
        <item m="1" x="3657"/>
        <item m="1" x="3732"/>
        <item m="1" x="3807"/>
        <item m="1" x="3882"/>
        <item m="1" x="3955"/>
        <item m="1" x="4029"/>
        <item m="1" x="4103"/>
        <item m="1" x="4177"/>
        <item m="1" x="4250"/>
        <item m="1" x="4324"/>
        <item m="1" x="4398"/>
        <item m="1" x="4472"/>
        <item m="1" x="4544"/>
        <item m="1" x="4619"/>
        <item m="1" x="4694"/>
        <item m="1" x="4770"/>
        <item m="1" x="4844"/>
        <item m="1" x="4920"/>
        <item m="1" x="4995"/>
        <item m="1" x="221"/>
        <item m="1" x="295"/>
        <item m="1" x="370"/>
        <item m="1" x="444"/>
        <item m="1" x="519"/>
        <item m="1" x="593"/>
        <item m="1" x="668"/>
        <item m="1" x="742"/>
        <item m="1" x="817"/>
        <item m="1" x="891"/>
        <item m="1" x="966"/>
        <item m="1" x="1040"/>
        <item m="1" x="1115"/>
        <item m="1" x="1189"/>
        <item m="1" x="1264"/>
        <item m="1" x="1338"/>
        <item m="1" x="1413"/>
        <item m="1" x="1486"/>
        <item m="1" x="1560"/>
        <item m="1" x="1634"/>
        <item m="1" x="1709"/>
        <item m="1" x="1783"/>
        <item m="1" x="1858"/>
        <item m="1" x="1932"/>
        <item m="1" x="2007"/>
        <item m="1" x="2080"/>
        <item m="1" x="2154"/>
        <item m="1" x="2229"/>
        <item m="1" x="2305"/>
        <item m="1" x="2380"/>
        <item m="1" x="2456"/>
        <item m="1" x="2531"/>
        <item m="1" x="2607"/>
        <item m="1" x="2682"/>
        <item m="1" x="2757"/>
        <item m="1" x="2832"/>
        <item m="1" x="2907"/>
        <item m="1" x="2981"/>
        <item m="1" x="3056"/>
        <item m="1" x="3131"/>
        <item m="1" x="3206"/>
        <item m="1" x="3280"/>
        <item m="1" x="3355"/>
        <item m="1" x="3430"/>
        <item m="1" x="3505"/>
        <item m="1" x="3579"/>
        <item m="1" x="3654"/>
        <item m="1" x="3729"/>
        <item m="1" x="3804"/>
        <item m="1" x="3878"/>
        <item m="1" x="3952"/>
        <item m="1" x="4026"/>
        <item m="1" x="4100"/>
        <item m="1" x="4173"/>
        <item m="1" x="4247"/>
        <item m="1" x="4321"/>
        <item m="1" x="4395"/>
        <item m="1" x="4468"/>
        <item m="1" x="4541"/>
        <item m="1" x="4616"/>
        <item m="1" x="4691"/>
        <item m="1" x="4766"/>
        <item m="1" x="4841"/>
        <item m="1" x="4917"/>
        <item m="1" x="4992"/>
        <item m="1" x="217"/>
        <item m="1" x="292"/>
        <item m="1" x="367"/>
        <item m="1" x="441"/>
        <item m="1" x="515"/>
        <item m="1" x="590"/>
        <item m="1" x="665"/>
        <item m="1" x="739"/>
        <item m="1" x="813"/>
        <item m="1" x="888"/>
        <item m="1" x="963"/>
        <item m="1" x="1037"/>
        <item m="1" x="1111"/>
        <item m="1" x="1186"/>
        <item m="1" x="1261"/>
        <item m="1" x="1335"/>
        <item m="1" x="1409"/>
        <item m="1" x="1483"/>
        <item m="1" x="1557"/>
        <item m="1" x="1631"/>
        <item m="1" x="1705"/>
        <item m="1" x="1780"/>
        <item m="1" x="1855"/>
        <item m="1" x="1929"/>
        <item m="1" x="2003"/>
        <item m="1" x="2077"/>
        <item m="1" x="2151"/>
        <item m="1" x="2226"/>
        <item m="1" x="2301"/>
        <item m="1" x="2377"/>
        <item m="1" x="2453"/>
        <item m="1" x="2528"/>
        <item m="1" x="2603"/>
        <item m="1" x="2679"/>
        <item m="1" x="2754"/>
        <item m="1" x="2829"/>
        <item m="1" x="2903"/>
        <item m="1" x="2978"/>
        <item m="1" x="3053"/>
        <item m="1" x="3128"/>
        <item m="1" x="3202"/>
        <item m="1" x="3277"/>
        <item m="1" x="3352"/>
        <item m="1" x="3427"/>
        <item m="1" x="3501"/>
        <item m="1" x="3576"/>
        <item m="1" x="3651"/>
        <item m="1" x="3726"/>
        <item m="1" x="3800"/>
        <item m="1" x="3875"/>
        <item m="1" x="3949"/>
        <item m="1" x="4023"/>
        <item m="1" x="4096"/>
        <item m="1" x="4170"/>
        <item m="1" x="4244"/>
        <item m="1" x="4318"/>
        <item m="1" x="4391"/>
        <item m="1" x="4465"/>
        <item m="1" x="4538"/>
        <item m="1" x="4613"/>
        <item m="1" x="4687"/>
        <item m="1" x="4763"/>
        <item m="1" x="4838"/>
        <item m="1" x="4914"/>
        <item m="1" x="4988"/>
        <item m="1" x="214"/>
        <item m="1" x="289"/>
        <item m="1" x="364"/>
        <item m="1" x="437"/>
        <item m="1" x="512"/>
        <item m="1" x="587"/>
        <item m="1" x="662"/>
        <item m="1" x="735"/>
        <item m="1" x="810"/>
        <item m="1" x="885"/>
        <item m="1" x="959"/>
        <item m="1" x="1032"/>
        <item m="1" x="1107"/>
        <item m="1" x="1182"/>
        <item m="1" x="1257"/>
        <item m="1" x="1330"/>
        <item m="1" x="1405"/>
        <item m="1" x="1479"/>
        <item m="1" x="1553"/>
        <item m="1" x="1626"/>
        <item m="1" x="1701"/>
        <item m="1" x="1776"/>
        <item m="1" x="1851"/>
        <item m="1" x="1924"/>
        <item m="1" x="1999"/>
        <item m="1" x="2073"/>
        <item m="1" x="2147"/>
        <item m="1" x="2221"/>
        <item m="1" x="2297"/>
        <item m="1" x="2373"/>
        <item m="1" x="2449"/>
        <item m="1" x="2523"/>
        <item m="1" x="2599"/>
        <item m="1" x="2675"/>
        <item m="1" x="2750"/>
        <item m="1" x="2824"/>
        <item m="1" x="2899"/>
        <item m="1" x="2974"/>
        <item m="1" x="3049"/>
        <item m="1" x="3123"/>
        <item m="1" x="3198"/>
        <item m="1" x="3273"/>
        <item m="1" x="3347"/>
        <item m="1" x="3421"/>
        <item m="1" x="3496"/>
        <item m="1" x="3571"/>
        <item m="1" x="3646"/>
        <item m="1" x="3720"/>
        <item m="1" x="3795"/>
        <item m="1" x="3870"/>
        <item m="1" x="3944"/>
        <item m="1" x="4017"/>
        <item m="1" x="4091"/>
        <item m="1" x="4165"/>
        <item m="1" x="4239"/>
        <item m="1" x="4312"/>
        <item m="1" x="4386"/>
        <item m="1" x="4460"/>
        <item m="1" x="4533"/>
        <item m="1" x="4607"/>
        <item m="1" x="4682"/>
        <item m="1" x="4758"/>
        <item m="1" x="4833"/>
        <item m="1" x="4908"/>
        <item m="1" x="4983"/>
        <item m="1" x="209"/>
        <item m="1" x="284"/>
        <item m="1" x="358"/>
        <item m="1" x="432"/>
        <item m="1" x="507"/>
        <item m="1" x="582"/>
        <item m="1" x="656"/>
        <item m="1" x="730"/>
        <item m="1" x="805"/>
        <item m="1" x="880"/>
        <item m="1" x="953"/>
        <item m="1" x="1027"/>
        <item m="1" x="1102"/>
        <item m="1" x="1177"/>
        <item m="1" x="1251"/>
        <item m="1" x="1325"/>
        <item m="1" x="1400"/>
        <item m="1" x="1474"/>
        <item m="1" x="1547"/>
        <item m="1" x="1621"/>
        <item m="1" x="1696"/>
        <item m="1" x="1771"/>
        <item m="1" x="1845"/>
        <item m="1" x="1919"/>
        <item m="1" x="1994"/>
        <item m="1" x="2068"/>
        <item m="1" x="2141"/>
        <item m="1" x="2216"/>
        <item m="1" x="2292"/>
        <item m="1" x="2368"/>
        <item m="1" x="2443"/>
        <item m="1" x="2518"/>
        <item m="1" x="2594"/>
        <item m="1" x="2670"/>
        <item m="1" x="2744"/>
        <item m="1" x="2819"/>
        <item m="1" x="2894"/>
        <item m="1" x="2969"/>
        <item m="1" x="3043"/>
        <item m="1" x="3118"/>
        <item m="1" x="3193"/>
        <item m="1" x="3268"/>
        <item m="1" x="3341"/>
        <item m="1" x="3416"/>
        <item m="1" x="3491"/>
        <item m="1" x="3566"/>
        <item m="1" x="3640"/>
        <item m="1" x="3715"/>
        <item m="1" x="3790"/>
        <item m="1" x="3865"/>
        <item m="1" x="3938"/>
        <item m="1" x="4012"/>
        <item m="1" x="4086"/>
        <item m="1" x="4160"/>
        <item m="1" x="4233"/>
        <item m="1" x="4307"/>
        <item m="1" x="4381"/>
        <item m="1" x="4455"/>
        <item m="1" x="4528"/>
        <item m="1" x="4603"/>
        <item m="1" x="4678"/>
        <item m="1" x="4754"/>
        <item m="1" x="4828"/>
        <item m="1" x="4904"/>
        <item m="1" x="4979"/>
        <item m="1" x="205"/>
        <item m="1" x="279"/>
        <item m="1" x="354"/>
        <item m="1" x="428"/>
        <item m="1" x="503"/>
        <item m="1" x="577"/>
        <item m="1" x="652"/>
        <item m="1" x="726"/>
        <item m="1" x="801"/>
        <item m="1" x="875"/>
        <item m="1" x="949"/>
        <item m="1" x="1023"/>
        <item m="1" x="1098"/>
        <item m="1" x="1172"/>
        <item m="1" x="1247"/>
        <item m="1" x="1321"/>
        <item m="1" x="1396"/>
        <item m="1" x="1469"/>
        <item m="1" x="1543"/>
        <item m="1" x="1617"/>
        <item m="1" x="1692"/>
        <item m="1" x="1766"/>
        <item m="1" x="1841"/>
        <item m="1" x="1915"/>
        <item m="1" x="1990"/>
        <item m="1" x="2064"/>
        <item m="1" x="2138"/>
        <item m="1" x="2213"/>
        <item m="1" x="2289"/>
        <item m="1" x="2364"/>
        <item m="1" x="2440"/>
        <item m="1" x="2515"/>
        <item m="1" x="2591"/>
        <item m="1" x="2666"/>
        <item m="1" x="2741"/>
        <item m="1" x="2816"/>
        <item m="1" x="2891"/>
        <item m="1" x="2965"/>
        <item m="1" x="3040"/>
        <item m="1" x="3115"/>
        <item m="1" x="3190"/>
        <item m="1" x="3264"/>
        <item m="1" x="3338"/>
        <item m="1" x="3413"/>
        <item m="1" x="3488"/>
        <item m="1" x="3562"/>
        <item m="1" x="3637"/>
        <item m="1" x="3712"/>
        <item m="1" x="3787"/>
        <item m="1" x="3861"/>
        <item m="1" x="3935"/>
        <item m="1" x="4009"/>
        <item m="1" x="4083"/>
        <item m="1" x="4156"/>
        <item m="1" x="4230"/>
        <item m="1" x="4304"/>
        <item m="1" x="4378"/>
        <item m="1" x="4451"/>
        <item m="1" x="4525"/>
        <item m="1" x="4600"/>
        <item m="1" x="4675"/>
        <item m="1" x="4750"/>
        <item m="1" x="4825"/>
        <item m="1" x="4901"/>
        <item m="1" x="4976"/>
        <item m="1" x="201"/>
        <item m="1" x="276"/>
        <item m="1" x="351"/>
        <item m="1" x="425"/>
        <item m="1" x="499"/>
        <item m="1" x="574"/>
        <item m="1" x="649"/>
        <item m="1" x="723"/>
        <item m="1" x="797"/>
        <item m="1" x="872"/>
        <item m="1" x="946"/>
        <item m="1" x="1020"/>
        <item m="1" x="1094"/>
        <item m="1" x="1169"/>
        <item m="1" x="1244"/>
        <item m="1" x="1318"/>
        <item m="1" x="1392"/>
        <item m="1" x="1466"/>
        <item m="1" x="1540"/>
        <item m="1" x="1614"/>
        <item m="1" x="1688"/>
        <item m="1" x="1763"/>
        <item m="1" x="1838"/>
        <item m="1" x="1912"/>
        <item m="1" x="1986"/>
        <item m="1" x="2061"/>
        <item m="1" x="2135"/>
        <item m="1" x="2210"/>
        <item m="1" x="2285"/>
        <item m="1" x="2361"/>
        <item m="1" x="2437"/>
        <item m="1" x="2512"/>
        <item m="1" x="2587"/>
        <item m="1" x="2663"/>
        <item m="1" x="2738"/>
        <item m="1" x="2813"/>
        <item m="1" x="2887"/>
        <item m="1" x="2962"/>
        <item m="1" x="3037"/>
        <item m="1" x="3112"/>
        <item m="1" x="3186"/>
        <item m="1" x="3261"/>
        <item m="1" x="3335"/>
        <item m="1" x="3410"/>
        <item m="1" x="3484"/>
        <item m="1" x="3559"/>
        <item m="1" x="3634"/>
        <item m="1" x="3709"/>
        <item m="1" x="3783"/>
        <item m="1" x="3858"/>
        <item m="1" x="3932"/>
        <item m="1" x="4006"/>
        <item m="1" x="1612"/>
        <item m="1" x="4079"/>
        <item m="1" x="1686"/>
        <item m="1" x="4153"/>
        <item m="1" x="1761"/>
        <item m="1" x="4227"/>
        <item m="1" x="1836"/>
        <item m="1" x="4301"/>
        <item m="1" x="1910"/>
        <item m="1" x="4374"/>
        <item m="1" x="1984"/>
        <item m="1" x="4448"/>
        <item m="1" x="2059"/>
        <item m="1" x="4522"/>
        <item m="1" x="2133"/>
        <item m="1" x="4596"/>
        <item m="1" x="2207"/>
        <item m="1" x="4670"/>
        <item m="1" x="2282"/>
        <item m="1" x="4746"/>
        <item m="1" x="2358"/>
        <item m="1" x="4821"/>
        <item m="1" x="2434"/>
        <item m="1" x="4897"/>
        <item m="1" x="2509"/>
        <item m="1" x="4971"/>
        <item m="1" x="2584"/>
        <item m="1" x="197"/>
        <item m="1" x="2660"/>
        <item m="1" x="272"/>
        <item m="1" x="2735"/>
        <item m="1" x="347"/>
        <item m="1" x="2810"/>
        <item m="1" x="420"/>
        <item m="1" x="2884"/>
        <item m="1" x="495"/>
        <item m="1" x="2959"/>
        <item m="1" x="569"/>
        <item m="1" x="3034"/>
        <item m="1" x="645"/>
        <item m="1" x="3109"/>
        <item m="1" x="718"/>
        <item m="1" x="3183"/>
        <item m="1" x="793"/>
        <item m="1" x="3258"/>
        <item m="1" x="867"/>
        <item m="1" x="3332"/>
        <item m="1" x="942"/>
        <item m="1" x="3407"/>
        <item m="1" x="1015"/>
        <item m="1" x="3481"/>
        <item m="1" x="1090"/>
        <item m="1" x="3556"/>
        <item m="1" x="1164"/>
        <item m="1" x="3631"/>
        <item m="1" x="1240"/>
        <item m="1" x="3706"/>
        <item m="1" x="1313"/>
        <item m="1" x="3780"/>
        <item m="1" x="1388"/>
        <item m="1" x="3855"/>
        <item m="1" x="1461"/>
        <item m="1" x="3929"/>
        <item m="1" x="1536"/>
        <item m="1" x="4003"/>
        <item m="1" x="1608"/>
        <item m="1" x="4076"/>
        <item m="1" x="1683"/>
        <item m="1" x="4150"/>
        <item m="1" x="1757"/>
        <item m="1" x="4224"/>
        <item m="1" x="1833"/>
        <item m="1" x="4298"/>
        <item m="1" x="1906"/>
        <item m="1" x="4371"/>
        <item m="1" x="1981"/>
        <item m="1" x="4445"/>
        <item m="1" x="2055"/>
        <item m="1" x="4519"/>
        <item m="1" x="2130"/>
        <item m="1" x="4593"/>
        <item m="1" x="2203"/>
        <item m="1" x="4667"/>
        <item m="1" x="2279"/>
        <item m="1" x="4743"/>
        <item m="1" x="2354"/>
        <item m="1" x="4818"/>
        <item m="1" x="2431"/>
        <item m="1" x="4894"/>
        <item m="1" x="2505"/>
        <item m="1" x="4968"/>
        <item m="1" x="2581"/>
        <item m="1" x="194"/>
        <item m="1" x="2656"/>
        <item m="1" x="269"/>
        <item m="1" x="2732"/>
        <item m="1" x="344"/>
        <item m="1" x="2806"/>
        <item m="1" x="417"/>
        <item m="1" x="2881"/>
        <item m="1" x="492"/>
        <item m="1" x="2955"/>
        <item m="1" x="566"/>
        <item m="1" x="3031"/>
        <item m="1" x="642"/>
        <item m="1" x="3105"/>
        <item m="1" x="715"/>
        <item m="1" x="3180"/>
        <item m="1" x="790"/>
        <item m="1" x="3254"/>
        <item m="1" x="864"/>
        <item m="1" x="3329"/>
        <item m="1" x="939"/>
        <item m="1" x="3403"/>
        <item m="1" x="1012"/>
        <item m="1" x="3478"/>
        <item m="1" x="1087"/>
        <item m="1" x="3552"/>
        <item m="1" x="1161"/>
        <item m="1" x="3628"/>
        <item m="1" x="1237"/>
        <item m="1" x="3702"/>
        <item m="1" x="1310"/>
        <item m="1" x="3777"/>
        <item m="1" x="1385"/>
        <item m="1" x="3851"/>
        <item m="1" x="1458"/>
        <item m="1" x="3926"/>
        <item m="1" x="1533"/>
        <item m="1" x="3999"/>
        <item m="1" x="1605"/>
        <item m="1" x="4073"/>
        <item m="1" x="1680"/>
        <item m="1" x="4146"/>
        <item m="1" x="1754"/>
        <item m="1" x="4221"/>
        <item m="1" x="1830"/>
        <item m="1" x="4294"/>
        <item m="1" x="1903"/>
        <item m="1" x="4368"/>
        <item m="1" x="1978"/>
        <item m="1" x="4441"/>
        <item m="1" x="2052"/>
        <item m="1" x="4516"/>
        <item m="1" x="2127"/>
        <item m="1" x="4589"/>
        <item m="1" x="2200"/>
        <item m="1" x="4664"/>
        <item m="1" x="2276"/>
        <item m="1" x="4739"/>
        <item m="1" x="2351"/>
        <item m="1" x="4815"/>
        <item m="1" x="2428"/>
        <item m="1" x="4890"/>
        <item m="1" x="2502"/>
        <item m="1" x="4965"/>
        <item m="1" x="2578"/>
        <item m="1" x="190"/>
        <item m="1" x="2653"/>
        <item m="1" x="266"/>
        <item m="1" x="2729"/>
        <item m="1" x="340"/>
        <item m="1" x="2803"/>
        <item m="1" x="414"/>
        <item m="1" x="2878"/>
        <item m="1" x="488"/>
        <item m="1" x="2952"/>
        <item m="1" x="563"/>
        <item m="1" x="3028"/>
        <item m="1" x="638"/>
        <item m="1" x="3102"/>
        <item m="1" x="712"/>
        <item m="1" x="3177"/>
        <item m="1" x="786"/>
        <item m="1" x="3251"/>
        <item m="1" x="861"/>
        <item m="1" x="3326"/>
        <item m="1" x="935"/>
        <item m="1" x="3400"/>
        <item m="1" x="1009"/>
        <item m="1" x="3475"/>
        <item m="1" x="1083"/>
        <item m="1" x="3549"/>
        <item m="1" x="1158"/>
        <item m="1" x="3625"/>
        <item m="1" x="1233"/>
        <item m="1" x="3699"/>
        <item m="1" x="1307"/>
        <item m="1" x="3774"/>
        <item m="1" x="1381"/>
        <item m="1" x="3848"/>
        <item m="1" x="1455"/>
        <item m="1" x="3923"/>
        <item m="1" x="1529"/>
        <item m="1" x="3996"/>
        <item m="1" x="1602"/>
        <item m="1" x="4070"/>
        <item m="1" x="1676"/>
        <item m="1" x="4143"/>
        <item m="1" x="1751"/>
        <item m="1" x="4218"/>
        <item m="1" x="1826"/>
        <item m="1" x="4291"/>
        <item m="1" x="1900"/>
        <item m="1" x="4365"/>
        <item m="1" x="1974"/>
        <item m="1" x="4438"/>
        <item m="1" x="2049"/>
        <item m="1" x="4513"/>
        <item m="1" x="2123"/>
        <item m="1" x="4586"/>
        <item m="1" x="2197"/>
        <item m="1" x="4661"/>
        <item m="1" x="2272"/>
        <item m="1" x="4736"/>
        <item m="1" x="2348"/>
        <item m="1" x="4812"/>
        <item m="1" x="2424"/>
        <item m="1" x="4887"/>
        <item m="1" x="2499"/>
        <item m="1" x="4962"/>
        <item m="1" x="2574"/>
        <item m="1" x="187"/>
        <item m="1" x="2650"/>
        <item m="1" x="263"/>
        <item m="1" x="2725"/>
        <item m="1" x="337"/>
        <item m="1" x="2800"/>
        <item m="1" x="411"/>
        <item m="1" x="2874"/>
        <item m="1" x="485"/>
        <item m="1" x="2949"/>
        <item m="1" x="560"/>
        <item m="1" x="3024"/>
        <item m="1" x="635"/>
        <item m="1" x="3099"/>
        <item m="1" x="709"/>
        <item m="1" x="3173"/>
        <item m="1" x="783"/>
        <item m="1" x="3248"/>
        <item m="1" x="858"/>
        <item m="1" x="3322"/>
        <item m="1" x="932"/>
        <item m="1" x="3397"/>
        <item m="1" x="1006"/>
        <item m="1" x="3471"/>
        <item m="1" x="1080"/>
        <item m="1" x="3546"/>
        <item m="1" x="1155"/>
        <item m="1" x="3621"/>
        <item m="1" x="1230"/>
        <item m="1" x="3696"/>
        <item m="1" x="1304"/>
        <item m="1" x="3770"/>
        <item m="1" x="1378"/>
        <item m="1" x="3845"/>
        <item m="1" x="1453"/>
        <item m="1" x="3920"/>
        <item m="1" x="1527"/>
        <item m="1" x="3994"/>
        <item m="1" x="1600"/>
        <item m="1" x="4067"/>
        <item m="1" x="1674"/>
        <item m="1" x="4141"/>
        <item m="1" x="1749"/>
        <item m="1" x="4215"/>
        <item m="1" x="1824"/>
        <item m="1" x="4289"/>
        <item m="1" x="1898"/>
        <item m="1" x="4362"/>
        <item m="1" x="1972"/>
        <item m="1" x="4436"/>
        <item m="1" x="2047"/>
        <item m="1" x="4510"/>
        <item m="1" x="2121"/>
        <item m="1" x="4584"/>
        <item m="1" x="2195"/>
        <item m="1" x="4658"/>
        <item m="1" x="2270"/>
        <item m="1" x="4734"/>
        <item m="1" x="2346"/>
        <item m="1" x="4809"/>
        <item m="1" x="2422"/>
        <item m="1" x="4885"/>
        <item m="1" x="2497"/>
        <item m="1" x="4959"/>
        <item m="1" x="2572"/>
        <item m="1" x="185"/>
        <item m="1" x="2648"/>
        <item m="1" x="260"/>
        <item m="1" x="2723"/>
        <item m="1" x="335"/>
        <item m="1" x="2798"/>
        <item m="1" x="408"/>
        <item m="1" x="2872"/>
        <item m="1" x="483"/>
        <item m="1" x="2947"/>
        <item m="1" x="557"/>
        <item m="1" x="3022"/>
        <item m="1" x="633"/>
        <item m="1" x="3097"/>
        <item m="1" x="706"/>
        <item m="1" x="3171"/>
        <item m="1" x="781"/>
        <item m="1" x="3246"/>
        <item m="1" x="855"/>
        <item m="1" x="3320"/>
        <item m="1" x="930"/>
        <item m="1" x="3395"/>
        <item m="1" x="1003"/>
        <item m="1" x="3469"/>
        <item m="1" x="1078"/>
        <item m="1" x="3544"/>
        <item m="1" x="1152"/>
        <item m="1" x="3619"/>
        <item m="1" x="1228"/>
        <item m="1" x="3694"/>
        <item m="1" x="1301"/>
        <item m="1" x="3768"/>
        <item m="1" x="1376"/>
        <item m="1" x="3843"/>
        <item m="1" x="1450"/>
        <item m="1" x="3918"/>
        <item m="1" x="1525"/>
        <item m="1" x="3992"/>
        <item m="1" x="1597"/>
        <item m="1" x="4065"/>
        <item m="1" x="1672"/>
        <item m="1" x="4139"/>
        <item m="1" x="1746"/>
        <item m="1" x="4213"/>
        <item m="1" x="1822"/>
        <item m="1" x="4287"/>
        <item m="1" x="1895"/>
        <item m="1" x="4360"/>
        <item m="1" x="1970"/>
        <item m="1" x="4434"/>
        <item m="1" x="2044"/>
        <item m="1" x="4508"/>
        <item m="1" x="2119"/>
        <item m="1" x="4582"/>
        <item m="1" x="2192"/>
        <item m="1" x="4656"/>
        <item m="1" x="2268"/>
        <item m="1" x="4732"/>
        <item m="1" x="2343"/>
        <item m="1" x="4807"/>
        <item m="1" x="2420"/>
        <item m="1" x="4883"/>
        <item m="1" x="2494"/>
        <item m="1" x="4957"/>
        <item m="1" x="2570"/>
        <item m="1" x="183"/>
        <item m="1" x="2645"/>
        <item m="1" x="258"/>
        <item m="1" x="2721"/>
        <item m="1" x="333"/>
        <item m="1" x="2795"/>
        <item m="1" x="406"/>
        <item m="1" x="2870"/>
        <item m="1" x="481"/>
        <item m="1" x="2944"/>
        <item m="1" x="555"/>
        <item m="1" x="3020"/>
        <item m="1" x="631"/>
        <item m="1" x="3094"/>
        <item m="1" x="704"/>
        <item m="1" x="3169"/>
        <item m="1" x="779"/>
        <item m="1" x="3243"/>
        <item m="1" x="853"/>
        <item m="1" x="3318"/>
        <item m="1" x="928"/>
        <item m="1" x="3392"/>
        <item m="1" x="1001"/>
        <item m="1" x="3467"/>
        <item m="1" x="1076"/>
        <item m="1" x="3541"/>
        <item m="1" x="1150"/>
        <item m="1" x="3617"/>
        <item m="1" x="1226"/>
        <item m="1" x="3691"/>
        <item m="1" x="1299"/>
        <item m="1" x="3766"/>
        <item m="1" x="1374"/>
        <item m="1" x="3840"/>
        <item m="1" x="1448"/>
        <item m="1" x="3916"/>
        <item m="1" x="1523"/>
        <item m="1" x="3989"/>
        <item m="1" x="1595"/>
        <item m="1" x="4063"/>
        <item m="1" x="1670"/>
        <item m="1" x="4136"/>
        <item m="1" x="1744"/>
        <item m="1" x="4211"/>
        <item m="1" x="1820"/>
        <item m="1" x="4284"/>
        <item m="1" x="1893"/>
        <item m="1" x="4358"/>
        <item m="1" x="1968"/>
        <item m="1" x="4431"/>
        <item m="1" x="2042"/>
        <item m="1" x="4506"/>
        <item m="1" x="2117"/>
        <item m="1" x="4579"/>
        <item m="1" x="2190"/>
        <item m="1" x="4654"/>
        <item m="1" x="2266"/>
        <item m="1" x="4729"/>
        <item m="1" x="2341"/>
        <item m="1" x="4805"/>
        <item m="1" x="2418"/>
        <item m="1" x="4880"/>
        <item m="1" x="2492"/>
        <item m="1" x="4955"/>
        <item m="1" x="2568"/>
        <item m="1" x="180"/>
        <item m="1" x="2643"/>
        <item m="1" x="256"/>
        <item m="1" x="2719"/>
        <item m="1" x="330"/>
        <item m="1" x="2793"/>
        <item m="1" x="404"/>
        <item m="1" x="2868"/>
        <item m="1" x="478"/>
        <item m="1" x="2942"/>
        <item m="1" x="553"/>
        <item m="1" x="3018"/>
        <item m="1" x="628"/>
        <item m="1" x="3092"/>
        <item m="1" x="702"/>
        <item m="1" x="3167"/>
        <item m="1" x="776"/>
        <item m="1" x="3241"/>
        <item m="1" x="851"/>
        <item m="1" x="3316"/>
        <item m="1" x="925"/>
        <item m="1" x="3390"/>
        <item m="1" x="999"/>
        <item m="1" x="3465"/>
        <item m="1" x="1073"/>
        <item m="1" x="3539"/>
        <item m="1" x="1148"/>
        <item m="1" x="3615"/>
        <item m="1" x="1223"/>
        <item m="1" x="3689"/>
        <item m="1" x="1297"/>
        <item m="1" x="3764"/>
        <item m="1" x="1371"/>
        <item m="1" x="3838"/>
        <item m="1" x="1446"/>
        <item m="1" x="3914"/>
        <item m="1" x="1520"/>
        <item m="1" x="3987"/>
        <item m="1" x="1593"/>
        <item m="1" x="4061"/>
        <item m="1" x="1667"/>
        <item m="1" x="4134"/>
        <item m="1" x="1742"/>
        <item m="1" x="4209"/>
        <item m="1" x="1817"/>
        <item m="1" x="4282"/>
        <item m="1" x="1891"/>
        <item m="1" x="4356"/>
        <item m="1" x="1965"/>
        <item m="1" x="4429"/>
        <item m="1" x="2040"/>
        <item m="1" x="4504"/>
        <item m="1" x="2114"/>
        <item m="1" x="4577"/>
        <item m="1" x="2188"/>
        <item m="1" x="4652"/>
        <item m="1" x="2263"/>
        <item m="1" x="4727"/>
        <item m="1" x="2339"/>
        <item m="1" x="4803"/>
        <item m="1" x="2415"/>
        <item m="1" x="4878"/>
        <item m="1" x="2490"/>
        <item m="1" x="4953"/>
        <item m="1" x="2565"/>
        <item m="1" x="178"/>
        <item m="1" x="2641"/>
        <item m="1" x="254"/>
        <item m="1" x="2716"/>
        <item m="1" x="328"/>
        <item m="1" x="2791"/>
        <item m="1" x="402"/>
        <item m="1" x="2865"/>
        <item m="1" x="476"/>
        <item m="1" x="2940"/>
        <item m="1" x="551"/>
        <item m="1" x="3015"/>
        <item m="1" x="626"/>
        <item m="1" x="3090"/>
        <item m="1" x="700"/>
        <item m="1" x="3164"/>
        <item m="1" x="774"/>
        <item m="1" x="3239"/>
        <item m="1" x="849"/>
        <item m="1" x="3313"/>
        <item m="1" x="923"/>
        <item m="1" x="3388"/>
        <item m="1" x="997"/>
        <item m="1" x="3462"/>
        <item m="1" x="1071"/>
        <item m="1" x="3537"/>
        <item m="1" x="1146"/>
        <item m="1" x="3612"/>
        <item m="1" x="1221"/>
        <item m="1" x="3687"/>
        <item m="1" x="1295"/>
        <item m="1" x="3761"/>
        <item m="1" x="1369"/>
        <item m="1" x="3836"/>
        <item m="1" x="1444"/>
        <item m="1" x="3911"/>
        <item m="1" x="1518"/>
        <item m="1" x="3985"/>
        <item m="1" x="1591"/>
        <item m="1" x="4058"/>
        <item m="1" x="1665"/>
        <item m="1" x="4132"/>
        <item m="1" x="1740"/>
        <item m="1" x="4206"/>
        <item m="1" x="1815"/>
        <item m="1" x="4280"/>
        <item m="1" x="1889"/>
        <item m="1" x="4353"/>
        <item m="1" x="1963"/>
        <item m="1" x="4427"/>
        <item m="1" x="2038"/>
        <item m="1" x="4501"/>
        <item m="1" x="2112"/>
        <item m="1" x="4574"/>
        <item m="1" x="2185"/>
        <item m="1" x="4648"/>
        <item m="1" x="2260"/>
        <item m="1" x="4724"/>
        <item m="1" x="2336"/>
        <item m="1" x="4799"/>
        <item m="1" x="2412"/>
        <item m="1" x="4875"/>
        <item m="1" x="2487"/>
        <item m="1" x="4949"/>
        <item m="1" x="2562"/>
        <item m="1" x="175"/>
        <item m="1" x="2638"/>
        <item m="1" x="250"/>
        <item m="1" x="2713"/>
        <item m="1" x="325"/>
        <item m="1" x="2788"/>
        <item m="1" x="398"/>
        <item m="1" x="2862"/>
        <item m="1" x="473"/>
        <item m="1" x="2937"/>
        <item m="1" x="547"/>
        <item m="1" x="3012"/>
        <item m="1" x="623"/>
        <item m="1" x="3087"/>
        <item m="1" x="696"/>
        <item m="1" x="3161"/>
        <item m="1" x="771"/>
        <item m="1" x="3236"/>
        <item m="1" x="845"/>
        <item m="1" x="3310"/>
        <item m="1" x="920"/>
        <item m="1" x="3385"/>
        <item m="1" x="993"/>
        <item m="1" x="3459"/>
        <item m="1" x="1068"/>
        <item m="1" x="3534"/>
        <item m="1" x="1142"/>
        <item m="1" x="3609"/>
        <item m="1" x="1218"/>
        <item m="1" x="3684"/>
        <item m="1" x="1291"/>
        <item m="1" x="3758"/>
        <item m="1" x="1366"/>
        <item m="1" x="3833"/>
        <item m="1" x="1440"/>
        <item m="1" x="3908"/>
        <item m="1" x="1515"/>
        <item m="1" x="3982"/>
        <item m="1" x="1587"/>
        <item m="1" x="4055"/>
        <item m="1" x="1662"/>
        <item m="1" x="4129"/>
        <item m="1" x="1736"/>
        <item m="1" x="4203"/>
        <item m="1" x="1812"/>
        <item m="1" x="4277"/>
        <item m="1" x="1885"/>
        <item m="1" x="4350"/>
        <item m="1" x="1960"/>
        <item m="1" x="4424"/>
        <item m="1" x="2034"/>
        <item m="1" x="4498"/>
        <item m="1" x="2109"/>
        <item m="1" x="4571"/>
        <item m="1" x="2181"/>
        <item m="1" x="4645"/>
        <item m="1" x="2257"/>
        <item m="1" x="4721"/>
        <item m="1" x="2332"/>
        <item m="1" x="4796"/>
        <item m="1" x="2409"/>
        <item m="1" x="4872"/>
        <item m="1" x="2483"/>
        <item m="1" x="4946"/>
        <item m="1" x="2559"/>
        <item m="1" x="172"/>
        <item m="1" x="2634"/>
        <item m="1" x="247"/>
        <item m="1" x="2710"/>
        <item m="1" x="322"/>
        <item m="1" x="2784"/>
        <item m="1" x="395"/>
        <item m="1" x="2859"/>
        <item m="1" x="470"/>
        <item m="1" x="2933"/>
        <item m="1" x="544"/>
        <item m="1" x="3009"/>
        <item m="1" x="620"/>
        <item m="1" x="3083"/>
        <item m="1" x="693"/>
        <item m="1" x="3158"/>
        <item m="1" x="768"/>
        <item m="1" x="3232"/>
        <item m="1" x="842"/>
        <item m="1" x="3307"/>
        <item m="1" x="917"/>
        <item m="1" x="3381"/>
        <item m="1" x="990"/>
        <item m="1" x="3456"/>
        <item m="1" x="1065"/>
        <item m="1" x="3530"/>
        <item m="1" x="1139"/>
        <item m="1" x="3606"/>
        <item m="1" x="1215"/>
        <item m="1" x="3680"/>
        <item m="1" x="1288"/>
        <item m="1" x="3755"/>
        <item m="1" x="1363"/>
        <item m="1" x="3829"/>
        <item m="1" x="1437"/>
        <item m="1" x="3905"/>
        <item m="1" x="1512"/>
        <item m="1" x="3978"/>
        <item m="1" x="1584"/>
        <item m="1" x="4052"/>
        <item m="1" x="1659"/>
        <item m="1" x="4125"/>
        <item m="1" x="1733"/>
        <item m="1" x="4200"/>
        <item m="1" x="1809"/>
        <item m="1" x="4273"/>
        <item m="1" x="1882"/>
        <item m="1" x="4347"/>
        <item m="1" x="1957"/>
        <item m="1" x="4420"/>
        <item m="1" x="2031"/>
        <item m="1" x="4495"/>
        <item m="1" x="2106"/>
        <item m="1" x="4567"/>
        <item m="1" x="2178"/>
        <item m="1" x="4642"/>
        <item m="1" x="2254"/>
        <item m="1" x="4717"/>
        <item m="1" x="2329"/>
        <item m="1" x="4793"/>
        <item m="1" x="2406"/>
        <item m="1" x="4868"/>
        <item m="1" x="2480"/>
        <item m="1" x="4943"/>
        <item m="1" x="2556"/>
        <item m="1" x="168"/>
        <item m="1" x="2631"/>
        <item m="1" x="244"/>
        <item m="1" x="2707"/>
        <item m="1" x="318"/>
        <item m="1" x="2781"/>
        <item m="1" x="392"/>
        <item m="1" x="2856"/>
        <item m="1" x="466"/>
        <item m="1" x="2930"/>
        <item m="1" x="541"/>
        <item m="1" x="3006"/>
        <item m="1" x="616"/>
        <item m="1" x="3080"/>
        <item m="1" x="690"/>
        <item m="1" x="3155"/>
        <item m="1" x="764"/>
        <item m="1" x="3229"/>
        <item m="1" x="839"/>
        <item m="1" x="3304"/>
        <item m="1" x="913"/>
        <item m="1" x="3378"/>
        <item m="1" x="987"/>
        <item m="1" x="3453"/>
        <item m="1" x="1061"/>
        <item m="1" x="3527"/>
        <item m="1" x="1136"/>
        <item m="1" x="3603"/>
        <item m="1" x="1211"/>
        <item m="1" x="3677"/>
        <item m="1" x="1285"/>
        <item m="1" x="3752"/>
        <item m="1" x="1359"/>
        <item m="1" x="3826"/>
        <item m="1" x="1434"/>
        <item m="1" x="3902"/>
        <item m="1" x="1508"/>
        <item m="1" x="3975"/>
        <item m="1" x="1581"/>
        <item m="1" x="4049"/>
        <item m="1" x="1655"/>
        <item m="1" x="4122"/>
        <item m="1" x="1730"/>
        <item m="1" x="4197"/>
        <item m="1" x="1805"/>
        <item m="1" x="4270"/>
        <item m="1" x="1879"/>
        <item m="1" x="4344"/>
        <item m="1" x="1953"/>
        <item m="1" x="4417"/>
        <item m="1" x="2028"/>
        <item m="1" x="4492"/>
        <item m="1" x="2102"/>
        <item m="1" x="4564"/>
        <item m="1" x="2175"/>
        <item m="1" x="4639"/>
        <item m="1" x="2250"/>
        <item m="1" x="4714"/>
        <item m="1" x="2326"/>
        <item m="1" x="4790"/>
        <item m="1" x="2402"/>
        <item m="1" x="4865"/>
        <item m="1" x="2477"/>
        <item m="1" x="4940"/>
        <item m="1" x="2552"/>
        <item m="1" x="165"/>
        <item m="1" x="2628"/>
        <item m="1" x="241"/>
        <item m="1" x="2703"/>
        <item m="1" x="315"/>
        <item m="1" x="2778"/>
        <item m="1" x="389"/>
        <item m="1" x="2852"/>
        <item m="1" x="463"/>
        <item m="1" x="2927"/>
        <item m="1" x="538"/>
        <item m="1" x="3002"/>
        <item m="1" x="613"/>
        <item m="1" x="3077"/>
        <item m="1" x="687"/>
        <item m="1" x="3151"/>
        <item m="1" x="761"/>
        <item m="1" x="3226"/>
        <item m="1" x="836"/>
        <item m="1" x="3301"/>
        <item m="1" x="911"/>
        <item m="1" x="3376"/>
        <item m="1" x="985"/>
        <item m="1" x="3450"/>
        <item m="1" x="1059"/>
        <item m="1" x="3525"/>
        <item m="1" x="1134"/>
        <item m="1" x="3600"/>
        <item m="1" x="1209"/>
        <item m="1" x="3675"/>
        <item m="1" x="1283"/>
        <item m="1" x="3749"/>
        <item m="1" x="1357"/>
        <item m="1" x="3824"/>
        <item m="1" x="1432"/>
        <item m="1" x="3899"/>
        <item m="1" x="1506"/>
        <item m="1" x="3973"/>
        <item m="1" x="1579"/>
        <item m="1" x="4046"/>
        <item m="1" x="1653"/>
        <item m="1" x="4120"/>
        <item m="1" x="1728"/>
        <item m="1" x="4194"/>
        <item m="1" x="1803"/>
        <item m="1" x="4268"/>
        <item m="1" x="1877"/>
        <item m="1" x="4341"/>
        <item m="1" x="1951"/>
        <item m="1" x="4415"/>
        <item m="1" x="2026"/>
        <item m="1" x="4489"/>
        <item m="1" x="2100"/>
        <item m="1" x="4562"/>
        <item m="1" x="2173"/>
        <item m="1" x="4636"/>
        <item m="1" x="2248"/>
        <item m="1" x="4712"/>
        <item m="1" x="2324"/>
        <item m="1" x="4787"/>
        <item m="1" x="2400"/>
        <item m="1" x="4863"/>
        <item m="1" x="2475"/>
        <item m="1" x="4937"/>
        <item m="1" x="2550"/>
        <item m="1" x="163"/>
        <item m="1" x="2626"/>
        <item m="1" x="238"/>
        <item m="1" x="2701"/>
        <item m="1" x="313"/>
        <item m="1" x="2776"/>
        <item m="1" x="386"/>
        <item m="1" x="2850"/>
        <item m="1" x="461"/>
        <item m="1" x="2925"/>
        <item m="1" x="535"/>
        <item m="1" x="3000"/>
        <item m="1" x="611"/>
        <item m="1" x="3075"/>
        <item m="1" x="684"/>
        <item m="1" x="3149"/>
        <item m="1" x="759"/>
        <item m="1" x="3224"/>
        <item m="1" x="833"/>
        <item m="1" x="3299"/>
        <item m="1" x="909"/>
        <item m="1" x="3374"/>
        <item m="1" x="982"/>
        <item m="1" x="3448"/>
        <item m="1" x="1057"/>
        <item m="1" x="3523"/>
        <item m="1" x="1131"/>
        <item m="1" x="3598"/>
        <item m="1" x="1207"/>
        <item m="1" x="3673"/>
        <item m="1" x="1280"/>
        <item m="1" x="3747"/>
        <item m="1" x="1355"/>
        <item m="1" x="3822"/>
        <item m="1" x="1429"/>
        <item m="1" x="3897"/>
        <item m="1" x="1504"/>
        <item m="1" x="3971"/>
        <item m="1" x="1576"/>
        <item m="1" x="4044"/>
        <item m="1" x="1651"/>
        <item m="1" x="4118"/>
        <item m="1" x="1725"/>
        <item m="1" x="4192"/>
        <item m="1" x="1801"/>
        <item m="1" x="4266"/>
        <item m="1" x="1874"/>
        <item m="1" x="4339"/>
        <item m="1" x="1949"/>
        <item m="1" x="4413"/>
        <item m="1" x="2023"/>
        <item m="1" x="4487"/>
        <item m="1" x="2098"/>
        <item m="1" x="4560"/>
        <item m="1" x="2170"/>
        <item m="1" x="4634"/>
        <item m="1" x="2246"/>
        <item m="1" x="4710"/>
        <item m="1" x="2321"/>
        <item m="1" x="4785"/>
        <item m="1" x="2398"/>
        <item m="1" x="4861"/>
        <item m="1" x="2472"/>
        <item m="1" x="4935"/>
        <item m="1" x="2548"/>
        <item m="1" x="161"/>
        <item m="1" x="2623"/>
        <item m="1" x="236"/>
        <item m="1" x="2699"/>
        <item m="1" x="311"/>
        <item m="1" x="2773"/>
        <item m="1" x="384"/>
        <item m="1" x="2848"/>
        <item m="1" x="459"/>
        <item m="1" x="2922"/>
        <item m="1" x="533"/>
        <item m="1" x="2998"/>
        <item m="1" x="609"/>
        <item m="1" x="3072"/>
        <item m="1" x="682"/>
        <item m="1" x="3147"/>
        <item m="1" x="757"/>
        <item m="1" x="3221"/>
        <item m="1" x="831"/>
        <item m="1" x="3297"/>
        <item m="1" x="907"/>
        <item m="1" x="3371"/>
        <item m="1" x="980"/>
        <item m="1" x="3446"/>
        <item m="1" x="1055"/>
        <item m="1" x="3520"/>
        <item m="1" x="1129"/>
        <item m="1" x="3596"/>
        <item m="1" x="1205"/>
        <item m="1" x="3670"/>
        <item m="1" x="1278"/>
        <item m="1" x="3745"/>
        <item m="1" x="1353"/>
        <item m="1" x="3819"/>
        <item m="1" x="1427"/>
        <item m="1" x="3895"/>
        <item m="1" x="1502"/>
        <item m="1" x="3968"/>
        <item m="1" x="1574"/>
        <item m="1" x="4042"/>
        <item m="1" x="1649"/>
        <item m="1" x="4115"/>
        <item m="1" x="1723"/>
        <item m="1" x="4190"/>
        <item m="1" x="1799"/>
        <item m="1" x="4263"/>
        <item m="1" x="1872"/>
        <item m="1" x="4337"/>
        <item m="1" x="1947"/>
        <item m="1" x="4410"/>
        <item m="1" x="2021"/>
        <item m="1" x="4485"/>
        <item m="1" x="2096"/>
        <item m="1" x="4557"/>
        <item m="1" x="2168"/>
        <item m="1" x="4632"/>
        <item m="1" x="2244"/>
        <item m="1" x="4707"/>
        <item m="1" x="2319"/>
        <item m="1" x="4783"/>
        <item m="1" x="2396"/>
        <item m="1" x="4858"/>
        <item m="1" x="2470"/>
        <item m="1" x="4933"/>
        <item m="1" x="2546"/>
        <item m="1" x="158"/>
        <item m="1" x="2621"/>
        <item m="1" x="234"/>
        <item m="1" x="2697"/>
        <item m="1" x="308"/>
        <item m="1" x="2771"/>
        <item m="1" x="382"/>
        <item m="1" x="2846"/>
        <item m="1" x="456"/>
        <item m="1" x="2920"/>
        <item m="1" x="531"/>
        <item m="1" x="2996"/>
        <item m="1" x="606"/>
        <item m="1" x="3070"/>
        <item m="1" x="680"/>
        <item m="1" x="3145"/>
        <item m="1" x="754"/>
        <item m="1" x="3219"/>
        <item m="1" x="829"/>
        <item m="1" x="3295"/>
        <item m="1" x="904"/>
        <item m="1" x="3369"/>
        <item m="1" x="978"/>
        <item m="1" x="3444"/>
        <item m="1" x="1052"/>
        <item m="1" x="3518"/>
        <item m="1" x="1127"/>
        <item m="1" x="3594"/>
        <item m="1" x="1202"/>
        <item m="1" x="3668"/>
        <item m="1" x="1276"/>
        <item m="1" x="3743"/>
        <item m="1" x="1350"/>
        <item m="1" x="3817"/>
        <item m="1" x="1425"/>
        <item m="1" x="3893"/>
        <item m="1" x="1499"/>
        <item m="1" x="3966"/>
        <item m="1" x="1572"/>
        <item m="1" x="4040"/>
        <item m="1" x="1646"/>
        <item m="1" x="4113"/>
        <item m="1" x="1721"/>
        <item m="1" x="4188"/>
        <item m="1" x="1796"/>
        <item m="1" x="4261"/>
        <item m="1" x="1870"/>
        <item m="1" x="4335"/>
        <item m="1" x="1944"/>
        <item m="1" x="4408"/>
        <item m="1" x="2019"/>
        <item m="1" x="4483"/>
        <item m="1" x="2093"/>
        <item m="1" x="4555"/>
        <item m="1" x="2166"/>
        <item m="1" x="4630"/>
        <item m="1" x="2241"/>
        <item m="1" x="4705"/>
        <item m="1" x="2317"/>
        <item m="1" x="4781"/>
        <item m="1" x="2393"/>
        <item m="1" x="4856"/>
        <item m="1" x="2468"/>
        <item m="1" x="4931"/>
        <item m="1" x="2543"/>
        <item m="1" x="156"/>
        <item m="1" x="2619"/>
        <item m="1" x="232"/>
        <item m="1" x="2694"/>
        <item m="1" x="306"/>
        <item m="1" x="2769"/>
        <item m="1" x="380"/>
        <item m="1" x="2843"/>
        <item m="1" x="454"/>
        <item m="1" x="2918"/>
        <item m="1" x="529"/>
        <item m="1" x="2993"/>
        <item m="1" x="604"/>
        <item m="1" x="3068"/>
        <item m="1" x="678"/>
        <item m="1" x="3142"/>
        <item m="1" x="752"/>
        <item m="1" x="3217"/>
        <item m="1" x="827"/>
        <item m="1" x="3292"/>
        <item m="1" x="902"/>
        <item m="1" x="3367"/>
        <item m="1" x="4597"/>
        <item m="1" x="976"/>
        <item m="1" x="2208"/>
        <item m="1" x="3441"/>
        <item m="1" x="4671"/>
        <item m="1" x="1050"/>
        <item m="1" x="2283"/>
        <item m="1" x="3516"/>
        <item m="1" x="4747"/>
        <item m="1" x="1125"/>
        <item m="1" x="2359"/>
        <item m="1" x="3591"/>
        <item m="1" x="4822"/>
        <item m="1" x="1200"/>
        <item m="1" x="2435"/>
        <item m="1" x="3666"/>
        <item m="1" x="4898"/>
        <item m="1" x="1274"/>
        <item m="1" x="2510"/>
        <item m="1" x="3740"/>
        <item m="1" x="4972"/>
        <item m="1" x="1348"/>
        <item m="1" x="2585"/>
        <item m="1" x="3815"/>
        <item m="1" x="198"/>
        <item m="1" x="1423"/>
        <item m="1" x="2661"/>
        <item m="1" x="3890"/>
        <item m="1" x="273"/>
        <item m="1" x="1497"/>
        <item m="1" x="2736"/>
        <item m="1" x="3964"/>
        <item m="1" x="348"/>
        <item m="1" x="1570"/>
        <item m="1" x="2811"/>
        <item m="1" x="4037"/>
        <item m="1" x="421"/>
        <item m="1" x="1644"/>
        <item m="1" x="2885"/>
        <item m="1" x="4111"/>
        <item m="1" x="496"/>
        <item m="1" x="1719"/>
        <item m="1" x="2960"/>
        <item m="1" x="4185"/>
        <item m="1" x="570"/>
        <item m="1" x="1794"/>
        <item m="1" x="3035"/>
        <item m="1" x="4259"/>
        <item m="1" x="646"/>
        <item m="1" x="1868"/>
        <item m="1" x="3110"/>
        <item m="1" x="4332"/>
        <item m="1" x="719"/>
        <item m="1" x="1942"/>
        <item m="1" x="3184"/>
        <item m="1" x="4406"/>
        <item m="1" x="794"/>
        <item m="1" x="2017"/>
        <item m="1" x="3259"/>
        <item m="1" x="4480"/>
        <item m="1" x="868"/>
        <item m="1" x="2091"/>
        <item m="1" x="3333"/>
        <item m="1" x="4553"/>
        <item m="1" x="943"/>
        <item m="1" x="2164"/>
        <item m="1" x="3408"/>
        <item m="1" x="4627"/>
        <item m="1" x="1016"/>
        <item m="1" x="2239"/>
        <item m="1" x="3482"/>
        <item m="1" x="4702"/>
        <item m="1" x="1091"/>
        <item m="1" x="2315"/>
        <item m="1" x="3557"/>
        <item m="1" x="4778"/>
        <item m="1" x="1165"/>
        <item m="1" x="2391"/>
        <item m="1" x="3632"/>
        <item m="1" x="4853"/>
        <item m="1" x="1241"/>
        <item m="1" x="2466"/>
        <item m="1" x="3707"/>
        <item m="1" x="4928"/>
        <item m="1" x="1314"/>
        <item m="1" x="2541"/>
        <item m="1" x="3781"/>
        <item m="1" x="153"/>
        <item m="1" x="1389"/>
        <item m="1" x="2617"/>
        <item m="1" x="3856"/>
        <item m="1" x="229"/>
        <item m="1" x="1462"/>
        <item m="1" x="2692"/>
        <item m="1" x="3930"/>
        <item m="1" x="303"/>
        <item m="1" x="1537"/>
        <item m="1" x="2767"/>
        <item m="1" x="4004"/>
        <item m="1" x="377"/>
        <item m="1" x="1609"/>
        <item m="1" x="2841"/>
        <item m="1" x="4077"/>
        <item m="1" x="451"/>
        <item m="1" x="1684"/>
        <item m="1" x="2916"/>
        <item m="1" x="4151"/>
        <item m="1" x="526"/>
        <item m="1" x="1758"/>
        <item m="1" x="2991"/>
        <item m="1" x="4225"/>
        <item m="1" x="601"/>
        <item m="1" x="1834"/>
        <item m="1" x="3066"/>
        <item m="1" x="4299"/>
        <item m="1" x="675"/>
        <item m="1" x="1907"/>
        <item m="1" x="3140"/>
        <item m="1" x="4372"/>
        <item m="1" x="749"/>
        <item m="1" x="1982"/>
        <item m="1" x="3215"/>
        <item m="1" x="4446"/>
        <item m="1" x="824"/>
        <item m="1" x="2056"/>
        <item m="1" x="3290"/>
        <item m="1" x="4520"/>
        <item m="1" x="899"/>
        <item m="1" x="2131"/>
        <item m="1" x="3365"/>
        <item m="1" x="4594"/>
        <item m="1" x="973"/>
        <item m="1" x="2204"/>
        <item m="1" x="3439"/>
        <item m="1" x="4668"/>
        <item m="1" x="1047"/>
        <item m="1" x="2280"/>
        <item m="1" x="3514"/>
        <item m="1" x="4744"/>
        <item m="1" x="1122"/>
        <item m="1" x="2355"/>
        <item m="1" x="3589"/>
        <item m="1" x="4819"/>
        <item m="1" x="1197"/>
        <item m="1" x="2432"/>
        <item m="1" x="3664"/>
        <item m="1" x="4895"/>
        <item m="1" x="1271"/>
        <item m="1" x="2506"/>
        <item m="1" x="3738"/>
        <item m="1" x="4969"/>
        <item m="1" x="1345"/>
        <item m="1" x="2582"/>
        <item m="1" x="3813"/>
        <item m="1" x="195"/>
        <item m="1" x="1420"/>
        <item m="1" x="2657"/>
        <item m="1" x="3888"/>
        <item m="1" x="270"/>
        <item m="1" x="1494"/>
        <item m="1" x="2733"/>
        <item m="1" x="3962"/>
        <item m="1" x="345"/>
        <item m="1" x="1567"/>
        <item m="1" x="2807"/>
        <item m="1" x="4035"/>
        <item m="1" x="418"/>
        <item m="1" x="1641"/>
        <item m="1" x="2882"/>
        <item m="1" x="4109"/>
        <item m="1" x="493"/>
        <item m="1" x="1716"/>
        <item m="1" x="2956"/>
        <item m="1" x="4183"/>
        <item m="1" x="567"/>
        <item m="1" x="1791"/>
        <item m="1" x="3032"/>
        <item m="1" x="4257"/>
        <item m="1" x="643"/>
        <item m="1" x="1865"/>
        <item m="1" x="3106"/>
        <item m="1" x="4330"/>
        <item m="1" x="716"/>
        <item m="1" x="1939"/>
        <item m="1" x="3181"/>
        <item m="1" x="4404"/>
        <item m="1" x="791"/>
        <item m="1" x="2014"/>
        <item m="1" x="3255"/>
        <item m="1" x="4478"/>
        <item m="1" x="865"/>
        <item m="1" x="2088"/>
        <item m="1" x="3330"/>
        <item m="1" x="4551"/>
        <item m="1" x="940"/>
        <item m="1" x="2161"/>
        <item m="1" x="3404"/>
        <item m="1" x="4625"/>
        <item m="1" x="1013"/>
        <item m="1" x="2236"/>
        <item m="1" x="3479"/>
        <item m="1" x="4700"/>
        <item m="1" x="1088"/>
        <item m="1" x="2312"/>
        <item m="1" x="3553"/>
        <item m="1" x="4776"/>
        <item m="1" x="1162"/>
        <item m="1" x="2388"/>
        <item m="1" x="3629"/>
        <item m="1" x="4851"/>
        <item m="1" x="1238"/>
        <item m="1" x="2463"/>
        <item m="1" x="3703"/>
        <item m="1" x="4926"/>
        <item m="1" x="1311"/>
        <item m="1" x="2538"/>
        <item m="1" x="3778"/>
        <item m="1" x="151"/>
        <item m="1" x="1386"/>
        <item m="1" x="2614"/>
        <item m="1" x="3852"/>
        <item m="1" x="227"/>
        <item m="1" x="1459"/>
        <item m="1" x="2689"/>
        <item m="1" x="3927"/>
        <item m="1" x="301"/>
        <item m="1" x="1534"/>
        <item m="1" x="2764"/>
        <item m="1" x="4000"/>
        <item m="1" x="375"/>
        <item m="1" x="1606"/>
        <item m="1" x="2838"/>
        <item m="1" x="4074"/>
        <item m="1" x="449"/>
        <item m="1" x="1681"/>
        <item m="1" x="2913"/>
        <item m="1" x="4147"/>
        <item m="1" x="524"/>
        <item m="1" x="1755"/>
        <item m="1" x="2988"/>
        <item m="1" x="4222"/>
        <item m="1" x="599"/>
        <item m="1" x="1831"/>
        <item m="1" x="3063"/>
        <item m="1" x="4295"/>
        <item m="1" x="673"/>
        <item m="1" x="1904"/>
        <item m="1" x="3137"/>
        <item m="1" x="4369"/>
        <item m="1" x="747"/>
        <item m="1" x="1979"/>
        <item m="1" x="3212"/>
        <item m="1" x="4442"/>
        <item m="1" x="822"/>
        <item m="1" x="2053"/>
        <item m="1" x="3287"/>
        <item m="1" x="4517"/>
        <item m="1" x="897"/>
        <item m="1" x="2128"/>
        <item m="1" x="3362"/>
        <item m="1" x="4590"/>
        <item m="1" x="971"/>
        <item m="1" x="2201"/>
        <item m="1" x="3436"/>
        <item m="1" x="4665"/>
        <item m="1" x="1045"/>
        <item m="1" x="2277"/>
        <item m="1" x="3511"/>
        <item m="1" x="4740"/>
        <item m="1" x="1120"/>
        <item m="1" x="2352"/>
        <item m="1" x="3586"/>
        <item m="1" x="4816"/>
        <item m="1" x="1195"/>
        <item m="1" x="2429"/>
        <item m="1" x="3661"/>
        <item m="1" x="4891"/>
        <item m="1" x="1269"/>
        <item m="1" x="2503"/>
        <item m="1" x="3735"/>
        <item m="1" x="4966"/>
        <item m="1" x="1343"/>
        <item m="1" x="2579"/>
        <item m="1" x="3810"/>
        <item m="1" x="191"/>
        <item m="1" x="1418"/>
        <item m="1" x="2654"/>
        <item m="1" x="3885"/>
        <item m="1" x="267"/>
        <item m="1" x="1492"/>
        <item m="1" x="2730"/>
        <item m="1" x="3959"/>
        <item m="1" x="341"/>
        <item m="1" x="1565"/>
        <item m="1" x="2804"/>
        <item m="1" x="4032"/>
        <item m="1" x="415"/>
        <item m="1" x="1639"/>
        <item m="1" x="2879"/>
        <item m="1" x="4106"/>
        <item m="1" x="489"/>
        <item m="1" x="1714"/>
        <item m="1" x="2953"/>
        <item m="1" x="4180"/>
        <item m="1" x="564"/>
        <item m="1" x="1789"/>
        <item m="1" x="3029"/>
        <item m="1" x="4254"/>
        <item m="1" x="639"/>
        <item m="1" x="1863"/>
        <item m="1" x="3103"/>
        <item m="1" x="4327"/>
        <item m="1" x="713"/>
        <item m="1" x="1937"/>
        <item m="1" x="3178"/>
        <item m="1" x="4401"/>
        <item m="1" x="787"/>
        <item m="1" x="2012"/>
        <item m="1" x="3252"/>
        <item m="1" x="4475"/>
        <item m="1" x="862"/>
        <item m="1" x="2086"/>
        <item m="1" x="3327"/>
        <item m="1" x="4548"/>
        <item m="1" x="936"/>
        <item m="1" x="2159"/>
        <item m="1" x="3401"/>
        <item m="1" x="4622"/>
        <item m="1" x="1010"/>
        <item m="1" x="2234"/>
        <item m="1" x="3476"/>
        <item m="1" x="4697"/>
        <item m="1" x="1084"/>
        <item m="1" x="2310"/>
        <item m="1" x="3550"/>
        <item m="1" x="4773"/>
        <item m="1" x="1159"/>
        <item m="1" x="2386"/>
        <item m="1" x="3626"/>
        <item m="1" x="4848"/>
        <item m="1" x="1234"/>
        <item m="1" x="2461"/>
        <item m="1" x="3700"/>
        <item m="1" x="4923"/>
        <item m="1" x="1308"/>
        <item m="1" x="2536"/>
        <item m="1" x="3775"/>
        <item m="1" x="4998"/>
        <item m="1" x="1382"/>
        <item m="1" x="2612"/>
        <item m="1" x="3849"/>
        <item m="1" x="224"/>
        <item m="1" x="1456"/>
        <item m="1" x="2687"/>
        <item m="1" x="3924"/>
        <item m="1" x="298"/>
        <item m="1" x="1530"/>
        <item m="1" x="2761"/>
        <item m="1" x="3997"/>
        <item m="1" x="372"/>
        <item m="1" x="1603"/>
        <item m="1" x="2836"/>
        <item m="1" x="4071"/>
        <item m="1" x="446"/>
        <item m="1" x="1677"/>
        <item m="1" x="2911"/>
        <item m="1" x="4144"/>
        <item m="1" x="521"/>
        <item m="1" x="1752"/>
        <item m="1" x="2986"/>
        <item m="1" x="4219"/>
        <item m="1" x="596"/>
        <item m="1" x="1827"/>
        <item m="1" x="3060"/>
        <item m="1" x="4292"/>
        <item m="1" x="670"/>
        <item m="1" x="1901"/>
        <item m="1" x="3135"/>
        <item m="1" x="4366"/>
        <item m="1" x="744"/>
        <item m="1" x="1975"/>
        <item m="1" x="3210"/>
        <item m="1" x="4439"/>
        <item m="1" x="819"/>
        <item m="1" x="2050"/>
        <item m="1" x="3285"/>
        <item m="1" x="4514"/>
        <item m="1" x="894"/>
        <item m="1" x="2124"/>
        <item m="1" x="3359"/>
        <item m="1" x="4587"/>
        <item m="1" x="968"/>
        <item m="1" x="2198"/>
        <item m="1" x="3434"/>
        <item m="1" x="4662"/>
        <item m="1" x="1042"/>
        <item m="1" x="2273"/>
        <item m="1" x="3509"/>
        <item m="1" x="4737"/>
        <item m="1" x="1117"/>
        <item m="1" x="2349"/>
        <item m="1" x="3584"/>
        <item m="1" x="4813"/>
        <item m="1" x="1192"/>
        <item m="1" x="2425"/>
        <item m="1" x="3658"/>
        <item m="1" x="4888"/>
        <item m="1" x="1266"/>
        <item m="1" x="2500"/>
        <item m="1" x="3733"/>
        <item m="1" x="4963"/>
        <item m="1" x="1340"/>
        <item m="1" x="2575"/>
        <item m="1" x="3808"/>
        <item m="1" x="188"/>
        <item m="1" x="1415"/>
        <item m="1" x="2651"/>
        <item m="1" x="3883"/>
        <item m="1" x="264"/>
        <item m="1" x="1489"/>
        <item m="1" x="2726"/>
        <item m="1" x="3956"/>
        <item m="1" x="338"/>
        <item m="1" x="1562"/>
        <item m="1" x="2801"/>
        <item m="1" x="4030"/>
        <item m="1" x="412"/>
        <item m="1" x="1636"/>
        <item m="1" x="2875"/>
        <item m="1" x="4104"/>
        <item m="1" x="486"/>
        <item m="1" x="1711"/>
        <item m="1" x="2950"/>
        <item m="1" x="4178"/>
        <item m="1" x="561"/>
        <item m="1" x="1786"/>
        <item m="1" x="3025"/>
        <item m="1" x="4251"/>
        <item m="1" x="636"/>
        <item m="1" x="1860"/>
        <item m="1" x="3100"/>
        <item m="1" x="4325"/>
        <item m="1" x="710"/>
        <item m="1" x="1934"/>
        <item m="1" x="3174"/>
        <item m="1" x="4399"/>
        <item m="1" x="784"/>
        <item m="1" x="2009"/>
        <item m="1" x="3249"/>
        <item m="1" x="4473"/>
        <item m="1" x="859"/>
        <item m="1" x="2083"/>
        <item m="1" x="3323"/>
        <item m="1" x="4545"/>
        <item m="1" x="933"/>
        <item m="1" x="2156"/>
        <item m="1" x="3398"/>
        <item m="1" x="4620"/>
        <item m="1" x="1007"/>
        <item m="1" x="2231"/>
        <item m="1" x="3472"/>
        <item m="1" x="4695"/>
        <item m="1" x="1081"/>
        <item m="1" x="2307"/>
        <item m="1" x="3547"/>
        <item m="1" x="4771"/>
        <item m="1" x="1156"/>
        <item m="1" x="2383"/>
        <item m="1" x="3622"/>
        <item m="1" x="4845"/>
        <item m="1" x="1231"/>
        <item m="1" x="2458"/>
        <item m="1" x="3697"/>
        <item m="1" x="4921"/>
        <item m="1" x="1305"/>
        <item m="1" x="2533"/>
        <item m="1" x="3771"/>
        <item m="1" x="4996"/>
        <item m="1" x="1379"/>
        <item m="1" x="2609"/>
        <item m="1" x="3846"/>
        <item m="1" x="222"/>
        <item m="1" x="1454"/>
        <item m="1" x="2685"/>
        <item m="1" x="3921"/>
        <item m="1" x="296"/>
        <item m="1" x="1528"/>
        <item m="1" x="2759"/>
        <item m="1" x="3995"/>
        <item m="1" x="371"/>
        <item m="1" x="1601"/>
        <item m="1" x="2834"/>
        <item m="1" x="4068"/>
        <item m="1" x="445"/>
        <item m="1" x="1675"/>
        <item m="1" x="2909"/>
        <item m="1" x="4142"/>
        <item m="1" x="520"/>
        <item m="1" x="1750"/>
        <item m="1" x="2984"/>
        <item m="1" x="4216"/>
        <item m="1" x="594"/>
        <item m="1" x="1825"/>
        <item m="1" x="3058"/>
        <item m="1" x="4290"/>
        <item m="1" x="669"/>
        <item m="1" x="1899"/>
        <item m="1" x="3133"/>
        <item m="1" x="4363"/>
        <item m="1" x="743"/>
        <item m="1" x="1973"/>
        <item m="1" x="3208"/>
        <item m="1" x="4437"/>
        <item m="1" x="818"/>
        <item m="1" x="2048"/>
        <item m="1" x="3283"/>
        <item m="1" x="4511"/>
        <item m="1" x="892"/>
        <item m="1" x="2122"/>
        <item m="1" x="3357"/>
        <item m="1" x="4585"/>
        <item m="1" x="967"/>
        <item m="1" x="2196"/>
        <item m="1" x="3432"/>
        <item m="1" x="4659"/>
        <item m="1" x="1041"/>
        <item m="1" x="2271"/>
        <item m="1" x="3507"/>
        <item m="1" x="4735"/>
        <item m="1" x="1116"/>
        <item m="1" x="2347"/>
        <item m="1" x="3582"/>
        <item m="1" x="4810"/>
        <item m="1" x="1190"/>
        <item m="1" x="2423"/>
        <item m="1" x="3656"/>
        <item m="1" x="4886"/>
        <item m="1" x="1265"/>
        <item m="1" x="2498"/>
        <item m="1" x="3731"/>
        <item m="1" x="4960"/>
        <item m="1" x="1339"/>
        <item m="1" x="2573"/>
        <item m="1" x="3806"/>
        <item m="1" x="186"/>
        <item m="1" x="1414"/>
        <item m="1" x="2649"/>
        <item m="1" x="3881"/>
        <item m="1" x="261"/>
        <item m="1" x="1487"/>
        <item m="1" x="2724"/>
        <item m="1" x="3954"/>
        <item m="1" x="336"/>
        <item m="1" x="1561"/>
        <item m="1" x="2799"/>
        <item m="1" x="4028"/>
        <item m="1" x="409"/>
        <item m="1" x="1635"/>
        <item m="1" x="2873"/>
        <item m="1" x="4102"/>
        <item m="1" x="484"/>
        <item m="1" x="1710"/>
        <item m="1" x="2948"/>
        <item m="1" x="4176"/>
        <item m="1" x="558"/>
        <item m="1" x="1784"/>
        <item m="1" x="3023"/>
        <item m="1" x="4249"/>
        <item m="1" x="634"/>
        <item m="1" x="1859"/>
        <item m="1" x="3098"/>
        <item m="1" x="4323"/>
        <item m="1" x="707"/>
        <item m="1" x="1933"/>
        <item m="1" x="3172"/>
        <item m="1" x="4397"/>
        <item m="1" x="782"/>
        <item m="1" x="2008"/>
        <item m="1" x="3247"/>
        <item m="1" x="4471"/>
        <item m="1" x="856"/>
        <item m="1" x="2081"/>
        <item m="1" x="3321"/>
        <item m="1" x="4543"/>
        <item m="1" x="931"/>
        <item m="1" x="2155"/>
        <item m="1" x="3396"/>
        <item m="1" x="4618"/>
        <item m="1" x="1004"/>
        <item m="1" x="2230"/>
        <item m="1" x="3470"/>
        <item m="1" x="4693"/>
        <item m="1" x="1079"/>
        <item m="1" x="2306"/>
        <item m="1" x="3545"/>
        <item m="1" x="4769"/>
        <item m="1" x="1153"/>
        <item m="1" x="2381"/>
        <item m="1" x="3620"/>
        <item m="1" x="4843"/>
        <item m="1" x="1229"/>
        <item m="1" x="2457"/>
        <item m="1" x="3695"/>
        <item m="1" x="4919"/>
        <item m="1" x="1302"/>
        <item m="1" x="2532"/>
        <item m="1" x="3769"/>
        <item m="1" x="4994"/>
        <item m="1" x="1377"/>
        <item m="1" x="2608"/>
        <item m="1" x="3844"/>
        <item m="1" x="220"/>
        <item m="1" x="1451"/>
        <item m="1" x="2683"/>
        <item m="1" x="3919"/>
        <item m="1" x="294"/>
        <item m="1" x="1526"/>
        <item m="1" x="2758"/>
        <item m="1" x="3993"/>
        <item m="1" x="369"/>
        <item m="1" x="1598"/>
        <item m="1" x="2833"/>
        <item m="1" x="4066"/>
        <item m="1" x="443"/>
        <item m="1" x="1673"/>
        <item m="1" x="2908"/>
        <item m="1" x="4140"/>
        <item m="1" x="518"/>
        <item m="1" x="1747"/>
        <item m="1" x="2982"/>
        <item m="1" x="4214"/>
        <item m="1" x="592"/>
        <item m="1" x="1823"/>
        <item m="1" x="3057"/>
        <item m="1" x="4288"/>
        <item m="1" x="667"/>
        <item m="1" x="1896"/>
        <item m="1" x="3132"/>
        <item m="1" x="4361"/>
        <item m="1" x="741"/>
        <item m="1" x="1971"/>
        <item m="1" x="3207"/>
        <item m="1" x="4435"/>
        <item m="1" x="816"/>
        <item m="1" x="2045"/>
        <item m="1" x="3281"/>
        <item m="1" x="4509"/>
        <item m="1" x="890"/>
        <item m="1" x="2120"/>
        <item m="1" x="3356"/>
        <item m="1" x="4583"/>
        <item m="1" x="965"/>
        <item m="1" x="2193"/>
        <item m="1" x="3431"/>
        <item m="1" x="4657"/>
        <item m="1" x="1039"/>
        <item m="1" x="2269"/>
        <item m="1" x="3506"/>
        <item m="1" x="4733"/>
        <item m="1" x="1114"/>
        <item m="1" x="2344"/>
        <item m="1" x="3580"/>
        <item m="1" x="4808"/>
        <item m="1" x="1188"/>
        <item m="1" x="2421"/>
        <item m="1" x="3655"/>
        <item m="1" x="4884"/>
        <item m="1" x="1263"/>
        <item m="1" x="2495"/>
        <item m="1" x="3730"/>
        <item m="1" x="4958"/>
        <item m="1" x="1337"/>
        <item m="1" x="2571"/>
        <item m="1" x="3805"/>
        <item m="1" x="184"/>
        <item m="1" x="1412"/>
        <item m="1" x="2646"/>
        <item m="1" x="3879"/>
        <item m="1" x="259"/>
        <item m="1" x="1485"/>
        <item m="1" x="2722"/>
        <item m="1" x="3953"/>
        <item m="1" x="334"/>
        <item m="1" x="1559"/>
        <item m="1" x="2796"/>
        <item m="1" x="4027"/>
        <item m="1" x="407"/>
        <item m="1" x="1633"/>
        <item m="1" x="2871"/>
        <item m="1" x="4101"/>
        <item m="1" x="482"/>
        <item m="1" x="1708"/>
        <item m="1" x="2945"/>
        <item m="1" x="4174"/>
        <item m="1" x="556"/>
        <item m="1" x="1782"/>
        <item m="1" x="3021"/>
        <item m="1" x="4248"/>
        <item m="1" x="632"/>
        <item m="1" x="1857"/>
        <item m="1" x="3095"/>
        <item m="1" x="4322"/>
        <item m="1" x="705"/>
        <item m="1" x="1931"/>
        <item m="1" x="3170"/>
        <item m="1" x="4396"/>
        <item m="1" x="780"/>
        <item m="1" x="2006"/>
        <item m="1" x="3244"/>
        <item m="1" x="4469"/>
        <item m="1" x="854"/>
        <item m="1" x="2079"/>
        <item m="1" x="3319"/>
        <item m="1" x="4542"/>
        <item m="1" x="929"/>
        <item m="1" x="2153"/>
        <item m="1" x="3393"/>
        <item m="1" x="4617"/>
        <item m="1" x="1002"/>
        <item m="1" x="2228"/>
        <item m="1" x="3468"/>
        <item m="1" x="4692"/>
        <item m="1" x="1077"/>
        <item m="1" x="2304"/>
        <item m="1" x="3542"/>
        <item m="1" x="4767"/>
        <item m="1" x="1151"/>
        <item m="1" x="2379"/>
        <item m="1" x="3618"/>
        <item m="1" x="4842"/>
        <item m="1" x="1227"/>
        <item m="1" x="2455"/>
        <item m="1" x="3692"/>
        <item m="1" x="4918"/>
        <item m="1" x="1300"/>
        <item m="1" x="2530"/>
        <item m="1" x="3767"/>
        <item m="1" x="4993"/>
        <item m="1" x="1375"/>
        <item m="1" x="2606"/>
        <item m="1" x="3841"/>
        <item m="1" x="218"/>
        <item m="1" x="1449"/>
        <item m="1" x="2681"/>
        <item m="1" x="3917"/>
        <item m="1" x="293"/>
        <item m="1" x="1524"/>
        <item m="1" x="2756"/>
        <item m="1" x="3990"/>
        <item m="1" x="368"/>
        <item m="1" x="1596"/>
        <item m="1" x="2831"/>
        <item m="1" x="4064"/>
        <item m="1" x="442"/>
        <item m="1" x="1671"/>
        <item m="1" x="2906"/>
        <item m="1" x="4137"/>
        <item m="1" x="516"/>
        <item m="1" x="1745"/>
        <item m="1" x="2980"/>
        <item m="1" x="4212"/>
        <item m="1" x="591"/>
        <item m="1" x="1821"/>
        <item m="1" x="3055"/>
        <item m="1" x="4285"/>
        <item m="1" x="666"/>
        <item m="1" x="1894"/>
        <item m="1" x="3130"/>
        <item m="1" x="4359"/>
        <item m="1" x="740"/>
        <item m="1" x="1969"/>
        <item m="1" x="3205"/>
        <item m="1" x="4432"/>
        <item m="1" x="814"/>
        <item m="1" x="2043"/>
        <item m="1" x="3279"/>
        <item m="1" x="4507"/>
        <item m="1" x="889"/>
        <item m="1" x="2118"/>
        <item m="1" x="3354"/>
        <item m="1" x="4580"/>
        <item m="1" x="964"/>
        <item m="1" x="2191"/>
        <item m="1" x="3429"/>
        <item m="1" x="4655"/>
        <item m="1" x="1038"/>
        <item m="1" x="2267"/>
        <item m="1" x="3504"/>
        <item m="1" x="4730"/>
        <item m="1" x="1112"/>
        <item m="1" x="2342"/>
        <item m="1" x="3578"/>
        <item m="1" x="4806"/>
        <item m="1" x="1187"/>
        <item m="1" x="2419"/>
        <item m="1" x="3653"/>
        <item m="1" x="4881"/>
        <item m="1" x="1262"/>
        <item m="1" x="2493"/>
        <item m="1" x="3728"/>
        <item m="1" x="4956"/>
        <item m="1" x="1336"/>
        <item m="1" x="2569"/>
        <item m="1" x="3803"/>
        <item m="1" x="181"/>
        <item m="1" x="1410"/>
        <item m="1" x="2644"/>
        <item m="1" x="3877"/>
        <item m="1" x="257"/>
        <item m="1" x="1484"/>
        <item m="1" x="2720"/>
        <item m="1" x="3951"/>
        <item m="1" x="331"/>
        <item m="1" x="1558"/>
        <item m="1" x="2794"/>
        <item m="1" x="4025"/>
        <item m="1" x="405"/>
        <item m="1" x="1632"/>
        <item m="1" x="2869"/>
        <item m="1" x="4099"/>
        <item m="1" x="479"/>
        <item m="1" x="1706"/>
        <item m="1" x="2943"/>
        <item m="1" x="4172"/>
        <item m="1" x="554"/>
        <item m="1" x="1781"/>
        <item m="1" x="3019"/>
        <item m="1" x="4246"/>
        <item m="1" x="629"/>
        <item m="1" x="1856"/>
        <item m="1" x="3093"/>
        <item m="1" x="4320"/>
        <item m="1" x="703"/>
        <item m="1" x="1930"/>
        <item m="1" x="3168"/>
        <item m="1" x="4394"/>
        <item m="1" x="777"/>
        <item m="1" x="2004"/>
        <item m="1" x="3242"/>
        <item m="1" x="4467"/>
        <item m="1" x="852"/>
        <item m="1" x="2078"/>
        <item m="1" x="3317"/>
        <item m="1" x="4540"/>
        <item m="1" x="926"/>
        <item m="1" x="2152"/>
        <item m="1" x="3391"/>
        <item m="1" x="4615"/>
        <item m="1" x="1000"/>
        <item m="1" x="2227"/>
        <item m="1" x="3466"/>
        <item m="1" x="4690"/>
        <item m="1" x="1074"/>
        <item m="1" x="2302"/>
        <item m="1" x="3540"/>
        <item m="1" x="4765"/>
        <item m="1" x="1149"/>
        <item m="1" x="2378"/>
        <item m="1" x="3616"/>
        <item m="1" x="4840"/>
        <item m="1" x="1224"/>
        <item m="1" x="2454"/>
        <item m="1" x="3690"/>
        <item m="1" x="4916"/>
        <item m="1" x="1298"/>
        <item m="1" x="2529"/>
        <item m="1" x="3765"/>
        <item m="1" x="4991"/>
        <item m="1" x="1372"/>
        <item m="1" x="2604"/>
        <item m="1" x="3839"/>
        <item m="1" x="216"/>
        <item m="1" x="1447"/>
        <item m="1" x="2680"/>
        <item m="1" x="3915"/>
        <item m="1" x="291"/>
        <item m="1" x="1521"/>
        <item m="1" x="2755"/>
        <item m="1" x="3988"/>
        <item m="1" x="366"/>
        <item m="1" x="1594"/>
        <item m="1" x="2830"/>
        <item m="1" x="4062"/>
        <item m="1" x="440"/>
        <item m="1" x="1668"/>
        <item m="1" x="2904"/>
        <item m="1" x="4135"/>
        <item m="1" x="514"/>
        <item m="1" x="1743"/>
        <item m="1" x="2979"/>
        <item m="1" x="4210"/>
        <item m="1" x="589"/>
        <item m="1" x="1818"/>
        <item m="1" x="3054"/>
        <item m="1" x="4283"/>
        <item m="1" x="664"/>
        <item m="1" x="1892"/>
        <item m="1" x="3129"/>
        <item m="1" x="4357"/>
        <item m="1" x="738"/>
        <item m="1" x="1966"/>
        <item m="1" x="3203"/>
        <item m="1" x="4430"/>
        <item m="1" x="812"/>
        <item m="1" x="2041"/>
        <item m="1" x="3278"/>
        <item m="1" x="4505"/>
        <item m="1" x="887"/>
        <item m="1" x="2115"/>
        <item m="1" x="3353"/>
        <item m="1" x="4578"/>
        <item m="1" x="962"/>
        <item m="1" x="2189"/>
        <item m="1" x="3428"/>
        <item m="1" x="4653"/>
        <item m="1" x="1036"/>
        <item m="1" x="2264"/>
        <item m="1" x="3502"/>
        <item m="1" x="4728"/>
        <item m="1" x="1110"/>
        <item m="1" x="2340"/>
        <item m="1" x="3577"/>
        <item m="1" x="4804"/>
        <item m="1" x="1185"/>
        <item m="1" x="2416"/>
        <item m="1" x="3652"/>
        <item m="1" x="4879"/>
        <item m="1" x="1260"/>
        <item m="1" x="2491"/>
        <item m="1" x="3727"/>
        <item m="1" x="4954"/>
        <item m="1" x="1334"/>
        <item m="1" x="2566"/>
        <item m="1" x="3801"/>
        <item m="1" x="179"/>
        <item m="1" x="1408"/>
        <item m="1" x="2642"/>
        <item m="1" x="3876"/>
        <item m="1" x="255"/>
        <item m="1" x="1482"/>
        <item m="1" x="2717"/>
        <item m="1" x="3950"/>
        <item m="1" x="329"/>
        <item m="1" x="1556"/>
        <item m="1" x="2792"/>
        <item m="1" x="4024"/>
        <item m="1" x="403"/>
        <item m="1" x="1630"/>
        <item m="1" x="2866"/>
        <item m="1" x="4097"/>
        <item m="1" x="477"/>
        <item m="1" x="1704"/>
        <item m="1" x="2941"/>
        <item m="1" x="4171"/>
        <item m="1" x="552"/>
        <item m="1" x="1779"/>
        <item m="1" x="3016"/>
        <item m="1" x="4245"/>
        <item m="1" x="627"/>
        <item m="1" x="1854"/>
        <item m="1" x="3091"/>
        <item m="1" x="4319"/>
        <item m="1" x="701"/>
        <item m="1" x="1928"/>
        <item m="1" x="3165"/>
        <item m="1" x="4392"/>
        <item m="1" x="775"/>
        <item m="1" x="2002"/>
        <item m="1" x="3240"/>
        <item m="1" x="4466"/>
        <item m="1" x="850"/>
        <item m="1" x="2076"/>
        <item m="1" x="3314"/>
        <item m="1" x="4539"/>
        <item m="1" x="924"/>
        <item m="1" x="2150"/>
        <item m="1" x="3389"/>
        <item m="1" x="4614"/>
        <item m="1" x="998"/>
        <item m="1" x="2225"/>
        <item m="1" x="3463"/>
        <item m="1" x="4688"/>
        <item m="1" x="1072"/>
        <item m="1" x="2300"/>
        <item m="1" x="3538"/>
        <item m="1" x="4764"/>
        <item m="1" x="1147"/>
        <item m="1" x="2376"/>
        <item m="1" x="3613"/>
        <item m="1" x="4839"/>
        <item m="1" x="1222"/>
        <item m="1" x="2452"/>
        <item m="1" x="3688"/>
        <item m="1" x="4915"/>
        <item m="1" x="1296"/>
        <item m="1" x="2527"/>
        <item m="1" x="3762"/>
        <item m="1" x="4989"/>
        <item m="1" x="1370"/>
        <item m="1" x="2602"/>
        <item m="1" x="3837"/>
        <item m="1" x="215"/>
        <item m="1" x="1445"/>
        <item m="1" x="2678"/>
        <item m="1" x="3912"/>
        <item m="1" x="290"/>
        <item m="1" x="1519"/>
        <item m="1" x="2753"/>
        <item m="1" x="3986"/>
        <item m="1" x="365"/>
        <item m="1" x="1592"/>
        <item m="1" x="2828"/>
        <item m="1" x="4059"/>
        <item m="1" x="438"/>
        <item m="1" x="1666"/>
        <item m="1" x="2902"/>
        <item m="1" x="4133"/>
        <item m="1" x="513"/>
        <item m="1" x="1741"/>
        <item m="1" x="2977"/>
        <item m="1" x="4207"/>
        <item m="1" x="588"/>
        <item m="1" x="1816"/>
        <item m="1" x="3052"/>
        <item m="1" x="4281"/>
        <item m="1" x="663"/>
        <item m="1" x="1890"/>
        <item m="1" x="3127"/>
        <item m="1" x="4354"/>
        <item m="1" x="736"/>
        <item m="1" x="1964"/>
        <item m="1" x="3201"/>
        <item m="1" x="4428"/>
        <item m="1" x="811"/>
        <item m="1" x="2039"/>
        <item m="1" x="3276"/>
        <item m="1" x="4502"/>
        <item m="1" x="886"/>
        <item m="1" x="2113"/>
        <item m="1" x="3350"/>
        <item m="1" x="4575"/>
        <item m="1" x="960"/>
        <item m="1" x="2186"/>
        <item m="1" x="3425"/>
        <item m="1" x="4649"/>
        <item m="1" x="1033"/>
        <item m="1" x="2261"/>
        <item m="1" x="3499"/>
        <item m="1" x="4725"/>
        <item m="1" x="1108"/>
        <item m="1" x="2337"/>
        <item m="1" x="3574"/>
        <item m="1" x="4800"/>
        <item m="1" x="1183"/>
        <item m="1" x="2413"/>
        <item m="1" x="3649"/>
        <item m="1" x="4876"/>
        <item m="1" x="1258"/>
        <item m="1" x="2488"/>
        <item m="1" x="3724"/>
        <item m="1" x="4950"/>
        <item m="1" x="1331"/>
        <item m="1" x="2563"/>
        <item m="1" x="3798"/>
        <item m="1" x="176"/>
        <item m="1" x="1406"/>
        <item m="1" x="2639"/>
        <item m="1" x="3873"/>
        <item m="1" x="251"/>
        <item m="1" x="1480"/>
        <item m="1" x="2714"/>
        <item m="1" x="3947"/>
        <item m="1" x="326"/>
        <item m="1" x="1554"/>
        <item m="1" x="2789"/>
        <item m="1" x="4021"/>
        <item m="1" x="399"/>
        <item m="1" x="1627"/>
        <item m="1" x="2863"/>
        <item m="1" x="4094"/>
        <item m="1" x="474"/>
        <item m="1" x="1702"/>
        <item m="1" x="2938"/>
        <item m="1" x="4168"/>
        <item m="1" x="548"/>
        <item m="1" x="1777"/>
        <item m="1" x="3013"/>
        <item m="1" x="4242"/>
        <item m="1" x="624"/>
        <item m="1" x="1852"/>
        <item m="1" x="3088"/>
        <item m="1" x="4316"/>
        <item m="1" x="697"/>
        <item m="1" x="1925"/>
        <item m="1" x="3162"/>
        <item m="1" x="4389"/>
        <item m="1" x="772"/>
        <item m="1" x="2000"/>
        <item m="1" x="3237"/>
        <item m="1" x="4463"/>
        <item m="1" x="846"/>
        <item m="1" x="2074"/>
        <item m="1" x="3311"/>
        <item m="1" x="4536"/>
        <item m="1" x="921"/>
        <item m="1" x="2148"/>
        <item m="1" x="3386"/>
        <item m="1" x="4611"/>
        <item m="1" x="994"/>
        <item m="1" x="2222"/>
        <item m="1" x="3460"/>
        <item m="1" x="4685"/>
        <item m="1" x="1069"/>
        <item m="1" x="2298"/>
        <item m="1" x="3535"/>
        <item m="1" x="4761"/>
        <item m="1" x="1143"/>
        <item m="1" x="2374"/>
        <item m="1" x="3610"/>
        <item m="1" x="4836"/>
        <item m="1" x="1219"/>
        <item m="1" x="2450"/>
        <item m="1" x="3685"/>
        <item m="1" x="4912"/>
        <item m="1" x="1292"/>
        <item m="1" x="2524"/>
        <item m="1" x="3759"/>
        <item m="1" x="4986"/>
        <item m="1" x="1367"/>
        <item m="1" x="2600"/>
        <item m="1" x="3834"/>
        <item m="1" x="212"/>
        <item m="1" x="1441"/>
        <item m="1" x="2676"/>
        <item m="1" x="3909"/>
        <item m="1" x="287"/>
        <item m="1" x="1516"/>
        <item m="1" x="2751"/>
        <item m="1" x="3983"/>
        <item m="1" x="362"/>
        <item m="1" x="1588"/>
        <item m="1" x="2825"/>
        <item m="1" x="4056"/>
        <item m="1" x="435"/>
        <item m="1" x="1663"/>
        <item m="1" x="2900"/>
        <item m="1" x="4130"/>
        <item m="1" x="510"/>
        <item m="1" x="1737"/>
        <item m="1" x="2975"/>
        <item m="1" x="4204"/>
        <item m="1" x="585"/>
        <item m="1" x="1813"/>
        <item m="1" x="3050"/>
        <item m="1" x="4278"/>
        <item m="1" x="660"/>
        <item m="1" x="1886"/>
        <item m="1" x="3124"/>
        <item m="1" x="4351"/>
        <item m="1" x="733"/>
        <item m="1" x="1961"/>
        <item m="1" x="3199"/>
        <item m="1" x="4425"/>
        <item m="1" x="808"/>
        <item m="1" x="2035"/>
        <item m="1" x="3274"/>
        <item m="1" x="4499"/>
        <item m="1" x="883"/>
        <item m="1" x="2110"/>
        <item m="1" x="3348"/>
        <item m="1" x="4572"/>
        <item m="1" x="957"/>
        <item m="1" x="2182"/>
        <item m="1" x="3422"/>
        <item m="1" x="4646"/>
        <item m="1" x="1030"/>
        <item m="1" x="2258"/>
        <item m="1" x="3497"/>
        <item m="1" x="4722"/>
        <item m="1" x="1105"/>
        <item m="1" x="2333"/>
        <item m="1" x="3572"/>
        <item m="1" x="4797"/>
        <item m="1" x="1180"/>
        <item m="1" x="2410"/>
        <item m="1" x="3647"/>
        <item m="1" x="4873"/>
        <item m="1" x="1255"/>
        <item m="1" x="2484"/>
        <item m="1" x="3721"/>
        <item m="1" x="4947"/>
        <item m="1" x="1328"/>
        <item m="1" x="2560"/>
        <item m="1" x="3796"/>
        <item m="1" x="173"/>
        <item m="1" x="1403"/>
        <item m="1" x="2635"/>
        <item m="1" x="3871"/>
        <item m="1" x="248"/>
        <item m="1" x="1477"/>
        <item m="1" x="2711"/>
        <item m="1" x="3945"/>
        <item m="1" x="323"/>
        <item m="1" x="1551"/>
        <item m="1" x="2785"/>
        <item m="1" x="4018"/>
        <item m="1" x="396"/>
        <item m="1" x="1624"/>
        <item m="1" x="2860"/>
        <item m="1" x="4092"/>
        <item m="1" x="471"/>
        <item m="1" x="1699"/>
        <item m="1" x="2934"/>
        <item m="1" x="4166"/>
        <item m="1" x="545"/>
        <item m="1" x="1774"/>
        <item m="1" x="3010"/>
        <item m="1" x="4240"/>
        <item m="1" x="621"/>
        <item m="1" x="1849"/>
        <item m="1" x="3084"/>
        <item m="1" x="4313"/>
        <item m="1" x="694"/>
        <item m="1" x="1922"/>
        <item m="1" x="3159"/>
        <item m="1" x="4387"/>
        <item m="1" x="769"/>
        <item m="1" x="1997"/>
        <item m="1" x="3233"/>
        <item m="1" x="4461"/>
        <item m="1" x="843"/>
        <item m="1" x="2071"/>
        <item m="1" x="3308"/>
        <item m="1" x="4534"/>
        <item m="1" x="918"/>
        <item m="1" x="2145"/>
        <item m="1" x="3382"/>
        <item m="1" x="4608"/>
        <item m="1" x="991"/>
        <item m="1" x="2219"/>
        <item m="1" x="3457"/>
        <item m="1" x="4683"/>
        <item m="1" x="1066"/>
        <item m="1" x="2295"/>
        <item m="1" x="3531"/>
        <item m="1" x="4759"/>
        <item m="1" x="1140"/>
        <item m="1" x="2371"/>
        <item m="1" x="3607"/>
        <item m="1" x="4834"/>
        <item m="1" x="1216"/>
        <item m="1" x="2447"/>
        <item m="1" x="3681"/>
        <item m="1" x="4909"/>
        <item m="1" x="1289"/>
        <item m="1" x="2521"/>
        <item m="1" x="3756"/>
        <item m="1" x="4984"/>
        <item m="1" x="1364"/>
        <item m="1" x="2597"/>
        <item m="1" x="3830"/>
        <item m="1" x="210"/>
        <item m="1" x="1438"/>
        <item m="1" x="2673"/>
        <item m="1" x="3906"/>
        <item m="1" x="285"/>
        <item m="1" x="1513"/>
        <item m="1" x="2748"/>
        <item m="1" x="3979"/>
        <item m="1" x="359"/>
        <item m="1" x="1585"/>
        <item m="1" x="2822"/>
        <item m="1" x="4053"/>
        <item m="1" x="433"/>
        <item m="1" x="1660"/>
        <item m="1" x="2897"/>
        <item m="1" x="4126"/>
        <item m="1" x="508"/>
        <item m="1" x="1734"/>
        <item m="1" x="2972"/>
        <item m="1" x="4201"/>
        <item m="1" x="583"/>
        <item m="1" x="1810"/>
        <item m="1" x="3047"/>
        <item m="1" x="4274"/>
        <item m="1" x="657"/>
        <item m="1" x="1883"/>
        <item m="1" x="3121"/>
        <item m="1" x="4348"/>
        <item m="1" x="731"/>
        <item m="1" x="1958"/>
        <item m="1" x="3196"/>
        <item m="1" x="4421"/>
        <item m="1" x="806"/>
        <item m="1" x="2032"/>
        <item m="1" x="3271"/>
        <item m="1" x="4496"/>
        <item m="1" x="881"/>
        <item m="1" x="2107"/>
        <item m="1" x="3345"/>
        <item m="1" x="4568"/>
        <item m="1" x="954"/>
        <item m="1" x="2179"/>
        <item m="1" x="3419"/>
        <item m="1" x="4643"/>
        <item m="1" x="1028"/>
        <item m="1" x="2255"/>
        <item m="1" x="3494"/>
        <item m="1" x="4718"/>
        <item m="1" x="1103"/>
        <item m="1" x="2330"/>
        <item m="1" x="3569"/>
        <item m="1" x="4794"/>
        <item m="1" x="1178"/>
        <item m="1" x="2407"/>
        <item m="1" x="3644"/>
        <item m="1" x="4869"/>
        <item m="1" x="1252"/>
        <item m="1" x="2481"/>
        <item m="1" x="3718"/>
        <item m="1" x="4944"/>
        <item m="1" x="1326"/>
        <item m="1" x="2557"/>
        <item m="1" x="3793"/>
        <item m="1" x="169"/>
        <item m="1" x="1401"/>
        <item m="1" x="2632"/>
        <item m="1" x="3868"/>
        <item m="1" x="245"/>
        <item m="1" x="1475"/>
        <item m="1" x="2708"/>
        <item m="1" x="3942"/>
        <item m="1" x="319"/>
        <item m="1" x="1548"/>
        <item m="1" x="2782"/>
        <item m="1" x="4015"/>
        <item m="1" x="393"/>
        <item m="1" x="1622"/>
        <item m="1" x="2857"/>
        <item m="1" x="4089"/>
        <item m="1" x="467"/>
        <item m="1" x="1697"/>
        <item m="1" x="2931"/>
        <item m="1" x="4163"/>
        <item m="1" x="542"/>
        <item m="1" x="1772"/>
        <item m="1" x="3007"/>
        <item m="1" x="4237"/>
        <item m="1" x="617"/>
        <item m="1" x="1846"/>
        <item m="1" x="3081"/>
        <item m="1" x="4310"/>
        <item m="1" x="691"/>
        <item m="1" x="1920"/>
        <item m="1" x="3156"/>
        <item m="1" x="4384"/>
        <item m="1" x="765"/>
        <item m="1" x="1995"/>
        <item m="1" x="3230"/>
        <item m="1" x="4458"/>
        <item m="1" x="840"/>
        <item m="1" x="2069"/>
        <item m="1" x="3305"/>
        <item m="1" x="4531"/>
        <item m="1" x="914"/>
        <item m="1" x="2142"/>
        <item m="1" x="3379"/>
        <item m="1" x="4605"/>
        <item m="1" x="988"/>
        <item m="1" x="2217"/>
        <item m="1" x="3454"/>
        <item m="1" x="4680"/>
        <item m="1" x="1062"/>
        <item m="1" x="2293"/>
        <item m="1" x="3528"/>
        <item m="1" x="4756"/>
        <item m="1" x="1137"/>
        <item m="1" x="2369"/>
        <item m="1" x="3604"/>
        <item m="1" x="4831"/>
        <item m="1" x="1212"/>
        <item m="1" x="2444"/>
        <item m="1" x="3678"/>
        <item m="1" x="4906"/>
        <item m="1" x="1286"/>
        <item m="1" x="2519"/>
        <item m="1" x="3753"/>
        <item m="1" x="4981"/>
        <item m="1" x="1360"/>
        <item m="1" x="2595"/>
        <item m="1" x="3827"/>
        <item m="1" x="207"/>
        <item m="1" x="1435"/>
        <item m="1" x="2671"/>
        <item m="1" x="3903"/>
        <item m="1" x="282"/>
        <item m="1" x="1509"/>
        <item m="1" x="2745"/>
        <item m="1" x="3976"/>
        <item m="1" x="356"/>
        <item m="1" x="1582"/>
        <item m="1" x="2820"/>
        <item m="1" x="4050"/>
        <item m="1" x="430"/>
        <item m="1" x="1656"/>
        <item m="1" x="2895"/>
        <item m="1" x="4123"/>
        <item m="1" x="505"/>
        <item m="1" x="1731"/>
        <item m="1" x="2970"/>
        <item m="1" x="4198"/>
        <item m="1" x="580"/>
        <item m="1" x="1806"/>
        <item m="1" x="3044"/>
        <item m="1" x="4271"/>
        <item m="1" x="654"/>
        <item m="1" x="1880"/>
        <item m="1" x="3119"/>
        <item m="1" x="4345"/>
        <item m="1" x="728"/>
        <item m="1" x="1954"/>
        <item m="1" x="3194"/>
        <item m="1" x="4418"/>
        <item m="1" x="803"/>
        <item m="1" x="2029"/>
        <item m="1" x="3269"/>
        <item m="1" x="4493"/>
        <item m="1" x="878"/>
        <item m="1" x="2103"/>
        <item m="1" x="3342"/>
        <item m="1" x="4565"/>
        <item m="1" x="951"/>
        <item m="1" x="2176"/>
        <item m="1" x="3417"/>
        <item m="1" x="4640"/>
        <item m="1" x="1025"/>
        <item m="1" x="2251"/>
        <item m="1" x="3492"/>
        <item m="1" x="4715"/>
        <item m="1" x="1100"/>
        <item m="1" x="2327"/>
        <item m="1" x="3567"/>
        <item m="1" x="4791"/>
        <item m="1" x="1175"/>
        <item m="1" x="2403"/>
        <item m="1" x="3641"/>
        <item m="1" x="4866"/>
        <item m="1" x="1249"/>
        <item m="1" x="2478"/>
        <item m="1" x="3716"/>
        <item m="1" x="4941"/>
        <item m="1" x="1323"/>
        <item m="1" x="2553"/>
        <item m="1" x="3791"/>
        <item m="1" x="166"/>
        <item m="1" x="1398"/>
        <item m="1" x="2629"/>
        <item m="1" x="3866"/>
        <item m="1" x="242"/>
        <item m="1" x="1472"/>
        <item m="1" x="2704"/>
        <item m="1" x="3939"/>
        <item m="1" x="316"/>
        <item m="1" x="1545"/>
        <item m="1" x="2779"/>
        <item m="1" x="4013"/>
        <item m="1" x="390"/>
        <item m="1" x="1619"/>
        <item m="1" x="2853"/>
        <item m="1" x="4087"/>
        <item m="1" x="464"/>
        <item m="1" x="1694"/>
        <item m="1" x="2928"/>
        <item m="1" x="4161"/>
        <item m="1" x="539"/>
        <item m="1" x="1769"/>
        <item m="1" x="3003"/>
        <item m="1" x="4234"/>
        <item m="1" x="614"/>
        <item m="1" x="1843"/>
        <item m="1" x="3078"/>
        <item m="1" x="4308"/>
        <item m="1" x="688"/>
        <item m="1" x="1917"/>
        <item m="1" x="3152"/>
        <item m="1" x="4382"/>
        <item m="1" x="762"/>
        <item m="1" x="1992"/>
        <item m="1" x="3227"/>
        <item m="1" x="4456"/>
        <item m="1" x="837"/>
        <item m="1" x="2067"/>
        <item m="1" x="3302"/>
        <item m="1" x="4529"/>
        <item m="1" x="912"/>
        <item m="1" x="2140"/>
        <item m="1" x="3377"/>
        <item m="1" x="4604"/>
        <item m="1" x="986"/>
        <item m="1" x="2215"/>
        <item m="1" x="3451"/>
        <item m="1" x="4679"/>
        <item m="1" x="1060"/>
        <item m="1" x="2291"/>
        <item m="1" x="3526"/>
        <item m="1" x="4755"/>
        <item m="1" x="1135"/>
        <item m="1" x="2367"/>
        <item m="1" x="3601"/>
        <item m="1" x="4829"/>
        <item m="1" x="1210"/>
        <item m="1" x="2442"/>
        <item m="1" x="3676"/>
        <item m="1" x="4905"/>
        <item m="1" x="1284"/>
        <item m="1" x="2517"/>
        <item m="1" x="3750"/>
        <item m="1" x="4980"/>
        <item m="1" x="1358"/>
        <item m="1" x="2593"/>
        <item m="1" x="3825"/>
        <item m="1" x="206"/>
        <item m="1" x="1433"/>
        <item m="1" x="2669"/>
        <item m="1" x="3900"/>
        <item m="1" x="280"/>
        <item m="1" x="1507"/>
        <item m="1" x="2743"/>
        <item m="1" x="3974"/>
        <item m="1" x="355"/>
        <item m="1" x="1580"/>
        <item m="1" x="2818"/>
        <item m="1" x="4047"/>
        <item m="1" x="429"/>
        <item m="1" x="1654"/>
        <item m="1" x="2893"/>
        <item m="1" x="4121"/>
        <item m="1" x="504"/>
        <item m="1" x="1729"/>
        <item m="1" x="2968"/>
        <item m="1" x="4195"/>
        <item m="1" x="578"/>
        <item m="1" x="1804"/>
        <item m="1" x="3042"/>
        <item m="1" x="4269"/>
        <item m="1" x="653"/>
        <item m="1" x="1878"/>
        <item m="1" x="3117"/>
        <item m="1" x="4342"/>
        <item m="1" x="727"/>
        <item m="1" x="1952"/>
        <item m="1" x="3192"/>
        <item m="1" x="4416"/>
        <item m="1" x="802"/>
        <item m="1" x="2027"/>
        <item m="1" x="3267"/>
        <item m="1" x="4490"/>
        <item m="1" x="876"/>
        <item m="1" x="2101"/>
        <item m="1" x="3340"/>
        <item m="1" x="4563"/>
        <item m="1" x="950"/>
        <item m="1" x="2174"/>
        <item m="1" x="3415"/>
        <item m="1" x="4637"/>
        <item m="1" x="1024"/>
        <item m="1" x="2249"/>
        <item m="1" x="3490"/>
        <item m="1" x="4713"/>
        <item m="1" x="1099"/>
        <item m="1" x="2325"/>
        <item m="1" x="3565"/>
        <item m="1" x="4788"/>
        <item m="1" x="1173"/>
        <item m="1" x="2401"/>
        <item m="1" x="3639"/>
        <item m="1" x="4864"/>
        <item m="1" x="1248"/>
        <item m="1" x="2476"/>
        <item m="1" x="3714"/>
        <item m="1" x="4938"/>
        <item m="1" x="1322"/>
        <item m="1" x="2551"/>
        <item m="1" x="3789"/>
        <item m="1" x="164"/>
        <item m="1" x="1397"/>
        <item m="1" x="2627"/>
        <item m="1" x="3864"/>
        <item m="1" x="239"/>
        <item m="1" x="1470"/>
        <item m="1" x="2702"/>
        <item m="1" x="3937"/>
        <item m="1" x="314"/>
        <item m="1" x="1544"/>
        <item m="1" x="2777"/>
        <item m="1" x="4011"/>
        <item m="1" x="387"/>
        <item m="1" x="1618"/>
        <item m="1" x="2851"/>
        <item m="1" x="4085"/>
        <item m="1" x="462"/>
        <item m="1" x="1693"/>
        <item m="1" x="2926"/>
        <item m="1" x="4159"/>
        <item m="1" x="536"/>
        <item m="1" x="1767"/>
        <item m="1" x="3001"/>
        <item m="1" x="4232"/>
        <item m="1" x="612"/>
        <item m="1" x="1842"/>
        <item m="1" x="3076"/>
        <item m="1" x="4306"/>
        <item m="1" x="685"/>
        <item m="1" x="1916"/>
        <item m="1" x="3150"/>
        <item m="1" x="4380"/>
        <item m="1" x="760"/>
        <item m="1" x="1991"/>
        <item m="1" x="3225"/>
        <item m="1" x="4454"/>
        <item m="1" x="834"/>
        <item m="1" x="2065"/>
        <item m="1" x="3300"/>
        <item m="1" x="4527"/>
        <item m="1" x="910"/>
        <item m="1" x="2139"/>
        <item m="1" x="3375"/>
        <item m="1" x="4602"/>
        <item m="1" x="983"/>
        <item m="1" x="2214"/>
        <item m="1" x="3449"/>
        <item m="1" x="4677"/>
        <item m="1" x="1058"/>
        <item m="1" x="2290"/>
        <item m="1" x="3524"/>
        <item m="1" x="4753"/>
        <item m="1" x="1132"/>
        <item m="1" x="2365"/>
        <item m="1" x="3599"/>
        <item m="1" x="4827"/>
        <item m="1" x="1208"/>
        <item m="1" x="2441"/>
        <item m="1" x="3674"/>
        <item m="1" x="4903"/>
        <item m="1" x="1281"/>
        <item m="1" x="2516"/>
        <item m="1" x="3748"/>
        <item m="1" x="4978"/>
        <item m="1" x="1356"/>
        <item m="1" x="2592"/>
        <item m="1" x="3823"/>
        <item m="1" x="204"/>
        <item m="1" x="1430"/>
        <item m="1" x="2667"/>
        <item m="1" x="3898"/>
        <item m="1" x="278"/>
        <item m="1" x="1505"/>
        <item m="1" x="2742"/>
        <item m="1" x="3972"/>
        <item m="1" x="353"/>
        <item m="1" x="1577"/>
        <item m="1" x="2817"/>
        <item m="1" x="4045"/>
        <item m="1" x="427"/>
        <item m="1" x="1652"/>
        <item m="1" x="2892"/>
        <item m="1" x="4119"/>
        <item m="1" x="502"/>
        <item m="1" x="1726"/>
        <item m="1" x="2966"/>
        <item m="1" x="4193"/>
        <item m="1" x="576"/>
        <item m="1" x="1802"/>
        <item m="1" x="3041"/>
        <item m="1" x="4267"/>
        <item m="1" x="651"/>
        <item m="1" x="1875"/>
        <item m="1" x="3116"/>
        <item m="1" x="4340"/>
        <item m="1" x="725"/>
        <item m="1" x="1950"/>
        <item m="1" x="3191"/>
        <item m="1" x="4414"/>
        <item m="1" x="800"/>
        <item m="1" x="2024"/>
        <item m="1" x="3265"/>
        <item m="1" x="4488"/>
        <item m="1" x="874"/>
        <item m="1" x="2099"/>
        <item m="1" x="3339"/>
        <item m="1" x="4561"/>
        <item m="1" x="948"/>
        <item m="1" x="2171"/>
        <item m="1" x="3414"/>
        <item m="1" x="4635"/>
        <item m="1" x="1022"/>
        <item m="1" x="2247"/>
        <item m="1" x="3489"/>
        <item m="1" x="4711"/>
        <item m="1" x="1097"/>
        <item m="1" x="2322"/>
        <item m="1" x="3563"/>
        <item m="1" x="4786"/>
        <item m="1" x="1171"/>
        <item m="1" x="2399"/>
        <item m="1" x="3638"/>
        <item m="1" x="4862"/>
        <item m="1" x="1246"/>
        <item m="1" x="2473"/>
        <item m="1" x="3713"/>
        <item m="1" x="4936"/>
        <item m="1" x="1320"/>
        <item m="1" x="2549"/>
        <item m="1" x="3788"/>
        <item m="1" x="162"/>
        <item m="1" x="1395"/>
        <item m="1" x="2624"/>
        <item m="1" x="3862"/>
        <item m="1" x="237"/>
        <item m="1" x="1468"/>
        <item m="1" x="2700"/>
        <item m="1" x="3936"/>
        <item m="1" x="312"/>
        <item m="1" x="1542"/>
        <item m="1" x="2774"/>
        <item m="1" x="4010"/>
        <item m="1" x="385"/>
        <item m="1" x="1616"/>
        <item m="1" x="2849"/>
        <item m="1" x="4084"/>
        <item m="1" x="460"/>
        <item m="1" x="1691"/>
        <item m="1" x="2923"/>
        <item m="1" x="4157"/>
        <item m="1" x="534"/>
        <item m="1" x="1765"/>
        <item m="1" x="2999"/>
        <item m="1" x="4231"/>
        <item m="1" x="610"/>
        <item m="1" x="1840"/>
        <item m="1" x="3073"/>
        <item m="1" x="4305"/>
        <item m="1" x="683"/>
        <item m="1" x="1914"/>
        <item m="1" x="3148"/>
        <item m="1" x="4379"/>
        <item m="1" x="758"/>
        <item m="1" x="1989"/>
        <item m="1" x="3222"/>
        <item m="1" x="4452"/>
        <item m="1" x="832"/>
        <item m="1" x="2063"/>
        <item m="1" x="3298"/>
        <item m="1" x="4526"/>
        <item m="1" x="908"/>
        <item m="1" x="2137"/>
        <item m="1" x="3372"/>
        <item m="1" x="4601"/>
        <item m="1" x="981"/>
        <item m="1" x="2212"/>
        <item m="1" x="3447"/>
        <item m="1" x="4676"/>
        <item m="1" x="1056"/>
        <item m="1" x="2288"/>
        <item m="1" x="3521"/>
        <item m="1" x="4751"/>
        <item m="1" x="1130"/>
        <item m="1" x="2363"/>
        <item m="1" x="3597"/>
        <item m="1" x="4826"/>
        <item m="1" x="1206"/>
        <item m="1" x="2439"/>
        <item m="1" x="3671"/>
        <item m="1" x="4902"/>
        <item m="1" x="1279"/>
        <item m="1" x="2514"/>
        <item m="1" x="3746"/>
        <item m="1" x="4977"/>
        <item m="1" x="1354"/>
        <item m="1" x="2590"/>
        <item m="1" x="3820"/>
        <item m="1" x="202"/>
        <item m="1" x="1428"/>
        <item m="1" x="2665"/>
        <item m="1" x="3896"/>
        <item m="1" x="277"/>
        <item m="1" x="1503"/>
        <item m="1" x="2740"/>
        <item m="1" x="3969"/>
        <item m="1" x="352"/>
        <item m="1" x="1575"/>
        <item m="1" x="2815"/>
        <item m="1" x="4043"/>
        <item m="1" x="426"/>
        <item m="1" x="1650"/>
        <item m="1" x="2890"/>
        <item m="1" x="4116"/>
        <item m="1" x="500"/>
        <item m="1" x="1724"/>
        <item m="1" x="2964"/>
        <item m="1" x="4191"/>
        <item m="1" x="575"/>
        <item m="1" x="1800"/>
        <item m="1" x="3039"/>
        <item m="1" x="4264"/>
        <item m="1" x="650"/>
        <item m="1" x="1873"/>
        <item m="1" x="3114"/>
        <item m="1" x="4338"/>
        <item m="1" x="724"/>
        <item m="1" x="1948"/>
        <item m="1" x="3189"/>
        <item m="1" x="4411"/>
        <item m="1" x="798"/>
        <item m="1" x="2022"/>
        <item m="1" x="3263"/>
        <item m="1" x="4486"/>
        <item m="1" x="873"/>
        <item m="1" x="2097"/>
        <item m="1" x="3337"/>
        <item m="1" x="4558"/>
        <item m="1" x="947"/>
        <item m="1" x="2169"/>
        <item m="1" x="3412"/>
        <item m="1" x="4633"/>
        <item m="1" x="1021"/>
        <item m="1" x="2245"/>
        <item m="1" x="3487"/>
        <item m="1" x="4708"/>
        <item m="1" x="1095"/>
        <item m="1" x="2320"/>
        <item m="1" x="3561"/>
        <item m="1" x="4784"/>
        <item m="1" x="1170"/>
        <item m="1" x="2397"/>
        <item m="1" x="3636"/>
        <item m="1" x="4859"/>
        <item m="1" x="1245"/>
        <item m="1" x="2471"/>
        <item m="1" x="3711"/>
        <item m="1" x="4934"/>
        <item m="1" x="1319"/>
        <item m="1" x="2547"/>
        <item m="1" x="3786"/>
        <item m="1" x="159"/>
        <item m="1" x="1393"/>
        <item m="1" x="2622"/>
        <item m="1" x="3860"/>
        <item m="1" x="235"/>
        <item m="1" x="1467"/>
        <item m="1" x="2698"/>
        <item m="1" x="3934"/>
        <item m="1" x="309"/>
        <item m="1" x="1541"/>
        <item m="1" x="2772"/>
        <item m="1" x="4008"/>
        <item m="1" x="383"/>
        <item m="1" x="1615"/>
        <item m="1" x="2847"/>
        <item m="1" x="4082"/>
        <item m="1" x="457"/>
        <item m="1" x="1689"/>
        <item m="1" x="2921"/>
        <item m="1" x="4155"/>
        <item m="1" x="532"/>
        <item m="1" x="1764"/>
        <item m="1" x="2997"/>
        <item m="1" x="4229"/>
        <item m="1" x="607"/>
        <item m="1" x="1839"/>
        <item m="1" x="3071"/>
        <item m="1" x="4303"/>
        <item m="1" x="681"/>
        <item m="1" x="1913"/>
        <item m="1" x="3146"/>
        <item m="1" x="4377"/>
        <item m="1" x="755"/>
        <item m="1" x="1987"/>
        <item m="1" x="3220"/>
        <item m="1" x="4450"/>
        <item m="1" x="830"/>
        <item m="1" x="2062"/>
        <item m="1" x="3296"/>
        <item m="1" x="4524"/>
        <item m="1" x="905"/>
        <item m="1" x="2136"/>
        <item m="1" x="3370"/>
        <item m="1" x="4599"/>
        <item m="1" x="979"/>
        <item m="1" x="2211"/>
        <item m="1" x="3445"/>
        <item m="1" x="4674"/>
        <item m="1" x="1053"/>
        <item m="1" x="2286"/>
        <item m="1" x="3519"/>
        <item m="1" x="4749"/>
        <item m="1" x="1128"/>
        <item m="1" x="2362"/>
        <item m="1" x="3595"/>
        <item m="1" x="4824"/>
        <item m="1" x="1203"/>
        <item m="1" x="2438"/>
        <item m="1" x="3669"/>
        <item m="1" x="4900"/>
        <item m="1" x="1277"/>
        <item m="1" x="2513"/>
        <item m="1" x="3744"/>
        <item m="1" x="4975"/>
        <item m="1" x="1351"/>
        <item m="1" x="2588"/>
        <item m="1" x="3818"/>
        <item m="1" x="200"/>
        <item m="1" x="1426"/>
        <item m="1" x="2664"/>
        <item m="1" x="3894"/>
        <item m="1" x="275"/>
        <item m="1" x="1500"/>
        <item m="1" x="2739"/>
        <item m="1" x="3967"/>
        <item m="1" x="350"/>
        <item m="1" x="1573"/>
        <item m="1" x="2814"/>
        <item m="1" x="4041"/>
        <item m="1" x="424"/>
        <item m="1" x="1647"/>
        <item m="1" x="2888"/>
        <item m="1" x="4114"/>
        <item m="1" x="498"/>
        <item m="1" x="1722"/>
        <item m="1" x="2963"/>
        <item m="1" x="4189"/>
        <item m="1" x="573"/>
        <item m="1" x="1797"/>
        <item m="1" x="3038"/>
        <item m="1" x="4262"/>
        <item m="1" x="648"/>
        <item m="1" x="1871"/>
        <item m="1" x="3113"/>
        <item m="1" x="4336"/>
        <item m="1" x="722"/>
        <item m="1" x="1945"/>
        <item m="1" x="3187"/>
        <item m="1" x="4409"/>
        <item m="1" x="796"/>
        <item m="1" x="2020"/>
        <item m="1" x="3262"/>
        <item m="1" x="4484"/>
        <item m="1" x="871"/>
        <item m="1" x="2094"/>
        <item m="1" x="3336"/>
        <item m="1" x="4556"/>
        <item m="1" x="945"/>
        <item m="1" x="2167"/>
        <item m="1" x="3411"/>
        <item m="1" x="4631"/>
        <item m="1" x="1019"/>
        <item m="1" x="2242"/>
        <item m="1" x="3485"/>
        <item m="1" x="4706"/>
        <item m="1" x="1093"/>
        <item m="1" x="2318"/>
        <item m="1" x="3560"/>
        <item m="1" x="4782"/>
        <item m="1" x="1168"/>
        <item m="1" x="2394"/>
        <item m="1" x="3635"/>
        <item m="1" x="4857"/>
        <item m="1" x="1243"/>
        <item m="1" x="2469"/>
        <item m="1" x="3710"/>
        <item m="1" x="4932"/>
        <item m="1" x="1317"/>
        <item m="1" x="2544"/>
        <item m="1" x="3784"/>
        <item m="1" x="157"/>
        <item m="1" x="1391"/>
        <item m="1" x="2620"/>
        <item m="1" x="3859"/>
        <item m="1" x="233"/>
        <item m="1" x="1465"/>
        <item m="1" x="2695"/>
        <item m="1" x="3933"/>
        <item m="1" x="307"/>
        <item m="1" x="1539"/>
        <item m="1" x="2770"/>
        <item m="1" x="4007"/>
        <item m="1" x="381"/>
        <item m="1" x="1613"/>
        <item m="1" x="2844"/>
        <item m="1" x="4080"/>
        <item m="1" x="455"/>
        <item m="1" x="1687"/>
        <item m="1" x="2919"/>
        <item m="1" x="4154"/>
        <item m="1" x="530"/>
        <item m="1" x="1762"/>
        <item m="1" x="2994"/>
        <item m="1" x="4228"/>
        <item m="1" x="605"/>
        <item m="1" x="1837"/>
        <item m="1" x="3069"/>
        <item m="1" x="4302"/>
        <item m="1" x="679"/>
        <item m="1" x="1911"/>
        <item m="1" x="3143"/>
        <item m="1" x="4375"/>
        <item m="1" x="753"/>
        <item m="1" x="1985"/>
        <item m="1" x="3218"/>
        <item m="1" x="4449"/>
        <item m="1" x="828"/>
        <item m="1" x="2060"/>
        <item m="1" x="3293"/>
        <item m="1" x="4523"/>
        <item m="1" x="903"/>
        <item m="1" x="2134"/>
        <item m="1" x="3368"/>
        <item m="1" x="4598"/>
        <item m="1" x="977"/>
        <item m="1" x="2209"/>
        <item m="1" x="3442"/>
        <item m="1" x="4672"/>
        <item m="1" x="1051"/>
        <item m="1" x="2284"/>
        <item m="1" x="3517"/>
        <item m="1" x="4748"/>
        <item m="1" x="1126"/>
        <item m="1" x="2360"/>
        <item m="1" x="3592"/>
        <item m="1" x="4823"/>
        <item m="1" x="1201"/>
        <item m="1" x="2436"/>
        <item m="1" x="3667"/>
        <item m="1" x="4899"/>
        <item m="1" x="1275"/>
        <item m="1" x="2511"/>
        <item m="1" x="3741"/>
        <item m="1" x="4973"/>
        <item m="1" x="1349"/>
        <item m="1" x="2586"/>
        <item m="1" x="3816"/>
        <item m="1" x="199"/>
        <item m="1" x="1424"/>
        <item m="1" x="2662"/>
        <item m="1" x="3891"/>
        <item m="1" x="274"/>
        <item m="1" x="1498"/>
        <item m="1" x="2737"/>
        <item m="1" x="3351"/>
        <item m="1" x="3965"/>
        <item m="1" x="4576"/>
        <item m="1" x="349"/>
        <item m="1" x="961"/>
        <item m="1" x="1571"/>
        <item m="1" x="2187"/>
        <item m="1" x="2812"/>
        <item m="1" x="3426"/>
        <item m="1" x="4038"/>
        <item m="1" x="4650"/>
        <item m="1" x="422"/>
        <item m="1" x="1034"/>
        <item m="1" x="1645"/>
        <item m="1" x="2262"/>
        <item m="1" x="2886"/>
        <item m="1" x="3500"/>
        <item m="1" x="4112"/>
        <item m="1" x="4726"/>
        <item m="1" x="497"/>
        <item m="1" x="1109"/>
        <item m="1" x="1720"/>
        <item m="1" x="2338"/>
        <item m="1" x="2961"/>
        <item m="1" x="3575"/>
        <item m="1" x="4186"/>
        <item m="1" x="4801"/>
        <item m="1" x="571"/>
        <item m="1" x="1184"/>
        <item m="1" x="1795"/>
        <item m="1" x="2414"/>
        <item m="1" x="3036"/>
        <item m="1" x="3650"/>
        <item m="1" x="4260"/>
        <item m="1" x="4877"/>
        <item m="1" x="647"/>
        <item m="1" x="1259"/>
        <item m="1" x="1869"/>
        <item m="1" x="2489"/>
        <item m="1" x="3111"/>
        <item m="1" x="3725"/>
        <item m="1" x="4333"/>
        <item m="1" x="4951"/>
        <item m="1" x="720"/>
        <item m="1" x="1332"/>
        <item m="1" x="1943"/>
        <item m="1" x="2564"/>
        <item m="1" x="3185"/>
        <item m="1" x="3799"/>
        <item m="1" x="4407"/>
        <item m="1" x="177"/>
        <item m="1" x="795"/>
        <item m="1" x="1407"/>
        <item m="1" x="2018"/>
        <item m="1" x="2640"/>
        <item m="1" x="3260"/>
        <item m="1" x="3874"/>
        <item m="1" x="4481"/>
        <item m="1" x="252"/>
        <item m="1" x="869"/>
        <item m="1" x="1481"/>
        <item m="1" x="2092"/>
        <item m="1" x="2715"/>
        <item m="1" x="3334"/>
        <item m="1" x="3948"/>
        <item m="1" x="4554"/>
        <item m="1" x="327"/>
        <item m="1" x="944"/>
        <item m="1" x="1555"/>
        <item m="1" x="2165"/>
        <item m="1" x="2790"/>
        <item m="1" x="3409"/>
        <item m="1" x="4022"/>
        <item m="1" x="4628"/>
        <item m="1" x="400"/>
        <item m="1" x="1017"/>
        <item m="1" x="1628"/>
        <item m="1" x="2240"/>
        <item m="1" x="2864"/>
        <item m="1" x="3483"/>
        <item m="1" x="4095"/>
        <item m="1" x="4703"/>
        <item m="1" x="475"/>
        <item m="1" x="1092"/>
        <item m="1" x="1703"/>
        <item m="1" x="2316"/>
        <item m="1" x="2939"/>
        <item m="1" x="3558"/>
        <item m="1" x="4169"/>
        <item m="1" x="4779"/>
        <item m="1" x="549"/>
        <item m="1" x="1166"/>
        <item m="1" x="1778"/>
        <item m="1" x="2392"/>
        <item m="1" x="3014"/>
        <item m="1" x="3633"/>
        <item m="1" x="4243"/>
        <item m="1" x="4854"/>
        <item m="1" x="625"/>
        <item m="1" x="1242"/>
        <item m="1" x="1853"/>
        <item m="1" x="2467"/>
        <item m="1" x="3089"/>
        <item m="1" x="3708"/>
        <item m="1" x="4317"/>
        <item m="1" x="4929"/>
        <item m="1" x="698"/>
        <item m="1" x="1315"/>
        <item m="1" x="1926"/>
        <item m="1" x="2542"/>
        <item m="1" x="3163"/>
        <item m="1" x="3782"/>
        <item m="1" x="4390"/>
        <item m="1" x="154"/>
        <item m="1" x="773"/>
        <item m="1" x="1390"/>
        <item m="1" x="2001"/>
        <item m="1" x="2618"/>
        <item m="1" x="3238"/>
        <item m="1" x="3857"/>
        <item m="1" x="4464"/>
        <item m="1" x="230"/>
        <item m="1" x="847"/>
        <item m="1" x="1463"/>
        <item m="1" x="2075"/>
        <item m="1" x="2693"/>
        <item m="1" x="3312"/>
        <item m="1" x="3931"/>
        <item m="1" x="4537"/>
        <item m="1" x="304"/>
        <item m="1" x="922"/>
        <item m="1" x="1538"/>
        <item m="1" x="2149"/>
        <item m="1" x="2768"/>
        <item m="1" x="3387"/>
        <item m="1" x="4005"/>
        <item m="1" x="4612"/>
        <item m="1" x="378"/>
        <item m="1" x="995"/>
        <item m="1" x="1610"/>
        <item m="1" x="2223"/>
        <item m="1" x="2842"/>
        <item m="1" x="3461"/>
        <item m="1" x="4078"/>
        <item m="1" x="4686"/>
        <item m="1" x="452"/>
        <item m="1" x="1070"/>
        <item m="1" x="1685"/>
        <item m="1" x="2299"/>
        <item m="1" x="2917"/>
        <item m="1" x="3536"/>
        <item m="1" x="4152"/>
        <item m="1" x="4762"/>
        <item m="1" x="527"/>
        <item m="1" x="1144"/>
        <item m="1" x="1759"/>
        <item m="1" x="2375"/>
        <item m="1" x="2992"/>
        <item m="1" x="3611"/>
        <item m="1" x="4226"/>
        <item m="1" x="4837"/>
        <item m="1" x="602"/>
        <item m="1" x="1220"/>
        <item m="1" x="1835"/>
        <item m="1" x="2451"/>
        <item m="1" x="3067"/>
        <item m="1" x="3686"/>
        <item m="1" x="4300"/>
        <item m="1" x="4913"/>
        <item m="1" x="676"/>
        <item m="1" x="1293"/>
        <item m="1" x="1908"/>
        <item m="1" x="2525"/>
        <item m="1" x="3141"/>
        <item m="1" x="3760"/>
        <item m="1" x="4373"/>
        <item m="1" x="4987"/>
        <item m="1" x="750"/>
        <item m="1" x="1368"/>
        <item m="1" x="1983"/>
        <item m="1" x="2601"/>
        <item m="1" x="3216"/>
        <item m="1" x="3835"/>
        <item m="1" x="4447"/>
        <item m="1" x="213"/>
        <item m="1" x="825"/>
        <item m="1" x="1442"/>
        <item m="1" x="2057"/>
        <item m="1" x="2677"/>
        <item m="1" x="3291"/>
        <item m="1" x="3910"/>
        <item m="1" x="4521"/>
        <item m="1" x="288"/>
        <item m="1" x="900"/>
        <item m="1" x="1517"/>
        <item m="1" x="2132"/>
        <item m="1" x="2752"/>
        <item m="1" x="3366"/>
        <item m="1" x="3984"/>
        <item m="1" x="4595"/>
        <item m="1" x="363"/>
        <item m="1" x="974"/>
        <item m="1" x="1589"/>
        <item m="1" x="2205"/>
        <item m="1" x="2826"/>
        <item m="1" x="3440"/>
        <item m="1" x="4057"/>
        <item m="1" x="4669"/>
        <item m="1" x="436"/>
        <item m="1" x="1048"/>
        <item m="1" x="1664"/>
        <item m="1" x="2281"/>
        <item m="1" x="2901"/>
        <item m="1" x="3515"/>
        <item m="1" x="4131"/>
        <item m="1" x="4745"/>
        <item m="1" x="511"/>
        <item m="1" x="1123"/>
        <item m="1" x="1738"/>
        <item m="1" x="2356"/>
        <item m="1" x="2976"/>
        <item m="1" x="3590"/>
        <item m="1" x="4205"/>
        <item m="1" x="4820"/>
        <item m="1" x="586"/>
        <item m="1" x="1198"/>
        <item m="1" x="1814"/>
        <item m="1" x="2433"/>
        <item m="1" x="3051"/>
        <item m="1" x="3665"/>
        <item m="1" x="4279"/>
        <item m="1" x="4896"/>
        <item m="1" x="661"/>
        <item m="1" x="1272"/>
        <item m="1" x="1887"/>
        <item m="1" x="2507"/>
        <item m="1" x="3125"/>
        <item m="1" x="3739"/>
        <item m="1" x="4352"/>
        <item m="1" x="4970"/>
        <item m="1" x="734"/>
        <item m="1" x="1346"/>
        <item m="1" x="1962"/>
        <item m="1" x="2583"/>
        <item m="1" x="3200"/>
        <item m="1" x="3814"/>
        <item m="1" x="4426"/>
        <item m="1" x="196"/>
        <item m="1" x="809"/>
        <item m="1" x="1421"/>
        <item m="1" x="2036"/>
        <item m="1" x="2658"/>
        <item m="1" x="3275"/>
        <item m="1" x="3889"/>
        <item m="1" x="4500"/>
        <item m="1" x="271"/>
        <item m="1" x="884"/>
        <item m="1" x="1495"/>
        <item m="1" x="2111"/>
        <item m="1" x="2734"/>
        <item m="1" x="3349"/>
        <item m="1" x="3963"/>
        <item m="1" x="4573"/>
        <item m="1" x="346"/>
        <item m="1" x="958"/>
        <item m="1" x="1568"/>
        <item m="1" x="2183"/>
        <item m="1" x="2808"/>
        <item m="1" x="3423"/>
        <item m="1" x="4036"/>
        <item m="1" x="4647"/>
        <item m="1" x="419"/>
        <item m="1" x="1031"/>
        <item m="1" x="1642"/>
        <item m="1" x="2259"/>
        <item m="1" x="2883"/>
        <item m="1" x="3498"/>
        <item m="1" x="4110"/>
        <item m="1" x="4723"/>
        <item m="1" x="494"/>
        <item m="1" x="1106"/>
        <item m="1" x="1717"/>
        <item m="1" x="2334"/>
        <item m="1" x="2957"/>
        <item m="1" x="3573"/>
        <item m="1" x="4184"/>
        <item m="1" x="4798"/>
        <item m="1" x="568"/>
        <item m="1" x="1181"/>
        <item m="1" x="1792"/>
        <item m="1" x="2411"/>
        <item m="1" x="3033"/>
        <item m="1" x="3648"/>
        <item m="1" x="4258"/>
        <item m="1" x="4874"/>
        <item m="1" x="644"/>
        <item m="1" x="1256"/>
        <item m="1" x="1866"/>
        <item m="1" x="2485"/>
        <item m="1" x="3107"/>
        <item m="1" x="3722"/>
        <item m="1" x="4331"/>
        <item m="1" x="4948"/>
        <item m="1" x="717"/>
        <item m="1" x="1329"/>
        <item m="1" x="1940"/>
        <item m="1" x="2561"/>
        <item m="1" x="3182"/>
        <item m="1" x="3797"/>
        <item m="1" x="4405"/>
        <item m="1" x="174"/>
        <item m="1" x="792"/>
        <item m="1" x="1404"/>
        <item m="1" x="2015"/>
        <item m="1" x="2636"/>
        <item m="1" x="3256"/>
        <item m="1" x="3872"/>
        <item m="1" x="4479"/>
        <item m="1" x="249"/>
        <item m="1" x="866"/>
        <item m="1" x="1478"/>
        <item m="1" x="2089"/>
        <item m="1" x="2712"/>
        <item m="1" x="3331"/>
        <item m="1" x="3946"/>
        <item m="1" x="4552"/>
        <item m="1" x="324"/>
        <item m="1" x="941"/>
        <item m="1" x="1552"/>
        <item m="1" x="2162"/>
        <item m="1" x="2786"/>
        <item m="1" x="3405"/>
        <item m="1" x="4019"/>
        <item m="1" x="4626"/>
        <item m="1" x="397"/>
        <item m="1" x="1014"/>
        <item m="1" x="1625"/>
        <item m="1" x="2237"/>
        <item m="1" x="2861"/>
        <item m="1" x="3480"/>
        <item m="1" x="4093"/>
        <item m="1" x="4701"/>
        <item m="1" x="472"/>
        <item m="1" x="1089"/>
        <item m="1" x="1700"/>
        <item m="1" x="2313"/>
        <item m="1" x="2935"/>
        <item m="1" x="3554"/>
        <item m="1" x="4167"/>
        <item m="1" x="4777"/>
        <item m="1" x="546"/>
        <item m="1" x="1163"/>
        <item m="1" x="1775"/>
        <item m="1" x="2389"/>
        <item m="1" x="3011"/>
        <item m="1" x="3630"/>
        <item m="1" x="4241"/>
        <item m="1" x="4852"/>
        <item m="1" x="622"/>
        <item m="1" x="1239"/>
        <item m="1" x="1850"/>
        <item m="1" x="2464"/>
        <item m="1" x="3085"/>
        <item m="1" x="3704"/>
        <item m="1" x="4314"/>
        <item m="1" x="4927"/>
        <item m="1" x="695"/>
        <item m="1" x="1312"/>
        <item m="1" x="1923"/>
        <item m="1" x="2539"/>
        <item m="1" x="3160"/>
        <item m="1" x="3779"/>
        <item m="1" x="4388"/>
        <item m="1" x="152"/>
        <item m="1" x="770"/>
        <item m="1" x="1387"/>
        <item m="1" x="1998"/>
        <item m="1" x="2615"/>
        <item m="1" x="3234"/>
        <item m="1" x="3853"/>
        <item m="1" x="4462"/>
        <item m="1" x="228"/>
        <item m="1" x="844"/>
        <item m="1" x="1460"/>
        <item m="1" x="2072"/>
        <item m="1" x="2690"/>
        <item m="1" x="3309"/>
        <item m="1" x="3928"/>
        <item m="1" x="4535"/>
        <item m="1" x="302"/>
        <item m="1" x="919"/>
        <item m="1" x="1535"/>
        <item m="1" x="2146"/>
        <item m="1" x="2765"/>
        <item m="1" x="3383"/>
        <item m="1" x="4001"/>
        <item m="1" x="4609"/>
        <item m="1" x="376"/>
        <item m="1" x="992"/>
        <item m="1" x="1607"/>
        <item m="1" x="2220"/>
        <item m="1" x="2839"/>
        <item m="1" x="3458"/>
        <item m="1" x="4075"/>
        <item m="1" x="4684"/>
        <item m="1" x="450"/>
        <item m="1" x="1067"/>
        <item m="1" x="1682"/>
        <item m="1" x="2296"/>
        <item m="1" x="2914"/>
        <item m="1" x="3532"/>
        <item m="1" x="4148"/>
        <item m="1" x="4760"/>
        <item m="1" x="525"/>
        <item m="1" x="1141"/>
        <item m="1" x="1756"/>
        <item m="1" x="2372"/>
        <item m="1" x="2989"/>
        <item m="1" x="3608"/>
        <item m="1" x="4223"/>
        <item m="1" x="4835"/>
        <item m="1" x="600"/>
        <item m="1" x="1217"/>
        <item m="1" x="1832"/>
        <item m="1" x="2448"/>
        <item m="1" x="3064"/>
        <item m="1" x="3682"/>
        <item m="1" x="4296"/>
        <item m="1" x="4910"/>
        <item m="1" x="674"/>
        <item m="1" x="1290"/>
        <item m="1" x="1905"/>
        <item m="1" x="2522"/>
        <item m="1" x="3138"/>
        <item m="1" x="3757"/>
        <item m="1" x="4370"/>
        <item m="1" x="4985"/>
        <item m="1" x="748"/>
        <item m="1" x="1365"/>
        <item m="1" x="1980"/>
        <item m="1" x="2598"/>
        <item m="1" x="3213"/>
        <item m="1" x="3831"/>
        <item m="1" x="4443"/>
        <item m="1" x="211"/>
        <item m="1" x="823"/>
        <item m="1" x="1439"/>
        <item m="1" x="2054"/>
        <item m="1" x="2674"/>
        <item m="1" x="3288"/>
        <item m="1" x="3907"/>
        <item m="1" x="4518"/>
        <item m="1" x="286"/>
        <item m="1" x="898"/>
        <item m="1" x="1514"/>
        <item m="1" x="2129"/>
        <item m="1" x="2749"/>
        <item m="1" x="3363"/>
        <item m="1" x="3980"/>
        <item m="1" x="4591"/>
        <item m="1" x="360"/>
        <item m="1" x="972"/>
        <item m="1" x="1586"/>
        <item m="1" x="2202"/>
        <item m="1" x="2823"/>
        <item m="1" x="3437"/>
        <item m="1" x="4054"/>
        <item m="1" x="4666"/>
        <item m="1" x="434"/>
        <item m="1" x="1046"/>
        <item m="1" x="1661"/>
        <item m="1" x="2278"/>
        <item m="1" x="2898"/>
        <item m="1" x="3512"/>
        <item m="1" x="4127"/>
        <item m="1" x="4741"/>
        <item m="1" x="509"/>
        <item m="1" x="1121"/>
        <item m="1" x="1735"/>
        <item m="1" x="2353"/>
        <item m="1" x="2973"/>
        <item m="1" x="3587"/>
        <item m="1" x="4202"/>
        <item m="1" x="4817"/>
        <item m="1" x="584"/>
        <item m="1" x="1196"/>
        <item m="1" x="1811"/>
        <item m="1" x="2430"/>
        <item m="1" x="3048"/>
        <item m="1" x="3662"/>
        <item m="1" x="4275"/>
        <item m="1" x="4892"/>
        <item m="1" x="658"/>
        <item m="1" x="1270"/>
        <item m="1" x="1884"/>
        <item m="1" x="2504"/>
        <item m="1" x="3122"/>
        <item m="1" x="3736"/>
        <item m="1" x="4349"/>
        <item m="1" x="4967"/>
        <item m="1" x="732"/>
        <item m="1" x="1344"/>
        <item m="1" x="1959"/>
        <item m="1" x="2580"/>
        <item m="1" x="3197"/>
        <item m="1" x="3811"/>
        <item m="1" x="4422"/>
        <item m="1" x="192"/>
        <item m="1" x="807"/>
        <item m="1" x="1419"/>
        <item m="1" x="2033"/>
        <item m="1" x="2655"/>
        <item m="1" x="3272"/>
        <item m="1" x="3886"/>
        <item m="1" x="4497"/>
        <item m="1" x="268"/>
        <item m="1" x="882"/>
        <item m="1" x="1493"/>
        <item m="1" x="2108"/>
        <item m="1" x="2731"/>
        <item m="1" x="3346"/>
        <item m="1" x="3960"/>
        <item m="1" x="4569"/>
        <item m="1" x="342"/>
        <item m="1" x="955"/>
        <item m="1" x="1566"/>
        <item m="1" x="2180"/>
        <item m="1" x="2805"/>
        <item m="1" x="3420"/>
        <item m="1" x="4033"/>
        <item m="1" x="4644"/>
        <item m="1" x="416"/>
        <item m="1" x="1029"/>
        <item m="1" x="1640"/>
        <item m="1" x="2256"/>
        <item m="1" x="2880"/>
        <item m="1" x="3495"/>
        <item m="1" x="4107"/>
        <item m="1" x="4719"/>
        <item m="1" x="490"/>
        <item m="1" x="1104"/>
        <item m="1" x="1715"/>
        <item m="1" x="2331"/>
        <item m="1" x="2954"/>
        <item m="1" x="3570"/>
        <item m="1" x="4181"/>
        <item m="1" x="4795"/>
        <item m="1" x="565"/>
        <item m="1" x="1179"/>
        <item m="1" x="1790"/>
        <item m="1" x="2408"/>
        <item m="1" x="3030"/>
        <item m="1" x="3645"/>
        <item m="1" x="4255"/>
        <item m="1" x="4870"/>
        <item m="1" x="640"/>
        <item m="1" x="1253"/>
        <item m="1" x="1864"/>
        <item m="1" x="2482"/>
        <item m="1" x="3104"/>
        <item m="1" x="3719"/>
        <item m="1" x="4328"/>
        <item m="1" x="4945"/>
        <item m="1" x="714"/>
        <item m="1" x="1327"/>
        <item m="1" x="1938"/>
        <item m="1" x="2558"/>
        <item m="1" x="3179"/>
        <item m="1" x="3794"/>
        <item m="1" x="4402"/>
        <item m="1" x="170"/>
        <item m="1" x="788"/>
        <item m="1" x="1402"/>
        <item m="1" x="2013"/>
        <item m="1" x="2633"/>
        <item m="1" x="3253"/>
        <item m="1" x="3869"/>
        <item m="1" x="4476"/>
        <item m="1" x="246"/>
        <item m="1" x="863"/>
        <item m="1" x="1476"/>
        <item m="1" x="2087"/>
        <item m="1" x="2709"/>
        <item m="1" x="3328"/>
        <item m="1" x="3943"/>
        <item m="1" x="4549"/>
        <item m="1" x="320"/>
        <item m="1" x="937"/>
        <item m="1" x="1549"/>
        <item m="1" x="2160"/>
        <item m="1" x="2783"/>
        <item m="1" x="3402"/>
        <item m="1" x="4016"/>
        <item m="1" x="4623"/>
        <item m="1" x="394"/>
        <item m="1" x="1011"/>
        <item m="1" x="1623"/>
        <item m="1" x="2235"/>
        <item m="1" x="2858"/>
        <item m="1" x="3477"/>
        <item m="1" x="4090"/>
        <item m="1" x="4698"/>
        <item m="1" x="468"/>
        <item m="1" x="1085"/>
        <item m="1" x="1698"/>
        <item m="1" x="2311"/>
        <item m="1" x="2932"/>
        <item m="1" x="3551"/>
        <item m="1" x="4164"/>
        <item m="1" x="4774"/>
        <item m="1" x="543"/>
        <item m="1" x="1160"/>
        <item m="1" x="1773"/>
        <item m="1" x="2387"/>
        <item m="1" x="3008"/>
        <item m="1" x="3627"/>
        <item m="1" x="4238"/>
        <item m="1" x="4849"/>
        <item m="1" x="618"/>
        <item m="1" x="1235"/>
        <item m="1" x="1847"/>
        <item m="1" x="2462"/>
        <item m="1" x="3082"/>
        <item m="1" x="3701"/>
        <item m="1" x="4311"/>
        <item m="1" x="4924"/>
        <item m="1" x="692"/>
        <item m="1" x="1309"/>
        <item m="1" x="1921"/>
        <item m="1" x="2537"/>
        <item m="1" x="3157"/>
        <item m="1" x="3776"/>
        <item m="1" x="4385"/>
        <item m="1" x="4999"/>
        <item m="1" x="766"/>
        <item m="1" x="1383"/>
        <item m="1" x="1996"/>
        <item m="1" x="2613"/>
        <item m="1" x="3231"/>
        <item m="1" x="3850"/>
        <item m="1" x="4459"/>
        <item m="1" x="225"/>
        <item m="1" x="841"/>
        <item m="1" x="1457"/>
        <item m="1" x="2070"/>
        <item m="1" x="2688"/>
        <item m="1" x="3306"/>
        <item m="1" x="3925"/>
        <item m="1" x="4532"/>
        <item m="1" x="299"/>
        <item m="1" x="915"/>
        <item m="1" x="1531"/>
        <item m="1" x="2143"/>
        <item m="1" x="2762"/>
        <item m="1" x="3380"/>
        <item m="1" x="3998"/>
        <item m="1" x="4606"/>
        <item m="1" x="373"/>
        <item m="1" x="989"/>
        <item m="1" x="1604"/>
        <item m="1" x="2218"/>
        <item m="1" x="2837"/>
        <item m="1" x="3455"/>
        <item m="1" x="4072"/>
        <item m="1" x="4681"/>
        <item m="1" x="447"/>
        <item m="1" x="1063"/>
        <item m="1" x="1678"/>
        <item m="1" x="2294"/>
        <item m="1" x="2912"/>
        <item m="1" x="3529"/>
        <item m="1" x="4145"/>
        <item m="1" x="4757"/>
        <item m="1" x="522"/>
        <item m="1" x="1138"/>
        <item m="1" x="1753"/>
        <item m="1" x="2370"/>
        <item m="1" x="2987"/>
        <item m="1" x="3605"/>
        <item m="1" x="4220"/>
        <item m="1" x="4832"/>
        <item m="1" x="597"/>
        <item m="1" x="1213"/>
        <item m="1" x="1828"/>
        <item m="1" x="2445"/>
        <item m="1" x="3061"/>
        <item m="1" x="3679"/>
        <item m="1" x="4293"/>
        <item m="1" x="4907"/>
        <item m="1" x="671"/>
        <item m="1" x="1287"/>
        <item m="1" x="1902"/>
        <item m="1" x="2520"/>
        <item m="1" x="3136"/>
        <item m="1" x="3754"/>
        <item m="1" x="4367"/>
        <item m="1" x="4982"/>
        <item m="1" x="745"/>
        <item m="1" x="1361"/>
        <item m="1" x="1976"/>
        <item m="1" x="2596"/>
        <item m="1" x="3211"/>
        <item m="1" x="3828"/>
        <item m="1" x="4440"/>
        <item m="1" x="208"/>
        <item m="1" x="820"/>
        <item m="1" x="1436"/>
        <item m="1" x="2051"/>
        <item m="1" x="2672"/>
        <item m="1" x="3286"/>
        <item m="1" x="3904"/>
        <item m="1" x="4515"/>
        <item m="1" x="283"/>
        <item m="1" x="895"/>
        <item m="1" x="1510"/>
        <item m="1" x="2125"/>
        <item m="1" x="2746"/>
        <item m="1" x="3360"/>
        <item m="1" x="3977"/>
        <item m="1" x="4588"/>
        <item m="1" x="357"/>
        <item m="1" x="969"/>
        <item m="1" x="1583"/>
        <item m="1" x="2199"/>
        <item m="1" x="2821"/>
        <item m="1" x="3435"/>
        <item m="1" x="4051"/>
        <item m="1" x="4663"/>
        <item m="1" x="431"/>
        <item m="1" x="1043"/>
        <item m="1" x="1657"/>
        <item m="1" x="2274"/>
        <item m="1" x="2896"/>
        <item m="1" x="3510"/>
        <item m="1" x="4124"/>
        <item m="1" x="4738"/>
        <item m="1" x="506"/>
        <item m="1" x="1118"/>
        <item m="1" x="1732"/>
        <item m="1" x="2350"/>
        <item m="1" x="2971"/>
        <item m="1" x="3585"/>
        <item m="1" x="4199"/>
        <item m="1" x="4814"/>
        <item m="1" x="581"/>
        <item m="1" x="1193"/>
        <item m="1" x="1807"/>
        <item m="1" x="2426"/>
        <item m="1" x="3045"/>
        <item m="1" x="3659"/>
        <item m="1" x="4272"/>
        <item m="1" x="4889"/>
        <item m="1" x="655"/>
        <item m="1" x="1267"/>
        <item m="1" x="1881"/>
        <item m="1" x="2501"/>
        <item m="1" x="3120"/>
        <item m="1" x="3734"/>
        <item m="1" x="4346"/>
        <item m="1" x="4964"/>
        <item m="1" x="729"/>
        <item m="1" x="1341"/>
        <item m="1" x="1955"/>
        <item m="1" x="2576"/>
        <item m="1" x="3195"/>
        <item m="1" x="3809"/>
        <item m="1" x="4419"/>
        <item m="1" x="189"/>
        <item m="1" x="804"/>
        <item m="1" x="1416"/>
        <item m="1" x="2030"/>
        <item m="1" x="2652"/>
        <item m="1" x="3270"/>
        <item m="1" x="3884"/>
        <item m="1" x="4494"/>
        <item m="1" x="265"/>
        <item m="1" x="879"/>
        <item m="1" x="1490"/>
        <item m="1" x="2104"/>
        <item m="1" x="2727"/>
        <item m="1" x="3343"/>
        <item m="1" x="3957"/>
        <item m="1" x="4566"/>
        <item m="1" x="339"/>
        <item m="1" x="952"/>
        <item m="1" x="1563"/>
        <item m="1" x="2177"/>
        <item m="1" x="2802"/>
        <item m="1" x="3418"/>
        <item m="1" x="4031"/>
        <item m="1" x="4641"/>
        <item m="1" x="413"/>
        <item m="1" x="1026"/>
        <item m="1" x="1637"/>
        <item m="1" x="2252"/>
        <item m="1" x="2876"/>
        <item m="1" x="3493"/>
        <item m="1" x="4105"/>
        <item m="1" x="4716"/>
        <item m="1" x="487"/>
        <item m="1" x="1101"/>
        <item m="1" x="1712"/>
        <item m="1" x="2328"/>
        <item m="1" x="2951"/>
        <item m="1" x="3568"/>
        <item m="1" x="4179"/>
        <item m="1" x="4792"/>
        <item m="1" x="562"/>
        <item m="1" x="1176"/>
        <item m="1" x="1787"/>
        <item m="1" x="2404"/>
        <item m="1" x="3026"/>
        <item m="1" x="3642"/>
        <item m="1" x="4252"/>
        <item m="1" x="4867"/>
        <item m="1" x="637"/>
        <item m="1" x="1250"/>
        <item m="1" x="1861"/>
        <item m="1" x="2479"/>
        <item m="1" x="3101"/>
        <item m="1" x="3717"/>
        <item m="1" x="4326"/>
        <item m="1" x="4942"/>
        <item m="1" x="711"/>
        <item m="1" x="1324"/>
        <item m="1" x="1935"/>
        <item m="1" x="2554"/>
        <item m="1" x="3175"/>
        <item m="1" x="3792"/>
        <item m="1" x="4400"/>
        <item m="1" x="167"/>
        <item m="1" x="785"/>
        <item m="1" x="1399"/>
        <item m="1" x="2010"/>
        <item m="1" x="2630"/>
        <item m="1" x="3250"/>
        <item m="1" x="3867"/>
        <item m="1" x="4474"/>
        <item m="1" x="243"/>
        <item m="1" x="860"/>
        <item m="1" x="1473"/>
        <item m="1" x="2084"/>
        <item m="1" x="2705"/>
        <item m="1" x="3324"/>
        <item m="1" x="3940"/>
        <item m="1" x="4546"/>
        <item m="1" x="317"/>
        <item m="1" x="934"/>
        <item m="1" x="1546"/>
        <item m="1" x="2157"/>
        <item m="1" x="2780"/>
        <item m="1" x="3399"/>
        <item m="1" x="4014"/>
        <item m="1" x="4621"/>
        <item m="1" x="391"/>
        <item m="1" x="1008"/>
        <item m="1" x="1620"/>
        <item m="1" x="2232"/>
        <item m="1" x="2854"/>
        <item m="1" x="3473"/>
        <item m="1" x="4088"/>
        <item m="1" x="4696"/>
        <item m="1" x="465"/>
        <item m="1" x="1082"/>
        <item m="1" x="1695"/>
        <item m="1" x="2308"/>
        <item m="1" x="2929"/>
        <item m="1" x="3548"/>
        <item m="1" x="4162"/>
        <item m="1" x="4772"/>
        <item m="1" x="540"/>
        <item m="1" x="1157"/>
        <item m="1" x="1770"/>
        <item m="1" x="2384"/>
        <item m="1" x="3004"/>
        <item m="1" x="3623"/>
        <item m="1" x="4235"/>
        <item m="1" x="4846"/>
        <item m="1" x="615"/>
        <item m="1" x="1232"/>
        <item m="1" x="1844"/>
        <item m="1" x="2459"/>
        <item m="1" x="3079"/>
        <item m="1" x="3698"/>
        <item m="1" x="4309"/>
        <item m="1" x="4922"/>
        <item m="1" x="689"/>
        <item m="1" x="1306"/>
        <item m="1" x="1918"/>
        <item m="1" x="2534"/>
        <item m="1" x="3153"/>
        <item m="1" x="3772"/>
        <item m="1" x="4383"/>
        <item m="1" x="4997"/>
        <item m="1" x="763"/>
        <item m="1" x="1380"/>
        <item m="1" x="1993"/>
        <item m="1" x="2610"/>
        <item m="1" x="3228"/>
        <item m="1" x="3847"/>
        <item m="1" x="4457"/>
        <item m="1" x="223"/>
        <item m="1" x="838"/>
        <item t="default"/>
      </items>
    </pivotField>
    <pivotField dataField="1" showAll="0" defaultSubtotal="0"/>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76" firstHeaderRow="0" firstDataRow="1" firstDataCol="1"/>
  <pivotFields count="20">
    <pivotField showAll="0">
      <items count="313">
        <item h="1" m="1" x="303"/>
        <item h="1" m="1" x="272"/>
        <item h="1" m="1" x="136"/>
        <item h="1" m="1" x="42"/>
        <item h="1" m="1" x="114"/>
        <item h="1" m="1" x="279"/>
        <item h="1" m="1" x="304"/>
        <item h="1" m="1" x="26"/>
        <item h="1" m="1" x="268"/>
        <item h="1" m="1" x="88"/>
        <item h="1" m="1" x="225"/>
        <item h="1" m="1" x="141"/>
        <item h="1" x="4"/>
        <item h="1" m="1" x="84"/>
        <item h="1" x="1"/>
        <item h="1" m="1" x="299"/>
        <item h="1" m="1" x="124"/>
        <item h="1" m="1" x="31"/>
        <item h="1" m="1" x="234"/>
        <item h="1" m="1" x="115"/>
        <item h="1" m="1" x="172"/>
        <item h="1" m="1" x="226"/>
        <item h="1" m="1" x="147"/>
        <item h="1" x="10"/>
        <item h="1" m="1" x="93"/>
        <item h="1" m="1" x="237"/>
        <item h="1" m="1" x="273"/>
        <item h="1" m="1" x="153"/>
        <item h="1" m="1" x="195"/>
        <item h="1" m="1" x="125"/>
        <item h="1" m="1" x="235"/>
        <item h="1" m="1" x="21"/>
        <item h="1" m="1" x="67"/>
        <item h="1" m="1" x="94"/>
        <item h="1" m="1" x="264"/>
        <item h="1" m="1" x="305"/>
        <item h="1" m="1" x="101"/>
        <item h="1" m="1" x="27"/>
        <item h="1" m="1" x="296"/>
        <item h="1" m="1" x="95"/>
        <item h="1" m="1" x="148"/>
        <item h="1" m="1" x="107"/>
        <item h="1" m="1" x="160"/>
        <item h="1" m="1" x="168"/>
        <item h="1" m="1" x="79"/>
        <item h="1" m="1" x="126"/>
        <item h="1" m="1" x="48"/>
        <item h="1" m="1" x="258"/>
        <item h="1" x="7"/>
        <item h="1" m="1" x="64"/>
        <item h="1" m="1" x="68"/>
        <item h="1" m="1" x="242"/>
        <item h="1" m="1" x="173"/>
        <item h="1" m="1" x="116"/>
        <item h="1" m="1" x="212"/>
        <item h="1" m="1" x="306"/>
        <item h="1" m="1" x="243"/>
        <item h="1" m="1" x="174"/>
        <item h="1" m="1" x="280"/>
        <item h="1" m="1" x="214"/>
        <item h="1" m="1" x="137"/>
        <item h="1" m="1" x="85"/>
        <item h="1" m="1" x="32"/>
        <item h="1" m="1" x="46"/>
        <item h="1" m="1" x="215"/>
        <item h="1" m="1" x="161"/>
        <item h="1" m="1" x="185"/>
        <item h="1" m="1" x="108"/>
        <item h="1" m="1" x="300"/>
        <item h="1" m="1" x="162"/>
        <item h="1" m="1" x="244"/>
        <item h="1" m="1" x="247"/>
        <item h="1" m="1" x="189"/>
        <item h="1" m="1" x="142"/>
        <item h="1" m="1" x="163"/>
        <item h="1" m="1" x="154"/>
        <item h="1" m="1" x="61"/>
        <item h="1" m="1" x="307"/>
        <item h="1" m="1" x="122"/>
        <item h="1" x="3"/>
        <item h="1" m="1" x="190"/>
        <item h="1" m="1" x="297"/>
        <item h="1" m="1" x="28"/>
        <item h="1" m="1" x="213"/>
        <item h="1" m="1" x="23"/>
        <item h="1" m="1" x="179"/>
        <item h="1" m="1" x="308"/>
        <item h="1" m="1" x="43"/>
        <item h="1" m="1" x="155"/>
        <item h="1" m="1" x="196"/>
        <item h="1" m="1" x="24"/>
        <item h="1" m="1" x="285"/>
        <item h="1" m="1" x="149"/>
        <item h="1" m="1" x="253"/>
        <item h="1" m="1" x="127"/>
        <item h="1" m="1" x="249"/>
        <item h="1" m="1" x="238"/>
        <item h="1" m="1" x="255"/>
        <item h="1" x="2"/>
        <item h="1" m="1" x="164"/>
        <item h="1" x="11"/>
        <item h="1" m="1" x="123"/>
        <item h="1" m="1" x="256"/>
        <item h="1" m="1" x="236"/>
        <item h="1" m="1" x="80"/>
        <item h="1" m="1" x="269"/>
        <item h="1" m="1" x="287"/>
        <item h="1" m="1" x="49"/>
        <item h="1" m="1" x="201"/>
        <item h="1" m="1" x="218"/>
        <item h="1" m="1" x="230"/>
        <item h="1" m="1" x="259"/>
        <item h="1" m="1" x="281"/>
        <item h="1" m="1" x="63"/>
        <item h="1" m="1" x="265"/>
        <item h="1" m="1" x="180"/>
        <item h="1" m="1" x="309"/>
        <item h="1" m="1" x="219"/>
        <item h="1" m="1" x="274"/>
        <item h="1" m="1" x="96"/>
        <item h="1" m="1" x="69"/>
        <item h="1" m="1" x="128"/>
        <item h="1" m="1" x="44"/>
        <item h="1" m="1" x="181"/>
        <item h="1" m="1" x="260"/>
        <item h="1" m="1" x="175"/>
        <item h="1" m="1" x="81"/>
        <item h="1" m="1" x="248"/>
        <item h="1" m="1" x="130"/>
        <item h="1" m="1" x="70"/>
        <item h="1" m="1" x="165"/>
        <item h="1" m="1" x="250"/>
        <item h="1" m="1" x="131"/>
        <item h="1" m="1" x="120"/>
        <item h="1" m="1" x="288"/>
        <item h="1" m="1" x="310"/>
        <item h="1" m="1" x="15"/>
        <item h="1" m="1" x="282"/>
        <item h="1" m="1" x="117"/>
        <item h="1" m="1" x="311"/>
        <item h="1" m="1" x="220"/>
        <item h="1" m="1" x="227"/>
        <item h="1" m="1" x="231"/>
        <item h="1" x="5"/>
        <item h="1" m="1" x="55"/>
        <item h="1" m="1" x="261"/>
        <item h="1" m="1" x="223"/>
        <item h="1" m="1" x="89"/>
        <item h="1" m="1" x="132"/>
        <item h="1" m="1" x="239"/>
        <item h="1" m="1" x="197"/>
        <item h="1" m="1" x="71"/>
        <item h="1" m="1" x="216"/>
        <item x="9"/>
        <item h="1" m="1" x="109"/>
        <item h="1" m="1" x="156"/>
        <item h="1" m="1" x="138"/>
        <item h="1" m="1" x="90"/>
        <item h="1" m="1" x="36"/>
        <item h="1" m="1" x="157"/>
        <item h="1" m="1" x="198"/>
        <item h="1" m="1" x="110"/>
        <item h="1" m="1" x="262"/>
        <item h="1" m="1" x="150"/>
        <item h="1" m="1" x="133"/>
        <item h="1" m="1" x="158"/>
        <item h="1" m="1" x="102"/>
        <item h="1" m="1" x="245"/>
        <item h="1" m="1" x="166"/>
        <item h="1" m="1" x="86"/>
        <item h="1" m="1" x="56"/>
        <item h="1" m="1" x="111"/>
        <item h="1" m="1" x="16"/>
        <item h="1" m="1" x="65"/>
        <item h="1" m="1" x="47"/>
        <item h="1" m="1" x="25"/>
        <item h="1" m="1" x="221"/>
        <item h="1" m="1" x="275"/>
        <item h="1" m="1" x="50"/>
        <item h="1" m="1" x="207"/>
        <item h="1" m="1" x="151"/>
        <item h="1" m="1" x="91"/>
        <item h="1" m="1" x="59"/>
        <item h="1" m="1" x="118"/>
        <item h="1" x="12"/>
        <item h="1" m="1" x="72"/>
        <item h="1" m="1" x="217"/>
        <item h="1" m="1" x="270"/>
        <item h="1" m="1" x="103"/>
        <item h="1" m="1" x="57"/>
        <item h="1" m="1" x="112"/>
        <item h="1" m="1" x="208"/>
        <item h="1" m="1" x="33"/>
        <item h="1" m="1" x="224"/>
        <item h="1" m="1" x="283"/>
        <item h="1" m="1" x="191"/>
        <item h="1" m="1" x="17"/>
        <item h="1" m="1" x="251"/>
        <item h="1" m="1" x="82"/>
        <item h="1" m="1" x="74"/>
        <item h="1" m="1" x="40"/>
        <item h="1" m="1" x="34"/>
        <item h="1" m="1" x="176"/>
        <item h="1" m="1" x="134"/>
        <item h="1" m="1" x="135"/>
        <item h="1" m="1" x="73"/>
        <item h="1" m="1" x="139"/>
        <item h="1" m="1" x="38"/>
        <item h="1" m="1" x="289"/>
        <item h="1" m="1" x="292"/>
        <item h="1" m="1" x="186"/>
        <item h="1" m="1" x="45"/>
        <item h="1" m="1" x="58"/>
        <item h="1" m="1" x="240"/>
        <item h="1" m="1" x="97"/>
        <item h="1" m="1" x="51"/>
        <item h="1" m="1" x="182"/>
        <item h="1" m="1" x="246"/>
        <item h="1" m="1" x="202"/>
        <item h="1" m="1" x="75"/>
        <item h="1" m="1" x="293"/>
        <item h="1" m="1" x="18"/>
        <item h="1" m="1" x="192"/>
        <item h="1" m="1" x="98"/>
        <item h="1" m="1" x="290"/>
        <item h="1" m="1" x="203"/>
        <item h="1" m="1" x="29"/>
        <item h="1" m="1" x="276"/>
        <item h="1" m="1" x="41"/>
        <item h="1" m="1" x="87"/>
        <item h="1" m="1" x="169"/>
        <item h="1" m="1" x="129"/>
        <item h="1" m="1" x="209"/>
        <item h="1" m="1" x="263"/>
        <item h="1" m="1" x="177"/>
        <item h="1" m="1" x="193"/>
        <item h="1" m="1" x="99"/>
        <item h="1" m="1" x="252"/>
        <item h="1" m="1" x="199"/>
        <item h="1" m="1" x="39"/>
        <item h="1" m="1" x="104"/>
        <item h="1" m="1" x="37"/>
        <item h="1" m="1" x="83"/>
        <item h="1" x="13"/>
        <item h="1" m="1" x="100"/>
        <item h="1" m="1" x="119"/>
        <item h="1" m="1" x="271"/>
        <item h="1" m="1" x="52"/>
        <item h="1" m="1" x="183"/>
        <item h="1" m="1" x="204"/>
        <item h="1" m="1" x="76"/>
        <item h="1" m="1" x="222"/>
        <item h="1" m="1" x="210"/>
        <item h="1" m="1" x="159"/>
        <item h="1" x="0"/>
        <item h="1" m="1" x="140"/>
        <item h="1" m="1" x="167"/>
        <item h="1" m="1" x="53"/>
        <item h="1" m="1" x="105"/>
        <item h="1" m="1" x="143"/>
        <item h="1" m="1" x="277"/>
        <item h="1" m="1" x="170"/>
        <item h="1" x="14"/>
        <item h="1" m="1" x="22"/>
        <item h="1" m="1" x="66"/>
        <item h="1" m="1" x="241"/>
        <item h="1" m="1" x="301"/>
        <item h="1" m="1" x="121"/>
        <item h="1" m="1" x="200"/>
        <item h="1" m="1" x="228"/>
        <item h="1" m="1" x="54"/>
        <item h="1" m="1" x="144"/>
        <item h="1" m="1" x="278"/>
        <item h="1" m="1" x="171"/>
        <item h="1" m="1" x="232"/>
        <item h="1" m="1" x="187"/>
        <item h="1" x="8"/>
        <item h="1" m="1" x="211"/>
        <item h="1" m="1" x="60"/>
        <item h="1" m="1" x="194"/>
        <item h="1" m="1" x="205"/>
        <item h="1" m="1" x="145"/>
        <item h="1" m="1" x="294"/>
        <item h="1" m="1" x="284"/>
        <item h="1" m="1" x="206"/>
        <item h="1" m="1" x="30"/>
        <item h="1" m="1" x="233"/>
        <item h="1" m="1" x="295"/>
        <item h="1" m="1" x="106"/>
        <item h="1" m="1" x="19"/>
        <item h="1" m="1" x="298"/>
        <item h="1" m="1" x="62"/>
        <item h="1" m="1" x="229"/>
        <item h="1" m="1" x="113"/>
        <item h="1" m="1" x="35"/>
        <item h="1" m="1" x="178"/>
        <item h="1" m="1" x="266"/>
        <item h="1" m="1" x="254"/>
        <item h="1" m="1" x="286"/>
        <item h="1" m="1" x="20"/>
        <item h="1" x="6"/>
        <item h="1" m="1" x="92"/>
        <item h="1" m="1" x="257"/>
        <item h="1" m="1" x="77"/>
        <item h="1" m="1" x="78"/>
        <item h="1" m="1" x="152"/>
        <item h="1" m="1" x="302"/>
        <item h="1" m="1" x="291"/>
        <item h="1" m="1" x="184"/>
        <item h="1" m="1" x="146"/>
        <item h="1" m="1" x="188"/>
        <item h="1" m="1" x="267"/>
        <item t="default"/>
      </items>
    </pivotField>
    <pivotField showAll="0">
      <items count="671">
        <item m="1" x="486"/>
        <item m="1" x="72"/>
        <item m="1" x="212"/>
        <item m="1" x="57"/>
        <item m="1" x="535"/>
        <item m="1" x="501"/>
        <item m="1" x="77"/>
        <item m="1" x="377"/>
        <item m="1" x="271"/>
        <item m="1" x="522"/>
        <item m="1" x="358"/>
        <item m="1" x="235"/>
        <item m="1" x="398"/>
        <item m="1" x="567"/>
        <item m="1" x="419"/>
        <item m="1" x="84"/>
        <item m="1" x="275"/>
        <item m="1" x="294"/>
        <item m="1" x="547"/>
        <item m="1" x="218"/>
        <item m="1" x="645"/>
        <item m="1" x="119"/>
        <item m="1" x="246"/>
        <item m="1" x="611"/>
        <item m="1" x="137"/>
        <item m="1" x="483"/>
        <item m="1" x="625"/>
        <item m="1" x="42"/>
        <item m="1" x="187"/>
        <item m="1" x="229"/>
        <item m="1" x="497"/>
        <item m="1" x="653"/>
        <item m="1" x="374"/>
        <item m="1" x="457"/>
        <item m="1" x="620"/>
        <item m="1" x="641"/>
        <item m="1" x="184"/>
        <item m="1" x="513"/>
        <item m="1" x="540"/>
        <item m="1" x="110"/>
        <item m="1" x="183"/>
        <item m="1" x="197"/>
        <item m="1" x="243"/>
        <item m="1" x="284"/>
        <item m="1" x="293"/>
        <item m="1" x="496"/>
        <item m="1" x="573"/>
        <item m="1" x="659"/>
        <item m="1" x="22"/>
        <item m="1" x="64"/>
        <item m="1" x="144"/>
        <item m="1" x="213"/>
        <item m="1" x="237"/>
        <item m="1" x="291"/>
        <item m="1" x="442"/>
        <item m="1" x="524"/>
        <item m="1" x="89"/>
        <item m="1" x="155"/>
        <item m="1" x="224"/>
        <item m="1" x="282"/>
        <item m="1" x="455"/>
        <item m="1" x="476"/>
        <item x="7"/>
        <item m="1" x="636"/>
        <item m="1" x="39"/>
        <item m="1" x="61"/>
        <item m="1" x="180"/>
        <item m="1" x="194"/>
        <item m="1" x="222"/>
        <item m="1" x="559"/>
        <item m="1" x="569"/>
        <item m="1" x="74"/>
        <item m="1" x="99"/>
        <item m="1" x="193"/>
        <item m="1" x="220"/>
        <item m="1" x="537"/>
        <item m="1" x="616"/>
        <item x="12"/>
        <item m="1" x="153"/>
        <item m="1" x="164"/>
        <item m="1" x="179"/>
        <item m="1" x="249"/>
        <item m="1" x="384"/>
        <item m="1" x="472"/>
        <item m="1" x="519"/>
        <item m="1" x="628"/>
        <item m="1" x="142"/>
        <item m="1" x="278"/>
        <item m="1" x="314"/>
        <item m="1" x="357"/>
        <item m="1" x="503"/>
        <item m="1" x="548"/>
        <item m="1" x="568"/>
        <item m="1" x="591"/>
        <item m="1" x="87"/>
        <item m="1" x="141"/>
        <item m="1" x="323"/>
        <item m="1" x="332"/>
        <item m="1" x="397"/>
        <item m="1" x="86"/>
        <item m="1" x="406"/>
        <item m="1" x="108"/>
        <item m="1" x="439"/>
        <item m="1" x="127"/>
        <item m="1" x="276"/>
        <item x="9"/>
        <item m="1" x="346"/>
        <item m="1" x="369"/>
        <item m="1" x="382"/>
        <item m="1" x="122"/>
        <item m="1" x="438"/>
        <item m="1" x="234"/>
        <item m="1" x="600"/>
        <item m="1" x="647"/>
        <item m="1" x="657"/>
        <item m="1" x="36"/>
        <item m="1" x="368"/>
        <item m="1" x="85"/>
        <item m="1" x="404"/>
        <item m="1" x="140"/>
        <item m="1" x="488"/>
        <item m="1" x="533"/>
        <item m="1" x="288"/>
        <item m="1" x="69"/>
        <item m="1" x="403"/>
        <item m="1" x="437"/>
        <item m="1" x="532"/>
        <item m="1" x="202"/>
        <item m="1" x="209"/>
        <item x="0"/>
        <item m="1" x="106"/>
        <item m="1" x="121"/>
        <item m="1" x="190"/>
        <item m="1" x="665"/>
        <item m="1" x="19"/>
        <item m="1" x="336"/>
        <item m="1" x="33"/>
        <item m="1" x="436"/>
        <item m="1" x="139"/>
        <item m="1" x="500"/>
        <item m="1" x="557"/>
        <item m="1" x="232"/>
        <item m="1" x="579"/>
        <item m="1" x="241"/>
        <item m="1" x="311"/>
        <item m="1" x="18"/>
        <item m="1" x="96"/>
        <item m="1" x="105"/>
        <item m="1" x="461"/>
        <item m="1" x="247"/>
        <item m="1" x="274"/>
        <item m="1" x="634"/>
        <item m="1" x="301"/>
        <item m="1" x="335"/>
        <item m="1" x="44"/>
        <item m="1" x="435"/>
        <item m="1" x="152"/>
        <item m="1" x="161"/>
        <item m="1" x="499"/>
        <item m="1" x="168"/>
        <item m="1" x="544"/>
        <item m="1" x="217"/>
        <item m="1" x="565"/>
        <item m="1" x="589"/>
        <item m="1" x="260"/>
        <item m="1" x="643"/>
        <item m="1" x="353"/>
        <item m="1" x="54"/>
        <item m="1" x="95"/>
        <item m="1" x="410"/>
        <item m="1" x="434"/>
        <item m="1" x="447"/>
        <item m="1" x="508"/>
        <item m="1" x="543"/>
        <item m="1" x="633"/>
        <item m="1" x="344"/>
        <item m="1" x="68"/>
        <item m="1" x="94"/>
        <item m="1" x="424"/>
        <item m="1" x="484"/>
        <item x="5"/>
        <item m="1" x="239"/>
        <item m="1" x="258"/>
        <item m="1" x="626"/>
        <item m="1" x="654"/>
        <item m="1" x="16"/>
        <item m="1" x="25"/>
        <item m="1" x="378"/>
        <item m="1" x="402"/>
        <item m="1" x="409"/>
        <item m="1" x="446"/>
        <item m="1" x="459"/>
        <item m="1" x="467"/>
        <item m="1" x="188"/>
        <item m="1" x="542"/>
        <item m="1" x="553"/>
        <item m="1" x="256"/>
        <item x="3"/>
        <item m="1" x="423"/>
        <item m="1" x="158"/>
        <item m="1" x="199"/>
        <item m="1" x="244"/>
        <item m="1" x="309"/>
        <item m="1" x="662"/>
        <item m="1" x="93"/>
        <item m="1" x="417"/>
        <item m="1" x="157"/>
        <item m="1" x="515"/>
        <item m="1" x="186"/>
        <item m="1" x="551"/>
        <item m="1" x="216"/>
        <item m="1" x="227"/>
        <item m="1" x="622"/>
        <item m="1" x="30"/>
        <item m="1" x="390"/>
        <item m="1" x="174"/>
        <item m="1" x="205"/>
        <item m="1" x="214"/>
        <item m="1" x="576"/>
        <item m="1" x="286"/>
        <item m="1" x="298"/>
        <item m="1" x="40"/>
        <item m="1" x="389"/>
        <item m="1" x="92"/>
        <item m="1" x="407"/>
        <item m="1" x="445"/>
        <item m="1" x="128"/>
        <item m="1" x="527"/>
        <item m="1" x="575"/>
        <item m="1" x="586"/>
        <item m="1" x="285"/>
        <item m="1" x="29"/>
        <item m="1" x="362"/>
        <item m="1" x="91"/>
        <item m="1" x="432"/>
        <item m="1" x="479"/>
        <item m="1" x="198"/>
        <item m="1" x="574"/>
        <item m="1" x="350"/>
        <item m="1" x="558"/>
        <item m="1" x="388"/>
        <item m="1" x="401"/>
        <item m="1" x="581"/>
        <item m="1" x="602"/>
        <item m="1" x="262"/>
        <item m="1" x="277"/>
        <item m="1" x="444"/>
        <item m="1" x="649"/>
        <item m="1" x="303"/>
        <item m="1" x="313"/>
        <item m="1" x="156"/>
        <item m="1" x="20"/>
        <item m="1" x="337"/>
        <item m="1" x="356"/>
        <item m="1" x="539"/>
        <item m="1" x="550"/>
        <item m="1" x="78"/>
        <item m="1" x="396"/>
        <item m="1" x="115"/>
        <item m="1" x="270"/>
        <item m="1" x="639"/>
        <item m="1" x="465"/>
        <item m="1" x="660"/>
        <item m="1" x="318"/>
        <item m="1" x="191"/>
        <item m="1" x="65"/>
        <item m="1" x="566"/>
        <item m="1" x="400"/>
        <item m="1" x="601"/>
        <item m="1" x="289"/>
        <item m="1" x="443"/>
        <item m="1" x="648"/>
        <item m="1" x="146"/>
        <item m="1" x="345"/>
        <item m="1" x="196"/>
        <item m="1" x="355"/>
        <item m="1" x="56"/>
        <item m="1" x="395"/>
        <item x="6"/>
        <item m="1" x="405"/>
        <item m="1" x="254"/>
        <item m="1" x="418"/>
        <item m="1" x="607"/>
        <item m="1" x="638"/>
        <item m="1" x="464"/>
        <item m="1" x="652"/>
        <item m="1" x="502"/>
        <item m="1" x="361"/>
        <item m="1" x="210"/>
        <item m="1" x="373"/>
        <item m="1" x="219"/>
        <item m="1" x="102"/>
        <item m="1" x="599"/>
        <item m="1" x="614"/>
        <item m="1" x="133"/>
        <item m="1" x="145"/>
        <item m="1" x="478"/>
        <item m="1" x="35"/>
        <item m="1" x="381"/>
        <item m="1" x="561"/>
        <item m="1" x="226"/>
        <item m="1" x="411"/>
        <item m="1" x="253"/>
        <item m="1" x="631"/>
        <item m="1" x="292"/>
        <item m="1" x="637"/>
        <item m="1" x="651"/>
        <item m="1" x="329"/>
        <item m="1" x="28"/>
        <item m="1" x="360"/>
        <item m="1" x="233"/>
        <item m="1" x="580"/>
        <item m="1" x="90"/>
        <item m="1" x="590"/>
        <item m="1" x="416"/>
        <item m="1" x="287"/>
        <item x="1"/>
        <item m="1" x="322"/>
        <item m="1" x="495"/>
        <item m="1" x="182"/>
        <item m="1" x="525"/>
        <item m="1" x="47"/>
        <item m="1" x="55"/>
        <item m="1" x="560"/>
        <item m="1" x="585"/>
        <item m="1" x="107"/>
        <item m="1" x="252"/>
        <item m="1" x="269"/>
        <item m="1" x="630"/>
        <item m="1" x="450"/>
        <item m="1" x="463"/>
        <item m="1" x="469"/>
        <item m="1" x="51"/>
        <item m="1" x="201"/>
        <item m="1" x="359"/>
        <item m="1" x="63"/>
        <item m="1" x="372"/>
        <item m="1" x="399"/>
        <item m="1" x="598"/>
        <item m="1" x="261"/>
        <item m="1" x="422"/>
        <item m="1" x="613"/>
        <item m="1" x="431"/>
        <item m="1" x="627"/>
        <item m="1" x="126"/>
        <item m="1" x="466"/>
        <item m="1" x="312"/>
        <item m="1" x="666"/>
        <item m="1" x="321"/>
        <item m="1" x="166"/>
        <item m="1" x="26"/>
        <item m="1" x="173"/>
        <item m="1" x="34"/>
        <item m="1" x="181"/>
        <item m="1" x="195"/>
        <item m="1" x="225"/>
        <item m="1" x="394"/>
        <item m="1" x="572"/>
        <item m="1" x="242"/>
        <item m="1" x="619"/>
        <item m="1" x="120"/>
        <item m="1" x="283"/>
        <item m="1" x="297"/>
        <item m="1" x="462"/>
        <item m="1" x="307"/>
        <item m="1" x="468"/>
        <item m="1" x="669"/>
        <item m="1" x="328"/>
        <item m="1" x="341"/>
        <item m="1" x="50"/>
        <item m="1" x="76"/>
        <item m="1" x="101"/>
        <item m="1" x="597"/>
        <item m="1" x="646"/>
        <item m="1" x="656"/>
        <item m="1" x="477"/>
        <item x="14"/>
        <item m="1" x="494"/>
        <item m="1" x="46"/>
        <item m="1" x="393"/>
        <item m="1" x="83"/>
        <item m="1" x="584"/>
        <item m="1" x="606"/>
        <item m="1" x="114"/>
        <item m="1" x="268"/>
        <item m="1" x="427"/>
        <item m="1" x="290"/>
        <item m="1" x="138"/>
        <item m="1" x="306"/>
        <item m="1" x="487"/>
        <item m="1" x="162"/>
        <item m="1" x="327"/>
        <item m="1" x="509"/>
        <item m="1" x="178"/>
        <item m="1" x="517"/>
        <item m="1" x="546"/>
        <item m="1" x="62"/>
        <item m="1" x="208"/>
        <item m="1" x="556"/>
        <item m="1" x="75"/>
        <item m="1" x="387"/>
        <item m="1" x="231"/>
        <item m="1" x="248"/>
        <item m="1" x="415"/>
        <item m="1" x="596"/>
        <item m="1" x="612"/>
        <item m="1" x="302"/>
        <item m="1" x="154"/>
        <item m="1" x="493"/>
        <item m="1" x="331"/>
        <item m="1" x="512"/>
        <item m="1" x="32"/>
        <item m="1" x="523"/>
        <item m="1" x="45"/>
        <item m="1" x="354"/>
        <item m="1" x="549"/>
        <item m="1" x="223"/>
        <item m="1" x="392"/>
        <item m="1" x="571"/>
        <item m="1" x="605"/>
        <item m="1" x="113"/>
        <item m="1" x="267"/>
        <item m="1" x="426"/>
        <item m="1" x="618"/>
        <item m="1" x="118"/>
        <item m="1" x="449"/>
        <item m="1" x="130"/>
        <item m="1" x="305"/>
        <item m="1" x="668"/>
        <item m="1" x="169"/>
        <item m="1" x="177"/>
        <item m="1" x="200"/>
        <item m="1" x="545"/>
        <item x="11"/>
        <item x="2"/>
        <item m="1" x="240"/>
        <item m="1" x="100"/>
        <item m="1" x="245"/>
        <item m="1" x="414"/>
        <item m="1" x="595"/>
        <item m="1" x="441"/>
        <item m="1" x="644"/>
        <item m="1" x="475"/>
        <item m="1" x="17"/>
        <item m="1" x="165"/>
        <item m="1" x="43"/>
        <item m="1" x="204"/>
        <item m="1" x="367"/>
        <item m="1" x="380"/>
        <item m="1" x="570"/>
        <item m="1" x="236"/>
        <item m="1" x="583"/>
        <item m="1" x="251"/>
        <item m="1" x="425"/>
        <item m="1" x="281"/>
        <item m="1" x="448"/>
        <item m="1" x="296"/>
        <item m="1" x="460"/>
        <item m="1" x="151"/>
        <item m="1" x="333"/>
        <item m="1" x="176"/>
        <item m="1" x="340"/>
        <item m="1" x="516"/>
        <item m="1" x="349"/>
        <item m="1" x="49"/>
        <item m="1" x="555"/>
        <item m="1" x="386"/>
        <item m="1" x="564"/>
        <item m="1" x="80"/>
        <item m="1" x="230"/>
        <item m="1" x="109"/>
        <item m="1" x="273"/>
        <item m="1" x="125"/>
        <item m="1" x="440"/>
        <item m="1" x="454"/>
        <item m="1" x="300"/>
        <item m="1" x="655"/>
        <item m="1" x="143"/>
        <item m="1" x="310"/>
        <item m="1" x="474"/>
        <item m="1" x="172"/>
        <item m="1" x="538"/>
        <item m="1" x="53"/>
        <item m="1" x="366"/>
        <item m="1" x="221"/>
        <item m="1" x="391"/>
        <item m="1" x="82"/>
        <item m="1" x="593"/>
        <item m="1" x="112"/>
        <item m="1" x="266"/>
        <item m="1" x="433"/>
        <item x="13"/>
        <item m="1" x="295"/>
        <item m="1" x="136"/>
        <item m="1" x="485"/>
        <item m="1" x="667"/>
        <item m="1" x="175"/>
        <item m="1" x="348"/>
        <item m="1" x="207"/>
        <item m="1" x="73"/>
        <item m="1" x="578"/>
        <item m="1" x="413"/>
        <item m="1" x="259"/>
        <item m="1" x="421"/>
        <item m="1" x="124"/>
        <item m="1" x="453"/>
        <item m="1" x="642"/>
        <item m="1" x="473"/>
        <item m="1" x="664"/>
        <item m="1" x="320"/>
        <item m="1" x="492"/>
        <item m="1" x="506"/>
        <item m="1" x="343"/>
        <item m="1" x="521"/>
        <item m="1" x="192"/>
        <item m="1" x="379"/>
        <item m="1" x="104"/>
        <item m="1" x="250"/>
        <item m="1" x="604"/>
        <item m="1" x="617"/>
        <item m="1" x="117"/>
        <item m="1" x="280"/>
        <item m="1" x="150"/>
        <item m="1" x="317"/>
        <item m="1" x="482"/>
        <item m="1" x="160"/>
        <item m="1" x="498"/>
        <item m="1" x="21"/>
        <item m="1" x="189"/>
        <item m="1" x="531"/>
        <item m="1" x="48"/>
        <item m="1" x="60"/>
        <item m="1" x="206"/>
        <item m="1" x="371"/>
        <item m="1" x="554"/>
        <item m="1" x="563"/>
        <item m="1" x="588"/>
        <item m="1" x="594"/>
        <item m="1" x="257"/>
        <item m="1" x="610"/>
        <item m="1" x="632"/>
        <item m="1" x="452"/>
        <item m="1" x="132"/>
        <item m="1" x="491"/>
        <item m="1" x="505"/>
        <item m="1" x="24"/>
        <item m="1" x="171"/>
        <item m="1" x="520"/>
        <item m="1" x="41"/>
        <item m="1" x="352"/>
        <item m="1" x="365"/>
        <item m="1" x="67"/>
        <item m="1" x="103"/>
        <item m="1" x="265"/>
        <item m="1" x="635"/>
        <item m="1" x="458"/>
        <item m="1" x="149"/>
        <item m="1" x="316"/>
        <item m="1" x="159"/>
        <item m="1" x="167"/>
        <item m="1" x="507"/>
        <item m="1" x="530"/>
        <item m="1" x="541"/>
        <item m="1" x="59"/>
        <item m="1" x="370"/>
        <item m="1" x="552"/>
        <item m="1" x="71"/>
        <item m="1" x="385"/>
        <item m="1" x="562"/>
        <item m="1" x="577"/>
        <item m="1" x="238"/>
        <item m="1" x="98"/>
        <item m="1" x="609"/>
        <item m="1" x="116"/>
        <item m="1" x="272"/>
        <item m="1" x="430"/>
        <item m="1" x="624"/>
        <item m="1" x="131"/>
        <item m="1" x="299"/>
        <item m="1" x="663"/>
        <item m="1" x="319"/>
        <item m="1" x="490"/>
        <item x="4"/>
        <item m="1" x="170"/>
        <item m="1" x="31"/>
        <item m="1" x="211"/>
        <item m="1" x="376"/>
        <item m="1" x="81"/>
        <item m="1" x="408"/>
        <item m="1" x="615"/>
        <item m="1" x="629"/>
        <item m="1" x="129"/>
        <item m="1" x="326"/>
        <item m="1" x="339"/>
        <item m="1" x="38"/>
        <item m="1" x="347"/>
        <item m="1" x="529"/>
        <item m="1" x="58"/>
        <item m="1" x="228"/>
        <item m="1" x="97"/>
        <item m="1" x="412"/>
        <item m="1" x="255"/>
        <item m="1" x="608"/>
        <item m="1" x="623"/>
        <item m="1" x="451"/>
        <item m="1" x="504"/>
        <item m="1" x="536"/>
        <item m="1" x="52"/>
        <item m="1" x="66"/>
        <item m="1" x="375"/>
        <item m="1" x="603"/>
        <item m="1" x="111"/>
        <item m="1" x="264"/>
        <item m="1" x="279"/>
        <item m="1" x="135"/>
        <item m="1" x="658"/>
        <item m="1" x="148"/>
        <item m="1" x="315"/>
        <item m="1" x="481"/>
        <item m="1" x="325"/>
        <item m="1" x="27"/>
        <item m="1" x="514"/>
        <item m="1" x="215"/>
        <item m="1" x="79"/>
        <item m="1" x="88"/>
        <item m="1" x="587"/>
        <item m="1" x="429"/>
        <item m="1" x="621"/>
        <item m="1" x="308"/>
        <item m="1" x="471"/>
        <item m="1" x="163"/>
        <item m="1" x="334"/>
        <item m="1" x="511"/>
        <item m="1" x="342"/>
        <item m="1" x="364"/>
        <item m="1" x="592"/>
        <item m="1" x="263"/>
        <item m="1" x="304"/>
        <item m="1" x="480"/>
        <item m="1" x="324"/>
        <item m="1" x="338"/>
        <item m="1" x="37"/>
        <item m="1" x="185"/>
        <item m="1" x="528"/>
        <item m="1" x="70"/>
        <item m="1" x="383"/>
        <item x="10"/>
        <item m="1" x="661"/>
        <item m="1" x="15"/>
        <item m="1" x="330"/>
        <item m="1" x="23"/>
        <item m="1" x="510"/>
        <item m="1" x="518"/>
        <item m="1" x="351"/>
        <item m="1" x="534"/>
        <item m="1" x="203"/>
        <item m="1" x="363"/>
        <item m="1" x="582"/>
        <item x="8"/>
        <item m="1" x="456"/>
        <item m="1" x="650"/>
        <item m="1" x="134"/>
        <item m="1" x="147"/>
        <item m="1" x="526"/>
        <item m="1" x="420"/>
        <item m="1" x="428"/>
        <item m="1" x="123"/>
        <item m="1" x="640"/>
        <item m="1" x="470"/>
        <item m="1" x="489"/>
        <item t="default"/>
      </items>
    </pivotField>
    <pivotField showAll="0" defaultSubtotal="0"/>
    <pivotField showAll="0">
      <items count="139">
        <item m="1" x="2"/>
        <item m="1" x="132"/>
        <item m="1" x="120"/>
        <item m="1" x="9"/>
        <item m="1" x="133"/>
        <item m="1" x="5"/>
        <item m="1" x="32"/>
        <item m="1" x="100"/>
        <item m="1" x="55"/>
        <item x="0"/>
        <item m="1" x="130"/>
        <item m="1" x="46"/>
        <item m="1" x="7"/>
        <item m="1" x="101"/>
        <item m="1" x="58"/>
        <item m="1" x="63"/>
        <item m="1" x="24"/>
        <item m="1" x="134"/>
        <item m="1" x="6"/>
        <item m="1" x="128"/>
        <item m="1" x="59"/>
        <item m="1" x="66"/>
        <item m="1" x="71"/>
        <item m="1" x="47"/>
        <item m="1" x="11"/>
        <item m="1" x="114"/>
        <item m="1" x="106"/>
        <item m="1" x="74"/>
        <item m="1" x="135"/>
        <item m="1" x="75"/>
        <item m="1" x="123"/>
        <item m="1" x="95"/>
        <item m="1" x="83"/>
        <item m="1" x="108"/>
        <item m="1" x="85"/>
        <item m="1" x="56"/>
        <item m="1" x="67"/>
        <item m="1" x="64"/>
        <item m="1" x="21"/>
        <item m="1" x="44"/>
        <item m="1" x="129"/>
        <item m="1" x="136"/>
        <item m="1" x="88"/>
        <item m="1" x="111"/>
        <item m="1" x="110"/>
        <item m="1" x="10"/>
        <item m="1" x="68"/>
        <item m="1" x="45"/>
        <item m="1" x="104"/>
        <item m="1" x="28"/>
        <item m="1" x="119"/>
        <item m="1" x="12"/>
        <item m="1" x="90"/>
        <item m="1" x="102"/>
        <item m="1" x="115"/>
        <item m="1" x="124"/>
        <item m="1" x="98"/>
        <item m="1" x="25"/>
        <item m="1" x="80"/>
        <item m="1" x="76"/>
        <item m="1" x="29"/>
        <item m="1" x="109"/>
        <item m="1" x="26"/>
        <item m="1" x="69"/>
        <item m="1" x="49"/>
        <item m="1" x="42"/>
        <item m="1" x="137"/>
        <item m="1" x="3"/>
        <item m="1" x="103"/>
        <item m="1" x="15"/>
        <item m="1" x="116"/>
        <item m="1" x="50"/>
        <item m="1" x="96"/>
        <item m="1" x="65"/>
        <item m="1" x="52"/>
        <item m="1" x="33"/>
        <item m="1" x="38"/>
        <item m="1" x="117"/>
        <item m="1" x="60"/>
        <item m="1" x="36"/>
        <item m="1" x="16"/>
        <item m="1" x="39"/>
        <item m="1" x="4"/>
        <item m="1" x="92"/>
        <item m="1" x="61"/>
        <item m="1" x="19"/>
        <item m="1" x="41"/>
        <item m="1" x="27"/>
        <item m="1" x="97"/>
        <item m="1" x="17"/>
        <item m="1" x="93"/>
        <item m="1" x="30"/>
        <item m="1" x="126"/>
        <item m="1" x="77"/>
        <item m="1" x="51"/>
        <item m="1" x="53"/>
        <item m="1" x="125"/>
        <item m="1" x="84"/>
        <item m="1" x="18"/>
        <item m="1" x="105"/>
        <item m="1" x="34"/>
        <item m="1" x="13"/>
        <item m="1" x="107"/>
        <item m="1" x="91"/>
        <item m="1" x="127"/>
        <item m="1" x="86"/>
        <item m="1" x="121"/>
        <item m="1" x="8"/>
        <item m="1" x="31"/>
        <item m="1" x="72"/>
        <item m="1" x="48"/>
        <item m="1" x="94"/>
        <item m="1" x="118"/>
        <item m="1" x="78"/>
        <item m="1" x="87"/>
        <item m="1" x="35"/>
        <item m="1" x="81"/>
        <item m="1" x="99"/>
        <item m="1" x="54"/>
        <item m="1" x="70"/>
        <item m="1" x="14"/>
        <item m="1" x="37"/>
        <item m="1" x="122"/>
        <item m="1" x="23"/>
        <item m="1" x="131"/>
        <item m="1" x="43"/>
        <item m="1" x="89"/>
        <item m="1" x="57"/>
        <item m="1" x="73"/>
        <item x="1"/>
        <item m="1" x="20"/>
        <item m="1" x="22"/>
        <item m="1" x="40"/>
        <item m="1" x="79"/>
        <item m="1" x="112"/>
        <item m="1" x="113"/>
        <item m="1" x="62"/>
        <item m="1" x="82"/>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539">
        <item m="1" x="71"/>
        <item m="1" x="232"/>
        <item m="1" x="536"/>
        <item m="1" x="481"/>
        <item m="1" x="309"/>
        <item m="1" x="422"/>
        <item m="1" x="115"/>
        <item m="1" x="104"/>
        <item m="1" x="149"/>
        <item m="1" x="165"/>
        <item m="1" x="184"/>
        <item m="1" x="262"/>
        <item m="1" x="228"/>
        <item m="1" x="417"/>
        <item m="1" x="146"/>
        <item m="1" x="212"/>
        <item m="1" x="63"/>
        <item m="1" x="408"/>
        <item m="1" x="83"/>
        <item m="1" x="284"/>
        <item m="1" x="482"/>
        <item m="1" x="98"/>
        <item m="1" x="502"/>
        <item m="1" x="474"/>
        <item x="6"/>
        <item m="1" x="166"/>
        <item m="1" x="430"/>
        <item m="1" x="491"/>
        <item m="1" x="18"/>
        <item m="1" x="274"/>
        <item m="1" x="158"/>
        <item m="1" x="245"/>
        <item m="1" x="344"/>
        <item m="1" x="102"/>
        <item m="1" x="107"/>
        <item m="1" x="227"/>
        <item m="1" x="196"/>
        <item m="1" x="255"/>
        <item x="5"/>
        <item x="3"/>
        <item m="1" x="253"/>
        <item m="1" x="312"/>
        <item m="1" x="296"/>
        <item m="1" x="192"/>
        <item m="1" x="280"/>
        <item x="9"/>
        <item m="1" x="461"/>
        <item x="8"/>
        <item m="1" x="278"/>
        <item m="1" x="133"/>
        <item m="1" x="276"/>
        <item m="1" x="116"/>
        <item m="1" x="272"/>
        <item m="1" x="440"/>
        <item m="1" x="338"/>
        <item m="1" x="483"/>
        <item m="1" x="402"/>
        <item m="1" x="295"/>
        <item m="1" x="234"/>
        <item m="1" x="88"/>
        <item m="1" x="238"/>
        <item m="1" x="289"/>
        <item m="1" x="476"/>
        <item m="1" x="458"/>
        <item m="1" x="438"/>
        <item m="1" x="140"/>
        <item m="1" x="225"/>
        <item m="1" x="318"/>
        <item m="1" x="226"/>
        <item m="1" x="60"/>
        <item m="1" x="535"/>
        <item m="1" x="390"/>
        <item m="1" x="169"/>
        <item m="1" x="493"/>
        <item x="7"/>
        <item m="1" x="72"/>
        <item m="1" x="462"/>
        <item x="0"/>
        <item m="1" x="431"/>
        <item m="1" x="168"/>
        <item m="1" x="297"/>
        <item m="1" x="113"/>
        <item m="1" x="273"/>
        <item m="1" x="148"/>
        <item m="1" x="125"/>
        <item m="1" x="454"/>
        <item m="1" x="445"/>
        <item m="1" x="229"/>
        <item m="1" x="250"/>
        <item m="1" x="509"/>
        <item m="1" x="117"/>
        <item m="1" x="132"/>
        <item m="1" x="68"/>
        <item m="1" x="421"/>
        <item m="1" x="485"/>
        <item m="1" x="195"/>
        <item m="1" x="182"/>
        <item m="1" x="268"/>
        <item m="1" x="537"/>
        <item m="1" x="514"/>
        <item m="1" x="271"/>
        <item m="1" x="46"/>
        <item m="1" x="135"/>
        <item m="1" x="205"/>
        <item m="1" x="240"/>
        <item m="1" x="366"/>
        <item m="1" x="425"/>
        <item m="1" x="413"/>
        <item m="1" x="303"/>
        <item m="1" x="490"/>
        <item m="1" x="48"/>
        <item m="1" x="498"/>
        <item x="4"/>
        <item m="1" x="256"/>
        <item m="1" x="264"/>
        <item m="1" x="208"/>
        <item m="1" x="349"/>
        <item m="1" x="341"/>
        <item m="1" x="324"/>
        <item m="1" x="39"/>
        <item m="1" x="469"/>
        <item m="1" x="488"/>
        <item m="1" x="197"/>
        <item m="1" x="345"/>
        <item m="1" x="391"/>
        <item m="1" x="93"/>
        <item m="1" x="76"/>
        <item m="1" x="26"/>
        <item m="1" x="528"/>
        <item m="1" x="54"/>
        <item m="1" x="407"/>
        <item m="1" x="519"/>
        <item m="1" x="81"/>
        <item m="1" x="368"/>
        <item m="1" x="32"/>
        <item m="1" x="183"/>
        <item m="1" x="12"/>
        <item m="1" x="58"/>
        <item m="1" x="194"/>
        <item m="1" x="251"/>
        <item m="1" x="310"/>
        <item m="1" x="371"/>
        <item m="1" x="50"/>
        <item m="1" x="209"/>
        <item m="1" x="410"/>
        <item m="1" x="49"/>
        <item m="1" x="363"/>
        <item m="1" x="67"/>
        <item m="1" x="210"/>
        <item m="1" x="269"/>
        <item m="1" x="343"/>
        <item m="1" x="465"/>
        <item m="1" x="475"/>
        <item m="1" x="293"/>
        <item m="1" x="175"/>
        <item m="1" x="392"/>
        <item m="1" x="28"/>
        <item m="1" x="190"/>
        <item m="1" x="441"/>
        <item m="1" x="66"/>
        <item m="1" x="335"/>
        <item m="1" x="420"/>
        <item m="1" x="423"/>
        <item m="1" x="494"/>
        <item m="1" x="243"/>
        <item m="1" x="77"/>
        <item m="1" x="428"/>
        <item m="1" x="10"/>
        <item m="1" x="381"/>
        <item m="1" x="377"/>
        <item m="1" x="386"/>
        <item m="1" x="101"/>
        <item m="1" x="222"/>
        <item m="1" x="330"/>
        <item m="1" x="62"/>
        <item m="1" x="91"/>
        <item m="1" x="387"/>
        <item m="1" x="484"/>
        <item m="1" x="266"/>
        <item m="1" x="249"/>
        <item m="1" x="415"/>
        <item m="1" x="263"/>
        <item m="1" x="57"/>
        <item m="1" x="118"/>
        <item m="1" x="393"/>
        <item m="1" x="127"/>
        <item m="1" x="124"/>
        <item m="1" x="442"/>
        <item m="1" x="418"/>
        <item m="1" x="473"/>
        <item m="1" x="75"/>
        <item m="1" x="328"/>
        <item m="1" x="164"/>
        <item m="1" x="206"/>
        <item m="1" x="44"/>
        <item m="1" x="298"/>
        <item m="1" x="281"/>
        <item m="1" x="406"/>
        <item m="1" x="112"/>
        <item m="1" x="30"/>
        <item m="1" x="380"/>
        <item m="1" x="161"/>
        <item m="1" x="20"/>
        <item m="1" x="139"/>
        <item m="1" x="179"/>
        <item m="1" x="448"/>
        <item m="1" x="171"/>
        <item m="1" x="207"/>
        <item m="1" x="452"/>
        <item m="1" x="329"/>
        <item m="1" x="522"/>
        <item m="1" x="84"/>
        <item m="1" x="69"/>
        <item m="1" x="287"/>
        <item m="1" x="459"/>
        <item m="1" x="82"/>
        <item m="1" x="191"/>
        <item m="1" x="16"/>
        <item m="1" x="503"/>
        <item m="1" x="511"/>
        <item m="1" x="59"/>
        <item m="1" x="383"/>
        <item m="1" x="176"/>
        <item m="1" x="19"/>
        <item m="1" x="373"/>
        <item m="1" x="74"/>
        <item m="1" x="314"/>
        <item m="1" x="323"/>
        <item m="1" x="90"/>
        <item m="1" x="342"/>
        <item m="1" x="218"/>
        <item m="1" x="515"/>
        <item m="1" x="65"/>
        <item m="1" x="96"/>
        <item m="1" x="230"/>
        <item m="1" x="516"/>
        <item m="1" x="23"/>
        <item m="1" x="472"/>
        <item m="1" x="339"/>
        <item m="1" x="351"/>
        <item m="1" x="286"/>
        <item m="1" x="53"/>
        <item m="1" x="79"/>
        <item m="1" x="242"/>
        <item m="1" x="95"/>
        <item m="1" x="501"/>
        <item m="1" x="492"/>
        <item m="1" x="121"/>
        <item m="1" x="451"/>
        <item m="1" x="105"/>
        <item m="1" x="419"/>
        <item m="1" x="36"/>
        <item m="1" x="429"/>
        <item m="1" x="119"/>
        <item m="1" x="213"/>
        <item m="1" x="21"/>
        <item m="1" x="86"/>
        <item m="1" x="497"/>
        <item m="1" x="435"/>
        <item m="1" x="307"/>
        <item m="1" x="109"/>
        <item m="1" x="486"/>
        <item m="1" x="258"/>
        <item m="1" x="524"/>
        <item m="1" x="246"/>
        <item m="1" x="376"/>
        <item m="1" x="399"/>
        <item m="1" x="304"/>
        <item m="1" x="136"/>
        <item m="1" x="499"/>
        <item m="1" x="496"/>
        <item m="1" x="394"/>
        <item m="1" x="33"/>
        <item m="1" x="290"/>
        <item m="1" x="123"/>
        <item m="1" x="506"/>
        <item m="1" x="147"/>
        <item m="1" x="24"/>
        <item m="1" x="416"/>
        <item m="1" x="504"/>
        <item m="1" x="110"/>
        <item m="1" x="512"/>
        <item m="1" x="294"/>
        <item m="1" x="156"/>
        <item m="1" x="99"/>
        <item m="1" x="513"/>
        <item m="1" x="247"/>
        <item m="1" x="379"/>
        <item m="1" x="70"/>
        <item m="1" x="241"/>
        <item m="1" x="231"/>
        <item m="1" x="437"/>
        <item m="1" x="80"/>
        <item m="1" x="279"/>
        <item m="1" x="89"/>
        <item m="1" x="401"/>
        <item m="1" x="128"/>
        <item m="1" x="31"/>
        <item m="1" x="432"/>
        <item m="1" x="450"/>
        <item m="1" x="444"/>
        <item m="1" x="340"/>
        <item m="1" x="433"/>
        <item m="1" x="385"/>
        <item m="1" x="369"/>
        <item m="1" x="55"/>
        <item m="1" x="42"/>
        <item m="1" x="434"/>
        <item m="1" x="275"/>
        <item m="1" x="311"/>
        <item m="1" x="97"/>
        <item m="1" x="43"/>
        <item m="1" x="257"/>
        <item m="1" x="518"/>
        <item m="1" x="203"/>
        <item m="1" x="478"/>
        <item m="1" x="375"/>
        <item m="1" x="198"/>
        <item m="1" x="517"/>
        <item m="1" x="495"/>
        <item m="1" x="470"/>
        <item m="1" x="398"/>
        <item m="1" x="38"/>
        <item m="1" x="510"/>
        <item m="1" x="180"/>
        <item m="1" x="267"/>
        <item m="1" x="453"/>
        <item m="1" x="126"/>
        <item m="1" x="219"/>
        <item m="1" x="254"/>
        <item m="1" x="288"/>
        <item m="1" x="360"/>
        <item m="1" x="374"/>
        <item m="1" x="439"/>
        <item m="1" x="25"/>
        <item m="1" x="359"/>
        <item m="1" x="378"/>
        <item m="1" x="321"/>
        <item m="1" x="365"/>
        <item m="1" x="456"/>
        <item m="1" x="73"/>
        <item m="1" x="395"/>
        <item m="1" x="447"/>
        <item m="1" x="252"/>
        <item m="1" x="134"/>
        <item m="1" x="334"/>
        <item m="1" x="404"/>
        <item m="1" x="154"/>
        <item m="1" x="220"/>
        <item m="1" x="236"/>
        <item m="1" x="51"/>
        <item m="1" x="216"/>
        <item m="1" x="64"/>
        <item m="1" x="384"/>
        <item m="1" x="362"/>
        <item m="1" x="400"/>
        <item m="1" x="159"/>
        <item m="1" x="489"/>
        <item m="1" x="405"/>
        <item m="1" x="352"/>
        <item m="1" x="357"/>
        <item m="1" x="460"/>
        <item m="1" x="152"/>
        <item m="1" x="221"/>
        <item m="1" x="320"/>
        <item m="1" x="137"/>
        <item m="1" x="261"/>
        <item m="1" x="41"/>
        <item m="1" x="389"/>
        <item m="1" x="411"/>
        <item m="1" x="244"/>
        <item m="1" x="455"/>
        <item m="1" x="174"/>
        <item m="1" x="526"/>
        <item m="1" x="346"/>
        <item m="1" x="111"/>
        <item m="1" x="94"/>
        <item m="1" x="523"/>
        <item m="1" x="235"/>
        <item m="1" x="248"/>
        <item m="1" x="237"/>
        <item m="1" x="224"/>
        <item m="1" x="505"/>
        <item m="1" x="529"/>
        <item m="1" x="204"/>
        <item m="1" x="531"/>
        <item m="1" x="285"/>
        <item m="1" x="291"/>
        <item m="1" x="370"/>
        <item m="1" x="34"/>
        <item m="1" x="61"/>
        <item m="1" x="322"/>
        <item m="1" x="14"/>
        <item m="1" x="45"/>
        <item m="1" x="449"/>
        <item m="1" x="214"/>
        <item m="1" x="533"/>
        <item m="1" x="56"/>
        <item m="1" x="443"/>
        <item m="1" x="396"/>
        <item m="1" x="52"/>
        <item m="1" x="319"/>
        <item m="1" x="299"/>
        <item m="1" x="163"/>
        <item m="1" x="193"/>
        <item m="1" x="527"/>
        <item m="1" x="466"/>
        <item m="1" x="120"/>
        <item m="1" x="129"/>
        <item m="1" x="414"/>
        <item m="1" x="100"/>
        <item m="1" x="403"/>
        <item m="1" x="409"/>
        <item m="1" x="35"/>
        <item m="1" x="239"/>
        <item m="1" x="332"/>
        <item m="1" x="15"/>
        <item m="1" x="189"/>
        <item m="1" x="457"/>
        <item m="1" x="92"/>
        <item m="1" x="130"/>
        <item m="1" x="520"/>
        <item m="1" x="525"/>
        <item m="1" x="223"/>
        <item m="1" x="372"/>
        <item m="1" x="167"/>
        <item m="1" x="412"/>
        <item m="1" x="103"/>
        <item m="1" x="467"/>
        <item m="1" x="424"/>
        <item m="1" x="215"/>
        <item m="1" x="131"/>
        <item m="1" x="532"/>
        <item m="1" x="270"/>
        <item m="1" x="40"/>
        <item m="1" x="13"/>
        <item m="1" x="29"/>
        <item m="1" x="138"/>
        <item m="1" x="479"/>
        <item m="1" x="534"/>
        <item m="1" x="426"/>
        <item m="1" x="446"/>
        <item m="1" x="85"/>
        <item m="1" x="530"/>
        <item m="1" x="211"/>
        <item m="1" x="22"/>
        <item m="1" x="464"/>
        <item m="1" x="388"/>
        <item m="1" x="507"/>
        <item m="1" x="217"/>
        <item m="1" x="259"/>
        <item m="1" x="142"/>
        <item m="1" x="265"/>
        <item m="1" x="480"/>
        <item m="1" x="477"/>
        <item m="1" x="436"/>
        <item m="1" x="308"/>
        <item m="1" x="170"/>
        <item m="1" x="463"/>
        <item m="1" x="37"/>
        <item m="1" x="361"/>
        <item m="1" x="333"/>
        <item m="1" x="78"/>
        <item m="1" x="233"/>
        <item m="1" x="87"/>
        <item m="1" x="47"/>
        <item m="1" x="508"/>
        <item m="1" x="277"/>
        <item m="1" x="260"/>
        <item m="1" x="500"/>
        <item m="1" x="181"/>
        <item m="1" x="11"/>
        <item m="1" x="114"/>
        <item m="1" x="487"/>
        <item m="1" x="173"/>
        <item m="1" x="471"/>
        <item m="1" x="27"/>
        <item m="1" x="521"/>
        <item m="1" x="188"/>
        <item m="1" x="283"/>
        <item m="1" x="382"/>
        <item m="1" x="427"/>
        <item m="1" x="122"/>
        <item m="1" x="108"/>
        <item x="1"/>
        <item x="2"/>
        <item m="1" x="397"/>
        <item m="1" x="106"/>
        <item m="1" x="468"/>
        <item m="1" x="17"/>
        <item m="1" x="348"/>
        <item m="1" x="313"/>
        <item m="1" x="336"/>
        <item m="1" x="325"/>
        <item m="1" x="300"/>
        <item m="1" x="326"/>
        <item m="1" x="301"/>
        <item m="1" x="350"/>
        <item m="1" x="302"/>
        <item m="1" x="327"/>
        <item m="1" x="315"/>
        <item m="1" x="353"/>
        <item m="1" x="282"/>
        <item m="1" x="354"/>
        <item m="1" x="316"/>
        <item m="1" x="364"/>
        <item m="1" x="355"/>
        <item m="1" x="292"/>
        <item m="1" x="356"/>
        <item m="1" x="317"/>
        <item m="1" x="305"/>
        <item m="1" x="306"/>
        <item m="1" x="331"/>
        <item m="1" x="358"/>
        <item m="1" x="367"/>
        <item m="1" x="347"/>
        <item m="1" x="337"/>
        <item m="1" x="185"/>
        <item m="1" x="157"/>
        <item m="1" x="150"/>
        <item m="1" x="199"/>
        <item m="1" x="186"/>
        <item m="1" x="200"/>
        <item m="1" x="177"/>
        <item m="1" x="141"/>
        <item m="1" x="201"/>
        <item m="1" x="187"/>
        <item m="1" x="160"/>
        <item m="1" x="151"/>
        <item m="1" x="143"/>
        <item m="1" x="202"/>
        <item m="1" x="178"/>
        <item m="1" x="162"/>
        <item m="1" x="144"/>
        <item m="1" x="153"/>
        <item m="1" x="145"/>
        <item m="1" x="155"/>
        <item m="1" x="172"/>
        <item t="default"/>
      </items>
    </pivotField>
    <pivotField axis="axisRow" showAll="0" sortType="ascending">
      <items count="15090">
        <item x="78"/>
        <item x="79"/>
        <item x="80"/>
        <item x="81"/>
        <item x="82"/>
        <item x="83"/>
        <item x="84"/>
        <item x="85"/>
        <item x="22"/>
        <item x="23"/>
        <item x="24"/>
        <item x="25"/>
        <item x="26"/>
        <item x="27"/>
        <item x="28"/>
        <item x="29"/>
        <item x="30"/>
        <item x="31"/>
        <item x="32"/>
        <item x="11"/>
        <item x="12"/>
        <item x="13"/>
        <item x="14"/>
        <item x="15"/>
        <item x="16"/>
        <item x="17"/>
        <item x="18"/>
        <item x="19"/>
        <item x="20"/>
        <item x="21"/>
        <item x="1"/>
        <item x="2"/>
        <item x="3"/>
        <item x="4"/>
        <item x="5"/>
        <item x="6"/>
        <item x="7"/>
        <item x="8"/>
        <item x="9"/>
        <item x="10"/>
        <item x="33"/>
        <item x="34"/>
        <item x="35"/>
        <item x="36"/>
        <item x="37"/>
        <item x="38"/>
        <item x="39"/>
        <item x="40"/>
        <item x="41"/>
        <item x="42"/>
        <item x="43"/>
        <item x="44"/>
        <item x="45"/>
        <item x="46"/>
        <item x="47"/>
        <item x="48"/>
        <item x="49"/>
        <item x="58"/>
        <item x="59"/>
        <item x="60"/>
        <item x="61"/>
        <item x="62"/>
        <item x="63"/>
        <item x="64"/>
        <item x="65"/>
        <item x="66"/>
        <item x="73"/>
        <item x="74"/>
        <item x="75"/>
        <item x="76"/>
        <item x="77"/>
        <item x="0"/>
        <item x="86"/>
        <item x="87"/>
        <item x="88"/>
        <item x="89"/>
        <item x="90"/>
        <item x="91"/>
        <item x="92"/>
        <item x="173"/>
        <item x="174"/>
        <item x="175"/>
        <item x="176"/>
        <item x="177"/>
        <item x="178"/>
        <item x="93"/>
        <item x="94"/>
        <item x="95"/>
        <item x="96"/>
        <item x="97"/>
        <item x="98"/>
        <item x="99"/>
        <item x="100"/>
        <item x="101"/>
        <item x="179"/>
        <item x="180"/>
        <item x="181"/>
        <item x="182"/>
        <item x="183"/>
        <item x="184"/>
        <item x="102"/>
        <item x="103"/>
        <item x="104"/>
        <item x="105"/>
        <item x="106"/>
        <item x="107"/>
        <item x="108"/>
        <item x="109"/>
        <item x="110"/>
        <item x="185"/>
        <item x="186"/>
        <item x="187"/>
        <item x="188"/>
        <item x="189"/>
        <item x="111"/>
        <item x="112"/>
        <item x="113"/>
        <item x="114"/>
        <item x="115"/>
        <item x="116"/>
        <item x="117"/>
        <item x="118"/>
        <item x="119"/>
        <item x="190"/>
        <item x="191"/>
        <item x="192"/>
        <item x="193"/>
        <item x="194"/>
        <item x="195"/>
        <item x="120"/>
        <item x="121"/>
        <item x="122"/>
        <item x="123"/>
        <item x="124"/>
        <item x="125"/>
        <item x="126"/>
        <item x="127"/>
        <item x="196"/>
        <item x="197"/>
        <item x="198"/>
        <item x="199"/>
        <item x="200"/>
        <item x="201"/>
        <item x="128"/>
        <item x="129"/>
        <item x="130"/>
        <item x="131"/>
        <item x="132"/>
        <item x="133"/>
        <item x="134"/>
        <item x="135"/>
        <item x="202"/>
        <item x="203"/>
        <item x="204"/>
        <item x="205"/>
        <item x="206"/>
        <item x="207"/>
        <item x="208"/>
        <item x="136"/>
        <item x="137"/>
        <item x="138"/>
        <item x="139"/>
        <item x="140"/>
        <item x="141"/>
        <item x="142"/>
        <item x="143"/>
        <item x="209"/>
        <item x="210"/>
        <item x="211"/>
        <item x="212"/>
        <item x="213"/>
        <item x="214"/>
        <item x="215"/>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216"/>
        <item x="217"/>
        <item x="218"/>
        <item x="219"/>
        <item x="220"/>
        <item x="221"/>
        <item x="222"/>
        <item x="238"/>
        <item x="239"/>
        <item x="240"/>
        <item x="241"/>
        <item x="242"/>
        <item x="243"/>
        <item x="244"/>
        <item x="245"/>
        <item x="223"/>
        <item x="224"/>
        <item x="225"/>
        <item x="226"/>
        <item x="227"/>
        <item x="228"/>
        <item x="229"/>
        <item x="246"/>
        <item x="247"/>
        <item x="248"/>
        <item x="249"/>
        <item x="250"/>
        <item x="251"/>
        <item x="252"/>
        <item x="230"/>
        <item x="231"/>
        <item x="232"/>
        <item x="233"/>
        <item x="234"/>
        <item x="235"/>
        <item x="236"/>
        <item x="237"/>
        <item x="253"/>
        <item x="254"/>
        <item x="255"/>
        <item x="256"/>
        <item x="257"/>
        <item x="258"/>
        <item x="259"/>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409"/>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452"/>
        <item x="3236"/>
        <item x="3237"/>
        <item x="3238"/>
        <item x="3239"/>
        <item x="3240"/>
        <item x="3241"/>
        <item x="3242"/>
        <item x="3243"/>
        <item x="3244"/>
        <item x="3245"/>
        <item x="3246"/>
        <item x="3247"/>
        <item x="3248"/>
        <item x="3249"/>
        <item x="3467"/>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613"/>
        <item x="3395"/>
        <item x="3396"/>
        <item x="3397"/>
        <item x="3398"/>
        <item x="3399"/>
        <item x="3400"/>
        <item x="3401"/>
        <item x="3402"/>
        <item x="3403"/>
        <item x="3404"/>
        <item x="3405"/>
        <item x="3406"/>
        <item x="3407"/>
        <item x="3408"/>
        <item x="3410"/>
        <item x="3411"/>
        <item x="3412"/>
        <item x="3413"/>
        <item x="3414"/>
        <item x="3415"/>
        <item x="3416"/>
        <item x="3417"/>
        <item x="3418"/>
        <item x="3419"/>
        <item x="3420"/>
        <item x="3421"/>
        <item x="3422"/>
        <item x="3423"/>
        <item x="3643"/>
        <item x="3424"/>
        <item x="3425"/>
        <item x="3426"/>
        <item x="3427"/>
        <item x="3428"/>
        <item x="3429"/>
        <item x="3430"/>
        <item x="3431"/>
        <item x="3432"/>
        <item x="3433"/>
        <item x="3434"/>
        <item x="3435"/>
        <item x="3436"/>
        <item x="3437"/>
        <item x="3658"/>
        <item x="3438"/>
        <item x="3439"/>
        <item x="3440"/>
        <item x="3441"/>
        <item x="3442"/>
        <item x="3443"/>
        <item x="3444"/>
        <item x="3445"/>
        <item x="3446"/>
        <item x="3447"/>
        <item x="3448"/>
        <item x="3449"/>
        <item x="3450"/>
        <item x="3451"/>
        <item x="3453"/>
        <item x="3454"/>
        <item x="3455"/>
        <item x="3456"/>
        <item x="3457"/>
        <item x="3458"/>
        <item x="3459"/>
        <item x="3460"/>
        <item x="3461"/>
        <item x="3462"/>
        <item x="3463"/>
        <item x="3464"/>
        <item x="3465"/>
        <item x="3466"/>
        <item x="3688"/>
        <item x="3468"/>
        <item x="3469"/>
        <item x="3470"/>
        <item x="3471"/>
        <item x="3472"/>
        <item x="3473"/>
        <item x="3474"/>
        <item x="3475"/>
        <item x="3476"/>
        <item x="3477"/>
        <item x="3478"/>
        <item x="3479"/>
        <item x="3480"/>
        <item x="3481"/>
        <item x="3703"/>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4"/>
        <item x="3645"/>
        <item x="3646"/>
        <item x="3647"/>
        <item x="3648"/>
        <item x="3649"/>
        <item x="3650"/>
        <item x="3651"/>
        <item x="3652"/>
        <item x="3653"/>
        <item x="3654"/>
        <item x="3655"/>
        <item x="3656"/>
        <item x="3657"/>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896"/>
        <item x="3689"/>
        <item x="3690"/>
        <item x="3691"/>
        <item x="3692"/>
        <item x="3693"/>
        <item x="3694"/>
        <item x="3695"/>
        <item x="3696"/>
        <item x="3697"/>
        <item x="3698"/>
        <item x="3699"/>
        <item x="3700"/>
        <item x="3701"/>
        <item x="3702"/>
        <item x="3704"/>
        <item x="3705"/>
        <item x="3706"/>
        <item x="3707"/>
        <item x="3708"/>
        <item x="3709"/>
        <item x="3710"/>
        <item x="3711"/>
        <item x="3712"/>
        <item x="3713"/>
        <item x="3714"/>
        <item x="3715"/>
        <item x="3716"/>
        <item x="3717"/>
        <item x="3718"/>
        <item x="3923"/>
        <item x="3936"/>
        <item x="3937"/>
        <item x="3938"/>
        <item x="3939"/>
        <item x="3940"/>
        <item x="3941"/>
        <item x="3942"/>
        <item x="3943"/>
        <item x="3944"/>
        <item x="3945"/>
        <item x="3946"/>
        <item x="3947"/>
        <item x="3948"/>
        <item x="453"/>
        <item x="3949"/>
        <item x="3950"/>
        <item x="3951"/>
        <item x="3952"/>
        <item x="3953"/>
        <item x="3954"/>
        <item x="3955"/>
        <item x="3956"/>
        <item x="3957"/>
        <item x="3958"/>
        <item x="3959"/>
        <item x="3960"/>
        <item x="3961"/>
        <item x="468"/>
        <item x="469"/>
        <item x="3962"/>
        <item x="3963"/>
        <item x="3964"/>
        <item x="3965"/>
        <item x="3966"/>
        <item x="3967"/>
        <item x="3968"/>
        <item x="3969"/>
        <item x="3970"/>
        <item x="3971"/>
        <item x="3972"/>
        <item x="3973"/>
        <item x="3974"/>
        <item x="485"/>
        <item x="3975"/>
        <item x="3976"/>
        <item x="3977"/>
        <item x="3978"/>
        <item x="3979"/>
        <item x="3980"/>
        <item x="3981"/>
        <item x="3982"/>
        <item x="3983"/>
        <item x="3984"/>
        <item x="3985"/>
        <item x="3986"/>
        <item x="3987"/>
        <item x="3988"/>
        <item x="501"/>
        <item x="3989"/>
        <item x="3990"/>
        <item x="3991"/>
        <item x="3992"/>
        <item x="3993"/>
        <item x="3994"/>
        <item x="3995"/>
        <item x="3996"/>
        <item x="3997"/>
        <item x="3998"/>
        <item x="3999"/>
        <item x="4000"/>
        <item x="4001"/>
        <item x="260"/>
        <item x="261"/>
        <item x="3792"/>
        <item x="3793"/>
        <item x="3794"/>
        <item x="3795"/>
        <item x="3796"/>
        <item x="3797"/>
        <item x="3798"/>
        <item x="3799"/>
        <item x="3800"/>
        <item x="3801"/>
        <item x="3802"/>
        <item x="3803"/>
        <item x="3804"/>
        <item x="277"/>
        <item x="3805"/>
        <item x="3806"/>
        <item x="3807"/>
        <item x="3808"/>
        <item x="3809"/>
        <item x="3810"/>
        <item x="3811"/>
        <item x="3812"/>
        <item x="3813"/>
        <item x="3814"/>
        <item x="3815"/>
        <item x="3816"/>
        <item x="3817"/>
        <item x="3818"/>
        <item x="292"/>
        <item x="3819"/>
        <item x="3820"/>
        <item x="3821"/>
        <item x="3822"/>
        <item x="3823"/>
        <item x="3824"/>
        <item x="3825"/>
        <item x="3826"/>
        <item x="3827"/>
        <item x="3828"/>
        <item x="3829"/>
        <item x="3830"/>
        <item x="3831"/>
        <item x="308"/>
        <item x="309"/>
        <item x="3832"/>
        <item x="3833"/>
        <item x="3834"/>
        <item x="3835"/>
        <item x="3836"/>
        <item x="3837"/>
        <item x="3838"/>
        <item x="3839"/>
        <item x="3840"/>
        <item x="3841"/>
        <item x="3842"/>
        <item x="3843"/>
        <item x="3844"/>
        <item x="324"/>
        <item x="3845"/>
        <item x="3846"/>
        <item x="3847"/>
        <item x="3848"/>
        <item x="3849"/>
        <item x="3850"/>
        <item x="3851"/>
        <item x="3852"/>
        <item x="3853"/>
        <item x="3854"/>
        <item x="3855"/>
        <item x="3856"/>
        <item x="3857"/>
        <item x="340"/>
        <item x="341"/>
        <item x="3858"/>
        <item x="3859"/>
        <item x="3860"/>
        <item x="3861"/>
        <item x="3862"/>
        <item x="3863"/>
        <item x="3864"/>
        <item x="3865"/>
        <item x="3866"/>
        <item x="3867"/>
        <item x="3868"/>
        <item x="3869"/>
        <item x="3870"/>
        <item x="356"/>
        <item x="3871"/>
        <item x="3872"/>
        <item x="3873"/>
        <item x="3874"/>
        <item x="3875"/>
        <item x="3876"/>
        <item x="3877"/>
        <item x="3878"/>
        <item x="3879"/>
        <item x="3880"/>
        <item x="3881"/>
        <item x="3882"/>
        <item x="3883"/>
        <item x="372"/>
        <item x="373"/>
        <item x="3884"/>
        <item x="3885"/>
        <item x="3886"/>
        <item x="3887"/>
        <item x="3888"/>
        <item x="3889"/>
        <item x="3890"/>
        <item x="3891"/>
        <item x="3892"/>
        <item x="3893"/>
        <item x="3894"/>
        <item x="3895"/>
        <item x="388"/>
        <item x="389"/>
        <item x="3897"/>
        <item x="3898"/>
        <item x="3899"/>
        <item x="3900"/>
        <item x="3901"/>
        <item x="3902"/>
        <item x="3903"/>
        <item x="3904"/>
        <item x="3905"/>
        <item x="3906"/>
        <item x="3907"/>
        <item x="3908"/>
        <item x="3909"/>
        <item x="404"/>
        <item x="405"/>
        <item x="3910"/>
        <item x="3911"/>
        <item x="3912"/>
        <item x="3913"/>
        <item x="3914"/>
        <item x="3915"/>
        <item x="3916"/>
        <item x="3917"/>
        <item x="3918"/>
        <item x="3919"/>
        <item x="3920"/>
        <item x="3921"/>
        <item x="3922"/>
        <item x="420"/>
        <item x="421"/>
        <item x="3924"/>
        <item x="3925"/>
        <item x="3926"/>
        <item x="3927"/>
        <item x="3928"/>
        <item x="3929"/>
        <item x="3930"/>
        <item x="3931"/>
        <item x="3932"/>
        <item x="3933"/>
        <item x="3934"/>
        <item x="3935"/>
        <item x="437"/>
        <item x="438"/>
        <item x="454"/>
        <item x="455"/>
        <item x="456"/>
        <item x="457"/>
        <item x="458"/>
        <item x="459"/>
        <item x="460"/>
        <item x="461"/>
        <item x="462"/>
        <item x="463"/>
        <item x="464"/>
        <item x="465"/>
        <item x="466"/>
        <item x="467"/>
        <item x="470"/>
        <item x="471"/>
        <item x="472"/>
        <item x="473"/>
        <item x="474"/>
        <item x="475"/>
        <item x="476"/>
        <item x="477"/>
        <item x="478"/>
        <item x="479"/>
        <item x="480"/>
        <item x="481"/>
        <item x="482"/>
        <item x="483"/>
        <item x="484"/>
        <item x="486"/>
        <item x="487"/>
        <item x="488"/>
        <item x="489"/>
        <item x="490"/>
        <item x="491"/>
        <item x="492"/>
        <item x="493"/>
        <item x="494"/>
        <item x="495"/>
        <item x="496"/>
        <item x="497"/>
        <item x="498"/>
        <item x="499"/>
        <item x="500"/>
        <item x="502"/>
        <item x="503"/>
        <item x="504"/>
        <item x="505"/>
        <item x="506"/>
        <item x="507"/>
        <item x="508"/>
        <item x="509"/>
        <item x="510"/>
        <item x="511"/>
        <item x="512"/>
        <item x="513"/>
        <item x="514"/>
        <item x="515"/>
        <item x="262"/>
        <item x="263"/>
        <item x="264"/>
        <item x="265"/>
        <item x="266"/>
        <item x="267"/>
        <item x="268"/>
        <item x="269"/>
        <item x="270"/>
        <item x="271"/>
        <item x="272"/>
        <item x="273"/>
        <item x="274"/>
        <item x="275"/>
        <item x="276"/>
        <item x="278"/>
        <item x="279"/>
        <item x="280"/>
        <item x="281"/>
        <item x="282"/>
        <item x="283"/>
        <item x="284"/>
        <item x="285"/>
        <item x="286"/>
        <item x="287"/>
        <item x="288"/>
        <item x="289"/>
        <item x="290"/>
        <item x="291"/>
        <item x="293"/>
        <item x="294"/>
        <item x="295"/>
        <item x="296"/>
        <item x="297"/>
        <item x="298"/>
        <item x="299"/>
        <item x="300"/>
        <item x="301"/>
        <item x="302"/>
        <item x="303"/>
        <item x="304"/>
        <item x="305"/>
        <item x="306"/>
        <item x="307"/>
        <item x="310"/>
        <item x="311"/>
        <item x="312"/>
        <item x="313"/>
        <item x="314"/>
        <item x="315"/>
        <item x="316"/>
        <item x="317"/>
        <item x="318"/>
        <item x="319"/>
        <item x="320"/>
        <item x="321"/>
        <item x="322"/>
        <item x="323"/>
        <item x="325"/>
        <item x="326"/>
        <item x="327"/>
        <item x="328"/>
        <item x="329"/>
        <item x="330"/>
        <item x="331"/>
        <item x="332"/>
        <item x="333"/>
        <item x="334"/>
        <item x="335"/>
        <item x="336"/>
        <item x="337"/>
        <item x="338"/>
        <item x="339"/>
        <item x="342"/>
        <item x="343"/>
        <item x="344"/>
        <item x="345"/>
        <item x="346"/>
        <item x="347"/>
        <item x="348"/>
        <item x="349"/>
        <item x="350"/>
        <item x="351"/>
        <item x="352"/>
        <item x="353"/>
        <item x="354"/>
        <item x="355"/>
        <item x="357"/>
        <item x="358"/>
        <item x="359"/>
        <item x="360"/>
        <item x="361"/>
        <item x="362"/>
        <item x="363"/>
        <item x="364"/>
        <item x="365"/>
        <item x="366"/>
        <item x="367"/>
        <item x="368"/>
        <item x="369"/>
        <item x="370"/>
        <item x="371"/>
        <item x="374"/>
        <item x="375"/>
        <item x="376"/>
        <item x="377"/>
        <item x="378"/>
        <item x="379"/>
        <item x="380"/>
        <item x="381"/>
        <item x="382"/>
        <item x="383"/>
        <item x="384"/>
        <item x="385"/>
        <item x="386"/>
        <item x="387"/>
        <item x="390"/>
        <item x="391"/>
        <item x="392"/>
        <item x="393"/>
        <item x="394"/>
        <item x="395"/>
        <item x="396"/>
        <item x="397"/>
        <item x="398"/>
        <item x="399"/>
        <item x="400"/>
        <item x="401"/>
        <item x="402"/>
        <item x="403"/>
        <item x="632"/>
        <item x="406"/>
        <item x="407"/>
        <item x="408"/>
        <item x="409"/>
        <item x="410"/>
        <item x="411"/>
        <item x="412"/>
        <item x="413"/>
        <item x="414"/>
        <item x="415"/>
        <item x="416"/>
        <item x="417"/>
        <item x="418"/>
        <item x="419"/>
        <item x="422"/>
        <item x="423"/>
        <item x="424"/>
        <item x="425"/>
        <item x="426"/>
        <item x="427"/>
        <item x="428"/>
        <item x="429"/>
        <item x="430"/>
        <item x="431"/>
        <item x="432"/>
        <item x="433"/>
        <item x="434"/>
        <item x="435"/>
        <item x="436"/>
        <item x="439"/>
        <item x="440"/>
        <item x="441"/>
        <item x="442"/>
        <item x="443"/>
        <item x="444"/>
        <item x="445"/>
        <item x="446"/>
        <item x="447"/>
        <item x="448"/>
        <item x="449"/>
        <item x="450"/>
        <item x="451"/>
        <item x="452"/>
        <item x="4412"/>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880"/>
        <item x="662"/>
        <item x="663"/>
        <item x="664"/>
        <item x="665"/>
        <item x="666"/>
        <item x="667"/>
        <item x="668"/>
        <item x="669"/>
        <item x="670"/>
        <item x="671"/>
        <item x="672"/>
        <item x="673"/>
        <item x="674"/>
        <item x="675"/>
        <item x="895"/>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1098"/>
        <item x="881"/>
        <item x="882"/>
        <item x="883"/>
        <item x="884"/>
        <item x="885"/>
        <item x="886"/>
        <item x="887"/>
        <item x="888"/>
        <item x="889"/>
        <item x="890"/>
        <item x="891"/>
        <item x="892"/>
        <item x="893"/>
        <item x="894"/>
        <item x="896"/>
        <item x="897"/>
        <item x="898"/>
        <item x="899"/>
        <item x="900"/>
        <item x="901"/>
        <item x="902"/>
        <item x="903"/>
        <item x="904"/>
        <item x="905"/>
        <item x="906"/>
        <item x="907"/>
        <item x="908"/>
        <item x="909"/>
        <item x="1127"/>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9"/>
        <item x="1100"/>
        <item x="1101"/>
        <item x="1102"/>
        <item x="1103"/>
        <item x="1104"/>
        <item x="1105"/>
        <item x="1106"/>
        <item x="1107"/>
        <item x="1108"/>
        <item x="1109"/>
        <item x="1110"/>
        <item x="1111"/>
        <item x="1112"/>
        <item x="1332"/>
        <item x="1113"/>
        <item x="1114"/>
        <item x="1115"/>
        <item x="1116"/>
        <item x="1117"/>
        <item x="1118"/>
        <item x="1119"/>
        <item x="1120"/>
        <item x="1121"/>
        <item x="1122"/>
        <item x="1123"/>
        <item x="1124"/>
        <item x="1125"/>
        <item x="1126"/>
        <item x="1128"/>
        <item x="1129"/>
        <item x="1130"/>
        <item x="1131"/>
        <item x="1132"/>
        <item x="1133"/>
        <item x="1134"/>
        <item x="1135"/>
        <item x="1136"/>
        <item x="1137"/>
        <item x="1138"/>
        <item x="1139"/>
        <item x="1140"/>
        <item x="1141"/>
        <item x="1142"/>
        <item x="1361"/>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3"/>
        <item x="1334"/>
        <item x="1335"/>
        <item x="1336"/>
        <item x="1337"/>
        <item x="1338"/>
        <item x="1339"/>
        <item x="1340"/>
        <item x="1341"/>
        <item x="1342"/>
        <item x="1343"/>
        <item x="1344"/>
        <item x="1345"/>
        <item x="1346"/>
        <item x="1566"/>
        <item x="1347"/>
        <item x="1348"/>
        <item x="1349"/>
        <item x="1350"/>
        <item x="1351"/>
        <item x="1352"/>
        <item x="1353"/>
        <item x="1354"/>
        <item x="1355"/>
        <item x="1356"/>
        <item x="1357"/>
        <item x="1358"/>
        <item x="1359"/>
        <item x="1360"/>
        <item x="1581"/>
        <item x="1362"/>
        <item x="1363"/>
        <item x="1364"/>
        <item x="1365"/>
        <item x="1366"/>
        <item x="1367"/>
        <item x="1368"/>
        <item x="1369"/>
        <item x="1370"/>
        <item x="1371"/>
        <item x="1372"/>
        <item x="1373"/>
        <item x="1374"/>
        <item x="1375"/>
        <item x="1596"/>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7"/>
        <item x="1568"/>
        <item x="1569"/>
        <item x="1570"/>
        <item x="1571"/>
        <item x="1572"/>
        <item x="1573"/>
        <item x="1574"/>
        <item x="1575"/>
        <item x="1576"/>
        <item x="1577"/>
        <item x="1578"/>
        <item x="1579"/>
        <item x="1580"/>
        <item x="1800"/>
        <item x="1582"/>
        <item x="1583"/>
        <item x="1584"/>
        <item x="1585"/>
        <item x="1586"/>
        <item x="1587"/>
        <item x="1588"/>
        <item x="1589"/>
        <item x="1590"/>
        <item x="1591"/>
        <item x="1592"/>
        <item x="1593"/>
        <item x="1594"/>
        <item x="1595"/>
        <item x="1597"/>
        <item x="1598"/>
        <item x="1599"/>
        <item x="1600"/>
        <item x="1601"/>
        <item x="1602"/>
        <item x="1603"/>
        <item x="1604"/>
        <item x="1605"/>
        <item x="1606"/>
        <item x="1607"/>
        <item x="1608"/>
        <item x="1609"/>
        <item x="1610"/>
        <item x="1829"/>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2018"/>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2047"/>
        <item x="1830"/>
        <item x="1831"/>
        <item x="1832"/>
        <item x="1833"/>
        <item x="1834"/>
        <item x="1835"/>
        <item x="1836"/>
        <item x="1837"/>
        <item x="1838"/>
        <item x="1839"/>
        <item x="1840"/>
        <item x="1841"/>
        <item x="1842"/>
        <item x="1843"/>
        <item x="2062"/>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33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237"/>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266"/>
        <item x="2048"/>
        <item x="2049"/>
        <item x="2050"/>
        <item x="2051"/>
        <item x="2052"/>
        <item x="2053"/>
        <item x="2054"/>
        <item x="2055"/>
        <item x="2056"/>
        <item x="2057"/>
        <item x="2058"/>
        <item x="2059"/>
        <item x="2060"/>
        <item x="2061"/>
        <item x="2063"/>
        <item x="2064"/>
        <item x="2065"/>
        <item x="2066"/>
        <item x="2067"/>
        <item x="2068"/>
        <item x="2069"/>
        <item x="2070"/>
        <item x="2071"/>
        <item x="2072"/>
        <item x="2073"/>
        <item x="2074"/>
        <item x="2075"/>
        <item x="2076"/>
        <item x="2295"/>
        <item x="2296"/>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486"/>
        <item x="2267"/>
        <item x="2268"/>
        <item x="2269"/>
        <item x="2270"/>
        <item x="2271"/>
        <item x="2272"/>
        <item x="2273"/>
        <item x="2274"/>
        <item x="2275"/>
        <item x="2276"/>
        <item x="2277"/>
        <item x="2278"/>
        <item x="2279"/>
        <item x="2280"/>
        <item x="2501"/>
        <item x="2281"/>
        <item x="2282"/>
        <item x="2283"/>
        <item x="2284"/>
        <item x="2285"/>
        <item x="2286"/>
        <item x="2287"/>
        <item x="2288"/>
        <item x="2289"/>
        <item x="2290"/>
        <item x="2291"/>
        <item x="2292"/>
        <item x="2293"/>
        <item x="2294"/>
        <item x="2297"/>
        <item x="2298"/>
        <item x="2299"/>
        <item x="2300"/>
        <item x="2301"/>
        <item x="2302"/>
        <item x="2303"/>
        <item x="2304"/>
        <item x="2305"/>
        <item x="2306"/>
        <item x="2307"/>
        <item x="2308"/>
        <item x="2309"/>
        <item x="2310"/>
        <item x="2530"/>
        <item x="2531"/>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7"/>
        <item x="2488"/>
        <item x="2489"/>
        <item x="2490"/>
        <item x="2491"/>
        <item x="2492"/>
        <item x="2493"/>
        <item x="2494"/>
        <item x="2495"/>
        <item x="2496"/>
        <item x="2497"/>
        <item x="2498"/>
        <item x="2499"/>
        <item x="2500"/>
        <item x="272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750"/>
        <item x="2532"/>
        <item x="2533"/>
        <item x="2534"/>
        <item x="2535"/>
        <item x="2536"/>
        <item x="2537"/>
        <item x="2538"/>
        <item x="2539"/>
        <item x="2540"/>
        <item x="2541"/>
        <item x="2542"/>
        <item x="2543"/>
        <item x="2544"/>
        <item x="2545"/>
        <item x="2765"/>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3043"/>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2"/>
        <item x="2723"/>
        <item x="2724"/>
        <item x="2725"/>
        <item x="2726"/>
        <item x="2727"/>
        <item x="2728"/>
        <item x="2729"/>
        <item x="2730"/>
        <item x="2731"/>
        <item x="2732"/>
        <item x="2733"/>
        <item x="2734"/>
        <item x="2735"/>
        <item x="2954"/>
        <item x="2736"/>
        <item x="2737"/>
        <item x="2738"/>
        <item x="2739"/>
        <item x="2740"/>
        <item x="2741"/>
        <item x="2742"/>
        <item x="2743"/>
        <item x="2744"/>
        <item x="2745"/>
        <item x="2746"/>
        <item x="2747"/>
        <item x="2748"/>
        <item x="2749"/>
        <item x="2751"/>
        <item x="2752"/>
        <item x="2753"/>
        <item x="2754"/>
        <item x="2755"/>
        <item x="2756"/>
        <item x="2757"/>
        <item x="2758"/>
        <item x="2759"/>
        <item x="2760"/>
        <item x="2761"/>
        <item x="2762"/>
        <item x="2763"/>
        <item x="2764"/>
        <item x="2983"/>
        <item x="2766"/>
        <item x="2767"/>
        <item x="2768"/>
        <item x="2769"/>
        <item x="2770"/>
        <item x="2771"/>
        <item x="2772"/>
        <item x="2773"/>
        <item x="2774"/>
        <item x="2775"/>
        <item x="2776"/>
        <item x="2777"/>
        <item x="2778"/>
        <item x="2779"/>
        <item x="2999"/>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3117"/>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5"/>
        <item x="2956"/>
        <item x="2957"/>
        <item x="2958"/>
        <item x="2959"/>
        <item x="2960"/>
        <item x="2961"/>
        <item x="2962"/>
        <item x="2963"/>
        <item x="2964"/>
        <item x="2965"/>
        <item x="2966"/>
        <item x="2967"/>
        <item x="2968"/>
        <item x="3190"/>
        <item x="2969"/>
        <item x="2970"/>
        <item x="2971"/>
        <item x="2972"/>
        <item x="2973"/>
        <item x="2974"/>
        <item x="2975"/>
        <item x="2976"/>
        <item x="2977"/>
        <item x="2978"/>
        <item x="2979"/>
        <item x="2980"/>
        <item x="2981"/>
        <item x="2982"/>
        <item x="2984"/>
        <item x="2985"/>
        <item x="2986"/>
        <item x="2987"/>
        <item x="2988"/>
        <item x="2989"/>
        <item x="2990"/>
        <item x="2991"/>
        <item x="2992"/>
        <item x="2993"/>
        <item x="2994"/>
        <item x="2995"/>
        <item x="2996"/>
        <item x="2997"/>
        <item x="2998"/>
        <item x="3000"/>
        <item x="3001"/>
        <item x="3002"/>
        <item x="3003"/>
        <item x="3004"/>
        <item x="3005"/>
        <item x="3006"/>
        <item x="3007"/>
        <item x="3008"/>
        <item x="3009"/>
        <item x="3010"/>
        <item x="3011"/>
        <item x="3012"/>
        <item x="3013"/>
        <item x="3234"/>
        <item x="3235"/>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511"/>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46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451"/>
        <item x="7452"/>
        <item x="7453"/>
        <item x="7454"/>
        <item x="7455"/>
        <item x="7456"/>
        <item x="7457"/>
        <item x="7458"/>
        <item x="7459"/>
        <item x="7460"/>
        <item x="7461"/>
        <item x="7462"/>
        <item x="7463"/>
        <item x="7675"/>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676"/>
        <item x="7677"/>
        <item x="7678"/>
        <item x="7679"/>
        <item x="7680"/>
        <item x="7681"/>
        <item x="7682"/>
        <item x="7683"/>
        <item x="7684"/>
        <item x="7685"/>
        <item x="7686"/>
        <item x="7687"/>
        <item x="4187"/>
        <item x="4188"/>
        <item x="7688"/>
        <item x="7689"/>
        <item x="7690"/>
        <item x="7691"/>
        <item x="7692"/>
        <item x="7693"/>
        <item x="7694"/>
        <item x="7695"/>
        <item x="7696"/>
        <item x="7697"/>
        <item x="7698"/>
        <item x="7699"/>
        <item x="7700"/>
        <item x="4203"/>
        <item x="4204"/>
        <item x="7701"/>
        <item x="7702"/>
        <item x="7703"/>
        <item x="7704"/>
        <item x="7705"/>
        <item x="7706"/>
        <item x="7707"/>
        <item x="7708"/>
        <item x="7709"/>
        <item x="7710"/>
        <item x="7711"/>
        <item x="7712"/>
        <item x="7713"/>
        <item x="4219"/>
        <item x="7714"/>
        <item x="7715"/>
        <item x="7716"/>
        <item x="7717"/>
        <item x="7718"/>
        <item x="7719"/>
        <item x="7720"/>
        <item x="7721"/>
        <item x="7722"/>
        <item x="7723"/>
        <item x="7724"/>
        <item x="7725"/>
        <item x="7726"/>
        <item x="7727"/>
        <item x="4235"/>
        <item x="7728"/>
        <item x="7729"/>
        <item x="7730"/>
        <item x="7731"/>
        <item x="7732"/>
        <item x="7733"/>
        <item x="7734"/>
        <item x="7735"/>
        <item x="7736"/>
        <item x="7737"/>
        <item x="7738"/>
        <item x="7739"/>
        <item x="7740"/>
        <item x="4002"/>
        <item x="7523"/>
        <item x="7524"/>
        <item x="7525"/>
        <item x="7526"/>
        <item x="7527"/>
        <item x="7528"/>
        <item x="7529"/>
        <item x="7530"/>
        <item x="7531"/>
        <item x="7532"/>
        <item x="7533"/>
        <item x="7534"/>
        <item x="7535"/>
        <item x="7536"/>
        <item x="4018"/>
        <item x="7537"/>
        <item x="7538"/>
        <item x="7539"/>
        <item x="7540"/>
        <item x="7541"/>
        <item x="7542"/>
        <item x="7543"/>
        <item x="7544"/>
        <item x="7545"/>
        <item x="7546"/>
        <item x="7547"/>
        <item x="7548"/>
        <item x="7549"/>
        <item x="7550"/>
        <item x="4034"/>
        <item x="7551"/>
        <item x="7552"/>
        <item x="7553"/>
        <item x="7554"/>
        <item x="7555"/>
        <item x="7556"/>
        <item x="7557"/>
        <item x="7558"/>
        <item x="7559"/>
        <item x="7560"/>
        <item x="7561"/>
        <item x="7562"/>
        <item x="7563"/>
        <item x="4049"/>
        <item x="7564"/>
        <item x="7565"/>
        <item x="7566"/>
        <item x="7567"/>
        <item x="7568"/>
        <item x="7569"/>
        <item x="7570"/>
        <item x="7571"/>
        <item x="7572"/>
        <item x="7573"/>
        <item x="7574"/>
        <item x="7575"/>
        <item x="7576"/>
        <item x="7577"/>
        <item x="4065"/>
        <item x="7578"/>
        <item x="7579"/>
        <item x="7580"/>
        <item x="7581"/>
        <item x="7582"/>
        <item x="7583"/>
        <item x="7584"/>
        <item x="7585"/>
        <item x="7586"/>
        <item x="7587"/>
        <item x="7588"/>
        <item x="7589"/>
        <item x="7590"/>
        <item x="4080"/>
        <item x="7591"/>
        <item x="7592"/>
        <item x="7593"/>
        <item x="7594"/>
        <item x="7595"/>
        <item x="7596"/>
        <item x="7597"/>
        <item x="7598"/>
        <item x="7599"/>
        <item x="7600"/>
        <item x="7601"/>
        <item x="7602"/>
        <item x="7603"/>
        <item x="7604"/>
        <item x="4096"/>
        <item x="7605"/>
        <item x="7606"/>
        <item x="7607"/>
        <item x="7608"/>
        <item x="7609"/>
        <item x="7610"/>
        <item x="7611"/>
        <item x="7612"/>
        <item x="7613"/>
        <item x="7614"/>
        <item x="7615"/>
        <item x="7616"/>
        <item x="7617"/>
        <item x="7618"/>
        <item x="4112"/>
        <item x="7619"/>
        <item x="7620"/>
        <item x="7621"/>
        <item x="7622"/>
        <item x="7623"/>
        <item x="7624"/>
        <item x="7625"/>
        <item x="7626"/>
        <item x="7627"/>
        <item x="7628"/>
        <item x="7629"/>
        <item x="7630"/>
        <item x="7631"/>
        <item x="4127"/>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4189"/>
        <item x="4190"/>
        <item x="4191"/>
        <item x="4192"/>
        <item x="4193"/>
        <item x="4194"/>
        <item x="4195"/>
        <item x="4196"/>
        <item x="4197"/>
        <item x="4198"/>
        <item x="4199"/>
        <item x="4200"/>
        <item x="4201"/>
        <item x="4202"/>
        <item x="4426"/>
        <item x="4205"/>
        <item x="4206"/>
        <item x="4207"/>
        <item x="4208"/>
        <item x="4209"/>
        <item x="4210"/>
        <item x="4211"/>
        <item x="4212"/>
        <item x="4213"/>
        <item x="4214"/>
        <item x="4215"/>
        <item x="4216"/>
        <item x="4217"/>
        <item x="4218"/>
        <item x="4220"/>
        <item x="4221"/>
        <item x="4222"/>
        <item x="4223"/>
        <item x="4224"/>
        <item x="4225"/>
        <item x="4226"/>
        <item x="4227"/>
        <item x="4228"/>
        <item x="4229"/>
        <item x="4230"/>
        <item x="4231"/>
        <item x="4232"/>
        <item x="4233"/>
        <item x="4234"/>
        <item x="4236"/>
        <item x="4237"/>
        <item x="4238"/>
        <item x="4239"/>
        <item x="4240"/>
        <item x="4241"/>
        <item x="4242"/>
        <item x="4243"/>
        <item x="4244"/>
        <item x="4245"/>
        <item x="4246"/>
        <item x="4247"/>
        <item x="4248"/>
        <item x="4249"/>
        <item x="4003"/>
        <item x="4004"/>
        <item x="4005"/>
        <item x="4006"/>
        <item x="4007"/>
        <item x="4008"/>
        <item x="4009"/>
        <item x="4010"/>
        <item x="4011"/>
        <item x="4012"/>
        <item x="4013"/>
        <item x="4014"/>
        <item x="4015"/>
        <item x="4016"/>
        <item x="4017"/>
        <item x="4019"/>
        <item x="4020"/>
        <item x="4021"/>
        <item x="4022"/>
        <item x="4023"/>
        <item x="4024"/>
        <item x="4025"/>
        <item x="4026"/>
        <item x="4027"/>
        <item x="4028"/>
        <item x="4029"/>
        <item x="4030"/>
        <item x="4031"/>
        <item x="4032"/>
        <item x="4033"/>
        <item x="4035"/>
        <item x="4036"/>
        <item x="4037"/>
        <item x="4038"/>
        <item x="4039"/>
        <item x="4040"/>
        <item x="4041"/>
        <item x="4042"/>
        <item x="4043"/>
        <item x="4044"/>
        <item x="4045"/>
        <item x="4046"/>
        <item x="4047"/>
        <item x="4048"/>
        <item x="4050"/>
        <item x="4051"/>
        <item x="4052"/>
        <item x="4053"/>
        <item x="4054"/>
        <item x="4055"/>
        <item x="4056"/>
        <item x="4057"/>
        <item x="4058"/>
        <item x="4059"/>
        <item x="4060"/>
        <item x="4061"/>
        <item x="4062"/>
        <item x="4063"/>
        <item x="4064"/>
        <item x="4066"/>
        <item x="4067"/>
        <item x="4068"/>
        <item x="4069"/>
        <item x="4070"/>
        <item x="4071"/>
        <item x="4072"/>
        <item x="4073"/>
        <item x="4074"/>
        <item x="4075"/>
        <item x="4076"/>
        <item x="4077"/>
        <item x="4078"/>
        <item x="4079"/>
        <item x="4081"/>
        <item x="4082"/>
        <item x="4083"/>
        <item x="4084"/>
        <item x="4085"/>
        <item x="4086"/>
        <item x="4087"/>
        <item x="4088"/>
        <item x="4089"/>
        <item x="4090"/>
        <item x="4091"/>
        <item x="4092"/>
        <item x="4093"/>
        <item x="4094"/>
        <item x="4095"/>
        <item x="4097"/>
        <item x="4098"/>
        <item x="4099"/>
        <item x="4100"/>
        <item x="4101"/>
        <item x="4102"/>
        <item x="4103"/>
        <item x="4104"/>
        <item x="4105"/>
        <item x="4106"/>
        <item x="4107"/>
        <item x="4108"/>
        <item x="4109"/>
        <item x="4110"/>
        <item x="4111"/>
        <item x="4113"/>
        <item x="4114"/>
        <item x="4115"/>
        <item x="4116"/>
        <item x="4117"/>
        <item x="4118"/>
        <item x="4119"/>
        <item x="4120"/>
        <item x="4121"/>
        <item x="4122"/>
        <item x="4123"/>
        <item x="4124"/>
        <item x="4125"/>
        <item x="4126"/>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413"/>
        <item x="4414"/>
        <item x="4415"/>
        <item x="4416"/>
        <item x="4417"/>
        <item x="4418"/>
        <item x="4419"/>
        <item x="4420"/>
        <item x="4421"/>
        <item x="4422"/>
        <item x="4423"/>
        <item x="4424"/>
        <item x="4425"/>
        <item x="464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647"/>
        <item x="4648"/>
        <item x="4649"/>
        <item x="4650"/>
        <item x="4651"/>
        <item x="4652"/>
        <item x="4653"/>
        <item x="4654"/>
        <item x="4655"/>
        <item x="4656"/>
        <item x="4657"/>
        <item x="4658"/>
        <item x="4659"/>
        <item x="487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908"/>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5127"/>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5114"/>
        <item x="5115"/>
        <item x="5116"/>
        <item x="5117"/>
        <item x="5118"/>
        <item x="5119"/>
        <item x="5120"/>
        <item x="5121"/>
        <item x="5122"/>
        <item x="5123"/>
        <item x="5124"/>
        <item x="5125"/>
        <item x="5126"/>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375"/>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594"/>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580"/>
        <item x="5581"/>
        <item x="5582"/>
        <item x="5583"/>
        <item x="5584"/>
        <item x="5585"/>
        <item x="5586"/>
        <item x="5587"/>
        <item x="5588"/>
        <item x="5589"/>
        <item x="5590"/>
        <item x="5591"/>
        <item x="5592"/>
        <item x="5593"/>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841"/>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6059"/>
        <item x="5842"/>
        <item x="5843"/>
        <item x="5844"/>
        <item x="5845"/>
        <item x="5846"/>
        <item x="5847"/>
        <item x="5848"/>
        <item x="5849"/>
        <item x="5850"/>
        <item x="5851"/>
        <item x="5852"/>
        <item x="5853"/>
        <item x="5854"/>
        <item x="5855"/>
        <item x="6074"/>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6045"/>
        <item x="6046"/>
        <item x="6047"/>
        <item x="6048"/>
        <item x="6049"/>
        <item x="6050"/>
        <item x="6051"/>
        <item x="6052"/>
        <item x="6053"/>
        <item x="6054"/>
        <item x="6055"/>
        <item x="6056"/>
        <item x="6057"/>
        <item x="6058"/>
        <item x="6060"/>
        <item x="6061"/>
        <item x="6062"/>
        <item x="6063"/>
        <item x="6064"/>
        <item x="6065"/>
        <item x="6066"/>
        <item x="6067"/>
        <item x="6068"/>
        <item x="6069"/>
        <item x="6070"/>
        <item x="6071"/>
        <item x="6072"/>
        <item x="6073"/>
        <item x="6295"/>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281"/>
        <item x="6282"/>
        <item x="6283"/>
        <item x="6284"/>
        <item x="6285"/>
        <item x="6286"/>
        <item x="6287"/>
        <item x="6288"/>
        <item x="6289"/>
        <item x="6290"/>
        <item x="6291"/>
        <item x="6292"/>
        <item x="6293"/>
        <item x="6294"/>
        <item x="6296"/>
        <item x="6297"/>
        <item x="6298"/>
        <item x="6299"/>
        <item x="6300"/>
        <item x="6301"/>
        <item x="6302"/>
        <item x="6303"/>
        <item x="6304"/>
        <item x="6305"/>
        <item x="6306"/>
        <item x="6307"/>
        <item x="6308"/>
        <item x="6309"/>
        <item x="6528"/>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515"/>
        <item x="6516"/>
        <item x="6517"/>
        <item x="6518"/>
        <item x="6519"/>
        <item x="6520"/>
        <item x="6521"/>
        <item x="6522"/>
        <item x="6523"/>
        <item x="6524"/>
        <item x="6525"/>
        <item x="6526"/>
        <item x="6527"/>
        <item x="6748"/>
        <item x="6529"/>
        <item x="6530"/>
        <item x="6531"/>
        <item x="6532"/>
        <item x="6533"/>
        <item x="6534"/>
        <item x="6535"/>
        <item x="6536"/>
        <item x="6537"/>
        <item x="6538"/>
        <item x="6539"/>
        <item x="6540"/>
        <item x="6541"/>
        <item x="6542"/>
        <item x="676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749"/>
        <item x="6750"/>
        <item x="6751"/>
        <item x="6752"/>
        <item x="6753"/>
        <item x="6754"/>
        <item x="6755"/>
        <item x="6756"/>
        <item x="6757"/>
        <item x="6758"/>
        <item x="6759"/>
        <item x="6760"/>
        <item x="6761"/>
        <item x="698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983"/>
        <item x="6984"/>
        <item x="6985"/>
        <item x="6986"/>
        <item x="6987"/>
        <item x="6988"/>
        <item x="6989"/>
        <item x="6990"/>
        <item x="6991"/>
        <item x="6992"/>
        <item x="6993"/>
        <item x="6994"/>
        <item x="6995"/>
        <item x="721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244"/>
        <item x="10759"/>
        <item x="10760"/>
        <item x="10761"/>
        <item x="10762"/>
        <item x="10763"/>
        <item x="10764"/>
        <item x="10765"/>
        <item x="10766"/>
        <item x="10767"/>
        <item x="10768"/>
        <item x="10769"/>
        <item x="10770"/>
        <item x="10771"/>
        <item x="10772"/>
        <item x="10552"/>
        <item x="10774"/>
        <item x="10775"/>
        <item x="10776"/>
        <item x="10777"/>
        <item x="10778"/>
        <item x="10779"/>
        <item x="10780"/>
        <item x="10781"/>
        <item x="10782"/>
        <item x="10783"/>
        <item x="10784"/>
        <item x="10785"/>
        <item x="10786"/>
        <item x="10336"/>
        <item x="10553"/>
        <item x="10554"/>
        <item x="10555"/>
        <item x="10556"/>
        <item x="10557"/>
        <item x="10558"/>
        <item x="10559"/>
        <item x="10560"/>
        <item x="10561"/>
        <item x="10562"/>
        <item x="10563"/>
        <item x="10564"/>
        <item x="10565"/>
        <item x="10566"/>
        <item x="10350"/>
        <item x="10568"/>
        <item x="10569"/>
        <item x="10570"/>
        <item x="10571"/>
        <item x="10572"/>
        <item x="10573"/>
        <item x="10574"/>
        <item x="10575"/>
        <item x="10576"/>
        <item x="10577"/>
        <item x="10578"/>
        <item x="10579"/>
        <item x="10580"/>
        <item x="10581"/>
        <item x="10365"/>
        <item x="10583"/>
        <item x="10584"/>
        <item x="10585"/>
        <item x="10586"/>
        <item x="10587"/>
        <item x="10588"/>
        <item x="10589"/>
        <item x="10590"/>
        <item x="10591"/>
        <item x="10592"/>
        <item x="10593"/>
        <item x="10594"/>
        <item x="10595"/>
        <item x="10379"/>
        <item x="10597"/>
        <item x="10598"/>
        <item x="10599"/>
        <item x="10600"/>
        <item x="10601"/>
        <item x="10602"/>
        <item x="10603"/>
        <item x="10604"/>
        <item x="10605"/>
        <item x="10606"/>
        <item x="10607"/>
        <item x="10608"/>
        <item x="10609"/>
        <item x="10610"/>
        <item x="10394"/>
        <item x="10612"/>
        <item x="10613"/>
        <item x="10614"/>
        <item x="10615"/>
        <item x="10616"/>
        <item x="10617"/>
        <item x="10618"/>
        <item x="10619"/>
        <item x="10620"/>
        <item x="10621"/>
        <item x="10622"/>
        <item x="10623"/>
        <item x="10624"/>
        <item x="10408"/>
        <item x="10626"/>
        <item x="10627"/>
        <item x="10628"/>
        <item x="10629"/>
        <item x="10630"/>
        <item x="10631"/>
        <item x="10632"/>
        <item x="10633"/>
        <item x="10634"/>
        <item x="10635"/>
        <item x="10636"/>
        <item x="10637"/>
        <item x="10638"/>
        <item x="10639"/>
        <item x="10423"/>
        <item x="10641"/>
        <item x="10642"/>
        <item x="10643"/>
        <item x="10644"/>
        <item x="10645"/>
        <item x="10646"/>
        <item x="10647"/>
        <item x="10648"/>
        <item x="10649"/>
        <item x="10650"/>
        <item x="10651"/>
        <item x="10652"/>
        <item x="10653"/>
        <item x="10654"/>
        <item x="10656"/>
        <item x="10657"/>
        <item x="10658"/>
        <item x="10659"/>
        <item x="10660"/>
        <item x="10661"/>
        <item x="10662"/>
        <item x="10663"/>
        <item x="10664"/>
        <item x="10665"/>
        <item x="10666"/>
        <item x="10667"/>
        <item x="10668"/>
        <item x="10669"/>
        <item x="10452"/>
        <item x="10670"/>
        <item x="10671"/>
        <item x="10672"/>
        <item x="10673"/>
        <item x="10674"/>
        <item x="10675"/>
        <item x="10676"/>
        <item x="10677"/>
        <item x="10678"/>
        <item x="10679"/>
        <item x="10680"/>
        <item x="10681"/>
        <item x="10682"/>
        <item x="10683"/>
        <item x="10466"/>
        <item x="10685"/>
        <item x="10686"/>
        <item x="10687"/>
        <item x="10688"/>
        <item x="10689"/>
        <item x="10690"/>
        <item x="10691"/>
        <item x="10692"/>
        <item x="10693"/>
        <item x="10694"/>
        <item x="10695"/>
        <item x="10696"/>
        <item x="10697"/>
        <item x="10481"/>
        <item x="10699"/>
        <item x="10700"/>
        <item x="10701"/>
        <item x="10702"/>
        <item x="10703"/>
        <item x="10704"/>
        <item x="10705"/>
        <item x="10706"/>
        <item x="10707"/>
        <item x="10708"/>
        <item x="10709"/>
        <item x="10710"/>
        <item x="10711"/>
        <item x="10712"/>
        <item x="10713"/>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758"/>
        <item x="10978"/>
        <item x="10979"/>
        <item x="10980"/>
        <item x="10981"/>
        <item x="10982"/>
        <item x="10983"/>
        <item x="10984"/>
        <item x="10985"/>
        <item x="10986"/>
        <item x="10987"/>
        <item x="10988"/>
        <item x="10989"/>
        <item x="10990"/>
        <item x="10991"/>
        <item x="10773"/>
        <item x="10993"/>
        <item x="10994"/>
        <item x="10995"/>
        <item x="10996"/>
        <item x="10997"/>
        <item x="10998"/>
        <item x="10999"/>
        <item x="11000"/>
        <item x="11001"/>
        <item x="11002"/>
        <item x="11003"/>
        <item x="11004"/>
        <item x="11005"/>
        <item x="10787"/>
        <item x="11007"/>
        <item x="11008"/>
        <item x="11009"/>
        <item x="11010"/>
        <item x="11011"/>
        <item x="11012"/>
        <item x="11013"/>
        <item x="11014"/>
        <item x="11015"/>
        <item x="11016"/>
        <item x="11017"/>
        <item x="11018"/>
        <item x="11019"/>
        <item x="11020"/>
        <item x="10567"/>
        <item x="10788"/>
        <item x="10789"/>
        <item x="10790"/>
        <item x="10791"/>
        <item x="10792"/>
        <item x="10793"/>
        <item x="10794"/>
        <item x="10795"/>
        <item x="10796"/>
        <item x="10797"/>
        <item x="10798"/>
        <item x="10799"/>
        <item x="10800"/>
        <item x="10582"/>
        <item x="10802"/>
        <item x="10803"/>
        <item x="10804"/>
        <item x="10805"/>
        <item x="10806"/>
        <item x="10807"/>
        <item x="10808"/>
        <item x="10809"/>
        <item x="10810"/>
        <item x="10811"/>
        <item x="10812"/>
        <item x="10813"/>
        <item x="10814"/>
        <item x="10815"/>
        <item x="10596"/>
        <item x="10817"/>
        <item x="10818"/>
        <item x="10819"/>
        <item x="10820"/>
        <item x="10821"/>
        <item x="10822"/>
        <item x="10823"/>
        <item x="10824"/>
        <item x="10825"/>
        <item x="10826"/>
        <item x="10827"/>
        <item x="10828"/>
        <item x="10829"/>
        <item x="10830"/>
        <item x="10611"/>
        <item x="10832"/>
        <item x="10833"/>
        <item x="10834"/>
        <item x="10835"/>
        <item x="10836"/>
        <item x="10837"/>
        <item x="10838"/>
        <item x="10839"/>
        <item x="10840"/>
        <item x="10841"/>
        <item x="10842"/>
        <item x="10843"/>
        <item x="10844"/>
        <item x="10845"/>
        <item x="10625"/>
        <item x="10847"/>
        <item x="10848"/>
        <item x="10849"/>
        <item x="10850"/>
        <item x="10851"/>
        <item x="10852"/>
        <item x="10853"/>
        <item x="10854"/>
        <item x="10855"/>
        <item x="10856"/>
        <item x="10857"/>
        <item x="10858"/>
        <item x="10859"/>
        <item x="10640"/>
        <item x="10861"/>
        <item x="10862"/>
        <item x="10863"/>
        <item x="10864"/>
        <item x="10865"/>
        <item x="10866"/>
        <item x="10867"/>
        <item x="10868"/>
        <item x="10869"/>
        <item x="10870"/>
        <item x="10871"/>
        <item x="10872"/>
        <item x="10873"/>
        <item x="10874"/>
        <item x="10655"/>
        <item x="10876"/>
        <item x="10877"/>
        <item x="10878"/>
        <item x="10879"/>
        <item x="10880"/>
        <item x="10881"/>
        <item x="10882"/>
        <item x="10883"/>
        <item x="10884"/>
        <item x="10885"/>
        <item x="10886"/>
        <item x="10887"/>
        <item x="10888"/>
        <item x="10889"/>
        <item x="10891"/>
        <item x="10892"/>
        <item x="10893"/>
        <item x="10894"/>
        <item x="10895"/>
        <item x="10896"/>
        <item x="10897"/>
        <item x="10898"/>
        <item x="10899"/>
        <item x="10900"/>
        <item x="10901"/>
        <item x="10902"/>
        <item x="10903"/>
        <item x="10904"/>
        <item x="10684"/>
        <item x="10905"/>
        <item x="10906"/>
        <item x="10907"/>
        <item x="10908"/>
        <item x="10909"/>
        <item x="10910"/>
        <item x="10911"/>
        <item x="10912"/>
        <item x="10913"/>
        <item x="10914"/>
        <item x="10915"/>
        <item x="10916"/>
        <item x="10917"/>
        <item x="10918"/>
        <item x="10698"/>
        <item x="10920"/>
        <item x="10921"/>
        <item x="10922"/>
        <item x="10923"/>
        <item x="10924"/>
        <item x="10925"/>
        <item x="10926"/>
        <item x="10927"/>
        <item x="10928"/>
        <item x="10929"/>
        <item x="10930"/>
        <item x="10931"/>
        <item x="10932"/>
        <item x="10714"/>
        <item x="10934"/>
        <item x="10935"/>
        <item x="10936"/>
        <item x="10937"/>
        <item x="10938"/>
        <item x="10939"/>
        <item x="10940"/>
        <item x="10941"/>
        <item x="10942"/>
        <item x="10943"/>
        <item x="10944"/>
        <item x="10945"/>
        <item x="10946"/>
        <item x="10947"/>
        <item x="10948"/>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0992"/>
        <item x="11210"/>
        <item x="11211"/>
        <item x="11212"/>
        <item x="11213"/>
        <item x="11214"/>
        <item x="11215"/>
        <item x="11216"/>
        <item x="11217"/>
        <item x="11218"/>
        <item x="11219"/>
        <item x="11220"/>
        <item x="11221"/>
        <item x="11222"/>
        <item x="11223"/>
        <item x="11006"/>
        <item x="11225"/>
        <item x="11226"/>
        <item x="11227"/>
        <item x="11228"/>
        <item x="11229"/>
        <item x="11230"/>
        <item x="11231"/>
        <item x="11232"/>
        <item x="11233"/>
        <item x="11234"/>
        <item x="11235"/>
        <item x="11236"/>
        <item x="11237"/>
        <item x="11021"/>
        <item x="11238"/>
        <item x="11239"/>
        <item x="11240"/>
        <item x="11241"/>
        <item x="11242"/>
        <item x="11243"/>
        <item x="11244"/>
        <item x="11245"/>
        <item x="11246"/>
        <item x="11247"/>
        <item x="11248"/>
        <item x="11249"/>
        <item x="11250"/>
        <item x="11251"/>
        <item x="10801"/>
        <item x="11022"/>
        <item x="11023"/>
        <item x="11024"/>
        <item x="11025"/>
        <item x="11026"/>
        <item x="11027"/>
        <item x="11028"/>
        <item x="11029"/>
        <item x="11030"/>
        <item x="11031"/>
        <item x="11032"/>
        <item x="11033"/>
        <item x="11034"/>
        <item x="11035"/>
        <item x="10816"/>
        <item x="11036"/>
        <item x="11037"/>
        <item x="11038"/>
        <item x="11039"/>
        <item x="11040"/>
        <item x="11041"/>
        <item x="11042"/>
        <item x="11043"/>
        <item x="11044"/>
        <item x="11045"/>
        <item x="11046"/>
        <item x="11047"/>
        <item x="11048"/>
        <item x="10831"/>
        <item x="11049"/>
        <item x="11050"/>
        <item x="11051"/>
        <item x="11052"/>
        <item x="11053"/>
        <item x="11054"/>
        <item x="11055"/>
        <item x="11056"/>
        <item x="11057"/>
        <item x="11058"/>
        <item x="11059"/>
        <item x="11060"/>
        <item x="11061"/>
        <item x="11062"/>
        <item x="10846"/>
        <item x="11064"/>
        <item x="11065"/>
        <item x="11066"/>
        <item x="11067"/>
        <item x="11068"/>
        <item x="11069"/>
        <item x="11070"/>
        <item x="11071"/>
        <item x="11072"/>
        <item x="11073"/>
        <item x="11074"/>
        <item x="11075"/>
        <item x="11076"/>
        <item x="10860"/>
        <item x="11078"/>
        <item x="11079"/>
        <item x="11080"/>
        <item x="11081"/>
        <item x="11082"/>
        <item x="11083"/>
        <item x="11084"/>
        <item x="11085"/>
        <item x="11086"/>
        <item x="11087"/>
        <item x="11088"/>
        <item x="11089"/>
        <item x="11090"/>
        <item x="11091"/>
        <item x="10875"/>
        <item x="11093"/>
        <item x="11094"/>
        <item x="11095"/>
        <item x="11096"/>
        <item x="11097"/>
        <item x="11098"/>
        <item x="11099"/>
        <item x="11100"/>
        <item x="11101"/>
        <item x="11102"/>
        <item x="11103"/>
        <item x="11104"/>
        <item x="11105"/>
        <item x="10890"/>
        <item x="11107"/>
        <item x="11108"/>
        <item x="11109"/>
        <item x="11110"/>
        <item x="11111"/>
        <item x="11112"/>
        <item x="11113"/>
        <item x="11114"/>
        <item x="11115"/>
        <item x="11116"/>
        <item x="11117"/>
        <item x="11118"/>
        <item x="11119"/>
        <item x="11120"/>
        <item x="11121"/>
        <item x="11123"/>
        <item x="11124"/>
        <item x="11125"/>
        <item x="11126"/>
        <item x="11127"/>
        <item x="11128"/>
        <item x="11129"/>
        <item x="11130"/>
        <item x="11131"/>
        <item x="11132"/>
        <item x="11133"/>
        <item x="11134"/>
        <item x="11135"/>
        <item x="11136"/>
        <item x="10919"/>
        <item x="11137"/>
        <item x="11138"/>
        <item x="11139"/>
        <item x="11140"/>
        <item x="11141"/>
        <item x="11142"/>
        <item x="11143"/>
        <item x="11144"/>
        <item x="11145"/>
        <item x="11146"/>
        <item x="11147"/>
        <item x="11148"/>
        <item x="11149"/>
        <item x="10933"/>
        <item x="11151"/>
        <item x="11152"/>
        <item x="11153"/>
        <item x="11154"/>
        <item x="11155"/>
        <item x="11156"/>
        <item x="11157"/>
        <item x="11158"/>
        <item x="11159"/>
        <item x="11160"/>
        <item x="11161"/>
        <item x="11162"/>
        <item x="11163"/>
        <item x="11164"/>
        <item x="10949"/>
        <item x="11166"/>
        <item x="11167"/>
        <item x="11168"/>
        <item x="11169"/>
        <item x="11170"/>
        <item x="11171"/>
        <item x="11172"/>
        <item x="11173"/>
        <item x="11174"/>
        <item x="11175"/>
        <item x="11176"/>
        <item x="11177"/>
        <item x="11178"/>
        <item x="11179"/>
        <item x="11180"/>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224"/>
        <item x="11403"/>
        <item x="11404"/>
        <item x="11405"/>
        <item x="11406"/>
        <item x="11407"/>
        <item x="11408"/>
        <item x="11409"/>
        <item x="11410"/>
        <item x="11411"/>
        <item x="11412"/>
        <item x="11413"/>
        <item x="11414"/>
        <item x="11415"/>
        <item x="11416"/>
        <item x="11063"/>
        <item x="11252"/>
        <item x="11253"/>
        <item x="11254"/>
        <item x="11255"/>
        <item x="11256"/>
        <item x="11257"/>
        <item x="11258"/>
        <item x="11259"/>
        <item x="11260"/>
        <item x="11261"/>
        <item x="11262"/>
        <item x="11263"/>
        <item x="11264"/>
        <item x="11077"/>
        <item x="11265"/>
        <item x="11266"/>
        <item x="11267"/>
        <item x="11268"/>
        <item x="11269"/>
        <item x="11270"/>
        <item x="11271"/>
        <item x="11272"/>
        <item x="11273"/>
        <item x="11274"/>
        <item x="11275"/>
        <item x="11276"/>
        <item x="11277"/>
        <item x="11278"/>
        <item x="11092"/>
        <item x="11279"/>
        <item x="11280"/>
        <item x="11281"/>
        <item x="11282"/>
        <item x="11283"/>
        <item x="11284"/>
        <item x="11285"/>
        <item x="11286"/>
        <item x="11287"/>
        <item x="11288"/>
        <item x="11289"/>
        <item x="11290"/>
        <item x="11291"/>
        <item x="11106"/>
        <item x="11292"/>
        <item x="11293"/>
        <item x="11294"/>
        <item x="11295"/>
        <item x="11296"/>
        <item x="11297"/>
        <item x="11298"/>
        <item x="11299"/>
        <item x="11300"/>
        <item x="11301"/>
        <item x="11302"/>
        <item x="11303"/>
        <item x="11304"/>
        <item x="11305"/>
        <item x="11122"/>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150"/>
        <item x="11334"/>
        <item x="11335"/>
        <item x="11336"/>
        <item x="11337"/>
        <item x="11338"/>
        <item x="11339"/>
        <item x="11340"/>
        <item x="11341"/>
        <item x="11342"/>
        <item x="11343"/>
        <item x="11344"/>
        <item x="11345"/>
        <item x="11346"/>
        <item x="11347"/>
        <item x="11165"/>
        <item x="11348"/>
        <item x="11349"/>
        <item x="11350"/>
        <item x="11351"/>
        <item x="11352"/>
        <item x="11353"/>
        <item x="11354"/>
        <item x="11355"/>
        <item x="11356"/>
        <item x="11357"/>
        <item x="11358"/>
        <item x="11359"/>
        <item x="11360"/>
        <item x="11181"/>
        <item x="11361"/>
        <item x="11362"/>
        <item x="11363"/>
        <item x="11364"/>
        <item x="11365"/>
        <item x="11366"/>
        <item x="11367"/>
        <item x="11368"/>
        <item x="11369"/>
        <item x="11370"/>
        <item x="11371"/>
        <item x="11372"/>
        <item x="11373"/>
        <item x="11374"/>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6"/>
        <item x="7977"/>
        <item x="7978"/>
        <item x="7979"/>
        <item x="7980"/>
        <item x="7981"/>
        <item x="7982"/>
        <item x="7983"/>
        <item x="7984"/>
        <item x="7985"/>
        <item x="7986"/>
        <item x="7987"/>
        <item x="7988"/>
        <item x="7989"/>
        <item x="7741"/>
        <item x="7742"/>
        <item x="7743"/>
        <item x="7744"/>
        <item x="7745"/>
        <item x="7746"/>
        <item x="7747"/>
        <item x="7748"/>
        <item x="7749"/>
        <item x="7750"/>
        <item x="7751"/>
        <item x="7752"/>
        <item x="7753"/>
        <item x="7754"/>
        <item x="7755"/>
        <item x="7757"/>
        <item x="7758"/>
        <item x="7759"/>
        <item x="7760"/>
        <item x="7761"/>
        <item x="7762"/>
        <item x="7763"/>
        <item x="7764"/>
        <item x="7765"/>
        <item x="7766"/>
        <item x="7767"/>
        <item x="7768"/>
        <item x="7769"/>
        <item x="7770"/>
        <item x="7771"/>
        <item x="7774"/>
        <item x="7775"/>
        <item x="7776"/>
        <item x="7777"/>
        <item x="7778"/>
        <item x="7779"/>
        <item x="7780"/>
        <item x="7781"/>
        <item x="7782"/>
        <item x="7783"/>
        <item x="7784"/>
        <item x="7785"/>
        <item x="7786"/>
        <item x="7787"/>
        <item x="7788"/>
        <item x="7790"/>
        <item x="7791"/>
        <item x="7792"/>
        <item x="7793"/>
        <item x="7794"/>
        <item x="7795"/>
        <item x="7796"/>
        <item x="7797"/>
        <item x="7798"/>
        <item x="7799"/>
        <item x="7800"/>
        <item x="7801"/>
        <item x="7802"/>
        <item x="7803"/>
        <item x="7805"/>
        <item x="7806"/>
        <item x="7807"/>
        <item x="7808"/>
        <item x="7809"/>
        <item x="7810"/>
        <item x="7811"/>
        <item x="7812"/>
        <item x="7813"/>
        <item x="7814"/>
        <item x="7815"/>
        <item x="7816"/>
        <item x="7817"/>
        <item x="7818"/>
        <item x="7819"/>
        <item x="7821"/>
        <item x="7822"/>
        <item x="7823"/>
        <item x="7824"/>
        <item x="7825"/>
        <item x="7826"/>
        <item x="7827"/>
        <item x="7828"/>
        <item x="7829"/>
        <item x="7830"/>
        <item x="7831"/>
        <item x="7832"/>
        <item x="7833"/>
        <item x="7834"/>
        <item x="7835"/>
        <item x="7837"/>
        <item x="7838"/>
        <item x="7839"/>
        <item x="7840"/>
        <item x="7841"/>
        <item x="7842"/>
        <item x="7843"/>
        <item x="7844"/>
        <item x="7845"/>
        <item x="7846"/>
        <item x="7847"/>
        <item x="7848"/>
        <item x="7849"/>
        <item x="7850"/>
        <item x="7852"/>
        <item x="7853"/>
        <item x="7854"/>
        <item x="7855"/>
        <item x="7856"/>
        <item x="7857"/>
        <item x="7858"/>
        <item x="7859"/>
        <item x="7860"/>
        <item x="7861"/>
        <item x="7862"/>
        <item x="7863"/>
        <item x="7864"/>
        <item x="7865"/>
        <item x="7866"/>
        <item x="7868"/>
        <item x="7869"/>
        <item x="7870"/>
        <item x="7871"/>
        <item x="7872"/>
        <item x="7873"/>
        <item x="7874"/>
        <item x="7875"/>
        <item x="7876"/>
        <item x="7877"/>
        <item x="7878"/>
        <item x="7879"/>
        <item x="7880"/>
        <item x="7881"/>
        <item x="7883"/>
        <item x="7884"/>
        <item x="7885"/>
        <item x="7886"/>
        <item x="7887"/>
        <item x="7888"/>
        <item x="7889"/>
        <item x="7890"/>
        <item x="7891"/>
        <item x="7892"/>
        <item x="7893"/>
        <item x="7894"/>
        <item x="7895"/>
        <item x="7896"/>
        <item x="7897"/>
        <item x="7899"/>
        <item x="7900"/>
        <item x="7901"/>
        <item x="7902"/>
        <item x="7903"/>
        <item x="7904"/>
        <item x="7905"/>
        <item x="7906"/>
        <item x="7907"/>
        <item x="7908"/>
        <item x="7909"/>
        <item x="7910"/>
        <item x="7911"/>
        <item x="7912"/>
        <item x="7913"/>
        <item x="7915"/>
        <item x="7916"/>
        <item x="7917"/>
        <item x="7918"/>
        <item x="7919"/>
        <item x="7920"/>
        <item x="7921"/>
        <item x="7922"/>
        <item x="7923"/>
        <item x="7924"/>
        <item x="7925"/>
        <item x="7926"/>
        <item x="7927"/>
        <item x="7928"/>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7975"/>
        <item x="8194"/>
        <item x="8195"/>
        <item x="8196"/>
        <item x="8197"/>
        <item x="8198"/>
        <item x="8199"/>
        <item x="8200"/>
        <item x="8201"/>
        <item x="8202"/>
        <item x="8203"/>
        <item x="8204"/>
        <item x="8205"/>
        <item x="8206"/>
        <item x="8207"/>
        <item x="7990"/>
        <item x="8209"/>
        <item x="8210"/>
        <item x="8211"/>
        <item x="8212"/>
        <item x="8213"/>
        <item x="8214"/>
        <item x="8215"/>
        <item x="8216"/>
        <item x="8217"/>
        <item x="8218"/>
        <item x="8219"/>
        <item x="8220"/>
        <item x="8221"/>
        <item x="8222"/>
        <item x="7756"/>
        <item x="7991"/>
        <item x="7992"/>
        <item x="7993"/>
        <item x="7994"/>
        <item x="7995"/>
        <item x="7996"/>
        <item x="7997"/>
        <item x="7998"/>
        <item x="7999"/>
        <item x="8000"/>
        <item x="8001"/>
        <item x="8002"/>
        <item x="8003"/>
        <item x="7772"/>
        <item x="7773"/>
        <item x="8005"/>
        <item x="8006"/>
        <item x="8007"/>
        <item x="8008"/>
        <item x="8009"/>
        <item x="8010"/>
        <item x="8011"/>
        <item x="8012"/>
        <item x="8013"/>
        <item x="8014"/>
        <item x="8015"/>
        <item x="8016"/>
        <item x="8017"/>
        <item x="7789"/>
        <item x="8019"/>
        <item x="8020"/>
        <item x="8021"/>
        <item x="8022"/>
        <item x="8023"/>
        <item x="8024"/>
        <item x="8025"/>
        <item x="8026"/>
        <item x="8027"/>
        <item x="8028"/>
        <item x="8029"/>
        <item x="8030"/>
        <item x="8031"/>
        <item x="8032"/>
        <item x="7804"/>
        <item x="8034"/>
        <item x="8035"/>
        <item x="8036"/>
        <item x="8037"/>
        <item x="8038"/>
        <item x="8039"/>
        <item x="8040"/>
        <item x="8041"/>
        <item x="8042"/>
        <item x="8043"/>
        <item x="8044"/>
        <item x="8045"/>
        <item x="8046"/>
        <item x="7820"/>
        <item x="8048"/>
        <item x="8049"/>
        <item x="8050"/>
        <item x="8051"/>
        <item x="8052"/>
        <item x="8053"/>
        <item x="8054"/>
        <item x="8055"/>
        <item x="8056"/>
        <item x="8057"/>
        <item x="8058"/>
        <item x="8059"/>
        <item x="8060"/>
        <item x="8061"/>
        <item x="7836"/>
        <item x="8063"/>
        <item x="8064"/>
        <item x="8065"/>
        <item x="8066"/>
        <item x="8067"/>
        <item x="8068"/>
        <item x="8069"/>
        <item x="8070"/>
        <item x="8071"/>
        <item x="8072"/>
        <item x="8073"/>
        <item x="8074"/>
        <item x="8075"/>
        <item x="8076"/>
        <item x="7851"/>
        <item x="8078"/>
        <item x="8079"/>
        <item x="8080"/>
        <item x="8081"/>
        <item x="8082"/>
        <item x="8083"/>
        <item x="8084"/>
        <item x="8085"/>
        <item x="8086"/>
        <item x="8087"/>
        <item x="8088"/>
        <item x="8089"/>
        <item x="8090"/>
        <item x="7867"/>
        <item x="8092"/>
        <item x="8093"/>
        <item x="8094"/>
        <item x="8095"/>
        <item x="8096"/>
        <item x="8097"/>
        <item x="8098"/>
        <item x="8099"/>
        <item x="8100"/>
        <item x="8101"/>
        <item x="8102"/>
        <item x="8103"/>
        <item x="8104"/>
        <item x="8105"/>
        <item x="7882"/>
        <item x="8107"/>
        <item x="8108"/>
        <item x="8109"/>
        <item x="8110"/>
        <item x="8111"/>
        <item x="8112"/>
        <item x="8113"/>
        <item x="8114"/>
        <item x="8115"/>
        <item x="8116"/>
        <item x="8117"/>
        <item x="8118"/>
        <item x="8119"/>
        <item x="8120"/>
        <item x="7898"/>
        <item x="8122"/>
        <item x="8123"/>
        <item x="8124"/>
        <item x="8125"/>
        <item x="8126"/>
        <item x="8127"/>
        <item x="8128"/>
        <item x="8129"/>
        <item x="8130"/>
        <item x="8131"/>
        <item x="8132"/>
        <item x="8133"/>
        <item x="8134"/>
        <item x="7914"/>
        <item x="8136"/>
        <item x="8137"/>
        <item x="8138"/>
        <item x="8139"/>
        <item x="8140"/>
        <item x="8141"/>
        <item x="8142"/>
        <item x="8143"/>
        <item x="8144"/>
        <item x="8145"/>
        <item x="8146"/>
        <item x="8147"/>
        <item x="8148"/>
        <item x="8149"/>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208"/>
        <item x="8430"/>
        <item x="8431"/>
        <item x="8432"/>
        <item x="8433"/>
        <item x="8434"/>
        <item x="8435"/>
        <item x="8436"/>
        <item x="8437"/>
        <item x="8438"/>
        <item x="8439"/>
        <item x="8440"/>
        <item x="8441"/>
        <item x="8442"/>
        <item x="8223"/>
        <item x="8444"/>
        <item x="8445"/>
        <item x="8446"/>
        <item x="8447"/>
        <item x="8448"/>
        <item x="8449"/>
        <item x="8450"/>
        <item x="8451"/>
        <item x="8452"/>
        <item x="8453"/>
        <item x="8454"/>
        <item x="8455"/>
        <item x="8456"/>
        <item x="8457"/>
        <item x="8004"/>
        <item x="8224"/>
        <item x="8225"/>
        <item x="8226"/>
        <item x="8227"/>
        <item x="8228"/>
        <item x="8229"/>
        <item x="8230"/>
        <item x="8231"/>
        <item x="8232"/>
        <item x="8233"/>
        <item x="8234"/>
        <item x="8235"/>
        <item x="8236"/>
        <item x="8237"/>
        <item x="8018"/>
        <item x="8239"/>
        <item x="8240"/>
        <item x="8241"/>
        <item x="8242"/>
        <item x="8243"/>
        <item x="8244"/>
        <item x="8245"/>
        <item x="8246"/>
        <item x="8247"/>
        <item x="8248"/>
        <item x="8249"/>
        <item x="8250"/>
        <item x="8251"/>
        <item x="8033"/>
        <item x="8253"/>
        <item x="8254"/>
        <item x="8255"/>
        <item x="8256"/>
        <item x="8257"/>
        <item x="8258"/>
        <item x="8259"/>
        <item x="8260"/>
        <item x="8261"/>
        <item x="8262"/>
        <item x="8263"/>
        <item x="8264"/>
        <item x="8265"/>
        <item x="8266"/>
        <item x="8047"/>
        <item x="8268"/>
        <item x="8269"/>
        <item x="8270"/>
        <item x="8271"/>
        <item x="8272"/>
        <item x="8273"/>
        <item x="8274"/>
        <item x="8275"/>
        <item x="8276"/>
        <item x="8277"/>
        <item x="8278"/>
        <item x="8279"/>
        <item x="8280"/>
        <item x="8062"/>
        <item x="8282"/>
        <item x="8283"/>
        <item x="8284"/>
        <item x="8285"/>
        <item x="8286"/>
        <item x="8287"/>
        <item x="8288"/>
        <item x="8289"/>
        <item x="8290"/>
        <item x="8291"/>
        <item x="8292"/>
        <item x="8293"/>
        <item x="8294"/>
        <item x="8295"/>
        <item x="8077"/>
        <item x="8297"/>
        <item x="8298"/>
        <item x="8299"/>
        <item x="8300"/>
        <item x="8301"/>
        <item x="8302"/>
        <item x="8303"/>
        <item x="8304"/>
        <item x="8305"/>
        <item x="8306"/>
        <item x="8307"/>
        <item x="8308"/>
        <item x="8309"/>
        <item x="8310"/>
        <item x="8091"/>
        <item x="8312"/>
        <item x="8313"/>
        <item x="8314"/>
        <item x="8315"/>
        <item x="8316"/>
        <item x="8317"/>
        <item x="8318"/>
        <item x="8319"/>
        <item x="8320"/>
        <item x="8321"/>
        <item x="8322"/>
        <item x="8323"/>
        <item x="8324"/>
        <item x="8106"/>
        <item x="8326"/>
        <item x="8327"/>
        <item x="8328"/>
        <item x="8329"/>
        <item x="8330"/>
        <item x="8331"/>
        <item x="8332"/>
        <item x="8333"/>
        <item x="8334"/>
        <item x="8335"/>
        <item x="8336"/>
        <item x="8337"/>
        <item x="8338"/>
        <item x="8339"/>
        <item x="8121"/>
        <item x="8341"/>
        <item x="8342"/>
        <item x="8343"/>
        <item x="8344"/>
        <item x="8345"/>
        <item x="8346"/>
        <item x="8347"/>
        <item x="8348"/>
        <item x="8349"/>
        <item x="8350"/>
        <item x="8351"/>
        <item x="8352"/>
        <item x="8353"/>
        <item x="8354"/>
        <item x="8135"/>
        <item x="8356"/>
        <item x="8357"/>
        <item x="8358"/>
        <item x="8359"/>
        <item x="8360"/>
        <item x="8361"/>
        <item x="8362"/>
        <item x="8363"/>
        <item x="8364"/>
        <item x="8365"/>
        <item x="8366"/>
        <item x="8367"/>
        <item x="8368"/>
        <item x="8369"/>
        <item x="8150"/>
        <item x="8371"/>
        <item x="8372"/>
        <item x="8373"/>
        <item x="8374"/>
        <item x="8375"/>
        <item x="8376"/>
        <item x="8377"/>
        <item x="8378"/>
        <item x="8379"/>
        <item x="8380"/>
        <item x="8381"/>
        <item x="8382"/>
        <item x="8383"/>
        <item x="8384"/>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443"/>
        <item x="8665"/>
        <item x="8666"/>
        <item x="8667"/>
        <item x="8668"/>
        <item x="8669"/>
        <item x="8670"/>
        <item x="8671"/>
        <item x="8672"/>
        <item x="8673"/>
        <item x="8674"/>
        <item x="8675"/>
        <item x="8676"/>
        <item x="8677"/>
        <item x="8678"/>
        <item x="8458"/>
        <item x="8680"/>
        <item x="8681"/>
        <item x="8682"/>
        <item x="8683"/>
        <item x="8684"/>
        <item x="8685"/>
        <item x="8686"/>
        <item x="8687"/>
        <item x="8688"/>
        <item x="8689"/>
        <item x="8690"/>
        <item x="8691"/>
        <item x="8692"/>
        <item x="8238"/>
        <item x="8459"/>
        <item x="8460"/>
        <item x="8461"/>
        <item x="8462"/>
        <item x="8463"/>
        <item x="8464"/>
        <item x="8465"/>
        <item x="8466"/>
        <item x="8467"/>
        <item x="8468"/>
        <item x="8469"/>
        <item x="8470"/>
        <item x="8471"/>
        <item x="8472"/>
        <item x="8252"/>
        <item x="8474"/>
        <item x="8475"/>
        <item x="8476"/>
        <item x="8477"/>
        <item x="8478"/>
        <item x="8479"/>
        <item x="8480"/>
        <item x="8481"/>
        <item x="8482"/>
        <item x="8483"/>
        <item x="8484"/>
        <item x="8485"/>
        <item x="8486"/>
        <item x="8487"/>
        <item x="8267"/>
        <item x="8489"/>
        <item x="8490"/>
        <item x="8491"/>
        <item x="8492"/>
        <item x="8493"/>
        <item x="8494"/>
        <item x="8495"/>
        <item x="8496"/>
        <item x="8497"/>
        <item x="8498"/>
        <item x="8499"/>
        <item x="8500"/>
        <item x="8501"/>
        <item x="8281"/>
        <item x="8503"/>
        <item x="8504"/>
        <item x="8505"/>
        <item x="8506"/>
        <item x="8507"/>
        <item x="8508"/>
        <item x="8509"/>
        <item x="8510"/>
        <item x="8511"/>
        <item x="8512"/>
        <item x="8513"/>
        <item x="8514"/>
        <item x="8515"/>
        <item x="8516"/>
        <item x="8296"/>
        <item x="8518"/>
        <item x="8519"/>
        <item x="8520"/>
        <item x="8521"/>
        <item x="8522"/>
        <item x="8523"/>
        <item x="8524"/>
        <item x="8525"/>
        <item x="8526"/>
        <item x="8527"/>
        <item x="8528"/>
        <item x="8529"/>
        <item x="8530"/>
        <item x="8531"/>
        <item x="8311"/>
        <item x="8533"/>
        <item x="8534"/>
        <item x="8535"/>
        <item x="8536"/>
        <item x="8537"/>
        <item x="8538"/>
        <item x="8539"/>
        <item x="8540"/>
        <item x="8541"/>
        <item x="8542"/>
        <item x="8543"/>
        <item x="8544"/>
        <item x="8545"/>
        <item x="8325"/>
        <item x="8547"/>
        <item x="8548"/>
        <item x="8549"/>
        <item x="8550"/>
        <item x="8551"/>
        <item x="8552"/>
        <item x="8553"/>
        <item x="8554"/>
        <item x="8555"/>
        <item x="8556"/>
        <item x="8557"/>
        <item x="8558"/>
        <item x="8559"/>
        <item x="8560"/>
        <item x="8340"/>
        <item x="8562"/>
        <item x="8563"/>
        <item x="8564"/>
        <item x="8565"/>
        <item x="8566"/>
        <item x="8567"/>
        <item x="8568"/>
        <item x="8569"/>
        <item x="8570"/>
        <item x="8571"/>
        <item x="8572"/>
        <item x="8573"/>
        <item x="8574"/>
        <item x="8355"/>
        <item x="8576"/>
        <item x="8577"/>
        <item x="8578"/>
        <item x="8579"/>
        <item x="8580"/>
        <item x="8581"/>
        <item x="8582"/>
        <item x="8583"/>
        <item x="8584"/>
        <item x="8585"/>
        <item x="8586"/>
        <item x="8587"/>
        <item x="8588"/>
        <item x="8589"/>
        <item x="8370"/>
        <item x="8591"/>
        <item x="8592"/>
        <item x="8593"/>
        <item x="8594"/>
        <item x="8595"/>
        <item x="8596"/>
        <item x="8597"/>
        <item x="8598"/>
        <item x="8599"/>
        <item x="8600"/>
        <item x="8601"/>
        <item x="8602"/>
        <item x="8603"/>
        <item x="8604"/>
        <item x="8385"/>
        <item x="8606"/>
        <item x="8607"/>
        <item x="8608"/>
        <item x="8609"/>
        <item x="8610"/>
        <item x="8611"/>
        <item x="8612"/>
        <item x="8613"/>
        <item x="8614"/>
        <item x="8615"/>
        <item x="8616"/>
        <item x="8617"/>
        <item x="8618"/>
        <item x="8619"/>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664"/>
        <item x="8885"/>
        <item x="8886"/>
        <item x="8887"/>
        <item x="8888"/>
        <item x="8889"/>
        <item x="8890"/>
        <item x="8891"/>
        <item x="8892"/>
        <item x="8893"/>
        <item x="8894"/>
        <item x="8895"/>
        <item x="8896"/>
        <item x="8897"/>
        <item x="8679"/>
        <item x="8899"/>
        <item x="8900"/>
        <item x="8901"/>
        <item x="8902"/>
        <item x="8903"/>
        <item x="8904"/>
        <item x="8905"/>
        <item x="8906"/>
        <item x="8907"/>
        <item x="8908"/>
        <item x="8909"/>
        <item x="8910"/>
        <item x="8911"/>
        <item x="8912"/>
        <item x="8693"/>
        <item x="8914"/>
        <item x="8915"/>
        <item x="8916"/>
        <item x="8917"/>
        <item x="8918"/>
        <item x="8919"/>
        <item x="8920"/>
        <item x="8921"/>
        <item x="8922"/>
        <item x="8923"/>
        <item x="8924"/>
        <item x="8925"/>
        <item x="8926"/>
        <item x="8473"/>
        <item x="8694"/>
        <item x="8695"/>
        <item x="8696"/>
        <item x="8697"/>
        <item x="8698"/>
        <item x="8699"/>
        <item x="8700"/>
        <item x="8701"/>
        <item x="8702"/>
        <item x="8703"/>
        <item x="8704"/>
        <item x="8705"/>
        <item x="8706"/>
        <item x="8707"/>
        <item x="8488"/>
        <item x="8709"/>
        <item x="8710"/>
        <item x="8711"/>
        <item x="8712"/>
        <item x="8713"/>
        <item x="8714"/>
        <item x="8715"/>
        <item x="8716"/>
        <item x="8717"/>
        <item x="8718"/>
        <item x="8719"/>
        <item x="8720"/>
        <item x="8721"/>
        <item x="8722"/>
        <item x="8502"/>
        <item x="8724"/>
        <item x="8725"/>
        <item x="8726"/>
        <item x="8727"/>
        <item x="8728"/>
        <item x="8729"/>
        <item x="8730"/>
        <item x="8731"/>
        <item x="8732"/>
        <item x="8733"/>
        <item x="8734"/>
        <item x="8735"/>
        <item x="8736"/>
        <item x="8517"/>
        <item x="8738"/>
        <item x="8739"/>
        <item x="8740"/>
        <item x="8741"/>
        <item x="8742"/>
        <item x="8743"/>
        <item x="8744"/>
        <item x="8745"/>
        <item x="8746"/>
        <item x="8747"/>
        <item x="8748"/>
        <item x="8749"/>
        <item x="8750"/>
        <item x="8751"/>
        <item x="8532"/>
        <item x="8753"/>
        <item x="8754"/>
        <item x="8755"/>
        <item x="8756"/>
        <item x="8757"/>
        <item x="8758"/>
        <item x="8759"/>
        <item x="8760"/>
        <item x="8761"/>
        <item x="8762"/>
        <item x="8763"/>
        <item x="8764"/>
        <item x="8765"/>
        <item x="8766"/>
        <item x="8546"/>
        <item x="8768"/>
        <item x="8769"/>
        <item x="8770"/>
        <item x="8771"/>
        <item x="8772"/>
        <item x="8773"/>
        <item x="8774"/>
        <item x="8775"/>
        <item x="8776"/>
        <item x="8777"/>
        <item x="8778"/>
        <item x="8779"/>
        <item x="8780"/>
        <item x="8561"/>
        <item x="8782"/>
        <item x="8783"/>
        <item x="8784"/>
        <item x="8785"/>
        <item x="8786"/>
        <item x="8787"/>
        <item x="8788"/>
        <item x="8789"/>
        <item x="8790"/>
        <item x="8791"/>
        <item x="8792"/>
        <item x="8793"/>
        <item x="8794"/>
        <item x="8795"/>
        <item x="8575"/>
        <item x="8797"/>
        <item x="8798"/>
        <item x="8799"/>
        <item x="8800"/>
        <item x="8801"/>
        <item x="8802"/>
        <item x="8803"/>
        <item x="8804"/>
        <item x="8805"/>
        <item x="8806"/>
        <item x="8807"/>
        <item x="8808"/>
        <item x="8809"/>
        <item x="8810"/>
        <item x="8590"/>
        <item x="8812"/>
        <item x="8813"/>
        <item x="8814"/>
        <item x="8815"/>
        <item x="8816"/>
        <item x="8817"/>
        <item x="8818"/>
        <item x="8819"/>
        <item x="8820"/>
        <item x="8821"/>
        <item x="8822"/>
        <item x="8823"/>
        <item x="8824"/>
        <item x="8605"/>
        <item x="8826"/>
        <item x="8827"/>
        <item x="8828"/>
        <item x="8829"/>
        <item x="8830"/>
        <item x="8831"/>
        <item x="8832"/>
        <item x="8833"/>
        <item x="8834"/>
        <item x="8835"/>
        <item x="8836"/>
        <item x="8837"/>
        <item x="8838"/>
        <item x="8839"/>
        <item x="8620"/>
        <item x="8841"/>
        <item x="8842"/>
        <item x="8843"/>
        <item x="8844"/>
        <item x="8845"/>
        <item x="8846"/>
        <item x="8847"/>
        <item x="8848"/>
        <item x="8849"/>
        <item x="8850"/>
        <item x="8851"/>
        <item x="8852"/>
        <item x="8853"/>
        <item x="8854"/>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8898"/>
        <item x="9118"/>
        <item x="9119"/>
        <item x="9120"/>
        <item x="9121"/>
        <item x="9122"/>
        <item x="9123"/>
        <item x="9124"/>
        <item x="9125"/>
        <item x="9126"/>
        <item x="9127"/>
        <item x="9128"/>
        <item x="9129"/>
        <item x="9130"/>
        <item x="9131"/>
        <item x="8913"/>
        <item x="9133"/>
        <item x="9134"/>
        <item x="9135"/>
        <item x="9136"/>
        <item x="9137"/>
        <item x="9138"/>
        <item x="9139"/>
        <item x="9140"/>
        <item x="9141"/>
        <item x="9142"/>
        <item x="9143"/>
        <item x="9144"/>
        <item x="9145"/>
        <item x="8927"/>
        <item x="9147"/>
        <item x="9148"/>
        <item x="9149"/>
        <item x="9150"/>
        <item x="9151"/>
        <item x="9152"/>
        <item x="9153"/>
        <item x="9154"/>
        <item x="9155"/>
        <item x="9156"/>
        <item x="9157"/>
        <item x="9158"/>
        <item x="9159"/>
        <item x="9160"/>
        <item x="8708"/>
        <item x="8928"/>
        <item x="8929"/>
        <item x="8930"/>
        <item x="8931"/>
        <item x="8932"/>
        <item x="8933"/>
        <item x="8934"/>
        <item x="8935"/>
        <item x="8936"/>
        <item x="8937"/>
        <item x="8938"/>
        <item x="8939"/>
        <item x="8940"/>
        <item x="8941"/>
        <item x="8723"/>
        <item x="8943"/>
        <item x="8944"/>
        <item x="8945"/>
        <item x="8946"/>
        <item x="8947"/>
        <item x="8948"/>
        <item x="8949"/>
        <item x="8950"/>
        <item x="8951"/>
        <item x="8952"/>
        <item x="8953"/>
        <item x="8954"/>
        <item x="8955"/>
        <item x="8737"/>
        <item x="8957"/>
        <item x="8958"/>
        <item x="8959"/>
        <item x="8960"/>
        <item x="8961"/>
        <item x="8962"/>
        <item x="8963"/>
        <item x="8964"/>
        <item x="8965"/>
        <item x="8966"/>
        <item x="8967"/>
        <item x="8968"/>
        <item x="8969"/>
        <item x="8970"/>
        <item x="8752"/>
        <item x="8972"/>
        <item x="8973"/>
        <item x="8974"/>
        <item x="8975"/>
        <item x="8976"/>
        <item x="8977"/>
        <item x="8978"/>
        <item x="8979"/>
        <item x="8980"/>
        <item x="8981"/>
        <item x="8982"/>
        <item x="8983"/>
        <item x="8984"/>
        <item x="8767"/>
        <item x="8986"/>
        <item x="8987"/>
        <item x="8988"/>
        <item x="8989"/>
        <item x="8990"/>
        <item x="8991"/>
        <item x="8992"/>
        <item x="8993"/>
        <item x="8994"/>
        <item x="8995"/>
        <item x="8996"/>
        <item x="8997"/>
        <item x="8998"/>
        <item x="8999"/>
        <item x="8781"/>
        <item x="9001"/>
        <item x="9002"/>
        <item x="9003"/>
        <item x="9004"/>
        <item x="9005"/>
        <item x="9006"/>
        <item x="9007"/>
        <item x="9008"/>
        <item x="9009"/>
        <item x="9010"/>
        <item x="9011"/>
        <item x="9012"/>
        <item x="9013"/>
        <item x="9014"/>
        <item x="8796"/>
        <item x="9016"/>
        <item x="9017"/>
        <item x="9018"/>
        <item x="9019"/>
        <item x="9020"/>
        <item x="9021"/>
        <item x="9022"/>
        <item x="9023"/>
        <item x="9024"/>
        <item x="9025"/>
        <item x="9026"/>
        <item x="9027"/>
        <item x="9028"/>
        <item x="9029"/>
        <item x="8811"/>
        <item x="9031"/>
        <item x="9032"/>
        <item x="9033"/>
        <item x="9034"/>
        <item x="9035"/>
        <item x="9036"/>
        <item x="9037"/>
        <item x="9038"/>
        <item x="9039"/>
        <item x="9040"/>
        <item x="9041"/>
        <item x="9042"/>
        <item x="9043"/>
        <item x="8825"/>
        <item x="9044"/>
        <item x="9045"/>
        <item x="9046"/>
        <item x="9047"/>
        <item x="9048"/>
        <item x="9049"/>
        <item x="9050"/>
        <item x="9051"/>
        <item x="9052"/>
        <item x="9053"/>
        <item x="9054"/>
        <item x="9055"/>
        <item x="9056"/>
        <item x="9057"/>
        <item x="8840"/>
        <item x="9059"/>
        <item x="9060"/>
        <item x="9061"/>
        <item x="9062"/>
        <item x="9063"/>
        <item x="9064"/>
        <item x="9065"/>
        <item x="9066"/>
        <item x="9067"/>
        <item x="9068"/>
        <item x="9069"/>
        <item x="9070"/>
        <item x="9071"/>
        <item x="9072"/>
        <item x="8855"/>
        <item x="9074"/>
        <item x="9075"/>
        <item x="9076"/>
        <item x="9077"/>
        <item x="9078"/>
        <item x="9079"/>
        <item x="9080"/>
        <item x="9081"/>
        <item x="9082"/>
        <item x="9083"/>
        <item x="9084"/>
        <item x="9085"/>
        <item x="9086"/>
        <item x="9087"/>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132"/>
        <item x="9351"/>
        <item x="9352"/>
        <item x="9353"/>
        <item x="9354"/>
        <item x="9355"/>
        <item x="9356"/>
        <item x="9357"/>
        <item x="9358"/>
        <item x="9359"/>
        <item x="9360"/>
        <item x="9361"/>
        <item x="9362"/>
        <item x="9363"/>
        <item x="9146"/>
        <item x="9365"/>
        <item x="9366"/>
        <item x="9367"/>
        <item x="9368"/>
        <item x="9369"/>
        <item x="9370"/>
        <item x="9371"/>
        <item x="9372"/>
        <item x="9373"/>
        <item x="9374"/>
        <item x="9375"/>
        <item x="9376"/>
        <item x="9377"/>
        <item x="9378"/>
        <item x="9161"/>
        <item x="9380"/>
        <item x="9381"/>
        <item x="9382"/>
        <item x="9383"/>
        <item x="9384"/>
        <item x="9385"/>
        <item x="9386"/>
        <item x="9387"/>
        <item x="9388"/>
        <item x="9389"/>
        <item x="9390"/>
        <item x="9391"/>
        <item x="9392"/>
        <item x="8942"/>
        <item x="9162"/>
        <item x="9163"/>
        <item x="9164"/>
        <item x="9165"/>
        <item x="9166"/>
        <item x="9167"/>
        <item x="9168"/>
        <item x="9169"/>
        <item x="9170"/>
        <item x="9171"/>
        <item x="9172"/>
        <item x="9173"/>
        <item x="9174"/>
        <item x="9175"/>
        <item x="8956"/>
        <item x="9177"/>
        <item x="9178"/>
        <item x="9179"/>
        <item x="9180"/>
        <item x="9181"/>
        <item x="9182"/>
        <item x="9183"/>
        <item x="9184"/>
        <item x="9185"/>
        <item x="9186"/>
        <item x="9187"/>
        <item x="9188"/>
        <item x="9189"/>
        <item x="8971"/>
        <item x="9191"/>
        <item x="9192"/>
        <item x="9193"/>
        <item x="9194"/>
        <item x="9195"/>
        <item x="9196"/>
        <item x="9197"/>
        <item x="9198"/>
        <item x="9199"/>
        <item x="9200"/>
        <item x="9201"/>
        <item x="9202"/>
        <item x="9203"/>
        <item x="9204"/>
        <item x="8985"/>
        <item x="9206"/>
        <item x="9207"/>
        <item x="9208"/>
        <item x="9209"/>
        <item x="9210"/>
        <item x="9211"/>
        <item x="9212"/>
        <item x="9213"/>
        <item x="9214"/>
        <item x="9215"/>
        <item x="9216"/>
        <item x="9217"/>
        <item x="9218"/>
        <item x="9000"/>
        <item x="9220"/>
        <item x="9221"/>
        <item x="9222"/>
        <item x="9223"/>
        <item x="9224"/>
        <item x="9225"/>
        <item x="9226"/>
        <item x="9227"/>
        <item x="9228"/>
        <item x="9229"/>
        <item x="9230"/>
        <item x="9231"/>
        <item x="9232"/>
        <item x="9233"/>
        <item x="9015"/>
        <item x="9235"/>
        <item x="9236"/>
        <item x="9237"/>
        <item x="9238"/>
        <item x="9239"/>
        <item x="9240"/>
        <item x="9241"/>
        <item x="9242"/>
        <item x="9243"/>
        <item x="9244"/>
        <item x="9245"/>
        <item x="9246"/>
        <item x="9247"/>
        <item x="9030"/>
        <item x="9249"/>
        <item x="9250"/>
        <item x="9251"/>
        <item x="9252"/>
        <item x="9253"/>
        <item x="9254"/>
        <item x="9255"/>
        <item x="9256"/>
        <item x="9257"/>
        <item x="9258"/>
        <item x="9259"/>
        <item x="9260"/>
        <item x="9261"/>
        <item x="9262"/>
        <item x="9264"/>
        <item x="9265"/>
        <item x="9266"/>
        <item x="9267"/>
        <item x="9268"/>
        <item x="9269"/>
        <item x="9270"/>
        <item x="9271"/>
        <item x="9272"/>
        <item x="9273"/>
        <item x="9274"/>
        <item x="9275"/>
        <item x="9276"/>
        <item x="9277"/>
        <item x="9058"/>
        <item x="9278"/>
        <item x="9279"/>
        <item x="9280"/>
        <item x="9281"/>
        <item x="9282"/>
        <item x="9283"/>
        <item x="9284"/>
        <item x="9285"/>
        <item x="9286"/>
        <item x="9287"/>
        <item x="9288"/>
        <item x="9289"/>
        <item x="9290"/>
        <item x="9291"/>
        <item x="9073"/>
        <item x="9293"/>
        <item x="9294"/>
        <item x="9295"/>
        <item x="9296"/>
        <item x="9297"/>
        <item x="9298"/>
        <item x="9299"/>
        <item x="9300"/>
        <item x="9301"/>
        <item x="9302"/>
        <item x="9303"/>
        <item x="9304"/>
        <item x="9305"/>
        <item x="9088"/>
        <item x="9307"/>
        <item x="9308"/>
        <item x="9309"/>
        <item x="9310"/>
        <item x="9311"/>
        <item x="9312"/>
        <item x="9313"/>
        <item x="9314"/>
        <item x="9315"/>
        <item x="9316"/>
        <item x="9317"/>
        <item x="9318"/>
        <item x="9319"/>
        <item x="9320"/>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364"/>
        <item x="9583"/>
        <item x="9584"/>
        <item x="9585"/>
        <item x="9586"/>
        <item x="9587"/>
        <item x="9588"/>
        <item x="9589"/>
        <item x="9590"/>
        <item x="9591"/>
        <item x="9592"/>
        <item x="9593"/>
        <item x="9594"/>
        <item x="9595"/>
        <item x="9379"/>
        <item x="9597"/>
        <item x="9598"/>
        <item x="9599"/>
        <item x="9600"/>
        <item x="9601"/>
        <item x="9602"/>
        <item x="9603"/>
        <item x="9604"/>
        <item x="9605"/>
        <item x="9606"/>
        <item x="9607"/>
        <item x="9608"/>
        <item x="9609"/>
        <item x="9610"/>
        <item x="9393"/>
        <item x="9612"/>
        <item x="9613"/>
        <item x="9614"/>
        <item x="9615"/>
        <item x="9616"/>
        <item x="9617"/>
        <item x="9618"/>
        <item x="9619"/>
        <item x="9620"/>
        <item x="9621"/>
        <item x="9622"/>
        <item x="9623"/>
        <item x="9624"/>
        <item x="9176"/>
        <item x="9394"/>
        <item x="9395"/>
        <item x="9396"/>
        <item x="9397"/>
        <item x="9398"/>
        <item x="9399"/>
        <item x="9400"/>
        <item x="9401"/>
        <item x="9402"/>
        <item x="9403"/>
        <item x="9404"/>
        <item x="9405"/>
        <item x="9406"/>
        <item x="9407"/>
        <item x="9190"/>
        <item x="9409"/>
        <item x="9410"/>
        <item x="9411"/>
        <item x="9412"/>
        <item x="9413"/>
        <item x="9414"/>
        <item x="9415"/>
        <item x="9416"/>
        <item x="9417"/>
        <item x="9418"/>
        <item x="9419"/>
        <item x="9420"/>
        <item x="9421"/>
        <item x="9205"/>
        <item x="9423"/>
        <item x="9424"/>
        <item x="9425"/>
        <item x="9426"/>
        <item x="9427"/>
        <item x="9428"/>
        <item x="9429"/>
        <item x="9430"/>
        <item x="9431"/>
        <item x="9432"/>
        <item x="9433"/>
        <item x="9434"/>
        <item x="9435"/>
        <item x="9436"/>
        <item x="9219"/>
        <item x="9438"/>
        <item x="9439"/>
        <item x="9440"/>
        <item x="9441"/>
        <item x="9442"/>
        <item x="9443"/>
        <item x="9444"/>
        <item x="9445"/>
        <item x="9446"/>
        <item x="9447"/>
        <item x="9448"/>
        <item x="9449"/>
        <item x="9450"/>
        <item x="9234"/>
        <item x="9452"/>
        <item x="9453"/>
        <item x="9454"/>
        <item x="9455"/>
        <item x="9456"/>
        <item x="9457"/>
        <item x="9458"/>
        <item x="9459"/>
        <item x="9460"/>
        <item x="9461"/>
        <item x="9462"/>
        <item x="9463"/>
        <item x="9464"/>
        <item x="9465"/>
        <item x="9248"/>
        <item x="9467"/>
        <item x="9468"/>
        <item x="9469"/>
        <item x="9470"/>
        <item x="9471"/>
        <item x="9472"/>
        <item x="9473"/>
        <item x="9474"/>
        <item x="9475"/>
        <item x="9476"/>
        <item x="9477"/>
        <item x="9478"/>
        <item x="9479"/>
        <item x="9263"/>
        <item x="9481"/>
        <item x="9482"/>
        <item x="9483"/>
        <item x="9484"/>
        <item x="9485"/>
        <item x="9486"/>
        <item x="9487"/>
        <item x="9488"/>
        <item x="9489"/>
        <item x="9490"/>
        <item x="9491"/>
        <item x="9492"/>
        <item x="9493"/>
        <item x="9494"/>
        <item x="9496"/>
        <item x="9497"/>
        <item x="9498"/>
        <item x="9499"/>
        <item x="9500"/>
        <item x="9501"/>
        <item x="9502"/>
        <item x="9503"/>
        <item x="9504"/>
        <item x="9505"/>
        <item x="9506"/>
        <item x="9507"/>
        <item x="9508"/>
        <item x="9509"/>
        <item x="9292"/>
        <item x="9510"/>
        <item x="9511"/>
        <item x="9512"/>
        <item x="9513"/>
        <item x="9514"/>
        <item x="9515"/>
        <item x="9516"/>
        <item x="9517"/>
        <item x="9518"/>
        <item x="9519"/>
        <item x="9520"/>
        <item x="9521"/>
        <item x="9522"/>
        <item x="9523"/>
        <item x="9306"/>
        <item x="9525"/>
        <item x="9526"/>
        <item x="9527"/>
        <item x="9528"/>
        <item x="9529"/>
        <item x="9530"/>
        <item x="9531"/>
        <item x="9532"/>
        <item x="9533"/>
        <item x="9534"/>
        <item x="9535"/>
        <item x="9536"/>
        <item x="9537"/>
        <item x="9321"/>
        <item x="9539"/>
        <item x="9540"/>
        <item x="9541"/>
        <item x="9542"/>
        <item x="9543"/>
        <item x="9544"/>
        <item x="9545"/>
        <item x="9546"/>
        <item x="9547"/>
        <item x="9548"/>
        <item x="9549"/>
        <item x="9550"/>
        <item x="9551"/>
        <item x="9552"/>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596"/>
        <item x="9815"/>
        <item x="9816"/>
        <item x="9817"/>
        <item x="9818"/>
        <item x="9819"/>
        <item x="9820"/>
        <item x="9821"/>
        <item x="9822"/>
        <item x="9823"/>
        <item x="9824"/>
        <item x="9825"/>
        <item x="9826"/>
        <item x="9827"/>
        <item x="9611"/>
        <item x="9829"/>
        <item x="9830"/>
        <item x="9831"/>
        <item x="9832"/>
        <item x="9833"/>
        <item x="9834"/>
        <item x="9835"/>
        <item x="9836"/>
        <item x="9837"/>
        <item x="9838"/>
        <item x="9839"/>
        <item x="9840"/>
        <item x="9841"/>
        <item x="9842"/>
        <item x="9625"/>
        <item x="9844"/>
        <item x="9845"/>
        <item x="9846"/>
        <item x="9847"/>
        <item x="9848"/>
        <item x="9849"/>
        <item x="9850"/>
        <item x="9851"/>
        <item x="9852"/>
        <item x="9853"/>
        <item x="9854"/>
        <item x="9855"/>
        <item x="9856"/>
        <item x="9408"/>
        <item x="9626"/>
        <item x="9627"/>
        <item x="9628"/>
        <item x="9629"/>
        <item x="9630"/>
        <item x="9631"/>
        <item x="9632"/>
        <item x="9633"/>
        <item x="9634"/>
        <item x="9635"/>
        <item x="9636"/>
        <item x="9637"/>
        <item x="9638"/>
        <item x="9639"/>
        <item x="9422"/>
        <item x="9641"/>
        <item x="9642"/>
        <item x="9643"/>
        <item x="9644"/>
        <item x="9645"/>
        <item x="9646"/>
        <item x="9647"/>
        <item x="9648"/>
        <item x="9649"/>
        <item x="9650"/>
        <item x="9651"/>
        <item x="9652"/>
        <item x="9653"/>
        <item x="9437"/>
        <item x="9655"/>
        <item x="9656"/>
        <item x="9657"/>
        <item x="9658"/>
        <item x="9659"/>
        <item x="9660"/>
        <item x="9661"/>
        <item x="9662"/>
        <item x="9663"/>
        <item x="9664"/>
        <item x="9665"/>
        <item x="9666"/>
        <item x="9667"/>
        <item x="9668"/>
        <item x="9451"/>
        <item x="9670"/>
        <item x="9671"/>
        <item x="9672"/>
        <item x="9673"/>
        <item x="9674"/>
        <item x="9675"/>
        <item x="9676"/>
        <item x="9677"/>
        <item x="9678"/>
        <item x="9679"/>
        <item x="9680"/>
        <item x="9681"/>
        <item x="9682"/>
        <item x="9466"/>
        <item x="9684"/>
        <item x="9685"/>
        <item x="9686"/>
        <item x="9687"/>
        <item x="9688"/>
        <item x="9689"/>
        <item x="9690"/>
        <item x="9691"/>
        <item x="9692"/>
        <item x="9693"/>
        <item x="9694"/>
        <item x="9695"/>
        <item x="9696"/>
        <item x="9697"/>
        <item x="9480"/>
        <item x="9699"/>
        <item x="9700"/>
        <item x="9701"/>
        <item x="9702"/>
        <item x="9703"/>
        <item x="9704"/>
        <item x="9705"/>
        <item x="9706"/>
        <item x="9707"/>
        <item x="9708"/>
        <item x="9709"/>
        <item x="9710"/>
        <item x="9711"/>
        <item x="9495"/>
        <item x="9713"/>
        <item x="9714"/>
        <item x="9715"/>
        <item x="9716"/>
        <item x="9717"/>
        <item x="9718"/>
        <item x="9719"/>
        <item x="9720"/>
        <item x="9721"/>
        <item x="9722"/>
        <item x="9723"/>
        <item x="9724"/>
        <item x="9725"/>
        <item x="9726"/>
        <item x="9728"/>
        <item x="9729"/>
        <item x="9730"/>
        <item x="9731"/>
        <item x="9732"/>
        <item x="9733"/>
        <item x="9734"/>
        <item x="9735"/>
        <item x="9736"/>
        <item x="9737"/>
        <item x="9738"/>
        <item x="9739"/>
        <item x="9740"/>
        <item x="9741"/>
        <item x="9524"/>
        <item x="9742"/>
        <item x="9743"/>
        <item x="9744"/>
        <item x="9745"/>
        <item x="9746"/>
        <item x="9747"/>
        <item x="9748"/>
        <item x="9749"/>
        <item x="9750"/>
        <item x="9751"/>
        <item x="9752"/>
        <item x="9753"/>
        <item x="9754"/>
        <item x="9755"/>
        <item x="9538"/>
        <item x="9757"/>
        <item x="9758"/>
        <item x="9759"/>
        <item x="9760"/>
        <item x="9761"/>
        <item x="9762"/>
        <item x="9763"/>
        <item x="9764"/>
        <item x="9765"/>
        <item x="9766"/>
        <item x="9767"/>
        <item x="9768"/>
        <item x="9769"/>
        <item x="9553"/>
        <item x="9771"/>
        <item x="9772"/>
        <item x="9773"/>
        <item x="9774"/>
        <item x="9775"/>
        <item x="9776"/>
        <item x="9777"/>
        <item x="9778"/>
        <item x="9779"/>
        <item x="9780"/>
        <item x="9781"/>
        <item x="9782"/>
        <item x="9783"/>
        <item x="9784"/>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9828"/>
        <item x="10047"/>
        <item x="10048"/>
        <item x="10049"/>
        <item x="10050"/>
        <item x="10051"/>
        <item x="10052"/>
        <item x="10053"/>
        <item x="10054"/>
        <item x="10055"/>
        <item x="10056"/>
        <item x="10057"/>
        <item x="10058"/>
        <item x="10059"/>
        <item x="9843"/>
        <item x="10061"/>
        <item x="10062"/>
        <item x="10063"/>
        <item x="10064"/>
        <item x="10065"/>
        <item x="10066"/>
        <item x="10067"/>
        <item x="10068"/>
        <item x="10069"/>
        <item x="10070"/>
        <item x="10071"/>
        <item x="10072"/>
        <item x="10073"/>
        <item x="10074"/>
        <item x="9857"/>
        <item x="10076"/>
        <item x="10077"/>
        <item x="10078"/>
        <item x="10079"/>
        <item x="10080"/>
        <item x="10081"/>
        <item x="10082"/>
        <item x="10083"/>
        <item x="10084"/>
        <item x="10085"/>
        <item x="10086"/>
        <item x="10087"/>
        <item x="10088"/>
        <item x="9640"/>
        <item x="9858"/>
        <item x="9859"/>
        <item x="9860"/>
        <item x="9861"/>
        <item x="9862"/>
        <item x="9863"/>
        <item x="9864"/>
        <item x="9865"/>
        <item x="9866"/>
        <item x="9867"/>
        <item x="9868"/>
        <item x="9869"/>
        <item x="9870"/>
        <item x="9871"/>
        <item x="9654"/>
        <item x="9873"/>
        <item x="9874"/>
        <item x="9875"/>
        <item x="9876"/>
        <item x="9877"/>
        <item x="9878"/>
        <item x="9879"/>
        <item x="9880"/>
        <item x="9881"/>
        <item x="9882"/>
        <item x="9883"/>
        <item x="9884"/>
        <item x="9885"/>
        <item x="9669"/>
        <item x="9887"/>
        <item x="9888"/>
        <item x="9889"/>
        <item x="9890"/>
        <item x="9891"/>
        <item x="9892"/>
        <item x="9893"/>
        <item x="9894"/>
        <item x="9895"/>
        <item x="9896"/>
        <item x="9897"/>
        <item x="9898"/>
        <item x="9899"/>
        <item x="9900"/>
        <item x="9683"/>
        <item x="9902"/>
        <item x="9903"/>
        <item x="9904"/>
        <item x="9905"/>
        <item x="9906"/>
        <item x="9907"/>
        <item x="9908"/>
        <item x="9909"/>
        <item x="9910"/>
        <item x="9911"/>
        <item x="9912"/>
        <item x="9913"/>
        <item x="9914"/>
        <item x="9698"/>
        <item x="9916"/>
        <item x="9917"/>
        <item x="9918"/>
        <item x="9919"/>
        <item x="9920"/>
        <item x="9921"/>
        <item x="9922"/>
        <item x="9923"/>
        <item x="9924"/>
        <item x="9925"/>
        <item x="9926"/>
        <item x="9927"/>
        <item x="9928"/>
        <item x="9929"/>
        <item x="9712"/>
        <item x="9931"/>
        <item x="9932"/>
        <item x="9933"/>
        <item x="9934"/>
        <item x="9935"/>
        <item x="9936"/>
        <item x="9937"/>
        <item x="9938"/>
        <item x="9939"/>
        <item x="9940"/>
        <item x="9941"/>
        <item x="9942"/>
        <item x="9943"/>
        <item x="9727"/>
        <item x="9945"/>
        <item x="9946"/>
        <item x="9947"/>
        <item x="9948"/>
        <item x="9949"/>
        <item x="9950"/>
        <item x="9951"/>
        <item x="9952"/>
        <item x="9953"/>
        <item x="9954"/>
        <item x="9955"/>
        <item x="9956"/>
        <item x="9957"/>
        <item x="9958"/>
        <item x="9960"/>
        <item x="9961"/>
        <item x="9962"/>
        <item x="9963"/>
        <item x="9964"/>
        <item x="9965"/>
        <item x="9966"/>
        <item x="9967"/>
        <item x="9968"/>
        <item x="9969"/>
        <item x="9970"/>
        <item x="9971"/>
        <item x="9972"/>
        <item x="9973"/>
        <item x="9756"/>
        <item x="9974"/>
        <item x="9975"/>
        <item x="9976"/>
        <item x="9977"/>
        <item x="9978"/>
        <item x="9979"/>
        <item x="9980"/>
        <item x="9981"/>
        <item x="9982"/>
        <item x="9983"/>
        <item x="9984"/>
        <item x="9985"/>
        <item x="9986"/>
        <item x="9987"/>
        <item x="9770"/>
        <item x="9989"/>
        <item x="9990"/>
        <item x="9991"/>
        <item x="9992"/>
        <item x="9993"/>
        <item x="9994"/>
        <item x="9995"/>
        <item x="9996"/>
        <item x="9997"/>
        <item x="9998"/>
        <item x="9999"/>
        <item x="10000"/>
        <item x="10001"/>
        <item x="9785"/>
        <item x="10003"/>
        <item x="10004"/>
        <item x="10005"/>
        <item x="10006"/>
        <item x="10007"/>
        <item x="10008"/>
        <item x="10009"/>
        <item x="10010"/>
        <item x="10011"/>
        <item x="10012"/>
        <item x="10013"/>
        <item x="10014"/>
        <item x="10015"/>
        <item x="10016"/>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060"/>
        <item x="10279"/>
        <item x="10280"/>
        <item x="10281"/>
        <item x="10282"/>
        <item x="10283"/>
        <item x="10284"/>
        <item x="10285"/>
        <item x="10286"/>
        <item x="10287"/>
        <item x="10288"/>
        <item x="10289"/>
        <item x="10290"/>
        <item x="10291"/>
        <item x="10075"/>
        <item x="10293"/>
        <item x="10294"/>
        <item x="10295"/>
        <item x="10296"/>
        <item x="10297"/>
        <item x="10298"/>
        <item x="10299"/>
        <item x="10300"/>
        <item x="10301"/>
        <item x="10302"/>
        <item x="10303"/>
        <item x="10304"/>
        <item x="10305"/>
        <item x="10306"/>
        <item x="10089"/>
        <item x="10308"/>
        <item x="10309"/>
        <item x="10310"/>
        <item x="10311"/>
        <item x="10312"/>
        <item x="10313"/>
        <item x="10314"/>
        <item x="10315"/>
        <item x="10316"/>
        <item x="10317"/>
        <item x="10318"/>
        <item x="10319"/>
        <item x="10320"/>
        <item x="9872"/>
        <item x="10090"/>
        <item x="10091"/>
        <item x="10092"/>
        <item x="10093"/>
        <item x="10094"/>
        <item x="10095"/>
        <item x="10096"/>
        <item x="10097"/>
        <item x="10098"/>
        <item x="10099"/>
        <item x="10100"/>
        <item x="10101"/>
        <item x="10102"/>
        <item x="10103"/>
        <item x="9886"/>
        <item x="10105"/>
        <item x="10106"/>
        <item x="10107"/>
        <item x="10108"/>
        <item x="10109"/>
        <item x="10110"/>
        <item x="10111"/>
        <item x="10112"/>
        <item x="10113"/>
        <item x="10114"/>
        <item x="10115"/>
        <item x="10116"/>
        <item x="10117"/>
        <item x="9901"/>
        <item x="10119"/>
        <item x="10120"/>
        <item x="10121"/>
        <item x="10122"/>
        <item x="10123"/>
        <item x="10124"/>
        <item x="10125"/>
        <item x="10126"/>
        <item x="10127"/>
        <item x="10128"/>
        <item x="10129"/>
        <item x="10130"/>
        <item x="10131"/>
        <item x="10132"/>
        <item x="9915"/>
        <item x="10134"/>
        <item x="10135"/>
        <item x="10136"/>
        <item x="10137"/>
        <item x="10138"/>
        <item x="10139"/>
        <item x="10140"/>
        <item x="10141"/>
        <item x="10142"/>
        <item x="10143"/>
        <item x="10144"/>
        <item x="10145"/>
        <item x="10146"/>
        <item x="9930"/>
        <item x="10148"/>
        <item x="10149"/>
        <item x="10150"/>
        <item x="10151"/>
        <item x="10152"/>
        <item x="10153"/>
        <item x="10154"/>
        <item x="10155"/>
        <item x="10156"/>
        <item x="10157"/>
        <item x="10158"/>
        <item x="10159"/>
        <item x="10160"/>
        <item x="10161"/>
        <item x="9944"/>
        <item x="10163"/>
        <item x="10164"/>
        <item x="10165"/>
        <item x="10166"/>
        <item x="10167"/>
        <item x="10168"/>
        <item x="10169"/>
        <item x="10170"/>
        <item x="10171"/>
        <item x="10172"/>
        <item x="10173"/>
        <item x="10174"/>
        <item x="10175"/>
        <item x="9959"/>
        <item x="10177"/>
        <item x="10178"/>
        <item x="10179"/>
        <item x="10180"/>
        <item x="10181"/>
        <item x="10182"/>
        <item x="10183"/>
        <item x="10184"/>
        <item x="10185"/>
        <item x="10186"/>
        <item x="10187"/>
        <item x="10188"/>
        <item x="10189"/>
        <item x="10190"/>
        <item x="10192"/>
        <item x="10193"/>
        <item x="10194"/>
        <item x="10195"/>
        <item x="10196"/>
        <item x="10197"/>
        <item x="10198"/>
        <item x="10199"/>
        <item x="10200"/>
        <item x="10201"/>
        <item x="10202"/>
        <item x="10203"/>
        <item x="10204"/>
        <item x="10205"/>
        <item x="9988"/>
        <item x="10206"/>
        <item x="10207"/>
        <item x="10208"/>
        <item x="10209"/>
        <item x="10210"/>
        <item x="10211"/>
        <item x="10212"/>
        <item x="10213"/>
        <item x="10214"/>
        <item x="10215"/>
        <item x="10216"/>
        <item x="10217"/>
        <item x="10218"/>
        <item x="10219"/>
        <item x="10002"/>
        <item x="10221"/>
        <item x="10222"/>
        <item x="10223"/>
        <item x="10224"/>
        <item x="10225"/>
        <item x="10226"/>
        <item x="10227"/>
        <item x="10228"/>
        <item x="10229"/>
        <item x="10230"/>
        <item x="10231"/>
        <item x="10232"/>
        <item x="10233"/>
        <item x="10017"/>
        <item x="10235"/>
        <item x="10236"/>
        <item x="10237"/>
        <item x="10238"/>
        <item x="10239"/>
        <item x="10240"/>
        <item x="10241"/>
        <item x="10242"/>
        <item x="10243"/>
        <item x="10244"/>
        <item x="10245"/>
        <item x="10246"/>
        <item x="10247"/>
        <item x="10248"/>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292"/>
        <item x="10511"/>
        <item x="10512"/>
        <item x="10513"/>
        <item x="10514"/>
        <item x="10515"/>
        <item x="10516"/>
        <item x="10517"/>
        <item x="10518"/>
        <item x="10519"/>
        <item x="10520"/>
        <item x="10521"/>
        <item x="10522"/>
        <item x="10523"/>
        <item x="10307"/>
        <item x="10525"/>
        <item x="10526"/>
        <item x="10527"/>
        <item x="10528"/>
        <item x="10529"/>
        <item x="10530"/>
        <item x="10531"/>
        <item x="10532"/>
        <item x="10533"/>
        <item x="10534"/>
        <item x="10535"/>
        <item x="10536"/>
        <item x="10537"/>
        <item x="10538"/>
        <item x="10321"/>
        <item x="10539"/>
        <item x="10540"/>
        <item x="10541"/>
        <item x="10542"/>
        <item x="10543"/>
        <item x="10544"/>
        <item x="10545"/>
        <item x="10546"/>
        <item x="10547"/>
        <item x="10548"/>
        <item x="10549"/>
        <item x="10550"/>
        <item x="10551"/>
        <item x="10104"/>
        <item x="10322"/>
        <item x="10323"/>
        <item x="10324"/>
        <item x="10325"/>
        <item x="10326"/>
        <item x="10327"/>
        <item x="10328"/>
        <item x="10329"/>
        <item x="10330"/>
        <item x="10331"/>
        <item x="10332"/>
        <item x="10333"/>
        <item x="10334"/>
        <item x="10335"/>
        <item x="10118"/>
        <item x="10337"/>
        <item x="10338"/>
        <item x="10339"/>
        <item x="10340"/>
        <item x="10341"/>
        <item x="10342"/>
        <item x="10343"/>
        <item x="10344"/>
        <item x="10345"/>
        <item x="10346"/>
        <item x="10347"/>
        <item x="10348"/>
        <item x="10349"/>
        <item x="10133"/>
        <item x="10351"/>
        <item x="10352"/>
        <item x="10353"/>
        <item x="10354"/>
        <item x="10355"/>
        <item x="10356"/>
        <item x="10357"/>
        <item x="10358"/>
        <item x="10359"/>
        <item x="10360"/>
        <item x="10361"/>
        <item x="10362"/>
        <item x="10363"/>
        <item x="10364"/>
        <item x="10147"/>
        <item x="10366"/>
        <item x="10367"/>
        <item x="10368"/>
        <item x="10369"/>
        <item x="10370"/>
        <item x="10371"/>
        <item x="10372"/>
        <item x="10373"/>
        <item x="10374"/>
        <item x="10375"/>
        <item x="10376"/>
        <item x="10377"/>
        <item x="10378"/>
        <item x="10162"/>
        <item x="10380"/>
        <item x="10381"/>
        <item x="10382"/>
        <item x="10383"/>
        <item x="10384"/>
        <item x="10385"/>
        <item x="10386"/>
        <item x="10387"/>
        <item x="10388"/>
        <item x="10389"/>
        <item x="10390"/>
        <item x="10391"/>
        <item x="10392"/>
        <item x="10393"/>
        <item x="10176"/>
        <item x="10395"/>
        <item x="10396"/>
        <item x="10397"/>
        <item x="10398"/>
        <item x="10399"/>
        <item x="10400"/>
        <item x="10401"/>
        <item x="10402"/>
        <item x="10403"/>
        <item x="10404"/>
        <item x="10405"/>
        <item x="10406"/>
        <item x="10407"/>
        <item x="10191"/>
        <item x="10409"/>
        <item x="10410"/>
        <item x="10411"/>
        <item x="10412"/>
        <item x="10413"/>
        <item x="10414"/>
        <item x="10415"/>
        <item x="10416"/>
        <item x="10417"/>
        <item x="10418"/>
        <item x="10419"/>
        <item x="10420"/>
        <item x="10421"/>
        <item x="10422"/>
        <item x="10424"/>
        <item x="10425"/>
        <item x="10426"/>
        <item x="10427"/>
        <item x="10428"/>
        <item x="10429"/>
        <item x="10430"/>
        <item x="10431"/>
        <item x="10432"/>
        <item x="10433"/>
        <item x="10434"/>
        <item x="10435"/>
        <item x="10436"/>
        <item x="10437"/>
        <item x="10220"/>
        <item x="10438"/>
        <item x="10439"/>
        <item x="10440"/>
        <item x="10441"/>
        <item x="10442"/>
        <item x="10443"/>
        <item x="10444"/>
        <item x="10445"/>
        <item x="10446"/>
        <item x="10447"/>
        <item x="10448"/>
        <item x="10449"/>
        <item x="10450"/>
        <item x="10451"/>
        <item x="10234"/>
        <item x="10453"/>
        <item x="10454"/>
        <item x="10455"/>
        <item x="10456"/>
        <item x="10457"/>
        <item x="10458"/>
        <item x="10459"/>
        <item x="10460"/>
        <item x="10461"/>
        <item x="10462"/>
        <item x="10463"/>
        <item x="10464"/>
        <item x="10465"/>
        <item x="10249"/>
        <item x="10467"/>
        <item x="10468"/>
        <item x="10469"/>
        <item x="10470"/>
        <item x="10471"/>
        <item x="10472"/>
        <item x="10473"/>
        <item x="10474"/>
        <item x="10475"/>
        <item x="10476"/>
        <item x="10477"/>
        <item x="10478"/>
        <item x="10479"/>
        <item x="10480"/>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524"/>
        <item x="10744"/>
        <item x="10745"/>
        <item x="10746"/>
        <item x="10747"/>
        <item x="10748"/>
        <item x="10749"/>
        <item x="10750"/>
        <item x="10751"/>
        <item x="10752"/>
        <item x="10753"/>
        <item x="10754"/>
        <item x="10755"/>
        <item x="10756"/>
        <item x="10757"/>
        <item x="14323"/>
        <item x="14324"/>
        <item x="14325"/>
        <item x="14326"/>
        <item x="14327"/>
        <item x="14328"/>
        <item x="14329"/>
        <item x="14330"/>
        <item x="14331"/>
        <item x="14332"/>
        <item x="14333"/>
        <item x="14334"/>
        <item x="14335"/>
        <item x="14336"/>
        <item x="14159"/>
        <item x="14338"/>
        <item x="14339"/>
        <item x="14340"/>
        <item x="14341"/>
        <item x="14342"/>
        <item x="14343"/>
        <item x="14344"/>
        <item x="14345"/>
        <item x="14346"/>
        <item x="14347"/>
        <item x="14348"/>
        <item x="14349"/>
        <item x="14350"/>
        <item x="13968"/>
        <item x="14160"/>
        <item x="14161"/>
        <item x="14162"/>
        <item x="14163"/>
        <item x="14164"/>
        <item x="14165"/>
        <item x="14166"/>
        <item x="14167"/>
        <item x="14168"/>
        <item x="14169"/>
        <item x="14170"/>
        <item x="14171"/>
        <item x="14172"/>
        <item x="14173"/>
        <item x="13982"/>
        <item x="14175"/>
        <item x="14176"/>
        <item x="14177"/>
        <item x="14178"/>
        <item x="14179"/>
        <item x="14180"/>
        <item x="14181"/>
        <item x="14182"/>
        <item x="14183"/>
        <item x="14184"/>
        <item x="14185"/>
        <item x="14186"/>
        <item x="14187"/>
        <item x="13997"/>
        <item x="14189"/>
        <item x="14190"/>
        <item x="14191"/>
        <item x="14192"/>
        <item x="14193"/>
        <item x="14194"/>
        <item x="14195"/>
        <item x="14196"/>
        <item x="14197"/>
        <item x="14198"/>
        <item x="14199"/>
        <item x="14200"/>
        <item x="14201"/>
        <item x="14202"/>
        <item x="14011"/>
        <item x="14204"/>
        <item x="14205"/>
        <item x="14206"/>
        <item x="14207"/>
        <item x="14208"/>
        <item x="14209"/>
        <item x="14210"/>
        <item x="14211"/>
        <item x="14212"/>
        <item x="14213"/>
        <item x="14214"/>
        <item x="14215"/>
        <item x="14216"/>
        <item x="14026"/>
        <item x="14218"/>
        <item x="14219"/>
        <item x="14220"/>
        <item x="14221"/>
        <item x="14222"/>
        <item x="14223"/>
        <item x="14224"/>
        <item x="14225"/>
        <item x="14226"/>
        <item x="14227"/>
        <item x="14228"/>
        <item x="14229"/>
        <item x="14230"/>
        <item x="14231"/>
        <item x="14040"/>
        <item x="14233"/>
        <item x="14234"/>
        <item x="14235"/>
        <item x="14236"/>
        <item x="14237"/>
        <item x="14238"/>
        <item x="14239"/>
        <item x="14240"/>
        <item x="14241"/>
        <item x="14242"/>
        <item x="14243"/>
        <item x="14244"/>
        <item x="14245"/>
        <item x="14055"/>
        <item x="14247"/>
        <item x="14248"/>
        <item x="14249"/>
        <item x="14250"/>
        <item x="14251"/>
        <item x="14252"/>
        <item x="14253"/>
        <item x="14254"/>
        <item x="14255"/>
        <item x="14256"/>
        <item x="14257"/>
        <item x="14258"/>
        <item x="14259"/>
        <item x="14260"/>
        <item x="14061"/>
        <item x="14262"/>
        <item x="14263"/>
        <item x="14264"/>
        <item x="14265"/>
        <item x="14266"/>
        <item x="14267"/>
        <item x="14268"/>
        <item x="14269"/>
        <item x="14270"/>
        <item x="14271"/>
        <item x="14272"/>
        <item x="14273"/>
        <item x="14274"/>
        <item x="14062"/>
        <item x="14063"/>
        <item x="14064"/>
        <item x="14065"/>
        <item x="14066"/>
        <item x="14067"/>
        <item x="14068"/>
        <item x="14069"/>
        <item x="14070"/>
        <item x="14071"/>
        <item x="14276"/>
        <item x="14277"/>
        <item x="14278"/>
        <item x="14279"/>
        <item x="14280"/>
        <item x="14072"/>
        <item x="14073"/>
        <item x="14074"/>
        <item x="14075"/>
        <item x="14076"/>
        <item x="14077"/>
        <item x="14078"/>
        <item x="14079"/>
        <item x="14080"/>
        <item x="14081"/>
        <item x="14291"/>
        <item x="14292"/>
        <item x="14293"/>
        <item x="14294"/>
        <item x="14082"/>
        <item x="14083"/>
        <item x="14084"/>
        <item x="14085"/>
        <item x="14086"/>
        <item x="14087"/>
        <item x="14088"/>
        <item x="14089"/>
        <item x="14090"/>
        <item x="14091"/>
        <item x="14305"/>
        <item x="14306"/>
        <item x="14307"/>
        <item x="14308"/>
        <item x="14309"/>
        <item x="14320"/>
        <item x="14512"/>
        <item x="14513"/>
        <item x="14514"/>
        <item x="14515"/>
        <item x="14516"/>
        <item x="14517"/>
        <item x="14518"/>
        <item x="14519"/>
        <item x="14520"/>
        <item x="14521"/>
        <item x="14522"/>
        <item x="14523"/>
        <item x="14524"/>
        <item x="14321"/>
        <item x="14526"/>
        <item x="14527"/>
        <item x="14528"/>
        <item x="14529"/>
        <item x="14530"/>
        <item x="14531"/>
        <item x="14532"/>
        <item x="14533"/>
        <item x="14534"/>
        <item x="14535"/>
        <item x="14536"/>
        <item x="14537"/>
        <item x="14538"/>
        <item x="14539"/>
        <item x="14322"/>
        <item x="14541"/>
        <item x="14542"/>
        <item x="14543"/>
        <item x="14544"/>
        <item x="14545"/>
        <item x="14546"/>
        <item x="14547"/>
        <item x="14548"/>
        <item x="14549"/>
        <item x="14550"/>
        <item x="14551"/>
        <item x="14552"/>
        <item x="14553"/>
        <item x="14337"/>
        <item x="14555"/>
        <item x="14556"/>
        <item x="14557"/>
        <item x="14558"/>
        <item x="14559"/>
        <item x="14560"/>
        <item x="14561"/>
        <item x="14562"/>
        <item x="14563"/>
        <item x="14564"/>
        <item x="14565"/>
        <item x="14566"/>
        <item x="14567"/>
        <item x="14568"/>
        <item x="14351"/>
        <item x="14570"/>
        <item x="14571"/>
        <item x="14572"/>
        <item x="14573"/>
        <item x="14574"/>
        <item x="14575"/>
        <item x="14576"/>
        <item x="14577"/>
        <item x="14578"/>
        <item x="14579"/>
        <item x="14580"/>
        <item x="14581"/>
        <item x="14582"/>
        <item x="14174"/>
        <item x="14352"/>
        <item x="14353"/>
        <item x="14354"/>
        <item x="14355"/>
        <item x="14356"/>
        <item x="14357"/>
        <item x="14358"/>
        <item x="14359"/>
        <item x="14360"/>
        <item x="14361"/>
        <item x="14362"/>
        <item x="14363"/>
        <item x="14364"/>
        <item x="14365"/>
        <item x="14188"/>
        <item x="14367"/>
        <item x="14368"/>
        <item x="14369"/>
        <item x="14370"/>
        <item x="14371"/>
        <item x="14372"/>
        <item x="14373"/>
        <item x="14374"/>
        <item x="14375"/>
        <item x="14376"/>
        <item x="14377"/>
        <item x="14378"/>
        <item x="14379"/>
        <item x="14203"/>
        <item x="14381"/>
        <item x="14382"/>
        <item x="14383"/>
        <item x="14384"/>
        <item x="14385"/>
        <item x="14386"/>
        <item x="14387"/>
        <item x="14388"/>
        <item x="14389"/>
        <item x="14390"/>
        <item x="14391"/>
        <item x="14392"/>
        <item x="14393"/>
        <item x="14394"/>
        <item x="14217"/>
        <item x="14396"/>
        <item x="14397"/>
        <item x="14398"/>
        <item x="14399"/>
        <item x="14400"/>
        <item x="14401"/>
        <item x="14402"/>
        <item x="14403"/>
        <item x="14404"/>
        <item x="14405"/>
        <item x="14406"/>
        <item x="14407"/>
        <item x="14408"/>
        <item x="14232"/>
        <item x="14410"/>
        <item x="14411"/>
        <item x="14412"/>
        <item x="14413"/>
        <item x="14414"/>
        <item x="14415"/>
        <item x="14416"/>
        <item x="14417"/>
        <item x="14418"/>
        <item x="14419"/>
        <item x="14420"/>
        <item x="14421"/>
        <item x="14422"/>
        <item x="14423"/>
        <item x="14246"/>
        <item x="14425"/>
        <item x="14426"/>
        <item x="14427"/>
        <item x="14428"/>
        <item x="14429"/>
        <item x="14430"/>
        <item x="14431"/>
        <item x="14432"/>
        <item x="14433"/>
        <item x="14434"/>
        <item x="14435"/>
        <item x="14436"/>
        <item x="14437"/>
        <item x="14261"/>
        <item x="14439"/>
        <item x="14440"/>
        <item x="14441"/>
        <item x="14442"/>
        <item x="14443"/>
        <item x="14444"/>
        <item x="14445"/>
        <item x="14446"/>
        <item x="14447"/>
        <item x="14448"/>
        <item x="14449"/>
        <item x="14450"/>
        <item x="14451"/>
        <item x="14452"/>
        <item x="14275"/>
        <item x="14454"/>
        <item x="14455"/>
        <item x="14456"/>
        <item x="14457"/>
        <item x="14458"/>
        <item x="14459"/>
        <item x="14460"/>
        <item x="14461"/>
        <item x="14462"/>
        <item x="14463"/>
        <item x="14464"/>
        <item x="14465"/>
        <item x="14466"/>
        <item x="14281"/>
        <item x="14282"/>
        <item x="14283"/>
        <item x="14284"/>
        <item x="14285"/>
        <item x="14286"/>
        <item x="14287"/>
        <item x="14288"/>
        <item x="14289"/>
        <item x="14290"/>
        <item x="14468"/>
        <item x="14469"/>
        <item x="14470"/>
        <item x="14471"/>
        <item x="14472"/>
        <item x="14295"/>
        <item x="14296"/>
        <item x="14297"/>
        <item x="14298"/>
        <item x="14299"/>
        <item x="14300"/>
        <item x="14301"/>
        <item x="14302"/>
        <item x="14303"/>
        <item x="14304"/>
        <item x="14483"/>
        <item x="14484"/>
        <item x="14485"/>
        <item x="14486"/>
        <item x="14310"/>
        <item x="14311"/>
        <item x="14312"/>
        <item x="14313"/>
        <item x="14314"/>
        <item x="14315"/>
        <item x="14316"/>
        <item x="14317"/>
        <item x="14318"/>
        <item x="14319"/>
        <item x="14497"/>
        <item x="14498"/>
        <item x="14499"/>
        <item x="14500"/>
        <item x="14501"/>
        <item x="14525"/>
        <item x="14744"/>
        <item x="14745"/>
        <item x="14746"/>
        <item x="14747"/>
        <item x="14748"/>
        <item x="14749"/>
        <item x="14750"/>
        <item x="14751"/>
        <item x="14752"/>
        <item x="14753"/>
        <item x="14754"/>
        <item x="14755"/>
        <item x="14756"/>
        <item x="14540"/>
        <item x="14758"/>
        <item x="14759"/>
        <item x="14760"/>
        <item x="14761"/>
        <item x="14762"/>
        <item x="14763"/>
        <item x="14764"/>
        <item x="14765"/>
        <item x="14766"/>
        <item x="14767"/>
        <item x="14768"/>
        <item x="14769"/>
        <item x="14770"/>
        <item x="14771"/>
        <item x="14554"/>
        <item x="14773"/>
        <item x="14774"/>
        <item x="14775"/>
        <item x="14776"/>
        <item x="14777"/>
        <item x="14778"/>
        <item x="14779"/>
        <item x="14780"/>
        <item x="14781"/>
        <item x="14782"/>
        <item x="14783"/>
        <item x="14784"/>
        <item x="14785"/>
        <item x="14569"/>
        <item x="14787"/>
        <item x="14788"/>
        <item x="14789"/>
        <item x="14790"/>
        <item x="14791"/>
        <item x="14792"/>
        <item x="14793"/>
        <item x="14794"/>
        <item x="14795"/>
        <item x="14796"/>
        <item x="14797"/>
        <item x="14798"/>
        <item x="14799"/>
        <item x="14800"/>
        <item x="14583"/>
        <item x="14802"/>
        <item x="14803"/>
        <item x="14804"/>
        <item x="14805"/>
        <item x="14806"/>
        <item x="14807"/>
        <item x="14808"/>
        <item x="14809"/>
        <item x="14810"/>
        <item x="14811"/>
        <item x="14812"/>
        <item x="14813"/>
        <item x="14814"/>
        <item x="14366"/>
        <item x="14584"/>
        <item x="14585"/>
        <item x="14586"/>
        <item x="14587"/>
        <item x="14588"/>
        <item x="14589"/>
        <item x="14590"/>
        <item x="14591"/>
        <item x="14592"/>
        <item x="14593"/>
        <item x="14594"/>
        <item x="14595"/>
        <item x="14596"/>
        <item x="14597"/>
        <item x="14380"/>
        <item x="14599"/>
        <item x="14600"/>
        <item x="14601"/>
        <item x="14602"/>
        <item x="14603"/>
        <item x="14604"/>
        <item x="14605"/>
        <item x="14606"/>
        <item x="14607"/>
        <item x="14608"/>
        <item x="14609"/>
        <item x="14610"/>
        <item x="14611"/>
        <item x="14395"/>
        <item x="14613"/>
        <item x="14614"/>
        <item x="14615"/>
        <item x="14616"/>
        <item x="14617"/>
        <item x="14618"/>
        <item x="14619"/>
        <item x="14620"/>
        <item x="14621"/>
        <item x="14622"/>
        <item x="14623"/>
        <item x="14624"/>
        <item x="14625"/>
        <item x="14626"/>
        <item x="14409"/>
        <item x="14628"/>
        <item x="14629"/>
        <item x="14630"/>
        <item x="14631"/>
        <item x="14632"/>
        <item x="14633"/>
        <item x="14634"/>
        <item x="14635"/>
        <item x="14636"/>
        <item x="14637"/>
        <item x="14638"/>
        <item x="14639"/>
        <item x="14640"/>
        <item x="14424"/>
        <item x="14642"/>
        <item x="14643"/>
        <item x="14644"/>
        <item x="14645"/>
        <item x="14646"/>
        <item x="14647"/>
        <item x="14648"/>
        <item x="14649"/>
        <item x="14650"/>
        <item x="14651"/>
        <item x="14652"/>
        <item x="14653"/>
        <item x="14654"/>
        <item x="14655"/>
        <item x="14438"/>
        <item x="14657"/>
        <item x="14658"/>
        <item x="14659"/>
        <item x="14660"/>
        <item x="14661"/>
        <item x="14662"/>
        <item x="14663"/>
        <item x="14664"/>
        <item x="14665"/>
        <item x="14666"/>
        <item x="14667"/>
        <item x="14668"/>
        <item x="14669"/>
        <item x="14453"/>
        <item x="14671"/>
        <item x="14672"/>
        <item x="14673"/>
        <item x="14674"/>
        <item x="14675"/>
        <item x="14676"/>
        <item x="14677"/>
        <item x="14678"/>
        <item x="14679"/>
        <item x="14680"/>
        <item x="14681"/>
        <item x="14682"/>
        <item x="14683"/>
        <item x="14684"/>
        <item x="14467"/>
        <item x="14686"/>
        <item x="14687"/>
        <item x="14688"/>
        <item x="14689"/>
        <item x="14690"/>
        <item x="14691"/>
        <item x="14692"/>
        <item x="14693"/>
        <item x="14694"/>
        <item x="14695"/>
        <item x="14696"/>
        <item x="14697"/>
        <item x="14698"/>
        <item x="14473"/>
        <item x="14474"/>
        <item x="14475"/>
        <item x="14476"/>
        <item x="14477"/>
        <item x="14478"/>
        <item x="14479"/>
        <item x="14480"/>
        <item x="14481"/>
        <item x="14482"/>
        <item x="14700"/>
        <item x="14701"/>
        <item x="14702"/>
        <item x="14703"/>
        <item x="14704"/>
        <item x="14487"/>
        <item x="14488"/>
        <item x="14489"/>
        <item x="14490"/>
        <item x="14491"/>
        <item x="14492"/>
        <item x="14493"/>
        <item x="14494"/>
        <item x="14495"/>
        <item x="14496"/>
        <item x="14715"/>
        <item x="14716"/>
        <item x="14717"/>
        <item x="14718"/>
        <item x="14502"/>
        <item x="14503"/>
        <item x="14504"/>
        <item x="14505"/>
        <item x="14506"/>
        <item x="14507"/>
        <item x="14508"/>
        <item x="14509"/>
        <item x="14510"/>
        <item x="14511"/>
        <item x="14729"/>
        <item x="14730"/>
        <item x="14731"/>
        <item x="14732"/>
        <item x="14733"/>
        <item x="14757"/>
        <item x="14965"/>
        <item x="14966"/>
        <item x="14967"/>
        <item x="14968"/>
        <item x="14969"/>
        <item x="14970"/>
        <item x="14971"/>
        <item x="14972"/>
        <item x="14973"/>
        <item x="14974"/>
        <item x="14975"/>
        <item x="14976"/>
        <item x="14977"/>
        <item x="14772"/>
        <item x="14978"/>
        <item x="14979"/>
        <item x="14980"/>
        <item x="14981"/>
        <item x="14982"/>
        <item x="14983"/>
        <item x="14984"/>
        <item x="14985"/>
        <item x="14986"/>
        <item x="14987"/>
        <item x="14988"/>
        <item x="14989"/>
        <item x="14990"/>
        <item x="14991"/>
        <item x="14786"/>
        <item x="14992"/>
        <item x="14993"/>
        <item x="14994"/>
        <item x="14995"/>
        <item x="14996"/>
        <item x="14997"/>
        <item x="14998"/>
        <item x="14999"/>
        <item x="15000"/>
        <item x="15001"/>
        <item x="15002"/>
        <item x="15003"/>
        <item x="15004"/>
        <item x="14801"/>
        <item x="15005"/>
        <item x="15006"/>
        <item x="15007"/>
        <item x="15008"/>
        <item x="15009"/>
        <item x="15010"/>
        <item x="15011"/>
        <item x="15012"/>
        <item x="15013"/>
        <item x="15014"/>
        <item x="15015"/>
        <item x="15016"/>
        <item x="15017"/>
        <item x="15018"/>
        <item x="14815"/>
        <item x="15019"/>
        <item x="15020"/>
        <item x="15021"/>
        <item x="15022"/>
        <item x="15023"/>
        <item x="15024"/>
        <item x="15025"/>
        <item x="15026"/>
        <item x="15027"/>
        <item x="15028"/>
        <item x="15029"/>
        <item x="15030"/>
        <item x="15031"/>
        <item x="14598"/>
        <item x="14816"/>
        <item x="14817"/>
        <item x="14818"/>
        <item x="14819"/>
        <item x="14820"/>
        <item x="14821"/>
        <item x="14822"/>
        <item x="14823"/>
        <item x="14824"/>
        <item x="14825"/>
        <item x="14826"/>
        <item x="14827"/>
        <item x="14828"/>
        <item x="14829"/>
        <item x="14612"/>
        <item x="14830"/>
        <item x="14831"/>
        <item x="14832"/>
        <item x="14833"/>
        <item x="14834"/>
        <item x="14835"/>
        <item x="14836"/>
        <item x="14837"/>
        <item x="14838"/>
        <item x="14839"/>
        <item x="14840"/>
        <item x="14841"/>
        <item x="14842"/>
        <item x="14627"/>
        <item x="14843"/>
        <item x="14844"/>
        <item x="14845"/>
        <item x="14846"/>
        <item x="14847"/>
        <item x="14848"/>
        <item x="14849"/>
        <item x="14850"/>
        <item x="14851"/>
        <item x="14852"/>
        <item x="14853"/>
        <item x="14854"/>
        <item x="14855"/>
        <item x="14856"/>
        <item x="14641"/>
        <item x="14857"/>
        <item x="14858"/>
        <item x="14859"/>
        <item x="14860"/>
        <item x="14861"/>
        <item x="14862"/>
        <item x="14863"/>
        <item x="14864"/>
        <item x="14865"/>
        <item x="14866"/>
        <item x="14867"/>
        <item x="14868"/>
        <item x="14869"/>
        <item x="14656"/>
        <item x="14870"/>
        <item x="14871"/>
        <item x="14872"/>
        <item x="14873"/>
        <item x="14874"/>
        <item x="14875"/>
        <item x="14876"/>
        <item x="14877"/>
        <item x="14878"/>
        <item x="14879"/>
        <item x="14880"/>
        <item x="14881"/>
        <item x="14882"/>
        <item x="14883"/>
        <item x="14670"/>
        <item x="14884"/>
        <item x="14885"/>
        <item x="14886"/>
        <item x="14887"/>
        <item x="14888"/>
        <item x="14889"/>
        <item x="14890"/>
        <item x="14891"/>
        <item x="14892"/>
        <item x="14893"/>
        <item x="14894"/>
        <item x="14895"/>
        <item x="14896"/>
        <item x="14685"/>
        <item x="14897"/>
        <item x="14898"/>
        <item x="14899"/>
        <item x="14900"/>
        <item x="14901"/>
        <item x="14902"/>
        <item x="14903"/>
        <item x="14904"/>
        <item x="14905"/>
        <item x="14906"/>
        <item x="14907"/>
        <item x="14908"/>
        <item x="14909"/>
        <item x="14910"/>
        <item x="14699"/>
        <item x="14911"/>
        <item x="14912"/>
        <item x="14913"/>
        <item x="14914"/>
        <item x="14915"/>
        <item x="14916"/>
        <item x="14917"/>
        <item x="14918"/>
        <item x="14919"/>
        <item x="14920"/>
        <item x="14921"/>
        <item x="14922"/>
        <item x="14923"/>
        <item x="14705"/>
        <item x="14706"/>
        <item x="14707"/>
        <item x="14708"/>
        <item x="14709"/>
        <item x="14710"/>
        <item x="14711"/>
        <item x="14712"/>
        <item x="14713"/>
        <item x="14714"/>
        <item x="14924"/>
        <item x="14925"/>
        <item x="14926"/>
        <item x="14927"/>
        <item x="14928"/>
        <item x="14719"/>
        <item x="14720"/>
        <item x="14721"/>
        <item x="14722"/>
        <item x="14723"/>
        <item x="14724"/>
        <item x="14725"/>
        <item x="14726"/>
        <item x="14727"/>
        <item x="14728"/>
        <item x="14938"/>
        <item x="14939"/>
        <item x="14940"/>
        <item x="14941"/>
        <item x="14734"/>
        <item x="14735"/>
        <item x="14736"/>
        <item x="14737"/>
        <item x="14738"/>
        <item x="14739"/>
        <item x="14740"/>
        <item x="14741"/>
        <item x="14742"/>
        <item x="14743"/>
        <item x="14951"/>
        <item x="14952"/>
        <item x="14953"/>
        <item x="14954"/>
        <item x="14955"/>
        <item x="11593"/>
        <item x="11594"/>
        <item x="11595"/>
        <item x="11596"/>
        <item x="11597"/>
        <item x="11598"/>
        <item x="11599"/>
        <item x="11600"/>
        <item x="11601"/>
        <item x="11602"/>
        <item x="11603"/>
        <item x="11604"/>
        <item x="11605"/>
        <item x="11606"/>
        <item x="11607"/>
        <item x="11609"/>
        <item x="11610"/>
        <item x="11611"/>
        <item x="11612"/>
        <item x="11613"/>
        <item x="11614"/>
        <item x="11615"/>
        <item x="11616"/>
        <item x="11617"/>
        <item x="11618"/>
        <item x="11619"/>
        <item x="11620"/>
        <item x="11621"/>
        <item x="11622"/>
        <item x="11624"/>
        <item x="11625"/>
        <item x="11626"/>
        <item x="11627"/>
        <item x="11628"/>
        <item x="11629"/>
        <item x="11630"/>
        <item x="11631"/>
        <item x="11632"/>
        <item x="11633"/>
        <item x="11634"/>
        <item x="11635"/>
        <item x="11636"/>
        <item x="11637"/>
        <item x="11638"/>
        <item x="11640"/>
        <item x="11641"/>
        <item x="11642"/>
        <item x="11643"/>
        <item x="11644"/>
        <item x="11645"/>
        <item x="11646"/>
        <item x="11647"/>
        <item x="11648"/>
        <item x="11649"/>
        <item x="11650"/>
        <item x="11651"/>
        <item x="11652"/>
        <item x="11653"/>
        <item x="11417"/>
        <item x="11418"/>
        <item x="11419"/>
        <item x="11420"/>
        <item x="11421"/>
        <item x="11422"/>
        <item x="11423"/>
        <item x="11424"/>
        <item x="11425"/>
        <item x="11426"/>
        <item x="11427"/>
        <item x="11428"/>
        <item x="11429"/>
        <item x="11430"/>
        <item x="11431"/>
        <item x="11433"/>
        <item x="11434"/>
        <item x="11435"/>
        <item x="11436"/>
        <item x="11437"/>
        <item x="11438"/>
        <item x="11439"/>
        <item x="11440"/>
        <item x="11441"/>
        <item x="11442"/>
        <item x="11443"/>
        <item x="11444"/>
        <item x="11445"/>
        <item x="11446"/>
        <item x="11448"/>
        <item x="11449"/>
        <item x="11450"/>
        <item x="11451"/>
        <item x="11452"/>
        <item x="11453"/>
        <item x="11454"/>
        <item x="11455"/>
        <item x="11456"/>
        <item x="11457"/>
        <item x="11458"/>
        <item x="11459"/>
        <item x="11460"/>
        <item x="11461"/>
        <item x="11462"/>
        <item x="11464"/>
        <item x="11465"/>
        <item x="11466"/>
        <item x="11467"/>
        <item x="11468"/>
        <item x="11469"/>
        <item x="11470"/>
        <item x="11471"/>
        <item x="11472"/>
        <item x="11473"/>
        <item x="11474"/>
        <item x="11475"/>
        <item x="11476"/>
        <item x="11477"/>
        <item x="11479"/>
        <item x="11480"/>
        <item x="11481"/>
        <item x="11482"/>
        <item x="11483"/>
        <item x="11484"/>
        <item x="11485"/>
        <item x="11486"/>
        <item x="11487"/>
        <item x="11488"/>
        <item x="11489"/>
        <item x="11490"/>
        <item x="11491"/>
        <item x="11492"/>
        <item x="11493"/>
        <item x="11495"/>
        <item x="11496"/>
        <item x="11497"/>
        <item x="11498"/>
        <item x="11499"/>
        <item x="11500"/>
        <item x="11501"/>
        <item x="11502"/>
        <item x="11503"/>
        <item x="11504"/>
        <item x="11505"/>
        <item x="11506"/>
        <item x="11507"/>
        <item x="11508"/>
        <item x="11510"/>
        <item x="11511"/>
        <item x="11512"/>
        <item x="11513"/>
        <item x="11514"/>
        <item x="11515"/>
        <item x="11516"/>
        <item x="11517"/>
        <item x="11518"/>
        <item x="11519"/>
        <item x="11520"/>
        <item x="11521"/>
        <item x="11522"/>
        <item x="11523"/>
        <item x="11524"/>
        <item x="11526"/>
        <item x="11527"/>
        <item x="11528"/>
        <item x="11529"/>
        <item x="11530"/>
        <item x="11531"/>
        <item x="11532"/>
        <item x="11533"/>
        <item x="11534"/>
        <item x="11535"/>
        <item x="11536"/>
        <item x="11537"/>
        <item x="11538"/>
        <item x="11539"/>
        <item x="11541"/>
        <item x="11542"/>
        <item x="11543"/>
        <item x="11544"/>
        <item x="11545"/>
        <item x="11546"/>
        <item x="11547"/>
        <item x="11548"/>
        <item x="11549"/>
        <item x="11550"/>
        <item x="11551"/>
        <item x="11552"/>
        <item x="11553"/>
        <item x="11554"/>
        <item x="11555"/>
        <item x="14929"/>
        <item x="14930"/>
        <item x="14931"/>
        <item x="14932"/>
        <item x="14933"/>
        <item x="14934"/>
        <item x="14935"/>
        <item x="14936"/>
        <item x="14937"/>
        <item x="11557"/>
        <item x="11558"/>
        <item x="11559"/>
        <item x="11560"/>
        <item x="11561"/>
        <item x="14942"/>
        <item x="14943"/>
        <item x="14944"/>
        <item x="14945"/>
        <item x="14946"/>
        <item x="14947"/>
        <item x="14948"/>
        <item x="14949"/>
        <item x="14950"/>
        <item x="11572"/>
        <item x="11573"/>
        <item x="11574"/>
        <item x="11575"/>
        <item x="11576"/>
        <item x="11577"/>
        <item x="14956"/>
        <item x="14957"/>
        <item x="14958"/>
        <item x="14959"/>
        <item x="14960"/>
        <item x="14961"/>
        <item x="14962"/>
        <item x="14963"/>
        <item x="14964"/>
        <item x="11588"/>
        <item x="11589"/>
        <item x="11590"/>
        <item x="11591"/>
        <item x="11592"/>
        <item x="7929"/>
        <item x="11815"/>
        <item x="11816"/>
        <item x="11817"/>
        <item x="11818"/>
        <item x="11819"/>
        <item x="11820"/>
        <item x="11821"/>
        <item x="11822"/>
        <item x="11823"/>
        <item x="11824"/>
        <item x="11825"/>
        <item x="11826"/>
        <item x="11827"/>
        <item x="11608"/>
        <item x="11829"/>
        <item x="11830"/>
        <item x="11831"/>
        <item x="11832"/>
        <item x="11833"/>
        <item x="11834"/>
        <item x="11835"/>
        <item x="11836"/>
        <item x="11837"/>
        <item x="11838"/>
        <item x="11839"/>
        <item x="11840"/>
        <item x="11841"/>
        <item x="11842"/>
        <item x="11623"/>
        <item x="11844"/>
        <item x="11845"/>
        <item x="11846"/>
        <item x="11847"/>
        <item x="11848"/>
        <item x="11849"/>
        <item x="11850"/>
        <item x="11851"/>
        <item x="11852"/>
        <item x="11853"/>
        <item x="11854"/>
        <item x="11855"/>
        <item x="11856"/>
        <item x="11639"/>
        <item x="11858"/>
        <item x="11859"/>
        <item x="11860"/>
        <item x="11861"/>
        <item x="11862"/>
        <item x="11863"/>
        <item x="11864"/>
        <item x="11865"/>
        <item x="11866"/>
        <item x="11867"/>
        <item x="11868"/>
        <item x="11869"/>
        <item x="11870"/>
        <item x="11871"/>
        <item x="11654"/>
        <item x="11873"/>
        <item x="11874"/>
        <item x="11875"/>
        <item x="11876"/>
        <item x="11877"/>
        <item x="11878"/>
        <item x="11879"/>
        <item x="11880"/>
        <item x="11881"/>
        <item x="11882"/>
        <item x="11883"/>
        <item x="11884"/>
        <item x="11885"/>
        <item x="11432"/>
        <item x="11655"/>
        <item x="11656"/>
        <item x="11657"/>
        <item x="11658"/>
        <item x="11659"/>
        <item x="11660"/>
        <item x="11661"/>
        <item x="11662"/>
        <item x="11663"/>
        <item x="11664"/>
        <item x="11665"/>
        <item x="11666"/>
        <item x="11667"/>
        <item x="11668"/>
        <item x="11447"/>
        <item x="11670"/>
        <item x="11671"/>
        <item x="11672"/>
        <item x="11673"/>
        <item x="11674"/>
        <item x="11675"/>
        <item x="11676"/>
        <item x="11677"/>
        <item x="11678"/>
        <item x="11679"/>
        <item x="11680"/>
        <item x="11681"/>
        <item x="11682"/>
        <item x="11463"/>
        <item x="11684"/>
        <item x="11685"/>
        <item x="11686"/>
        <item x="11687"/>
        <item x="11688"/>
        <item x="11689"/>
        <item x="11690"/>
        <item x="11691"/>
        <item x="11692"/>
        <item x="11693"/>
        <item x="11694"/>
        <item x="11695"/>
        <item x="11696"/>
        <item x="11697"/>
        <item x="11478"/>
        <item x="11699"/>
        <item x="11700"/>
        <item x="11701"/>
        <item x="11702"/>
        <item x="11703"/>
        <item x="11704"/>
        <item x="11705"/>
        <item x="11706"/>
        <item x="11707"/>
        <item x="11708"/>
        <item x="11709"/>
        <item x="11710"/>
        <item x="11711"/>
        <item x="11494"/>
        <item x="11713"/>
        <item x="11714"/>
        <item x="11715"/>
        <item x="11716"/>
        <item x="11717"/>
        <item x="11718"/>
        <item x="11719"/>
        <item x="11720"/>
        <item x="11721"/>
        <item x="11722"/>
        <item x="11723"/>
        <item x="11724"/>
        <item x="11725"/>
        <item x="11726"/>
        <item x="11509"/>
        <item x="11728"/>
        <item x="11729"/>
        <item x="11730"/>
        <item x="11731"/>
        <item x="11732"/>
        <item x="11733"/>
        <item x="11734"/>
        <item x="11735"/>
        <item x="11736"/>
        <item x="11737"/>
        <item x="11738"/>
        <item x="11739"/>
        <item x="11740"/>
        <item x="11525"/>
        <item x="11742"/>
        <item x="11743"/>
        <item x="11744"/>
        <item x="11745"/>
        <item x="11746"/>
        <item x="11747"/>
        <item x="11748"/>
        <item x="11749"/>
        <item x="11750"/>
        <item x="11751"/>
        <item x="11752"/>
        <item x="11753"/>
        <item x="11754"/>
        <item x="11755"/>
        <item x="11540"/>
        <item x="11757"/>
        <item x="11758"/>
        <item x="11759"/>
        <item x="11760"/>
        <item x="11761"/>
        <item x="11762"/>
        <item x="11763"/>
        <item x="11764"/>
        <item x="11765"/>
        <item x="11766"/>
        <item x="11767"/>
        <item x="11768"/>
        <item x="11769"/>
        <item x="11556"/>
        <item x="11771"/>
        <item x="11772"/>
        <item x="11773"/>
        <item x="11774"/>
        <item x="11775"/>
        <item x="11776"/>
        <item x="11777"/>
        <item x="11778"/>
        <item x="11779"/>
        <item x="11780"/>
        <item x="11781"/>
        <item x="11782"/>
        <item x="11783"/>
        <item x="11784"/>
        <item x="11562"/>
        <item x="11563"/>
        <item x="11564"/>
        <item x="11565"/>
        <item x="11566"/>
        <item x="11567"/>
        <item x="11568"/>
        <item x="11569"/>
        <item x="11570"/>
        <item x="11571"/>
        <item x="11786"/>
        <item x="11787"/>
        <item x="11788"/>
        <item x="11789"/>
        <item x="11578"/>
        <item x="11579"/>
        <item x="11580"/>
        <item x="11581"/>
        <item x="11582"/>
        <item x="11583"/>
        <item x="11584"/>
        <item x="11585"/>
        <item x="11586"/>
        <item x="11587"/>
        <item x="11800"/>
        <item x="11801"/>
        <item x="11802"/>
        <item x="11803"/>
        <item x="11804"/>
        <item x="11828"/>
        <item x="12047"/>
        <item x="12048"/>
        <item x="12049"/>
        <item x="12050"/>
        <item x="12051"/>
        <item x="12052"/>
        <item x="12053"/>
        <item x="12054"/>
        <item x="12055"/>
        <item x="12056"/>
        <item x="12057"/>
        <item x="12058"/>
        <item x="12059"/>
        <item x="11843"/>
        <item x="12061"/>
        <item x="12062"/>
        <item x="12063"/>
        <item x="12064"/>
        <item x="12065"/>
        <item x="12066"/>
        <item x="12067"/>
        <item x="12068"/>
        <item x="12069"/>
        <item x="12070"/>
        <item x="12071"/>
        <item x="12072"/>
        <item x="12073"/>
        <item x="12074"/>
        <item x="11857"/>
        <item x="12076"/>
        <item x="12077"/>
        <item x="12078"/>
        <item x="12079"/>
        <item x="12080"/>
        <item x="12081"/>
        <item x="12082"/>
        <item x="12083"/>
        <item x="12084"/>
        <item x="12085"/>
        <item x="12086"/>
        <item x="12087"/>
        <item x="12088"/>
        <item x="11872"/>
        <item x="12090"/>
        <item x="12091"/>
        <item x="12092"/>
        <item x="12093"/>
        <item x="12094"/>
        <item x="12095"/>
        <item x="12096"/>
        <item x="12097"/>
        <item x="12098"/>
        <item x="12099"/>
        <item x="12100"/>
        <item x="12101"/>
        <item x="12102"/>
        <item x="12103"/>
        <item x="11886"/>
        <item x="12105"/>
        <item x="12106"/>
        <item x="12107"/>
        <item x="12108"/>
        <item x="12109"/>
        <item x="12110"/>
        <item x="12111"/>
        <item x="12112"/>
        <item x="12113"/>
        <item x="12114"/>
        <item x="12115"/>
        <item x="12116"/>
        <item x="12117"/>
        <item x="11669"/>
        <item x="11887"/>
        <item x="11888"/>
        <item x="11889"/>
        <item x="11890"/>
        <item x="11891"/>
        <item x="11892"/>
        <item x="11893"/>
        <item x="11894"/>
        <item x="11895"/>
        <item x="11896"/>
        <item x="11897"/>
        <item x="11898"/>
        <item x="11899"/>
        <item x="11900"/>
        <item x="11683"/>
        <item x="11902"/>
        <item x="11903"/>
        <item x="11904"/>
        <item x="11905"/>
        <item x="11906"/>
        <item x="11907"/>
        <item x="11908"/>
        <item x="11909"/>
        <item x="11910"/>
        <item x="11911"/>
        <item x="11912"/>
        <item x="11913"/>
        <item x="11914"/>
        <item x="11698"/>
        <item x="11916"/>
        <item x="11917"/>
        <item x="11918"/>
        <item x="11919"/>
        <item x="11920"/>
        <item x="11921"/>
        <item x="11922"/>
        <item x="11923"/>
        <item x="11924"/>
        <item x="11925"/>
        <item x="11926"/>
        <item x="11927"/>
        <item x="11928"/>
        <item x="11929"/>
        <item x="11712"/>
        <item x="11931"/>
        <item x="11932"/>
        <item x="11933"/>
        <item x="11934"/>
        <item x="11935"/>
        <item x="11936"/>
        <item x="11937"/>
        <item x="11938"/>
        <item x="11939"/>
        <item x="11940"/>
        <item x="11941"/>
        <item x="11942"/>
        <item x="11943"/>
        <item x="11727"/>
        <item x="11945"/>
        <item x="11946"/>
        <item x="11947"/>
        <item x="11948"/>
        <item x="11949"/>
        <item x="11950"/>
        <item x="11951"/>
        <item x="11952"/>
        <item x="11953"/>
        <item x="11954"/>
        <item x="11955"/>
        <item x="11956"/>
        <item x="11957"/>
        <item x="11958"/>
        <item x="11741"/>
        <item x="11960"/>
        <item x="11961"/>
        <item x="11962"/>
        <item x="11963"/>
        <item x="11964"/>
        <item x="11965"/>
        <item x="11966"/>
        <item x="11967"/>
        <item x="11968"/>
        <item x="11969"/>
        <item x="11970"/>
        <item x="11971"/>
        <item x="11972"/>
        <item x="11756"/>
        <item x="11974"/>
        <item x="11975"/>
        <item x="11976"/>
        <item x="11977"/>
        <item x="11978"/>
        <item x="11979"/>
        <item x="11980"/>
        <item x="11981"/>
        <item x="11982"/>
        <item x="11983"/>
        <item x="11984"/>
        <item x="11985"/>
        <item x="11986"/>
        <item x="11987"/>
        <item x="11770"/>
        <item x="11989"/>
        <item x="11990"/>
        <item x="11991"/>
        <item x="11992"/>
        <item x="11993"/>
        <item x="11994"/>
        <item x="11995"/>
        <item x="11996"/>
        <item x="11997"/>
        <item x="11998"/>
        <item x="11999"/>
        <item x="12000"/>
        <item x="12001"/>
        <item x="11785"/>
        <item x="12003"/>
        <item x="12004"/>
        <item x="12005"/>
        <item x="12006"/>
        <item x="12007"/>
        <item x="12008"/>
        <item x="12009"/>
        <item x="12010"/>
        <item x="12011"/>
        <item x="12012"/>
        <item x="12013"/>
        <item x="12014"/>
        <item x="12015"/>
        <item x="12016"/>
        <item x="11790"/>
        <item x="11791"/>
        <item x="11792"/>
        <item x="11793"/>
        <item x="11794"/>
        <item x="11795"/>
        <item x="11796"/>
        <item x="11797"/>
        <item x="11798"/>
        <item x="11799"/>
        <item x="12018"/>
        <item x="12019"/>
        <item x="12020"/>
        <item x="12021"/>
        <item x="11805"/>
        <item x="11806"/>
        <item x="11807"/>
        <item x="11808"/>
        <item x="11809"/>
        <item x="11810"/>
        <item x="11811"/>
        <item x="11812"/>
        <item x="11813"/>
        <item x="11814"/>
        <item x="12032"/>
        <item x="12033"/>
        <item x="12034"/>
        <item x="12035"/>
        <item x="12036"/>
        <item x="12060"/>
        <item x="12279"/>
        <item x="12280"/>
        <item x="12281"/>
        <item x="12282"/>
        <item x="12283"/>
        <item x="12284"/>
        <item x="12285"/>
        <item x="12286"/>
        <item x="12287"/>
        <item x="12288"/>
        <item x="12289"/>
        <item x="12290"/>
        <item x="12291"/>
        <item x="12075"/>
        <item x="12293"/>
        <item x="12294"/>
        <item x="12295"/>
        <item x="12296"/>
        <item x="12297"/>
        <item x="12298"/>
        <item x="12299"/>
        <item x="12300"/>
        <item x="12301"/>
        <item x="12302"/>
        <item x="12303"/>
        <item x="12304"/>
        <item x="12305"/>
        <item x="12306"/>
        <item x="12089"/>
        <item x="12308"/>
        <item x="12309"/>
        <item x="12310"/>
        <item x="12311"/>
        <item x="12312"/>
        <item x="12313"/>
        <item x="12314"/>
        <item x="12315"/>
        <item x="12316"/>
        <item x="12317"/>
        <item x="12318"/>
        <item x="12319"/>
        <item x="12320"/>
        <item x="12104"/>
        <item x="12322"/>
        <item x="12323"/>
        <item x="12324"/>
        <item x="12325"/>
        <item x="12326"/>
        <item x="12327"/>
        <item x="12328"/>
        <item x="12329"/>
        <item x="12330"/>
        <item x="12331"/>
        <item x="12332"/>
        <item x="12333"/>
        <item x="12334"/>
        <item x="12335"/>
        <item x="12118"/>
        <item x="12337"/>
        <item x="12338"/>
        <item x="12339"/>
        <item x="12340"/>
        <item x="12341"/>
        <item x="12342"/>
        <item x="12343"/>
        <item x="12344"/>
        <item x="12345"/>
        <item x="12346"/>
        <item x="12347"/>
        <item x="12348"/>
        <item x="12349"/>
        <item x="11901"/>
        <item x="12119"/>
        <item x="12120"/>
        <item x="12121"/>
        <item x="12122"/>
        <item x="12123"/>
        <item x="12124"/>
        <item x="12125"/>
        <item x="12126"/>
        <item x="12127"/>
        <item x="12128"/>
        <item x="12129"/>
        <item x="12130"/>
        <item x="12131"/>
        <item x="12132"/>
        <item x="11915"/>
        <item x="12134"/>
        <item x="12135"/>
        <item x="12136"/>
        <item x="12137"/>
        <item x="12138"/>
        <item x="12139"/>
        <item x="12140"/>
        <item x="12141"/>
        <item x="12142"/>
        <item x="12143"/>
        <item x="12144"/>
        <item x="12145"/>
        <item x="12146"/>
        <item x="11930"/>
        <item x="12148"/>
        <item x="12149"/>
        <item x="12150"/>
        <item x="12151"/>
        <item x="12152"/>
        <item x="12153"/>
        <item x="12154"/>
        <item x="12155"/>
        <item x="12156"/>
        <item x="12157"/>
        <item x="12158"/>
        <item x="12159"/>
        <item x="12160"/>
        <item x="12161"/>
        <item x="11944"/>
        <item x="12163"/>
        <item x="12164"/>
        <item x="12165"/>
        <item x="12166"/>
        <item x="12167"/>
        <item x="12168"/>
        <item x="12169"/>
        <item x="12170"/>
        <item x="12171"/>
        <item x="12172"/>
        <item x="12173"/>
        <item x="12174"/>
        <item x="12175"/>
        <item x="11959"/>
        <item x="12177"/>
        <item x="12178"/>
        <item x="12179"/>
        <item x="12180"/>
        <item x="12181"/>
        <item x="12182"/>
        <item x="12183"/>
        <item x="12184"/>
        <item x="12185"/>
        <item x="12186"/>
        <item x="12187"/>
        <item x="12188"/>
        <item x="12189"/>
        <item x="12190"/>
        <item x="11973"/>
        <item x="12192"/>
        <item x="12193"/>
        <item x="12194"/>
        <item x="12195"/>
        <item x="12196"/>
        <item x="12197"/>
        <item x="12198"/>
        <item x="12199"/>
        <item x="12200"/>
        <item x="12201"/>
        <item x="12202"/>
        <item x="12203"/>
        <item x="12204"/>
        <item x="11988"/>
        <item x="12206"/>
        <item x="12207"/>
        <item x="12208"/>
        <item x="12209"/>
        <item x="12210"/>
        <item x="12211"/>
        <item x="12212"/>
        <item x="12213"/>
        <item x="12214"/>
        <item x="12215"/>
        <item x="12216"/>
        <item x="12217"/>
        <item x="12218"/>
        <item x="12219"/>
        <item x="12002"/>
        <item x="12221"/>
        <item x="12222"/>
        <item x="12223"/>
        <item x="12224"/>
        <item x="12225"/>
        <item x="12226"/>
        <item x="12227"/>
        <item x="12228"/>
        <item x="12229"/>
        <item x="12230"/>
        <item x="12231"/>
        <item x="12232"/>
        <item x="12233"/>
        <item x="12017"/>
        <item x="12235"/>
        <item x="12236"/>
        <item x="12237"/>
        <item x="12238"/>
        <item x="12239"/>
        <item x="12240"/>
        <item x="12241"/>
        <item x="12242"/>
        <item x="12243"/>
        <item x="12244"/>
        <item x="12245"/>
        <item x="12246"/>
        <item x="12247"/>
        <item x="12248"/>
        <item x="12022"/>
        <item x="12023"/>
        <item x="12024"/>
        <item x="12025"/>
        <item x="12026"/>
        <item x="12027"/>
        <item x="12028"/>
        <item x="12029"/>
        <item x="12030"/>
        <item x="12031"/>
        <item x="12250"/>
        <item x="12251"/>
        <item x="12252"/>
        <item x="12253"/>
        <item x="12037"/>
        <item x="12038"/>
        <item x="12039"/>
        <item x="12040"/>
        <item x="12041"/>
        <item x="12042"/>
        <item x="12043"/>
        <item x="12044"/>
        <item x="12045"/>
        <item x="12046"/>
        <item x="12264"/>
        <item x="12265"/>
        <item x="12266"/>
        <item x="12267"/>
        <item x="12268"/>
        <item x="12292"/>
        <item x="12511"/>
        <item x="12512"/>
        <item x="12513"/>
        <item x="12514"/>
        <item x="12515"/>
        <item x="12516"/>
        <item x="12517"/>
        <item x="12518"/>
        <item x="12519"/>
        <item x="12520"/>
        <item x="12521"/>
        <item x="12522"/>
        <item x="12523"/>
        <item x="12307"/>
        <item x="12525"/>
        <item x="12526"/>
        <item x="12527"/>
        <item x="12528"/>
        <item x="12529"/>
        <item x="12530"/>
        <item x="12531"/>
        <item x="12532"/>
        <item x="12533"/>
        <item x="12534"/>
        <item x="12535"/>
        <item x="12536"/>
        <item x="12537"/>
        <item x="12538"/>
        <item x="12321"/>
        <item x="12540"/>
        <item x="12541"/>
        <item x="12542"/>
        <item x="12543"/>
        <item x="12544"/>
        <item x="12545"/>
        <item x="12546"/>
        <item x="12547"/>
        <item x="12548"/>
        <item x="12549"/>
        <item x="12550"/>
        <item x="12551"/>
        <item x="12552"/>
        <item x="12336"/>
        <item x="12554"/>
        <item x="12555"/>
        <item x="12556"/>
        <item x="12557"/>
        <item x="12558"/>
        <item x="12559"/>
        <item x="12560"/>
        <item x="12561"/>
        <item x="12562"/>
        <item x="12563"/>
        <item x="12564"/>
        <item x="12565"/>
        <item x="12566"/>
        <item x="12567"/>
        <item x="12350"/>
        <item x="12569"/>
        <item x="12570"/>
        <item x="12571"/>
        <item x="12572"/>
        <item x="12573"/>
        <item x="12574"/>
        <item x="12575"/>
        <item x="12576"/>
        <item x="12577"/>
        <item x="12578"/>
        <item x="12579"/>
        <item x="12580"/>
        <item x="12581"/>
        <item x="12133"/>
        <item x="12351"/>
        <item x="12352"/>
        <item x="12353"/>
        <item x="12354"/>
        <item x="12355"/>
        <item x="12356"/>
        <item x="12357"/>
        <item x="12358"/>
        <item x="12359"/>
        <item x="12360"/>
        <item x="12361"/>
        <item x="12362"/>
        <item x="12363"/>
        <item x="12364"/>
        <item x="12147"/>
        <item x="12366"/>
        <item x="12367"/>
        <item x="12368"/>
        <item x="12369"/>
        <item x="12370"/>
        <item x="12371"/>
        <item x="12372"/>
        <item x="12373"/>
        <item x="12374"/>
        <item x="12375"/>
        <item x="12376"/>
        <item x="12377"/>
        <item x="12378"/>
        <item x="12162"/>
        <item x="12380"/>
        <item x="12381"/>
        <item x="12382"/>
        <item x="12383"/>
        <item x="12384"/>
        <item x="12385"/>
        <item x="12386"/>
        <item x="12387"/>
        <item x="12388"/>
        <item x="12389"/>
        <item x="12390"/>
        <item x="12391"/>
        <item x="12392"/>
        <item x="12393"/>
        <item x="12176"/>
        <item x="12395"/>
        <item x="12396"/>
        <item x="12397"/>
        <item x="12398"/>
        <item x="12399"/>
        <item x="12400"/>
        <item x="12401"/>
        <item x="12402"/>
        <item x="12403"/>
        <item x="12404"/>
        <item x="12405"/>
        <item x="12406"/>
        <item x="12407"/>
        <item x="12191"/>
        <item x="12409"/>
        <item x="12410"/>
        <item x="12411"/>
        <item x="12412"/>
        <item x="12413"/>
        <item x="12414"/>
        <item x="12415"/>
        <item x="12416"/>
        <item x="12417"/>
        <item x="12418"/>
        <item x="12419"/>
        <item x="12420"/>
        <item x="12421"/>
        <item x="12422"/>
        <item x="12205"/>
        <item x="12424"/>
        <item x="12425"/>
        <item x="12426"/>
        <item x="12427"/>
        <item x="12428"/>
        <item x="12429"/>
        <item x="12430"/>
        <item x="12431"/>
        <item x="12432"/>
        <item x="12433"/>
        <item x="12434"/>
        <item x="12435"/>
        <item x="12436"/>
        <item x="12220"/>
        <item x="12438"/>
        <item x="12439"/>
        <item x="12440"/>
        <item x="12441"/>
        <item x="12442"/>
        <item x="12443"/>
        <item x="12444"/>
        <item x="12445"/>
        <item x="12446"/>
        <item x="12447"/>
        <item x="12448"/>
        <item x="12449"/>
        <item x="12450"/>
        <item x="12451"/>
        <item x="12234"/>
        <item x="12453"/>
        <item x="12454"/>
        <item x="12455"/>
        <item x="12456"/>
        <item x="12457"/>
        <item x="12458"/>
        <item x="12459"/>
        <item x="12460"/>
        <item x="12461"/>
        <item x="12462"/>
        <item x="12463"/>
        <item x="12464"/>
        <item x="12465"/>
        <item x="12249"/>
        <item x="12467"/>
        <item x="12468"/>
        <item x="12469"/>
        <item x="12470"/>
        <item x="12471"/>
        <item x="12472"/>
        <item x="12473"/>
        <item x="12474"/>
        <item x="12475"/>
        <item x="12476"/>
        <item x="12477"/>
        <item x="12478"/>
        <item x="12479"/>
        <item x="12480"/>
        <item x="12254"/>
        <item x="12255"/>
        <item x="12256"/>
        <item x="12257"/>
        <item x="12258"/>
        <item x="12259"/>
        <item x="12260"/>
        <item x="12261"/>
        <item x="12262"/>
        <item x="12263"/>
        <item x="12482"/>
        <item x="12483"/>
        <item x="12484"/>
        <item x="12485"/>
        <item x="12269"/>
        <item x="12270"/>
        <item x="12271"/>
        <item x="12272"/>
        <item x="12273"/>
        <item x="12274"/>
        <item x="12275"/>
        <item x="12276"/>
        <item x="12277"/>
        <item x="12278"/>
        <item x="12496"/>
        <item x="12497"/>
        <item x="12498"/>
        <item x="12499"/>
        <item x="12500"/>
        <item x="12524"/>
        <item x="12743"/>
        <item x="12744"/>
        <item x="12745"/>
        <item x="12746"/>
        <item x="12747"/>
        <item x="12748"/>
        <item x="12749"/>
        <item x="12750"/>
        <item x="12751"/>
        <item x="12752"/>
        <item x="12753"/>
        <item x="12754"/>
        <item x="12755"/>
        <item x="12539"/>
        <item x="12757"/>
        <item x="12758"/>
        <item x="12759"/>
        <item x="12760"/>
        <item x="12761"/>
        <item x="12762"/>
        <item x="12763"/>
        <item x="12764"/>
        <item x="12765"/>
        <item x="12766"/>
        <item x="12767"/>
        <item x="12768"/>
        <item x="12769"/>
        <item x="12770"/>
        <item x="12553"/>
        <item x="12772"/>
        <item x="12773"/>
        <item x="12774"/>
        <item x="12775"/>
        <item x="12776"/>
        <item x="12777"/>
        <item x="12778"/>
        <item x="12779"/>
        <item x="12780"/>
        <item x="12781"/>
        <item x="12782"/>
        <item x="12783"/>
        <item x="12784"/>
        <item x="12568"/>
        <item x="12786"/>
        <item x="12787"/>
        <item x="12788"/>
        <item x="12789"/>
        <item x="12790"/>
        <item x="12791"/>
        <item x="12792"/>
        <item x="12793"/>
        <item x="12794"/>
        <item x="12795"/>
        <item x="12796"/>
        <item x="12797"/>
        <item x="12798"/>
        <item x="12799"/>
        <item x="12582"/>
        <item x="12801"/>
        <item x="12802"/>
        <item x="12803"/>
        <item x="12804"/>
        <item x="12805"/>
        <item x="12806"/>
        <item x="12807"/>
        <item x="12808"/>
        <item x="12809"/>
        <item x="12810"/>
        <item x="12811"/>
        <item x="12812"/>
        <item x="12813"/>
        <item x="12365"/>
        <item x="12583"/>
        <item x="12584"/>
        <item x="12585"/>
        <item x="12586"/>
        <item x="12587"/>
        <item x="12588"/>
        <item x="12589"/>
        <item x="12590"/>
        <item x="12591"/>
        <item x="12592"/>
        <item x="12593"/>
        <item x="12594"/>
        <item x="12595"/>
        <item x="12596"/>
        <item x="12379"/>
        <item x="12598"/>
        <item x="12599"/>
        <item x="12600"/>
        <item x="12601"/>
        <item x="12602"/>
        <item x="12603"/>
        <item x="12604"/>
        <item x="12605"/>
        <item x="12606"/>
        <item x="12607"/>
        <item x="12608"/>
        <item x="12609"/>
        <item x="12610"/>
        <item x="12394"/>
        <item x="12612"/>
        <item x="12613"/>
        <item x="12614"/>
        <item x="12615"/>
        <item x="12616"/>
        <item x="12617"/>
        <item x="12618"/>
        <item x="12619"/>
        <item x="12620"/>
        <item x="12621"/>
        <item x="12622"/>
        <item x="12623"/>
        <item x="12624"/>
        <item x="12625"/>
        <item x="12408"/>
        <item x="12627"/>
        <item x="12628"/>
        <item x="12629"/>
        <item x="12630"/>
        <item x="12631"/>
        <item x="12632"/>
        <item x="12633"/>
        <item x="12634"/>
        <item x="12635"/>
        <item x="12636"/>
        <item x="12637"/>
        <item x="12638"/>
        <item x="12639"/>
        <item x="12423"/>
        <item x="12641"/>
        <item x="12642"/>
        <item x="12643"/>
        <item x="12644"/>
        <item x="12645"/>
        <item x="12646"/>
        <item x="12647"/>
        <item x="12648"/>
        <item x="12649"/>
        <item x="12650"/>
        <item x="12651"/>
        <item x="12652"/>
        <item x="12653"/>
        <item x="12654"/>
        <item x="12437"/>
        <item x="12656"/>
        <item x="12657"/>
        <item x="12658"/>
        <item x="12659"/>
        <item x="12660"/>
        <item x="12661"/>
        <item x="12662"/>
        <item x="12663"/>
        <item x="12664"/>
        <item x="12665"/>
        <item x="12666"/>
        <item x="12667"/>
        <item x="12668"/>
        <item x="12452"/>
        <item x="12670"/>
        <item x="12671"/>
        <item x="12672"/>
        <item x="12673"/>
        <item x="12674"/>
        <item x="12675"/>
        <item x="12676"/>
        <item x="12677"/>
        <item x="12678"/>
        <item x="12679"/>
        <item x="12680"/>
        <item x="12681"/>
        <item x="12682"/>
        <item x="12683"/>
        <item x="12466"/>
        <item x="12685"/>
        <item x="12686"/>
        <item x="12687"/>
        <item x="12688"/>
        <item x="12689"/>
        <item x="12690"/>
        <item x="12691"/>
        <item x="12692"/>
        <item x="12693"/>
        <item x="12694"/>
        <item x="12695"/>
        <item x="12696"/>
        <item x="12697"/>
        <item x="12481"/>
        <item x="12699"/>
        <item x="12700"/>
        <item x="12701"/>
        <item x="12702"/>
        <item x="12703"/>
        <item x="12704"/>
        <item x="12705"/>
        <item x="12706"/>
        <item x="12707"/>
        <item x="12708"/>
        <item x="12709"/>
        <item x="12710"/>
        <item x="12711"/>
        <item x="12712"/>
        <item x="12486"/>
        <item x="12487"/>
        <item x="12488"/>
        <item x="12489"/>
        <item x="12490"/>
        <item x="12491"/>
        <item x="12492"/>
        <item x="12493"/>
        <item x="12494"/>
        <item x="12495"/>
        <item x="12714"/>
        <item x="12715"/>
        <item x="12716"/>
        <item x="12717"/>
        <item x="12501"/>
        <item x="12502"/>
        <item x="12503"/>
        <item x="12504"/>
        <item x="12505"/>
        <item x="12506"/>
        <item x="12507"/>
        <item x="12508"/>
        <item x="12509"/>
        <item x="12510"/>
        <item x="12728"/>
        <item x="12729"/>
        <item x="12730"/>
        <item x="12731"/>
        <item x="12732"/>
        <item x="12756"/>
        <item x="12975"/>
        <item x="12976"/>
        <item x="12977"/>
        <item x="12978"/>
        <item x="12979"/>
        <item x="12980"/>
        <item x="12981"/>
        <item x="12982"/>
        <item x="12983"/>
        <item x="12984"/>
        <item x="12985"/>
        <item x="12986"/>
        <item x="12987"/>
        <item x="12771"/>
        <item x="12989"/>
        <item x="12990"/>
        <item x="12991"/>
        <item x="12992"/>
        <item x="12993"/>
        <item x="12994"/>
        <item x="12995"/>
        <item x="12996"/>
        <item x="12997"/>
        <item x="12998"/>
        <item x="12999"/>
        <item x="13000"/>
        <item x="13001"/>
        <item x="13002"/>
        <item x="12785"/>
        <item x="13004"/>
        <item x="13005"/>
        <item x="13006"/>
        <item x="13007"/>
        <item x="13008"/>
        <item x="13009"/>
        <item x="13010"/>
        <item x="13011"/>
        <item x="13012"/>
        <item x="13013"/>
        <item x="13014"/>
        <item x="13015"/>
        <item x="13016"/>
        <item x="12800"/>
        <item x="13018"/>
        <item x="13019"/>
        <item x="13020"/>
        <item x="13021"/>
        <item x="13022"/>
        <item x="13023"/>
        <item x="13024"/>
        <item x="13025"/>
        <item x="13026"/>
        <item x="13027"/>
        <item x="13028"/>
        <item x="13029"/>
        <item x="13030"/>
        <item x="13031"/>
        <item x="12814"/>
        <item x="13033"/>
        <item x="13034"/>
        <item x="13035"/>
        <item x="13036"/>
        <item x="13037"/>
        <item x="13038"/>
        <item x="13039"/>
        <item x="13040"/>
        <item x="13041"/>
        <item x="13042"/>
        <item x="13043"/>
        <item x="13044"/>
        <item x="13045"/>
        <item x="12597"/>
        <item x="12815"/>
        <item x="12816"/>
        <item x="12817"/>
        <item x="12818"/>
        <item x="12819"/>
        <item x="12820"/>
        <item x="12821"/>
        <item x="12822"/>
        <item x="12823"/>
        <item x="12824"/>
        <item x="12825"/>
        <item x="12826"/>
        <item x="12827"/>
        <item x="12828"/>
        <item x="12611"/>
        <item x="12830"/>
        <item x="12831"/>
        <item x="12832"/>
        <item x="12833"/>
        <item x="12834"/>
        <item x="12835"/>
        <item x="12836"/>
        <item x="12837"/>
        <item x="12838"/>
        <item x="12839"/>
        <item x="12840"/>
        <item x="12841"/>
        <item x="12842"/>
        <item x="12626"/>
        <item x="12844"/>
        <item x="12845"/>
        <item x="12846"/>
        <item x="12847"/>
        <item x="12848"/>
        <item x="12849"/>
        <item x="12850"/>
        <item x="12851"/>
        <item x="12852"/>
        <item x="12853"/>
        <item x="12854"/>
        <item x="12855"/>
        <item x="12856"/>
        <item x="12857"/>
        <item x="12640"/>
        <item x="12859"/>
        <item x="12860"/>
        <item x="12861"/>
        <item x="12862"/>
        <item x="12863"/>
        <item x="12864"/>
        <item x="12865"/>
        <item x="12866"/>
        <item x="12867"/>
        <item x="12868"/>
        <item x="12869"/>
        <item x="12870"/>
        <item x="12871"/>
        <item x="12655"/>
        <item x="12873"/>
        <item x="12874"/>
        <item x="12875"/>
        <item x="12876"/>
        <item x="12877"/>
        <item x="12878"/>
        <item x="12879"/>
        <item x="12880"/>
        <item x="12881"/>
        <item x="12882"/>
        <item x="12883"/>
        <item x="12884"/>
        <item x="12885"/>
        <item x="12886"/>
        <item x="12669"/>
        <item x="12888"/>
        <item x="12889"/>
        <item x="12890"/>
        <item x="12891"/>
        <item x="12892"/>
        <item x="12893"/>
        <item x="12894"/>
        <item x="12895"/>
        <item x="12896"/>
        <item x="12897"/>
        <item x="12898"/>
        <item x="12899"/>
        <item x="12900"/>
        <item x="12684"/>
        <item x="12902"/>
        <item x="12903"/>
        <item x="12904"/>
        <item x="12905"/>
        <item x="12906"/>
        <item x="12907"/>
        <item x="12908"/>
        <item x="12909"/>
        <item x="12910"/>
        <item x="12911"/>
        <item x="12912"/>
        <item x="12913"/>
        <item x="12914"/>
        <item x="12915"/>
        <item x="12698"/>
        <item x="12917"/>
        <item x="12918"/>
        <item x="12919"/>
        <item x="12920"/>
        <item x="12921"/>
        <item x="12922"/>
        <item x="12923"/>
        <item x="12924"/>
        <item x="12925"/>
        <item x="12926"/>
        <item x="12927"/>
        <item x="12928"/>
        <item x="12929"/>
        <item x="12713"/>
        <item x="12931"/>
        <item x="12932"/>
        <item x="12933"/>
        <item x="12934"/>
        <item x="12935"/>
        <item x="12936"/>
        <item x="12937"/>
        <item x="12938"/>
        <item x="12939"/>
        <item x="12940"/>
        <item x="12941"/>
        <item x="12942"/>
        <item x="12943"/>
        <item x="12944"/>
        <item x="12718"/>
        <item x="12719"/>
        <item x="12720"/>
        <item x="12721"/>
        <item x="12722"/>
        <item x="12723"/>
        <item x="12724"/>
        <item x="12725"/>
        <item x="12726"/>
        <item x="12727"/>
        <item x="12946"/>
        <item x="12947"/>
        <item x="12948"/>
        <item x="12949"/>
        <item x="12733"/>
        <item x="12734"/>
        <item x="12735"/>
        <item x="12736"/>
        <item x="12737"/>
        <item x="12738"/>
        <item x="12739"/>
        <item x="12740"/>
        <item x="12741"/>
        <item x="12742"/>
        <item x="12960"/>
        <item x="12961"/>
        <item x="12962"/>
        <item x="12963"/>
        <item x="12964"/>
        <item x="12988"/>
        <item x="13207"/>
        <item x="13208"/>
        <item x="13209"/>
        <item x="13210"/>
        <item x="13211"/>
        <item x="13212"/>
        <item x="13213"/>
        <item x="13214"/>
        <item x="13215"/>
        <item x="13216"/>
        <item x="13217"/>
        <item x="13218"/>
        <item x="13219"/>
        <item x="13003"/>
        <item x="13221"/>
        <item x="13222"/>
        <item x="13223"/>
        <item x="13224"/>
        <item x="13225"/>
        <item x="13226"/>
        <item x="13227"/>
        <item x="13228"/>
        <item x="13229"/>
        <item x="13230"/>
        <item x="13231"/>
        <item x="13232"/>
        <item x="13233"/>
        <item x="13234"/>
        <item x="13017"/>
        <item x="13236"/>
        <item x="13237"/>
        <item x="13238"/>
        <item x="13239"/>
        <item x="13240"/>
        <item x="13241"/>
        <item x="13242"/>
        <item x="13243"/>
        <item x="13244"/>
        <item x="13245"/>
        <item x="13246"/>
        <item x="13247"/>
        <item x="13248"/>
        <item x="13032"/>
        <item x="13250"/>
        <item x="13251"/>
        <item x="13252"/>
        <item x="13253"/>
        <item x="13254"/>
        <item x="13255"/>
        <item x="13256"/>
        <item x="13257"/>
        <item x="13258"/>
        <item x="13259"/>
        <item x="13260"/>
        <item x="13261"/>
        <item x="13262"/>
        <item x="13263"/>
        <item x="13046"/>
        <item x="13265"/>
        <item x="13266"/>
        <item x="13267"/>
        <item x="13268"/>
        <item x="13269"/>
        <item x="13270"/>
        <item x="13271"/>
        <item x="13272"/>
        <item x="13273"/>
        <item x="13274"/>
        <item x="13275"/>
        <item x="13276"/>
        <item x="13277"/>
        <item x="12829"/>
        <item x="13047"/>
        <item x="13048"/>
        <item x="13049"/>
        <item x="13050"/>
        <item x="13051"/>
        <item x="13052"/>
        <item x="13053"/>
        <item x="13054"/>
        <item x="13055"/>
        <item x="13056"/>
        <item x="13057"/>
        <item x="13058"/>
        <item x="13059"/>
        <item x="13060"/>
        <item x="12843"/>
        <item x="13062"/>
        <item x="13063"/>
        <item x="13064"/>
        <item x="13065"/>
        <item x="13066"/>
        <item x="13067"/>
        <item x="13068"/>
        <item x="13069"/>
        <item x="13070"/>
        <item x="13071"/>
        <item x="13072"/>
        <item x="13073"/>
        <item x="13074"/>
        <item x="12858"/>
        <item x="13076"/>
        <item x="13077"/>
        <item x="13078"/>
        <item x="13079"/>
        <item x="13080"/>
        <item x="13081"/>
        <item x="13082"/>
        <item x="13083"/>
        <item x="13084"/>
        <item x="13085"/>
        <item x="13086"/>
        <item x="13087"/>
        <item x="13088"/>
        <item x="13089"/>
        <item x="12872"/>
        <item x="13091"/>
        <item x="13092"/>
        <item x="13093"/>
        <item x="13094"/>
        <item x="13095"/>
        <item x="13096"/>
        <item x="13097"/>
        <item x="13098"/>
        <item x="13099"/>
        <item x="13100"/>
        <item x="13101"/>
        <item x="13102"/>
        <item x="13103"/>
        <item x="12887"/>
        <item x="13105"/>
        <item x="13106"/>
        <item x="13107"/>
        <item x="13108"/>
        <item x="13109"/>
        <item x="13110"/>
        <item x="13111"/>
        <item x="13112"/>
        <item x="13113"/>
        <item x="13114"/>
        <item x="13115"/>
        <item x="13116"/>
        <item x="13117"/>
        <item x="13118"/>
        <item x="12901"/>
        <item x="13120"/>
        <item x="13121"/>
        <item x="13122"/>
        <item x="13123"/>
        <item x="13124"/>
        <item x="13125"/>
        <item x="13126"/>
        <item x="13127"/>
        <item x="13128"/>
        <item x="13129"/>
        <item x="13130"/>
        <item x="13131"/>
        <item x="13132"/>
        <item x="12916"/>
        <item x="13134"/>
        <item x="13135"/>
        <item x="13136"/>
        <item x="13137"/>
        <item x="13138"/>
        <item x="13139"/>
        <item x="13140"/>
        <item x="13141"/>
        <item x="13142"/>
        <item x="13143"/>
        <item x="13144"/>
        <item x="13145"/>
        <item x="13146"/>
        <item x="13147"/>
        <item x="12930"/>
        <item x="13149"/>
        <item x="13150"/>
        <item x="13151"/>
        <item x="13152"/>
        <item x="13153"/>
        <item x="13154"/>
        <item x="13155"/>
        <item x="13156"/>
        <item x="13157"/>
        <item x="13158"/>
        <item x="13159"/>
        <item x="13160"/>
        <item x="13161"/>
        <item x="12945"/>
        <item x="13163"/>
        <item x="13164"/>
        <item x="13165"/>
        <item x="13166"/>
        <item x="13167"/>
        <item x="13168"/>
        <item x="13169"/>
        <item x="13170"/>
        <item x="13171"/>
        <item x="13172"/>
        <item x="13173"/>
        <item x="13174"/>
        <item x="13175"/>
        <item x="13176"/>
        <item x="12950"/>
        <item x="12951"/>
        <item x="12952"/>
        <item x="12953"/>
        <item x="12954"/>
        <item x="12955"/>
        <item x="12956"/>
        <item x="12957"/>
        <item x="12958"/>
        <item x="12959"/>
        <item x="13178"/>
        <item x="13179"/>
        <item x="13180"/>
        <item x="13181"/>
        <item x="12965"/>
        <item x="12966"/>
        <item x="12967"/>
        <item x="12968"/>
        <item x="12969"/>
        <item x="12970"/>
        <item x="12971"/>
        <item x="12972"/>
        <item x="12973"/>
        <item x="12974"/>
        <item x="13192"/>
        <item x="13193"/>
        <item x="13194"/>
        <item x="13195"/>
        <item x="13196"/>
        <item x="13220"/>
        <item x="13439"/>
        <item x="13440"/>
        <item x="13441"/>
        <item x="13442"/>
        <item x="13443"/>
        <item x="13444"/>
        <item x="13445"/>
        <item x="13446"/>
        <item x="13447"/>
        <item x="13448"/>
        <item x="13449"/>
        <item x="13450"/>
        <item x="13451"/>
        <item x="13235"/>
        <item x="13453"/>
        <item x="13454"/>
        <item x="13455"/>
        <item x="13456"/>
        <item x="13457"/>
        <item x="13458"/>
        <item x="13459"/>
        <item x="13460"/>
        <item x="13461"/>
        <item x="13462"/>
        <item x="13463"/>
        <item x="13464"/>
        <item x="13465"/>
        <item x="13466"/>
        <item x="13249"/>
        <item x="13468"/>
        <item x="13469"/>
        <item x="13470"/>
        <item x="13471"/>
        <item x="13472"/>
        <item x="13473"/>
        <item x="13474"/>
        <item x="13475"/>
        <item x="13476"/>
        <item x="13477"/>
        <item x="13478"/>
        <item x="13479"/>
        <item x="13480"/>
        <item x="13264"/>
        <item x="13482"/>
        <item x="13483"/>
        <item x="13484"/>
        <item x="13485"/>
        <item x="13486"/>
        <item x="13487"/>
        <item x="13488"/>
        <item x="13489"/>
        <item x="13490"/>
        <item x="13491"/>
        <item x="13492"/>
        <item x="13493"/>
        <item x="13494"/>
        <item x="13495"/>
        <item x="13278"/>
        <item x="13497"/>
        <item x="13498"/>
        <item x="13499"/>
        <item x="13500"/>
        <item x="13501"/>
        <item x="13502"/>
        <item x="13503"/>
        <item x="13504"/>
        <item x="13505"/>
        <item x="13506"/>
        <item x="13507"/>
        <item x="13508"/>
        <item x="13509"/>
        <item x="13061"/>
        <item x="13279"/>
        <item x="13280"/>
        <item x="13281"/>
        <item x="13282"/>
        <item x="13283"/>
        <item x="13284"/>
        <item x="13285"/>
        <item x="13286"/>
        <item x="13287"/>
        <item x="13288"/>
        <item x="13289"/>
        <item x="13290"/>
        <item x="13291"/>
        <item x="13292"/>
        <item x="13075"/>
        <item x="13294"/>
        <item x="13295"/>
        <item x="13296"/>
        <item x="13297"/>
        <item x="13298"/>
        <item x="13299"/>
        <item x="13300"/>
        <item x="13301"/>
        <item x="13302"/>
        <item x="13303"/>
        <item x="13304"/>
        <item x="13305"/>
        <item x="13306"/>
        <item x="13090"/>
        <item x="13308"/>
        <item x="13309"/>
        <item x="13310"/>
        <item x="13311"/>
        <item x="13312"/>
        <item x="13313"/>
        <item x="13314"/>
        <item x="13315"/>
        <item x="13316"/>
        <item x="13317"/>
        <item x="13318"/>
        <item x="13319"/>
        <item x="13320"/>
        <item x="13321"/>
        <item x="13104"/>
        <item x="13323"/>
        <item x="13324"/>
        <item x="13325"/>
        <item x="13326"/>
        <item x="13327"/>
        <item x="13328"/>
        <item x="13329"/>
        <item x="13330"/>
        <item x="13331"/>
        <item x="13332"/>
        <item x="13333"/>
        <item x="13334"/>
        <item x="13335"/>
        <item x="13119"/>
        <item x="13337"/>
        <item x="13338"/>
        <item x="13339"/>
        <item x="13340"/>
        <item x="13341"/>
        <item x="13342"/>
        <item x="13343"/>
        <item x="13344"/>
        <item x="13345"/>
        <item x="13346"/>
        <item x="13347"/>
        <item x="13348"/>
        <item x="13349"/>
        <item x="13350"/>
        <item x="13133"/>
        <item x="13352"/>
        <item x="13353"/>
        <item x="13354"/>
        <item x="13355"/>
        <item x="13356"/>
        <item x="13357"/>
        <item x="13358"/>
        <item x="13359"/>
        <item x="13360"/>
        <item x="13361"/>
        <item x="13362"/>
        <item x="13363"/>
        <item x="13364"/>
        <item x="13148"/>
        <item x="13366"/>
        <item x="13367"/>
        <item x="13368"/>
        <item x="13369"/>
        <item x="13370"/>
        <item x="13371"/>
        <item x="13372"/>
        <item x="13373"/>
        <item x="13374"/>
        <item x="13375"/>
        <item x="13376"/>
        <item x="13377"/>
        <item x="13378"/>
        <item x="13379"/>
        <item x="13162"/>
        <item x="13381"/>
        <item x="13382"/>
        <item x="13383"/>
        <item x="13384"/>
        <item x="13385"/>
        <item x="13386"/>
        <item x="13387"/>
        <item x="13388"/>
        <item x="13389"/>
        <item x="13390"/>
        <item x="13391"/>
        <item x="13392"/>
        <item x="13393"/>
        <item x="13177"/>
        <item x="13395"/>
        <item x="13396"/>
        <item x="13397"/>
        <item x="13398"/>
        <item x="13399"/>
        <item x="13400"/>
        <item x="13401"/>
        <item x="13402"/>
        <item x="13403"/>
        <item x="13404"/>
        <item x="13405"/>
        <item x="13406"/>
        <item x="13407"/>
        <item x="13408"/>
        <item x="13182"/>
        <item x="13183"/>
        <item x="13184"/>
        <item x="13185"/>
        <item x="13186"/>
        <item x="13187"/>
        <item x="13188"/>
        <item x="13189"/>
        <item x="13190"/>
        <item x="13191"/>
        <item x="13410"/>
        <item x="13411"/>
        <item x="13412"/>
        <item x="13413"/>
        <item x="13197"/>
        <item x="13198"/>
        <item x="13199"/>
        <item x="13200"/>
        <item x="13201"/>
        <item x="13202"/>
        <item x="13203"/>
        <item x="13204"/>
        <item x="13205"/>
        <item x="13206"/>
        <item x="13424"/>
        <item x="13425"/>
        <item x="13426"/>
        <item x="13427"/>
        <item x="13428"/>
        <item x="13452"/>
        <item x="13671"/>
        <item x="13672"/>
        <item x="13673"/>
        <item x="13674"/>
        <item x="13675"/>
        <item x="13676"/>
        <item x="13677"/>
        <item x="13678"/>
        <item x="13679"/>
        <item x="13680"/>
        <item x="13681"/>
        <item x="13682"/>
        <item x="13683"/>
        <item x="13467"/>
        <item x="13685"/>
        <item x="13686"/>
        <item x="13687"/>
        <item x="13688"/>
        <item x="13689"/>
        <item x="13690"/>
        <item x="13691"/>
        <item x="13692"/>
        <item x="13693"/>
        <item x="13694"/>
        <item x="13695"/>
        <item x="13696"/>
        <item x="13697"/>
        <item x="13698"/>
        <item x="13481"/>
        <item x="13700"/>
        <item x="13701"/>
        <item x="13702"/>
        <item x="13703"/>
        <item x="13704"/>
        <item x="13705"/>
        <item x="13706"/>
        <item x="13707"/>
        <item x="13708"/>
        <item x="13709"/>
        <item x="13710"/>
        <item x="13711"/>
        <item x="13712"/>
        <item x="13496"/>
        <item x="13714"/>
        <item x="13715"/>
        <item x="13716"/>
        <item x="13717"/>
        <item x="13718"/>
        <item x="13719"/>
        <item x="13720"/>
        <item x="13721"/>
        <item x="13722"/>
        <item x="13723"/>
        <item x="13724"/>
        <item x="13725"/>
        <item x="13726"/>
        <item x="13727"/>
        <item x="13510"/>
        <item x="13729"/>
        <item x="13730"/>
        <item x="13731"/>
        <item x="13732"/>
        <item x="13733"/>
        <item x="13734"/>
        <item x="13735"/>
        <item x="13736"/>
        <item x="13737"/>
        <item x="13738"/>
        <item x="13739"/>
        <item x="13740"/>
        <item x="13741"/>
        <item x="13293"/>
        <item x="13511"/>
        <item x="13512"/>
        <item x="13513"/>
        <item x="13514"/>
        <item x="13515"/>
        <item x="13516"/>
        <item x="13517"/>
        <item x="13518"/>
        <item x="13519"/>
        <item x="13520"/>
        <item x="13521"/>
        <item x="13522"/>
        <item x="13523"/>
        <item x="13524"/>
        <item x="13307"/>
        <item x="13526"/>
        <item x="13527"/>
        <item x="13528"/>
        <item x="13529"/>
        <item x="13530"/>
        <item x="13531"/>
        <item x="13532"/>
        <item x="13533"/>
        <item x="13534"/>
        <item x="13535"/>
        <item x="13536"/>
        <item x="13537"/>
        <item x="13538"/>
        <item x="13322"/>
        <item x="13540"/>
        <item x="13541"/>
        <item x="13542"/>
        <item x="13543"/>
        <item x="13544"/>
        <item x="13545"/>
        <item x="13546"/>
        <item x="13547"/>
        <item x="13548"/>
        <item x="13549"/>
        <item x="13550"/>
        <item x="13551"/>
        <item x="13552"/>
        <item x="13553"/>
        <item x="13336"/>
        <item x="13555"/>
        <item x="13556"/>
        <item x="13557"/>
        <item x="13558"/>
        <item x="13559"/>
        <item x="13560"/>
        <item x="13561"/>
        <item x="13562"/>
        <item x="13563"/>
        <item x="13564"/>
        <item x="13565"/>
        <item x="13566"/>
        <item x="13567"/>
        <item x="13351"/>
        <item x="13569"/>
        <item x="13570"/>
        <item x="13571"/>
        <item x="13572"/>
        <item x="13573"/>
        <item x="13574"/>
        <item x="13575"/>
        <item x="13576"/>
        <item x="13577"/>
        <item x="13578"/>
        <item x="13579"/>
        <item x="13580"/>
        <item x="13581"/>
        <item x="13582"/>
        <item x="13365"/>
        <item x="13584"/>
        <item x="13585"/>
        <item x="13586"/>
        <item x="13587"/>
        <item x="13588"/>
        <item x="13589"/>
        <item x="13590"/>
        <item x="13591"/>
        <item x="13592"/>
        <item x="13593"/>
        <item x="13594"/>
        <item x="13595"/>
        <item x="13596"/>
        <item x="13380"/>
        <item x="13598"/>
        <item x="13599"/>
        <item x="13600"/>
        <item x="13601"/>
        <item x="13602"/>
        <item x="13603"/>
        <item x="13604"/>
        <item x="13605"/>
        <item x="13606"/>
        <item x="13607"/>
        <item x="13608"/>
        <item x="13609"/>
        <item x="13610"/>
        <item x="13611"/>
        <item x="13394"/>
        <item x="13613"/>
        <item x="13614"/>
        <item x="13615"/>
        <item x="13616"/>
        <item x="13617"/>
        <item x="13618"/>
        <item x="13619"/>
        <item x="13620"/>
        <item x="13621"/>
        <item x="13622"/>
        <item x="13623"/>
        <item x="13624"/>
        <item x="13625"/>
        <item x="13409"/>
        <item x="13627"/>
        <item x="13628"/>
        <item x="13629"/>
        <item x="13630"/>
        <item x="13631"/>
        <item x="13632"/>
        <item x="13633"/>
        <item x="13634"/>
        <item x="13635"/>
        <item x="13636"/>
        <item x="13637"/>
        <item x="13638"/>
        <item x="13639"/>
        <item x="13640"/>
        <item x="13414"/>
        <item x="13415"/>
        <item x="13416"/>
        <item x="13417"/>
        <item x="13418"/>
        <item x="13419"/>
        <item x="13420"/>
        <item x="13421"/>
        <item x="13422"/>
        <item x="13423"/>
        <item x="13642"/>
        <item x="13643"/>
        <item x="13644"/>
        <item x="13645"/>
        <item x="13429"/>
        <item x="13430"/>
        <item x="13431"/>
        <item x="13432"/>
        <item x="13433"/>
        <item x="13434"/>
        <item x="13435"/>
        <item x="13436"/>
        <item x="13437"/>
        <item x="13438"/>
        <item x="13656"/>
        <item x="13657"/>
        <item x="13658"/>
        <item x="13659"/>
        <item x="13660"/>
        <item x="13684"/>
        <item x="13882"/>
        <item x="13883"/>
        <item x="13884"/>
        <item x="13885"/>
        <item x="13886"/>
        <item x="13887"/>
        <item x="13888"/>
        <item x="13889"/>
        <item x="13890"/>
        <item x="13891"/>
        <item x="13892"/>
        <item x="13893"/>
        <item x="13894"/>
        <item x="13699"/>
        <item x="13896"/>
        <item x="13897"/>
        <item x="13898"/>
        <item x="13899"/>
        <item x="13900"/>
        <item x="13901"/>
        <item x="13902"/>
        <item x="13903"/>
        <item x="13904"/>
        <item x="13905"/>
        <item x="13906"/>
        <item x="13907"/>
        <item x="13908"/>
        <item x="13909"/>
        <item x="13713"/>
        <item x="13911"/>
        <item x="13912"/>
        <item x="13913"/>
        <item x="13914"/>
        <item x="13915"/>
        <item x="13916"/>
        <item x="13917"/>
        <item x="13918"/>
        <item x="13919"/>
        <item x="13920"/>
        <item x="13921"/>
        <item x="13922"/>
        <item x="13923"/>
        <item x="13728"/>
        <item x="13925"/>
        <item x="13926"/>
        <item x="13927"/>
        <item x="13928"/>
        <item x="13929"/>
        <item x="13930"/>
        <item x="13931"/>
        <item x="13932"/>
        <item x="13933"/>
        <item x="13934"/>
        <item x="13935"/>
        <item x="13936"/>
        <item x="13937"/>
        <item x="13938"/>
        <item x="13742"/>
        <item x="13940"/>
        <item x="13941"/>
        <item x="13942"/>
        <item x="13943"/>
        <item x="13944"/>
        <item x="13945"/>
        <item x="13946"/>
        <item x="13947"/>
        <item x="13948"/>
        <item x="13949"/>
        <item x="13950"/>
        <item x="13951"/>
        <item x="13952"/>
        <item x="13525"/>
        <item x="13743"/>
        <item x="13744"/>
        <item x="13745"/>
        <item x="13746"/>
        <item x="13747"/>
        <item x="13748"/>
        <item x="13749"/>
        <item x="13750"/>
        <item x="13751"/>
        <item x="13752"/>
        <item x="13753"/>
        <item x="13754"/>
        <item x="13755"/>
        <item x="13756"/>
        <item x="13539"/>
        <item x="13758"/>
        <item x="13759"/>
        <item x="13760"/>
        <item x="13761"/>
        <item x="13762"/>
        <item x="13763"/>
        <item x="13764"/>
        <item x="13765"/>
        <item x="13766"/>
        <item x="13767"/>
        <item x="13768"/>
        <item x="13769"/>
        <item x="13770"/>
        <item x="13554"/>
        <item x="13772"/>
        <item x="13773"/>
        <item x="13774"/>
        <item x="13775"/>
        <item x="13776"/>
        <item x="13777"/>
        <item x="13778"/>
        <item x="13779"/>
        <item x="13780"/>
        <item x="13781"/>
        <item x="13782"/>
        <item x="13783"/>
        <item x="13784"/>
        <item x="13785"/>
        <item x="13568"/>
        <item x="13787"/>
        <item x="13788"/>
        <item x="13789"/>
        <item x="13790"/>
        <item x="13791"/>
        <item x="13792"/>
        <item x="13793"/>
        <item x="13794"/>
        <item x="13795"/>
        <item x="13796"/>
        <item x="13797"/>
        <item x="13798"/>
        <item x="13799"/>
        <item x="13583"/>
        <item x="13801"/>
        <item x="13802"/>
        <item x="13803"/>
        <item x="13804"/>
        <item x="13805"/>
        <item x="13806"/>
        <item x="13807"/>
        <item x="13808"/>
        <item x="13809"/>
        <item x="13810"/>
        <item x="13811"/>
        <item x="13812"/>
        <item x="13813"/>
        <item x="13814"/>
        <item x="13597"/>
        <item x="13816"/>
        <item x="13817"/>
        <item x="13818"/>
        <item x="13819"/>
        <item x="13820"/>
        <item x="13821"/>
        <item x="13822"/>
        <item x="13823"/>
        <item x="13824"/>
        <item x="13825"/>
        <item x="13826"/>
        <item x="13827"/>
        <item x="13828"/>
        <item x="13612"/>
        <item x="13830"/>
        <item x="13831"/>
        <item x="13832"/>
        <item x="13833"/>
        <item x="13834"/>
        <item x="13835"/>
        <item x="13836"/>
        <item x="13837"/>
        <item x="13838"/>
        <item x="13839"/>
        <item x="13840"/>
        <item x="13841"/>
        <item x="13842"/>
        <item x="13843"/>
        <item x="13626"/>
        <item x="13845"/>
        <item x="13846"/>
        <item x="13847"/>
        <item x="13848"/>
        <item x="13849"/>
        <item x="13850"/>
        <item x="13851"/>
        <item x="13852"/>
        <item x="13853"/>
        <item x="13854"/>
        <item x="13855"/>
        <item x="13856"/>
        <item x="13857"/>
        <item x="13641"/>
        <item x="13859"/>
        <item x="13860"/>
        <item x="13861"/>
        <item x="13862"/>
        <item x="13863"/>
        <item x="13864"/>
        <item x="13865"/>
        <item x="13866"/>
        <item x="13867"/>
        <item x="13868"/>
        <item x="13869"/>
        <item x="13870"/>
        <item x="13871"/>
        <item x="13872"/>
        <item x="13646"/>
        <item x="13647"/>
        <item x="13648"/>
        <item x="13649"/>
        <item x="13650"/>
        <item x="13651"/>
        <item x="13652"/>
        <item x="13653"/>
        <item x="13654"/>
        <item x="13655"/>
        <item x="13873"/>
        <item x="13874"/>
        <item x="13875"/>
        <item x="13876"/>
        <item x="13661"/>
        <item x="13662"/>
        <item x="13663"/>
        <item x="13664"/>
        <item x="13665"/>
        <item x="13666"/>
        <item x="13667"/>
        <item x="13668"/>
        <item x="13669"/>
        <item x="13670"/>
        <item x="13877"/>
        <item x="13878"/>
        <item x="13879"/>
        <item x="13880"/>
        <item x="13881"/>
        <item x="13895"/>
        <item x="14092"/>
        <item x="14093"/>
        <item x="14094"/>
        <item x="14095"/>
        <item x="14096"/>
        <item x="14097"/>
        <item x="14098"/>
        <item x="14099"/>
        <item x="14100"/>
        <item x="14101"/>
        <item x="14102"/>
        <item x="14103"/>
        <item x="14104"/>
        <item x="13910"/>
        <item x="14105"/>
        <item x="14106"/>
        <item x="14107"/>
        <item x="14108"/>
        <item x="14109"/>
        <item x="14110"/>
        <item x="14111"/>
        <item x="14112"/>
        <item x="14113"/>
        <item x="14114"/>
        <item x="14115"/>
        <item x="14116"/>
        <item x="14117"/>
        <item x="14118"/>
        <item x="13924"/>
        <item x="14119"/>
        <item x="14120"/>
        <item x="14121"/>
        <item x="14122"/>
        <item x="14123"/>
        <item x="14124"/>
        <item x="14125"/>
        <item x="14126"/>
        <item x="14127"/>
        <item x="14128"/>
        <item x="14129"/>
        <item x="14130"/>
        <item x="14131"/>
        <item x="13939"/>
        <item x="14132"/>
        <item x="14133"/>
        <item x="14134"/>
        <item x="14135"/>
        <item x="14136"/>
        <item x="14137"/>
        <item x="14138"/>
        <item x="14139"/>
        <item x="14140"/>
        <item x="14141"/>
        <item x="14142"/>
        <item x="14143"/>
        <item x="14144"/>
        <item x="14145"/>
        <item x="13953"/>
        <item x="14146"/>
        <item x="14147"/>
        <item x="14148"/>
        <item x="14149"/>
        <item x="14150"/>
        <item x="14151"/>
        <item x="14152"/>
        <item x="14153"/>
        <item x="14154"/>
        <item x="14155"/>
        <item x="14156"/>
        <item x="14157"/>
        <item x="14158"/>
        <item x="13757"/>
        <item x="13954"/>
        <item x="13955"/>
        <item x="13956"/>
        <item x="13957"/>
        <item x="13958"/>
        <item x="13959"/>
        <item x="13960"/>
        <item x="13961"/>
        <item x="13962"/>
        <item x="13963"/>
        <item x="13964"/>
        <item x="13965"/>
        <item x="13966"/>
        <item x="13967"/>
        <item x="13771"/>
        <item x="13969"/>
        <item x="13970"/>
        <item x="13971"/>
        <item x="13972"/>
        <item x="13973"/>
        <item x="13974"/>
        <item x="13975"/>
        <item x="13976"/>
        <item x="13977"/>
        <item x="13978"/>
        <item x="13979"/>
        <item x="13980"/>
        <item x="13981"/>
        <item x="13786"/>
        <item x="13983"/>
        <item x="13984"/>
        <item x="13985"/>
        <item x="13986"/>
        <item x="13987"/>
        <item x="13988"/>
        <item x="13989"/>
        <item x="13990"/>
        <item x="13991"/>
        <item x="13992"/>
        <item x="13993"/>
        <item x="13994"/>
        <item x="13995"/>
        <item x="13996"/>
        <item x="13800"/>
        <item x="13998"/>
        <item x="13999"/>
        <item x="14000"/>
        <item x="14001"/>
        <item x="14002"/>
        <item x="14003"/>
        <item x="14004"/>
        <item x="14005"/>
        <item x="14006"/>
        <item x="14007"/>
        <item x="14008"/>
        <item x="14009"/>
        <item x="14010"/>
        <item x="13815"/>
        <item x="14012"/>
        <item x="14013"/>
        <item x="14014"/>
        <item x="14015"/>
        <item x="14016"/>
        <item x="14017"/>
        <item x="14018"/>
        <item x="14019"/>
        <item x="14020"/>
        <item x="14021"/>
        <item x="14022"/>
        <item x="14023"/>
        <item x="14024"/>
        <item x="14025"/>
        <item x="13829"/>
        <item x="14027"/>
        <item x="14028"/>
        <item x="14029"/>
        <item x="14030"/>
        <item x="14031"/>
        <item x="14032"/>
        <item x="14033"/>
        <item x="14034"/>
        <item x="14035"/>
        <item x="14036"/>
        <item x="14037"/>
        <item x="14038"/>
        <item x="14039"/>
        <item x="13844"/>
        <item x="14041"/>
        <item x="14042"/>
        <item x="14043"/>
        <item x="14044"/>
        <item x="14045"/>
        <item x="14046"/>
        <item x="14047"/>
        <item x="14048"/>
        <item x="14049"/>
        <item x="14050"/>
        <item x="14051"/>
        <item x="14052"/>
        <item x="14053"/>
        <item x="14054"/>
        <item x="13858"/>
        <item x="14056"/>
        <item x="14057"/>
        <item x="14058"/>
        <item x="14059"/>
        <item x="14060"/>
        <item x="50"/>
        <item x="51"/>
        <item x="52"/>
        <item x="53"/>
        <item x="54"/>
        <item x="55"/>
        <item x="56"/>
        <item x="57"/>
        <item x="67"/>
        <item x="68"/>
        <item x="69"/>
        <item x="70"/>
        <item x="71"/>
        <item x="72"/>
        <item m="1" x="15079"/>
        <item m="1" x="15086"/>
        <item m="1" x="15059"/>
        <item m="1" x="15065"/>
        <item m="1" x="15072"/>
        <item m="1" x="15082"/>
        <item m="1" x="15038"/>
        <item m="1" x="15044"/>
        <item m="1" x="15048"/>
        <item m="1" x="15054"/>
        <item m="1" x="15062"/>
        <item m="1" x="15033"/>
        <item m="1" x="15036"/>
        <item m="1" x="15040"/>
        <item m="1" x="15043"/>
        <item m="1" x="15075"/>
        <item m="1" x="15080"/>
        <item m="1" x="15084"/>
        <item m="1" x="15087"/>
        <item m="1" x="15052"/>
        <item m="1" x="15056"/>
        <item m="1" x="15060"/>
        <item m="1" x="15063"/>
        <item m="1" x="15066"/>
        <item m="1" x="15069"/>
        <item m="1" x="15073"/>
        <item m="1" x="15077"/>
        <item m="1" x="15083"/>
        <item m="1" x="15032"/>
        <item m="1" x="15035"/>
        <item m="1" x="15039"/>
        <item m="1" x="15042"/>
        <item m="1" x="15045"/>
        <item m="1" x="15046"/>
        <item m="1" x="15049"/>
        <item m="1" x="15051"/>
        <item m="1" x="15055"/>
        <item m="1" x="15058"/>
        <item m="1" x="15034"/>
        <item m="1" x="15037"/>
        <item m="1" x="15041"/>
        <item m="1" x="15068"/>
        <item m="1" x="15071"/>
        <item m="1" x="15076"/>
        <item m="1" x="15081"/>
        <item m="1" x="15085"/>
        <item m="1" x="15088"/>
        <item m="1" x="15047"/>
        <item m="1" x="15050"/>
        <item m="1" x="15053"/>
        <item m="1" x="15057"/>
        <item m="1" x="15061"/>
        <item m="1" x="15064"/>
        <item m="1" x="15067"/>
        <item m="1" x="15070"/>
        <item m="1" x="15074"/>
        <item m="1" x="15078"/>
        <item t="default"/>
      </items>
    </pivotField>
    <pivotField showAll="0" sortType="ascending"/>
    <pivotField showAll="0">
      <items count="11">
        <item x="2"/>
        <item x="3"/>
        <item x="0"/>
        <item x="1"/>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74" firstHeaderRow="0" firstDataRow="1" firstDataCol="1"/>
  <pivotFields count="20">
    <pivotField showAll="0">
      <items count="313">
        <item h="1" m="1" x="303"/>
        <item h="1" m="1" x="272"/>
        <item h="1" m="1" x="136"/>
        <item h="1" m="1" x="42"/>
        <item h="1" m="1" x="114"/>
        <item h="1" m="1" x="279"/>
        <item h="1" m="1" x="304"/>
        <item h="1" m="1" x="26"/>
        <item h="1" m="1" x="268"/>
        <item h="1" m="1" x="88"/>
        <item h="1" m="1" x="225"/>
        <item h="1" m="1" x="141"/>
        <item h="1" x="4"/>
        <item h="1" m="1" x="84"/>
        <item h="1" x="1"/>
        <item h="1" m="1" x="299"/>
        <item h="1" m="1" x="124"/>
        <item h="1" m="1" x="31"/>
        <item h="1" m="1" x="234"/>
        <item h="1" m="1" x="115"/>
        <item h="1" m="1" x="172"/>
        <item h="1" m="1" x="226"/>
        <item h="1" m="1" x="147"/>
        <item h="1" x="10"/>
        <item h="1" m="1" x="93"/>
        <item h="1" m="1" x="237"/>
        <item h="1" m="1" x="273"/>
        <item h="1" m="1" x="153"/>
        <item h="1" m="1" x="195"/>
        <item h="1" m="1" x="125"/>
        <item h="1" m="1" x="235"/>
        <item h="1" m="1" x="21"/>
        <item h="1" m="1" x="67"/>
        <item h="1" m="1" x="94"/>
        <item h="1" m="1" x="264"/>
        <item h="1" m="1" x="305"/>
        <item h="1" m="1" x="101"/>
        <item h="1" m="1" x="27"/>
        <item h="1" m="1" x="296"/>
        <item h="1" m="1" x="95"/>
        <item h="1" m="1" x="148"/>
        <item h="1" m="1" x="107"/>
        <item h="1" m="1" x="160"/>
        <item h="1" m="1" x="168"/>
        <item h="1" m="1" x="79"/>
        <item h="1" m="1" x="126"/>
        <item h="1" m="1" x="48"/>
        <item h="1" m="1" x="258"/>
        <item h="1" x="7"/>
        <item h="1" m="1" x="64"/>
        <item h="1" m="1" x="68"/>
        <item h="1" m="1" x="242"/>
        <item h="1" m="1" x="173"/>
        <item h="1" m="1" x="116"/>
        <item h="1" m="1" x="212"/>
        <item h="1" m="1" x="306"/>
        <item h="1" m="1" x="243"/>
        <item h="1" m="1" x="174"/>
        <item h="1" m="1" x="280"/>
        <item h="1" m="1" x="214"/>
        <item h="1" m="1" x="137"/>
        <item h="1" m="1" x="85"/>
        <item h="1" m="1" x="32"/>
        <item h="1" m="1" x="46"/>
        <item h="1" m="1" x="215"/>
        <item h="1" m="1" x="161"/>
        <item h="1" m="1" x="185"/>
        <item h="1" m="1" x="108"/>
        <item h="1" m="1" x="300"/>
        <item h="1" m="1" x="162"/>
        <item h="1" m="1" x="244"/>
        <item h="1" m="1" x="247"/>
        <item h="1" m="1" x="189"/>
        <item h="1" m="1" x="142"/>
        <item h="1" m="1" x="163"/>
        <item h="1" m="1" x="154"/>
        <item h="1" m="1" x="61"/>
        <item h="1" m="1" x="307"/>
        <item h="1" m="1" x="122"/>
        <item h="1" x="3"/>
        <item h="1" m="1" x="190"/>
        <item h="1" m="1" x="297"/>
        <item h="1" m="1" x="28"/>
        <item h="1" m="1" x="213"/>
        <item h="1" m="1" x="23"/>
        <item h="1" m="1" x="179"/>
        <item h="1" m="1" x="308"/>
        <item h="1" m="1" x="43"/>
        <item h="1" m="1" x="155"/>
        <item h="1" m="1" x="196"/>
        <item h="1" m="1" x="24"/>
        <item h="1" m="1" x="285"/>
        <item h="1" m="1" x="149"/>
        <item h="1" m="1" x="253"/>
        <item h="1" m="1" x="127"/>
        <item h="1" m="1" x="249"/>
        <item h="1" m="1" x="238"/>
        <item h="1" m="1" x="255"/>
        <item h="1" x="2"/>
        <item h="1" m="1" x="164"/>
        <item h="1" x="11"/>
        <item h="1" m="1" x="123"/>
        <item h="1" m="1" x="256"/>
        <item h="1" m="1" x="236"/>
        <item h="1" m="1" x="80"/>
        <item h="1" m="1" x="269"/>
        <item h="1" m="1" x="287"/>
        <item h="1" m="1" x="49"/>
        <item h="1" m="1" x="201"/>
        <item h="1" m="1" x="218"/>
        <item h="1" m="1" x="230"/>
        <item h="1" m="1" x="259"/>
        <item h="1" m="1" x="281"/>
        <item h="1" m="1" x="63"/>
        <item h="1" m="1" x="265"/>
        <item h="1" m="1" x="180"/>
        <item h="1" m="1" x="309"/>
        <item h="1" m="1" x="219"/>
        <item h="1" m="1" x="274"/>
        <item h="1" m="1" x="96"/>
        <item h="1" m="1" x="69"/>
        <item h="1" m="1" x="128"/>
        <item h="1" m="1" x="44"/>
        <item h="1" m="1" x="181"/>
        <item h="1" m="1" x="260"/>
        <item h="1" m="1" x="175"/>
        <item h="1" m="1" x="81"/>
        <item h="1" m="1" x="248"/>
        <item h="1" m="1" x="130"/>
        <item h="1" m="1" x="70"/>
        <item h="1" m="1" x="165"/>
        <item h="1" m="1" x="250"/>
        <item h="1" m="1" x="131"/>
        <item h="1" m="1" x="120"/>
        <item h="1" m="1" x="288"/>
        <item h="1" m="1" x="310"/>
        <item h="1" m="1" x="15"/>
        <item h="1" m="1" x="282"/>
        <item h="1" m="1" x="117"/>
        <item h="1" m="1" x="311"/>
        <item h="1" m="1" x="220"/>
        <item h="1" m="1" x="227"/>
        <item h="1" m="1" x="231"/>
        <item h="1" x="5"/>
        <item h="1" m="1" x="55"/>
        <item h="1" m="1" x="261"/>
        <item h="1" m="1" x="223"/>
        <item h="1" m="1" x="89"/>
        <item h="1" m="1" x="132"/>
        <item h="1" m="1" x="239"/>
        <item h="1" m="1" x="197"/>
        <item h="1" m="1" x="71"/>
        <item h="1" m="1" x="216"/>
        <item x="9"/>
        <item h="1" m="1" x="109"/>
        <item h="1" m="1" x="156"/>
        <item h="1" m="1" x="138"/>
        <item h="1" m="1" x="90"/>
        <item h="1" m="1" x="36"/>
        <item h="1" m="1" x="157"/>
        <item h="1" m="1" x="198"/>
        <item h="1" m="1" x="110"/>
        <item h="1" m="1" x="262"/>
        <item h="1" m="1" x="150"/>
        <item h="1" m="1" x="133"/>
        <item h="1" m="1" x="158"/>
        <item h="1" m="1" x="102"/>
        <item h="1" m="1" x="245"/>
        <item h="1" m="1" x="166"/>
        <item h="1" m="1" x="86"/>
        <item h="1" m="1" x="56"/>
        <item h="1" m="1" x="111"/>
        <item h="1" m="1" x="16"/>
        <item h="1" m="1" x="65"/>
        <item h="1" m="1" x="47"/>
        <item h="1" m="1" x="25"/>
        <item h="1" m="1" x="221"/>
        <item h="1" m="1" x="275"/>
        <item h="1" m="1" x="50"/>
        <item h="1" m="1" x="207"/>
        <item h="1" m="1" x="151"/>
        <item h="1" m="1" x="91"/>
        <item h="1" m="1" x="59"/>
        <item h="1" m="1" x="118"/>
        <item h="1" x="12"/>
        <item h="1" m="1" x="72"/>
        <item h="1" m="1" x="217"/>
        <item h="1" m="1" x="270"/>
        <item h="1" m="1" x="103"/>
        <item h="1" m="1" x="57"/>
        <item h="1" m="1" x="112"/>
        <item h="1" m="1" x="208"/>
        <item h="1" m="1" x="33"/>
        <item h="1" m="1" x="224"/>
        <item h="1" m="1" x="283"/>
        <item h="1" m="1" x="191"/>
        <item h="1" m="1" x="17"/>
        <item h="1" m="1" x="251"/>
        <item h="1" m="1" x="82"/>
        <item h="1" m="1" x="74"/>
        <item h="1" m="1" x="40"/>
        <item h="1" m="1" x="34"/>
        <item h="1" m="1" x="176"/>
        <item h="1" m="1" x="134"/>
        <item h="1" m="1" x="135"/>
        <item h="1" m="1" x="73"/>
        <item h="1" m="1" x="139"/>
        <item h="1" m="1" x="38"/>
        <item h="1" m="1" x="289"/>
        <item h="1" m="1" x="292"/>
        <item h="1" m="1" x="186"/>
        <item h="1" m="1" x="45"/>
        <item h="1" m="1" x="58"/>
        <item h="1" m="1" x="240"/>
        <item h="1" m="1" x="97"/>
        <item h="1" m="1" x="51"/>
        <item h="1" m="1" x="182"/>
        <item h="1" m="1" x="246"/>
        <item h="1" m="1" x="202"/>
        <item h="1" m="1" x="75"/>
        <item h="1" m="1" x="293"/>
        <item h="1" m="1" x="18"/>
        <item h="1" m="1" x="192"/>
        <item h="1" m="1" x="98"/>
        <item h="1" m="1" x="290"/>
        <item h="1" m="1" x="203"/>
        <item h="1" m="1" x="29"/>
        <item h="1" m="1" x="276"/>
        <item h="1" m="1" x="41"/>
        <item h="1" m="1" x="87"/>
        <item h="1" m="1" x="169"/>
        <item h="1" m="1" x="129"/>
        <item h="1" m="1" x="209"/>
        <item h="1" m="1" x="263"/>
        <item h="1" m="1" x="177"/>
        <item h="1" m="1" x="193"/>
        <item h="1" m="1" x="99"/>
        <item h="1" m="1" x="252"/>
        <item h="1" m="1" x="199"/>
        <item h="1" m="1" x="39"/>
        <item h="1" m="1" x="104"/>
        <item h="1" m="1" x="37"/>
        <item h="1" m="1" x="83"/>
        <item h="1" x="13"/>
        <item h="1" m="1" x="100"/>
        <item h="1" m="1" x="119"/>
        <item h="1" m="1" x="271"/>
        <item h="1" m="1" x="52"/>
        <item h="1" m="1" x="183"/>
        <item h="1" m="1" x="204"/>
        <item h="1" m="1" x="76"/>
        <item h="1" m="1" x="222"/>
        <item h="1" m="1" x="210"/>
        <item h="1" m="1" x="159"/>
        <item h="1" x="0"/>
        <item h="1" m="1" x="140"/>
        <item h="1" m="1" x="167"/>
        <item h="1" m="1" x="53"/>
        <item h="1" m="1" x="105"/>
        <item h="1" m="1" x="143"/>
        <item h="1" m="1" x="277"/>
        <item h="1" m="1" x="170"/>
        <item h="1" x="14"/>
        <item h="1" m="1" x="22"/>
        <item h="1" m="1" x="66"/>
        <item h="1" m="1" x="241"/>
        <item h="1" m="1" x="301"/>
        <item h="1" m="1" x="121"/>
        <item h="1" m="1" x="200"/>
        <item h="1" m="1" x="228"/>
        <item h="1" m="1" x="54"/>
        <item h="1" m="1" x="144"/>
        <item h="1" m="1" x="278"/>
        <item h="1" m="1" x="171"/>
        <item h="1" m="1" x="232"/>
        <item h="1" m="1" x="187"/>
        <item h="1" x="8"/>
        <item h="1" m="1" x="211"/>
        <item h="1" m="1" x="60"/>
        <item h="1" m="1" x="194"/>
        <item h="1" m="1" x="205"/>
        <item h="1" m="1" x="145"/>
        <item h="1" m="1" x="294"/>
        <item h="1" m="1" x="284"/>
        <item h="1" m="1" x="206"/>
        <item h="1" m="1" x="30"/>
        <item h="1" m="1" x="233"/>
        <item h="1" m="1" x="295"/>
        <item h="1" m="1" x="106"/>
        <item h="1" m="1" x="19"/>
        <item h="1" m="1" x="298"/>
        <item h="1" m="1" x="62"/>
        <item h="1" m="1" x="229"/>
        <item h="1" m="1" x="113"/>
        <item h="1" m="1" x="35"/>
        <item h="1" m="1" x="178"/>
        <item h="1" m="1" x="266"/>
        <item h="1" m="1" x="254"/>
        <item h="1" m="1" x="286"/>
        <item h="1" m="1" x="20"/>
        <item h="1" x="6"/>
        <item h="1" m="1" x="92"/>
        <item h="1" m="1" x="257"/>
        <item h="1" m="1" x="77"/>
        <item h="1" m="1" x="78"/>
        <item h="1" m="1" x="152"/>
        <item h="1" m="1" x="302"/>
        <item h="1" m="1" x="291"/>
        <item h="1" m="1" x="184"/>
        <item h="1" m="1" x="146"/>
        <item h="1" m="1" x="188"/>
        <item h="1" m="1" x="267"/>
        <item t="default"/>
      </items>
    </pivotField>
    <pivotField showAll="0">
      <items count="671">
        <item m="1" x="486"/>
        <item m="1" x="72"/>
        <item m="1" x="212"/>
        <item m="1" x="57"/>
        <item m="1" x="535"/>
        <item m="1" x="501"/>
        <item m="1" x="77"/>
        <item m="1" x="377"/>
        <item m="1" x="271"/>
        <item m="1" x="522"/>
        <item m="1" x="358"/>
        <item m="1" x="235"/>
        <item m="1" x="398"/>
        <item m="1" x="567"/>
        <item m="1" x="419"/>
        <item m="1" x="84"/>
        <item m="1" x="275"/>
        <item m="1" x="294"/>
        <item m="1" x="547"/>
        <item m="1" x="218"/>
        <item m="1" x="645"/>
        <item m="1" x="119"/>
        <item m="1" x="246"/>
        <item m="1" x="611"/>
        <item m="1" x="137"/>
        <item m="1" x="483"/>
        <item m="1" x="625"/>
        <item m="1" x="42"/>
        <item m="1" x="187"/>
        <item m="1" x="229"/>
        <item m="1" x="497"/>
        <item m="1" x="653"/>
        <item m="1" x="374"/>
        <item m="1" x="457"/>
        <item m="1" x="620"/>
        <item m="1" x="641"/>
        <item m="1" x="184"/>
        <item m="1" x="513"/>
        <item m="1" x="540"/>
        <item m="1" x="110"/>
        <item m="1" x="183"/>
        <item m="1" x="197"/>
        <item m="1" x="243"/>
        <item m="1" x="284"/>
        <item m="1" x="293"/>
        <item m="1" x="496"/>
        <item m="1" x="573"/>
        <item m="1" x="659"/>
        <item m="1" x="22"/>
        <item m="1" x="64"/>
        <item m="1" x="144"/>
        <item m="1" x="213"/>
        <item m="1" x="237"/>
        <item m="1" x="291"/>
        <item m="1" x="442"/>
        <item m="1" x="524"/>
        <item m="1" x="89"/>
        <item m="1" x="155"/>
        <item m="1" x="224"/>
        <item m="1" x="282"/>
        <item m="1" x="455"/>
        <item m="1" x="476"/>
        <item x="7"/>
        <item m="1" x="636"/>
        <item m="1" x="39"/>
        <item m="1" x="61"/>
        <item m="1" x="180"/>
        <item m="1" x="194"/>
        <item m="1" x="222"/>
        <item m="1" x="559"/>
        <item m="1" x="569"/>
        <item m="1" x="74"/>
        <item m="1" x="99"/>
        <item m="1" x="193"/>
        <item m="1" x="220"/>
        <item m="1" x="537"/>
        <item m="1" x="616"/>
        <item x="12"/>
        <item m="1" x="153"/>
        <item m="1" x="164"/>
        <item m="1" x="179"/>
        <item m="1" x="249"/>
        <item m="1" x="384"/>
        <item m="1" x="472"/>
        <item m="1" x="519"/>
        <item m="1" x="628"/>
        <item m="1" x="142"/>
        <item m="1" x="278"/>
        <item m="1" x="314"/>
        <item m="1" x="357"/>
        <item m="1" x="503"/>
        <item m="1" x="548"/>
        <item m="1" x="568"/>
        <item m="1" x="591"/>
        <item m="1" x="87"/>
        <item m="1" x="141"/>
        <item m="1" x="323"/>
        <item m="1" x="332"/>
        <item m="1" x="397"/>
        <item m="1" x="86"/>
        <item m="1" x="406"/>
        <item m="1" x="108"/>
        <item m="1" x="439"/>
        <item m="1" x="127"/>
        <item m="1" x="276"/>
        <item x="9"/>
        <item m="1" x="346"/>
        <item m="1" x="369"/>
        <item m="1" x="382"/>
        <item m="1" x="122"/>
        <item m="1" x="438"/>
        <item m="1" x="234"/>
        <item m="1" x="600"/>
        <item m="1" x="647"/>
        <item m="1" x="657"/>
        <item m="1" x="36"/>
        <item m="1" x="368"/>
        <item m="1" x="85"/>
        <item m="1" x="404"/>
        <item m="1" x="140"/>
        <item m="1" x="488"/>
        <item m="1" x="533"/>
        <item m="1" x="288"/>
        <item m="1" x="69"/>
        <item m="1" x="403"/>
        <item m="1" x="437"/>
        <item m="1" x="532"/>
        <item m="1" x="202"/>
        <item m="1" x="209"/>
        <item x="0"/>
        <item m="1" x="106"/>
        <item m="1" x="121"/>
        <item m="1" x="190"/>
        <item m="1" x="665"/>
        <item m="1" x="19"/>
        <item m="1" x="336"/>
        <item m="1" x="33"/>
        <item m="1" x="436"/>
        <item m="1" x="139"/>
        <item m="1" x="500"/>
        <item m="1" x="557"/>
        <item m="1" x="232"/>
        <item m="1" x="579"/>
        <item m="1" x="241"/>
        <item m="1" x="311"/>
        <item m="1" x="18"/>
        <item m="1" x="96"/>
        <item m="1" x="105"/>
        <item m="1" x="461"/>
        <item m="1" x="247"/>
        <item m="1" x="274"/>
        <item m="1" x="634"/>
        <item m="1" x="301"/>
        <item m="1" x="335"/>
        <item m="1" x="44"/>
        <item m="1" x="435"/>
        <item m="1" x="152"/>
        <item m="1" x="161"/>
        <item m="1" x="499"/>
        <item m="1" x="168"/>
        <item m="1" x="544"/>
        <item m="1" x="217"/>
        <item m="1" x="565"/>
        <item m="1" x="589"/>
        <item m="1" x="260"/>
        <item m="1" x="643"/>
        <item m="1" x="353"/>
        <item m="1" x="54"/>
        <item m="1" x="95"/>
        <item m="1" x="410"/>
        <item m="1" x="434"/>
        <item m="1" x="447"/>
        <item m="1" x="508"/>
        <item m="1" x="543"/>
        <item m="1" x="633"/>
        <item m="1" x="344"/>
        <item m="1" x="68"/>
        <item m="1" x="94"/>
        <item m="1" x="424"/>
        <item m="1" x="484"/>
        <item x="5"/>
        <item m="1" x="239"/>
        <item m="1" x="258"/>
        <item m="1" x="626"/>
        <item m="1" x="654"/>
        <item m="1" x="16"/>
        <item m="1" x="25"/>
        <item m="1" x="378"/>
        <item m="1" x="402"/>
        <item m="1" x="409"/>
        <item m="1" x="446"/>
        <item m="1" x="459"/>
        <item m="1" x="467"/>
        <item m="1" x="188"/>
        <item m="1" x="542"/>
        <item m="1" x="553"/>
        <item m="1" x="256"/>
        <item x="3"/>
        <item m="1" x="423"/>
        <item m="1" x="158"/>
        <item m="1" x="199"/>
        <item m="1" x="244"/>
        <item m="1" x="309"/>
        <item m="1" x="662"/>
        <item m="1" x="93"/>
        <item m="1" x="417"/>
        <item m="1" x="157"/>
        <item m="1" x="515"/>
        <item m="1" x="186"/>
        <item m="1" x="551"/>
        <item m="1" x="216"/>
        <item m="1" x="227"/>
        <item m="1" x="622"/>
        <item m="1" x="30"/>
        <item m="1" x="390"/>
        <item m="1" x="174"/>
        <item m="1" x="205"/>
        <item m="1" x="214"/>
        <item m="1" x="576"/>
        <item m="1" x="286"/>
        <item m="1" x="298"/>
        <item m="1" x="40"/>
        <item m="1" x="389"/>
        <item m="1" x="92"/>
        <item m="1" x="407"/>
        <item m="1" x="445"/>
        <item m="1" x="128"/>
        <item m="1" x="527"/>
        <item m="1" x="575"/>
        <item m="1" x="586"/>
        <item m="1" x="285"/>
        <item m="1" x="29"/>
        <item m="1" x="362"/>
        <item m="1" x="91"/>
        <item m="1" x="432"/>
        <item m="1" x="479"/>
        <item m="1" x="198"/>
        <item m="1" x="574"/>
        <item m="1" x="350"/>
        <item m="1" x="558"/>
        <item m="1" x="388"/>
        <item m="1" x="401"/>
        <item m="1" x="581"/>
        <item m="1" x="602"/>
        <item m="1" x="262"/>
        <item m="1" x="277"/>
        <item m="1" x="444"/>
        <item m="1" x="649"/>
        <item m="1" x="303"/>
        <item m="1" x="313"/>
        <item m="1" x="156"/>
        <item m="1" x="20"/>
        <item m="1" x="337"/>
        <item m="1" x="356"/>
        <item m="1" x="539"/>
        <item m="1" x="550"/>
        <item m="1" x="78"/>
        <item m="1" x="396"/>
        <item m="1" x="115"/>
        <item m="1" x="270"/>
        <item m="1" x="639"/>
        <item m="1" x="465"/>
        <item m="1" x="660"/>
        <item m="1" x="318"/>
        <item m="1" x="191"/>
        <item m="1" x="65"/>
        <item m="1" x="566"/>
        <item m="1" x="400"/>
        <item m="1" x="601"/>
        <item m="1" x="289"/>
        <item m="1" x="443"/>
        <item m="1" x="648"/>
        <item m="1" x="146"/>
        <item m="1" x="345"/>
        <item m="1" x="196"/>
        <item m="1" x="355"/>
        <item m="1" x="56"/>
        <item m="1" x="395"/>
        <item x="6"/>
        <item m="1" x="405"/>
        <item m="1" x="254"/>
        <item m="1" x="418"/>
        <item m="1" x="607"/>
        <item m="1" x="638"/>
        <item m="1" x="464"/>
        <item m="1" x="652"/>
        <item m="1" x="502"/>
        <item m="1" x="361"/>
        <item m="1" x="210"/>
        <item m="1" x="373"/>
        <item m="1" x="219"/>
        <item m="1" x="102"/>
        <item m="1" x="599"/>
        <item m="1" x="614"/>
        <item m="1" x="133"/>
        <item m="1" x="145"/>
        <item m="1" x="478"/>
        <item m="1" x="35"/>
        <item m="1" x="381"/>
        <item m="1" x="561"/>
        <item m="1" x="226"/>
        <item m="1" x="411"/>
        <item m="1" x="253"/>
        <item m="1" x="631"/>
        <item m="1" x="292"/>
        <item m="1" x="637"/>
        <item m="1" x="651"/>
        <item m="1" x="329"/>
        <item m="1" x="28"/>
        <item m="1" x="360"/>
        <item m="1" x="233"/>
        <item m="1" x="580"/>
        <item m="1" x="90"/>
        <item m="1" x="590"/>
        <item m="1" x="416"/>
        <item m="1" x="287"/>
        <item x="1"/>
        <item m="1" x="322"/>
        <item m="1" x="495"/>
        <item m="1" x="182"/>
        <item m="1" x="525"/>
        <item m="1" x="47"/>
        <item m="1" x="55"/>
        <item m="1" x="560"/>
        <item m="1" x="585"/>
        <item m="1" x="107"/>
        <item m="1" x="252"/>
        <item m="1" x="269"/>
        <item m="1" x="630"/>
        <item m="1" x="450"/>
        <item m="1" x="463"/>
        <item m="1" x="469"/>
        <item m="1" x="51"/>
        <item m="1" x="201"/>
        <item m="1" x="359"/>
        <item m="1" x="63"/>
        <item m="1" x="372"/>
        <item m="1" x="399"/>
        <item m="1" x="598"/>
        <item m="1" x="261"/>
        <item m="1" x="422"/>
        <item m="1" x="613"/>
        <item m="1" x="431"/>
        <item m="1" x="627"/>
        <item m="1" x="126"/>
        <item m="1" x="466"/>
        <item m="1" x="312"/>
        <item m="1" x="666"/>
        <item m="1" x="321"/>
        <item m="1" x="166"/>
        <item m="1" x="26"/>
        <item m="1" x="173"/>
        <item m="1" x="34"/>
        <item m="1" x="181"/>
        <item m="1" x="195"/>
        <item m="1" x="225"/>
        <item m="1" x="394"/>
        <item m="1" x="572"/>
        <item m="1" x="242"/>
        <item m="1" x="619"/>
        <item m="1" x="120"/>
        <item m="1" x="283"/>
        <item m="1" x="297"/>
        <item m="1" x="462"/>
        <item m="1" x="307"/>
        <item m="1" x="468"/>
        <item m="1" x="669"/>
        <item m="1" x="328"/>
        <item m="1" x="341"/>
        <item m="1" x="50"/>
        <item m="1" x="76"/>
        <item m="1" x="101"/>
        <item m="1" x="597"/>
        <item m="1" x="646"/>
        <item m="1" x="656"/>
        <item m="1" x="477"/>
        <item x="14"/>
        <item m="1" x="494"/>
        <item m="1" x="46"/>
        <item m="1" x="393"/>
        <item m="1" x="83"/>
        <item m="1" x="584"/>
        <item m="1" x="606"/>
        <item m="1" x="114"/>
        <item m="1" x="268"/>
        <item m="1" x="427"/>
        <item m="1" x="290"/>
        <item m="1" x="138"/>
        <item m="1" x="306"/>
        <item m="1" x="487"/>
        <item m="1" x="162"/>
        <item m="1" x="327"/>
        <item m="1" x="509"/>
        <item m="1" x="178"/>
        <item m="1" x="517"/>
        <item m="1" x="546"/>
        <item m="1" x="62"/>
        <item m="1" x="208"/>
        <item m="1" x="556"/>
        <item m="1" x="75"/>
        <item m="1" x="387"/>
        <item m="1" x="231"/>
        <item m="1" x="248"/>
        <item m="1" x="415"/>
        <item m="1" x="596"/>
        <item m="1" x="612"/>
        <item m="1" x="302"/>
        <item m="1" x="154"/>
        <item m="1" x="493"/>
        <item m="1" x="331"/>
        <item m="1" x="512"/>
        <item m="1" x="32"/>
        <item m="1" x="523"/>
        <item m="1" x="45"/>
        <item m="1" x="354"/>
        <item m="1" x="549"/>
        <item m="1" x="223"/>
        <item m="1" x="392"/>
        <item m="1" x="571"/>
        <item m="1" x="605"/>
        <item m="1" x="113"/>
        <item m="1" x="267"/>
        <item m="1" x="426"/>
        <item m="1" x="618"/>
        <item m="1" x="118"/>
        <item m="1" x="449"/>
        <item m="1" x="130"/>
        <item m="1" x="305"/>
        <item m="1" x="668"/>
        <item m="1" x="169"/>
        <item m="1" x="177"/>
        <item m="1" x="200"/>
        <item m="1" x="545"/>
        <item x="11"/>
        <item x="2"/>
        <item m="1" x="240"/>
        <item m="1" x="100"/>
        <item m="1" x="245"/>
        <item m="1" x="414"/>
        <item m="1" x="595"/>
        <item m="1" x="441"/>
        <item m="1" x="644"/>
        <item m="1" x="475"/>
        <item m="1" x="17"/>
        <item m="1" x="165"/>
        <item m="1" x="43"/>
        <item m="1" x="204"/>
        <item m="1" x="367"/>
        <item m="1" x="380"/>
        <item m="1" x="570"/>
        <item m="1" x="236"/>
        <item m="1" x="583"/>
        <item m="1" x="251"/>
        <item m="1" x="425"/>
        <item m="1" x="281"/>
        <item m="1" x="448"/>
        <item m="1" x="296"/>
        <item m="1" x="460"/>
        <item m="1" x="151"/>
        <item m="1" x="333"/>
        <item m="1" x="176"/>
        <item m="1" x="340"/>
        <item m="1" x="516"/>
        <item m="1" x="349"/>
        <item m="1" x="49"/>
        <item m="1" x="555"/>
        <item m="1" x="386"/>
        <item m="1" x="564"/>
        <item m="1" x="80"/>
        <item m="1" x="230"/>
        <item m="1" x="109"/>
        <item m="1" x="273"/>
        <item m="1" x="125"/>
        <item m="1" x="440"/>
        <item m="1" x="454"/>
        <item m="1" x="300"/>
        <item m="1" x="655"/>
        <item m="1" x="143"/>
        <item m="1" x="310"/>
        <item m="1" x="474"/>
        <item m="1" x="172"/>
        <item m="1" x="538"/>
        <item m="1" x="53"/>
        <item m="1" x="366"/>
        <item m="1" x="221"/>
        <item m="1" x="391"/>
        <item m="1" x="82"/>
        <item m="1" x="593"/>
        <item m="1" x="112"/>
        <item m="1" x="266"/>
        <item m="1" x="433"/>
        <item x="13"/>
        <item m="1" x="295"/>
        <item m="1" x="136"/>
        <item m="1" x="485"/>
        <item m="1" x="667"/>
        <item m="1" x="175"/>
        <item m="1" x="348"/>
        <item m="1" x="207"/>
        <item m="1" x="73"/>
        <item m="1" x="578"/>
        <item m="1" x="413"/>
        <item m="1" x="259"/>
        <item m="1" x="421"/>
        <item m="1" x="124"/>
        <item m="1" x="453"/>
        <item m="1" x="642"/>
        <item m="1" x="473"/>
        <item m="1" x="664"/>
        <item m="1" x="320"/>
        <item m="1" x="492"/>
        <item m="1" x="506"/>
        <item m="1" x="343"/>
        <item m="1" x="521"/>
        <item m="1" x="192"/>
        <item m="1" x="379"/>
        <item m="1" x="104"/>
        <item m="1" x="250"/>
        <item m="1" x="604"/>
        <item m="1" x="617"/>
        <item m="1" x="117"/>
        <item m="1" x="280"/>
        <item m="1" x="150"/>
        <item m="1" x="317"/>
        <item m="1" x="482"/>
        <item m="1" x="160"/>
        <item m="1" x="498"/>
        <item m="1" x="21"/>
        <item m="1" x="189"/>
        <item m="1" x="531"/>
        <item m="1" x="48"/>
        <item m="1" x="60"/>
        <item m="1" x="206"/>
        <item m="1" x="371"/>
        <item m="1" x="554"/>
        <item m="1" x="563"/>
        <item m="1" x="588"/>
        <item m="1" x="594"/>
        <item m="1" x="257"/>
        <item m="1" x="610"/>
        <item m="1" x="632"/>
        <item m="1" x="452"/>
        <item m="1" x="132"/>
        <item m="1" x="491"/>
        <item m="1" x="505"/>
        <item m="1" x="24"/>
        <item m="1" x="171"/>
        <item m="1" x="520"/>
        <item m="1" x="41"/>
        <item m="1" x="352"/>
        <item m="1" x="365"/>
        <item m="1" x="67"/>
        <item m="1" x="103"/>
        <item m="1" x="265"/>
        <item m="1" x="635"/>
        <item m="1" x="458"/>
        <item m="1" x="149"/>
        <item m="1" x="316"/>
        <item m="1" x="159"/>
        <item m="1" x="167"/>
        <item m="1" x="507"/>
        <item m="1" x="530"/>
        <item m="1" x="541"/>
        <item m="1" x="59"/>
        <item m="1" x="370"/>
        <item m="1" x="552"/>
        <item m="1" x="71"/>
        <item m="1" x="385"/>
        <item m="1" x="562"/>
        <item m="1" x="577"/>
        <item m="1" x="238"/>
        <item m="1" x="98"/>
        <item m="1" x="609"/>
        <item m="1" x="116"/>
        <item m="1" x="272"/>
        <item m="1" x="430"/>
        <item m="1" x="624"/>
        <item m="1" x="131"/>
        <item m="1" x="299"/>
        <item m="1" x="663"/>
        <item m="1" x="319"/>
        <item m="1" x="490"/>
        <item x="4"/>
        <item m="1" x="170"/>
        <item m="1" x="31"/>
        <item m="1" x="211"/>
        <item m="1" x="376"/>
        <item m="1" x="81"/>
        <item m="1" x="408"/>
        <item m="1" x="615"/>
        <item m="1" x="629"/>
        <item m="1" x="129"/>
        <item m="1" x="326"/>
        <item m="1" x="339"/>
        <item m="1" x="38"/>
        <item m="1" x="347"/>
        <item m="1" x="529"/>
        <item m="1" x="58"/>
        <item m="1" x="228"/>
        <item m="1" x="97"/>
        <item m="1" x="412"/>
        <item m="1" x="255"/>
        <item m="1" x="608"/>
        <item m="1" x="623"/>
        <item m="1" x="451"/>
        <item m="1" x="504"/>
        <item m="1" x="536"/>
        <item m="1" x="52"/>
        <item m="1" x="66"/>
        <item m="1" x="375"/>
        <item m="1" x="603"/>
        <item m="1" x="111"/>
        <item m="1" x="264"/>
        <item m="1" x="279"/>
        <item m="1" x="135"/>
        <item m="1" x="658"/>
        <item m="1" x="148"/>
        <item m="1" x="315"/>
        <item m="1" x="481"/>
        <item m="1" x="325"/>
        <item m="1" x="27"/>
        <item m="1" x="514"/>
        <item m="1" x="215"/>
        <item m="1" x="79"/>
        <item m="1" x="88"/>
        <item m="1" x="587"/>
        <item m="1" x="429"/>
        <item m="1" x="621"/>
        <item m="1" x="308"/>
        <item m="1" x="471"/>
        <item m="1" x="163"/>
        <item m="1" x="334"/>
        <item m="1" x="511"/>
        <item m="1" x="342"/>
        <item m="1" x="364"/>
        <item m="1" x="592"/>
        <item m="1" x="263"/>
        <item m="1" x="304"/>
        <item m="1" x="480"/>
        <item m="1" x="324"/>
        <item m="1" x="338"/>
        <item m="1" x="37"/>
        <item m="1" x="185"/>
        <item m="1" x="528"/>
        <item m="1" x="70"/>
        <item m="1" x="383"/>
        <item x="10"/>
        <item m="1" x="661"/>
        <item m="1" x="15"/>
        <item m="1" x="330"/>
        <item m="1" x="23"/>
        <item m="1" x="510"/>
        <item m="1" x="518"/>
        <item m="1" x="351"/>
        <item m="1" x="534"/>
        <item m="1" x="203"/>
        <item m="1" x="363"/>
        <item m="1" x="582"/>
        <item x="8"/>
        <item m="1" x="456"/>
        <item m="1" x="650"/>
        <item m="1" x="134"/>
        <item m="1" x="147"/>
        <item m="1" x="526"/>
        <item m="1" x="420"/>
        <item m="1" x="428"/>
        <item m="1" x="123"/>
        <item m="1" x="640"/>
        <item m="1" x="470"/>
        <item m="1" x="489"/>
        <item t="default"/>
      </items>
    </pivotField>
    <pivotField showAll="0" defaultSubtotal="0">
      <items count="25">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539">
        <item m="1" x="71"/>
        <item m="1" x="232"/>
        <item m="1" x="536"/>
        <item m="1" x="481"/>
        <item m="1" x="309"/>
        <item m="1" x="422"/>
        <item m="1" x="115"/>
        <item m="1" x="104"/>
        <item m="1" x="149"/>
        <item m="1" x="165"/>
        <item m="1" x="184"/>
        <item m="1" x="262"/>
        <item m="1" x="228"/>
        <item m="1" x="417"/>
        <item m="1" x="146"/>
        <item m="1" x="212"/>
        <item m="1" x="63"/>
        <item m="1" x="408"/>
        <item m="1" x="83"/>
        <item m="1" x="284"/>
        <item m="1" x="482"/>
        <item m="1" x="98"/>
        <item m="1" x="502"/>
        <item m="1" x="474"/>
        <item x="6"/>
        <item m="1" x="166"/>
        <item m="1" x="430"/>
        <item m="1" x="491"/>
        <item m="1" x="18"/>
        <item m="1" x="274"/>
        <item m="1" x="158"/>
        <item m="1" x="245"/>
        <item m="1" x="344"/>
        <item m="1" x="102"/>
        <item m="1" x="107"/>
        <item m="1" x="227"/>
        <item m="1" x="196"/>
        <item m="1" x="255"/>
        <item x="5"/>
        <item x="3"/>
        <item m="1" x="253"/>
        <item m="1" x="312"/>
        <item m="1" x="296"/>
        <item m="1" x="192"/>
        <item m="1" x="280"/>
        <item x="9"/>
        <item m="1" x="461"/>
        <item x="8"/>
        <item m="1" x="278"/>
        <item m="1" x="133"/>
        <item m="1" x="276"/>
        <item m="1" x="116"/>
        <item m="1" x="272"/>
        <item m="1" x="440"/>
        <item m="1" x="338"/>
        <item m="1" x="483"/>
        <item m="1" x="402"/>
        <item m="1" x="295"/>
        <item m="1" x="234"/>
        <item m="1" x="88"/>
        <item m="1" x="238"/>
        <item m="1" x="289"/>
        <item m="1" x="476"/>
        <item m="1" x="458"/>
        <item m="1" x="438"/>
        <item m="1" x="140"/>
        <item m="1" x="225"/>
        <item m="1" x="318"/>
        <item m="1" x="226"/>
        <item m="1" x="60"/>
        <item m="1" x="535"/>
        <item m="1" x="390"/>
        <item m="1" x="169"/>
        <item m="1" x="493"/>
        <item x="7"/>
        <item m="1" x="72"/>
        <item m="1" x="462"/>
        <item x="0"/>
        <item m="1" x="431"/>
        <item m="1" x="168"/>
        <item m="1" x="297"/>
        <item m="1" x="113"/>
        <item m="1" x="273"/>
        <item m="1" x="148"/>
        <item m="1" x="125"/>
        <item m="1" x="454"/>
        <item m="1" x="445"/>
        <item m="1" x="229"/>
        <item m="1" x="250"/>
        <item m="1" x="509"/>
        <item m="1" x="117"/>
        <item m="1" x="132"/>
        <item m="1" x="68"/>
        <item m="1" x="421"/>
        <item m="1" x="485"/>
        <item m="1" x="195"/>
        <item m="1" x="182"/>
        <item m="1" x="268"/>
        <item m="1" x="537"/>
        <item m="1" x="514"/>
        <item m="1" x="271"/>
        <item m="1" x="46"/>
        <item m="1" x="135"/>
        <item m="1" x="205"/>
        <item m="1" x="240"/>
        <item m="1" x="366"/>
        <item m="1" x="425"/>
        <item m="1" x="413"/>
        <item m="1" x="303"/>
        <item m="1" x="490"/>
        <item m="1" x="48"/>
        <item m="1" x="498"/>
        <item x="4"/>
        <item m="1" x="256"/>
        <item m="1" x="264"/>
        <item m="1" x="208"/>
        <item m="1" x="349"/>
        <item m="1" x="341"/>
        <item m="1" x="324"/>
        <item m="1" x="39"/>
        <item m="1" x="469"/>
        <item m="1" x="488"/>
        <item m="1" x="197"/>
        <item m="1" x="345"/>
        <item m="1" x="391"/>
        <item m="1" x="93"/>
        <item m="1" x="76"/>
        <item m="1" x="26"/>
        <item m="1" x="528"/>
        <item m="1" x="54"/>
        <item m="1" x="407"/>
        <item m="1" x="519"/>
        <item m="1" x="81"/>
        <item m="1" x="368"/>
        <item m="1" x="32"/>
        <item m="1" x="183"/>
        <item m="1" x="12"/>
        <item m="1" x="58"/>
        <item m="1" x="194"/>
        <item m="1" x="251"/>
        <item m="1" x="310"/>
        <item m="1" x="371"/>
        <item m="1" x="50"/>
        <item m="1" x="209"/>
        <item m="1" x="410"/>
        <item m="1" x="49"/>
        <item m="1" x="363"/>
        <item m="1" x="67"/>
        <item m="1" x="210"/>
        <item m="1" x="269"/>
        <item m="1" x="343"/>
        <item m="1" x="465"/>
        <item m="1" x="475"/>
        <item m="1" x="293"/>
        <item m="1" x="175"/>
        <item m="1" x="392"/>
        <item m="1" x="28"/>
        <item m="1" x="190"/>
        <item m="1" x="441"/>
        <item m="1" x="66"/>
        <item m="1" x="335"/>
        <item m="1" x="420"/>
        <item m="1" x="423"/>
        <item m="1" x="494"/>
        <item m="1" x="243"/>
        <item m="1" x="77"/>
        <item m="1" x="428"/>
        <item m="1" x="10"/>
        <item m="1" x="381"/>
        <item m="1" x="377"/>
        <item m="1" x="386"/>
        <item m="1" x="101"/>
        <item m="1" x="222"/>
        <item m="1" x="330"/>
        <item m="1" x="62"/>
        <item m="1" x="91"/>
        <item m="1" x="387"/>
        <item m="1" x="484"/>
        <item m="1" x="266"/>
        <item m="1" x="249"/>
        <item m="1" x="415"/>
        <item m="1" x="263"/>
        <item m="1" x="57"/>
        <item m="1" x="118"/>
        <item m="1" x="393"/>
        <item m="1" x="127"/>
        <item m="1" x="124"/>
        <item m="1" x="442"/>
        <item m="1" x="418"/>
        <item m="1" x="473"/>
        <item m="1" x="75"/>
        <item m="1" x="328"/>
        <item m="1" x="164"/>
        <item m="1" x="206"/>
        <item m="1" x="44"/>
        <item m="1" x="298"/>
        <item m="1" x="281"/>
        <item m="1" x="406"/>
        <item m="1" x="112"/>
        <item m="1" x="30"/>
        <item m="1" x="380"/>
        <item m="1" x="161"/>
        <item m="1" x="20"/>
        <item m="1" x="139"/>
        <item m="1" x="179"/>
        <item m="1" x="448"/>
        <item m="1" x="171"/>
        <item m="1" x="207"/>
        <item m="1" x="452"/>
        <item m="1" x="329"/>
        <item m="1" x="522"/>
        <item m="1" x="84"/>
        <item m="1" x="69"/>
        <item m="1" x="287"/>
        <item m="1" x="459"/>
        <item m="1" x="82"/>
        <item m="1" x="191"/>
        <item m="1" x="16"/>
        <item m="1" x="503"/>
        <item m="1" x="511"/>
        <item m="1" x="59"/>
        <item m="1" x="383"/>
        <item m="1" x="176"/>
        <item m="1" x="19"/>
        <item m="1" x="373"/>
        <item m="1" x="74"/>
        <item m="1" x="314"/>
        <item m="1" x="323"/>
        <item m="1" x="90"/>
        <item m="1" x="342"/>
        <item m="1" x="218"/>
        <item m="1" x="515"/>
        <item m="1" x="65"/>
        <item m="1" x="96"/>
        <item m="1" x="230"/>
        <item m="1" x="516"/>
        <item m="1" x="23"/>
        <item m="1" x="472"/>
        <item m="1" x="339"/>
        <item m="1" x="351"/>
        <item m="1" x="286"/>
        <item m="1" x="53"/>
        <item m="1" x="79"/>
        <item m="1" x="242"/>
        <item m="1" x="95"/>
        <item m="1" x="501"/>
        <item m="1" x="492"/>
        <item m="1" x="121"/>
        <item m="1" x="451"/>
        <item m="1" x="105"/>
        <item m="1" x="419"/>
        <item m="1" x="36"/>
        <item m="1" x="429"/>
        <item m="1" x="119"/>
        <item m="1" x="213"/>
        <item m="1" x="21"/>
        <item m="1" x="86"/>
        <item m="1" x="497"/>
        <item m="1" x="435"/>
        <item m="1" x="307"/>
        <item m="1" x="109"/>
        <item m="1" x="486"/>
        <item m="1" x="258"/>
        <item m="1" x="524"/>
        <item m="1" x="246"/>
        <item m="1" x="376"/>
        <item m="1" x="399"/>
        <item m="1" x="304"/>
        <item m="1" x="136"/>
        <item m="1" x="499"/>
        <item m="1" x="496"/>
        <item m="1" x="394"/>
        <item m="1" x="33"/>
        <item m="1" x="290"/>
        <item m="1" x="123"/>
        <item m="1" x="506"/>
        <item m="1" x="147"/>
        <item m="1" x="24"/>
        <item m="1" x="416"/>
        <item m="1" x="504"/>
        <item m="1" x="110"/>
        <item m="1" x="512"/>
        <item m="1" x="294"/>
        <item m="1" x="156"/>
        <item m="1" x="99"/>
        <item m="1" x="513"/>
        <item m="1" x="247"/>
        <item m="1" x="379"/>
        <item m="1" x="70"/>
        <item m="1" x="241"/>
        <item m="1" x="231"/>
        <item m="1" x="437"/>
        <item m="1" x="80"/>
        <item m="1" x="279"/>
        <item m="1" x="89"/>
        <item m="1" x="401"/>
        <item m="1" x="128"/>
        <item m="1" x="31"/>
        <item m="1" x="432"/>
        <item m="1" x="450"/>
        <item m="1" x="444"/>
        <item m="1" x="340"/>
        <item m="1" x="433"/>
        <item m="1" x="385"/>
        <item m="1" x="369"/>
        <item m="1" x="55"/>
        <item m="1" x="42"/>
        <item m="1" x="434"/>
        <item m="1" x="275"/>
        <item m="1" x="311"/>
        <item m="1" x="97"/>
        <item m="1" x="43"/>
        <item m="1" x="257"/>
        <item m="1" x="518"/>
        <item m="1" x="203"/>
        <item m="1" x="478"/>
        <item m="1" x="375"/>
        <item m="1" x="198"/>
        <item m="1" x="517"/>
        <item m="1" x="495"/>
        <item m="1" x="470"/>
        <item m="1" x="398"/>
        <item m="1" x="38"/>
        <item m="1" x="510"/>
        <item m="1" x="180"/>
        <item m="1" x="267"/>
        <item m="1" x="453"/>
        <item m="1" x="126"/>
        <item m="1" x="219"/>
        <item m="1" x="254"/>
        <item m="1" x="288"/>
        <item m="1" x="360"/>
        <item m="1" x="374"/>
        <item m="1" x="439"/>
        <item m="1" x="25"/>
        <item m="1" x="359"/>
        <item m="1" x="378"/>
        <item m="1" x="321"/>
        <item m="1" x="365"/>
        <item m="1" x="456"/>
        <item m="1" x="73"/>
        <item m="1" x="395"/>
        <item m="1" x="447"/>
        <item m="1" x="252"/>
        <item m="1" x="134"/>
        <item m="1" x="334"/>
        <item m="1" x="404"/>
        <item m="1" x="154"/>
        <item m="1" x="220"/>
        <item m="1" x="236"/>
        <item m="1" x="51"/>
        <item m="1" x="216"/>
        <item m="1" x="64"/>
        <item m="1" x="384"/>
        <item m="1" x="362"/>
        <item m="1" x="400"/>
        <item m="1" x="159"/>
        <item m="1" x="489"/>
        <item m="1" x="405"/>
        <item m="1" x="352"/>
        <item m="1" x="357"/>
        <item m="1" x="460"/>
        <item m="1" x="152"/>
        <item m="1" x="221"/>
        <item m="1" x="320"/>
        <item m="1" x="137"/>
        <item m="1" x="261"/>
        <item m="1" x="41"/>
        <item m="1" x="389"/>
        <item m="1" x="411"/>
        <item m="1" x="244"/>
        <item m="1" x="455"/>
        <item m="1" x="174"/>
        <item m="1" x="526"/>
        <item m="1" x="346"/>
        <item m="1" x="111"/>
        <item m="1" x="94"/>
        <item m="1" x="523"/>
        <item m="1" x="235"/>
        <item m="1" x="248"/>
        <item m="1" x="237"/>
        <item m="1" x="224"/>
        <item m="1" x="505"/>
        <item m="1" x="529"/>
        <item m="1" x="204"/>
        <item m="1" x="531"/>
        <item m="1" x="285"/>
        <item m="1" x="291"/>
        <item m="1" x="370"/>
        <item m="1" x="34"/>
        <item m="1" x="61"/>
        <item m="1" x="322"/>
        <item m="1" x="14"/>
        <item m="1" x="45"/>
        <item m="1" x="449"/>
        <item m="1" x="214"/>
        <item m="1" x="533"/>
        <item m="1" x="56"/>
        <item m="1" x="443"/>
        <item m="1" x="396"/>
        <item m="1" x="52"/>
        <item m="1" x="319"/>
        <item m="1" x="299"/>
        <item m="1" x="163"/>
        <item m="1" x="193"/>
        <item m="1" x="527"/>
        <item m="1" x="466"/>
        <item m="1" x="120"/>
        <item m="1" x="129"/>
        <item m="1" x="414"/>
        <item m="1" x="100"/>
        <item m="1" x="403"/>
        <item m="1" x="409"/>
        <item m="1" x="35"/>
        <item m="1" x="239"/>
        <item m="1" x="332"/>
        <item m="1" x="15"/>
        <item m="1" x="189"/>
        <item m="1" x="457"/>
        <item m="1" x="92"/>
        <item m="1" x="130"/>
        <item m="1" x="520"/>
        <item m="1" x="525"/>
        <item m="1" x="223"/>
        <item m="1" x="372"/>
        <item m="1" x="167"/>
        <item m="1" x="412"/>
        <item m="1" x="103"/>
        <item m="1" x="467"/>
        <item m="1" x="424"/>
        <item m="1" x="215"/>
        <item m="1" x="131"/>
        <item m="1" x="532"/>
        <item m="1" x="270"/>
        <item m="1" x="40"/>
        <item m="1" x="13"/>
        <item m="1" x="29"/>
        <item m="1" x="138"/>
        <item m="1" x="479"/>
        <item m="1" x="534"/>
        <item m="1" x="426"/>
        <item m="1" x="446"/>
        <item m="1" x="85"/>
        <item m="1" x="530"/>
        <item m="1" x="211"/>
        <item m="1" x="22"/>
        <item m="1" x="464"/>
        <item m="1" x="388"/>
        <item m="1" x="507"/>
        <item m="1" x="217"/>
        <item m="1" x="259"/>
        <item m="1" x="142"/>
        <item m="1" x="265"/>
        <item m="1" x="480"/>
        <item m="1" x="477"/>
        <item m="1" x="436"/>
        <item m="1" x="308"/>
        <item m="1" x="170"/>
        <item m="1" x="463"/>
        <item m="1" x="37"/>
        <item m="1" x="361"/>
        <item m="1" x="333"/>
        <item m="1" x="78"/>
        <item m="1" x="233"/>
        <item m="1" x="87"/>
        <item m="1" x="47"/>
        <item m="1" x="508"/>
        <item m="1" x="277"/>
        <item m="1" x="260"/>
        <item m="1" x="500"/>
        <item m="1" x="181"/>
        <item m="1" x="11"/>
        <item m="1" x="114"/>
        <item m="1" x="487"/>
        <item m="1" x="173"/>
        <item m="1" x="471"/>
        <item m="1" x="27"/>
        <item m="1" x="521"/>
        <item m="1" x="188"/>
        <item m="1" x="283"/>
        <item m="1" x="382"/>
        <item m="1" x="427"/>
        <item m="1" x="122"/>
        <item m="1" x="108"/>
        <item x="1"/>
        <item x="2"/>
        <item m="1" x="397"/>
        <item m="1" x="106"/>
        <item m="1" x="468"/>
        <item m="1" x="17"/>
        <item m="1" x="348"/>
        <item m="1" x="313"/>
        <item m="1" x="336"/>
        <item m="1" x="325"/>
        <item m="1" x="300"/>
        <item m="1" x="326"/>
        <item m="1" x="301"/>
        <item m="1" x="350"/>
        <item m="1" x="302"/>
        <item m="1" x="327"/>
        <item m="1" x="315"/>
        <item m="1" x="353"/>
        <item m="1" x="282"/>
        <item m="1" x="354"/>
        <item m="1" x="316"/>
        <item m="1" x="364"/>
        <item m="1" x="355"/>
        <item m="1" x="292"/>
        <item m="1" x="356"/>
        <item m="1" x="317"/>
        <item m="1" x="305"/>
        <item m="1" x="306"/>
        <item m="1" x="331"/>
        <item m="1" x="358"/>
        <item m="1" x="367"/>
        <item m="1" x="347"/>
        <item m="1" x="337"/>
        <item m="1" x="185"/>
        <item m="1" x="157"/>
        <item m="1" x="150"/>
        <item m="1" x="199"/>
        <item m="1" x="186"/>
        <item m="1" x="200"/>
        <item m="1" x="177"/>
        <item m="1" x="141"/>
        <item m="1" x="201"/>
        <item m="1" x="187"/>
        <item m="1" x="160"/>
        <item m="1" x="151"/>
        <item m="1" x="143"/>
        <item m="1" x="202"/>
        <item m="1" x="178"/>
        <item m="1" x="162"/>
        <item m="1" x="144"/>
        <item m="1" x="153"/>
        <item m="1" x="145"/>
        <item m="1" x="155"/>
        <item m="1" x="172"/>
        <item t="default"/>
      </items>
    </pivotField>
    <pivotField axis="axisRow" showAll="0" sortType="ascending">
      <items count="15090">
        <item x="78"/>
        <item x="79"/>
        <item x="80"/>
        <item x="81"/>
        <item x="82"/>
        <item x="83"/>
        <item x="84"/>
        <item x="85"/>
        <item x="22"/>
        <item x="23"/>
        <item x="24"/>
        <item x="25"/>
        <item x="26"/>
        <item x="27"/>
        <item x="28"/>
        <item x="29"/>
        <item x="30"/>
        <item x="31"/>
        <item x="32"/>
        <item x="11"/>
        <item x="12"/>
        <item x="13"/>
        <item x="14"/>
        <item x="15"/>
        <item x="16"/>
        <item x="17"/>
        <item x="18"/>
        <item x="19"/>
        <item x="20"/>
        <item x="21"/>
        <item x="1"/>
        <item x="2"/>
        <item x="3"/>
        <item x="4"/>
        <item x="5"/>
        <item x="6"/>
        <item x="7"/>
        <item x="8"/>
        <item x="9"/>
        <item x="10"/>
        <item x="33"/>
        <item x="34"/>
        <item x="35"/>
        <item x="36"/>
        <item x="37"/>
        <item x="38"/>
        <item x="39"/>
        <item x="40"/>
        <item x="41"/>
        <item x="42"/>
        <item x="43"/>
        <item x="44"/>
        <item x="45"/>
        <item x="46"/>
        <item x="47"/>
        <item x="48"/>
        <item x="49"/>
        <item x="58"/>
        <item x="59"/>
        <item x="60"/>
        <item x="61"/>
        <item x="62"/>
        <item x="63"/>
        <item x="64"/>
        <item x="65"/>
        <item x="66"/>
        <item x="73"/>
        <item x="74"/>
        <item x="75"/>
        <item x="76"/>
        <item x="77"/>
        <item x="0"/>
        <item x="86"/>
        <item x="87"/>
        <item x="88"/>
        <item x="89"/>
        <item x="90"/>
        <item x="91"/>
        <item x="92"/>
        <item x="173"/>
        <item x="174"/>
        <item x="175"/>
        <item x="176"/>
        <item x="177"/>
        <item x="178"/>
        <item x="93"/>
        <item x="94"/>
        <item x="95"/>
        <item x="96"/>
        <item x="97"/>
        <item x="98"/>
        <item x="99"/>
        <item x="100"/>
        <item x="101"/>
        <item x="179"/>
        <item x="180"/>
        <item x="181"/>
        <item x="182"/>
        <item x="183"/>
        <item x="184"/>
        <item x="102"/>
        <item x="103"/>
        <item x="104"/>
        <item x="105"/>
        <item x="106"/>
        <item x="107"/>
        <item x="108"/>
        <item x="109"/>
        <item x="110"/>
        <item x="185"/>
        <item x="186"/>
        <item x="187"/>
        <item x="188"/>
        <item x="189"/>
        <item x="111"/>
        <item x="112"/>
        <item x="113"/>
        <item x="114"/>
        <item x="115"/>
        <item x="116"/>
        <item x="117"/>
        <item x="118"/>
        <item x="119"/>
        <item x="190"/>
        <item x="191"/>
        <item x="192"/>
        <item x="193"/>
        <item x="194"/>
        <item x="195"/>
        <item x="120"/>
        <item x="121"/>
        <item x="122"/>
        <item x="123"/>
        <item x="124"/>
        <item x="125"/>
        <item x="126"/>
        <item x="127"/>
        <item x="196"/>
        <item x="197"/>
        <item x="198"/>
        <item x="199"/>
        <item x="200"/>
        <item x="201"/>
        <item x="128"/>
        <item x="129"/>
        <item x="130"/>
        <item x="131"/>
        <item x="132"/>
        <item x="133"/>
        <item x="134"/>
        <item x="135"/>
        <item x="202"/>
        <item x="203"/>
        <item x="204"/>
        <item x="205"/>
        <item x="206"/>
        <item x="207"/>
        <item x="208"/>
        <item x="136"/>
        <item x="137"/>
        <item x="138"/>
        <item x="139"/>
        <item x="140"/>
        <item x="141"/>
        <item x="142"/>
        <item x="143"/>
        <item x="209"/>
        <item x="210"/>
        <item x="211"/>
        <item x="212"/>
        <item x="213"/>
        <item x="214"/>
        <item x="215"/>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216"/>
        <item x="217"/>
        <item x="218"/>
        <item x="219"/>
        <item x="220"/>
        <item x="221"/>
        <item x="222"/>
        <item x="238"/>
        <item x="239"/>
        <item x="240"/>
        <item x="241"/>
        <item x="242"/>
        <item x="243"/>
        <item x="244"/>
        <item x="245"/>
        <item x="223"/>
        <item x="224"/>
        <item x="225"/>
        <item x="226"/>
        <item x="227"/>
        <item x="228"/>
        <item x="229"/>
        <item x="246"/>
        <item x="247"/>
        <item x="248"/>
        <item x="249"/>
        <item x="250"/>
        <item x="251"/>
        <item x="252"/>
        <item x="230"/>
        <item x="231"/>
        <item x="232"/>
        <item x="233"/>
        <item x="234"/>
        <item x="235"/>
        <item x="236"/>
        <item x="237"/>
        <item x="253"/>
        <item x="254"/>
        <item x="255"/>
        <item x="256"/>
        <item x="257"/>
        <item x="258"/>
        <item x="259"/>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409"/>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452"/>
        <item x="3236"/>
        <item x="3237"/>
        <item x="3238"/>
        <item x="3239"/>
        <item x="3240"/>
        <item x="3241"/>
        <item x="3242"/>
        <item x="3243"/>
        <item x="3244"/>
        <item x="3245"/>
        <item x="3246"/>
        <item x="3247"/>
        <item x="3248"/>
        <item x="3249"/>
        <item x="3467"/>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613"/>
        <item x="3395"/>
        <item x="3396"/>
        <item x="3397"/>
        <item x="3398"/>
        <item x="3399"/>
        <item x="3400"/>
        <item x="3401"/>
        <item x="3402"/>
        <item x="3403"/>
        <item x="3404"/>
        <item x="3405"/>
        <item x="3406"/>
        <item x="3407"/>
        <item x="3408"/>
        <item x="3410"/>
        <item x="3411"/>
        <item x="3412"/>
        <item x="3413"/>
        <item x="3414"/>
        <item x="3415"/>
        <item x="3416"/>
        <item x="3417"/>
        <item x="3418"/>
        <item x="3419"/>
        <item x="3420"/>
        <item x="3421"/>
        <item x="3422"/>
        <item x="3423"/>
        <item x="3643"/>
        <item x="3424"/>
        <item x="3425"/>
        <item x="3426"/>
        <item x="3427"/>
        <item x="3428"/>
        <item x="3429"/>
        <item x="3430"/>
        <item x="3431"/>
        <item x="3432"/>
        <item x="3433"/>
        <item x="3434"/>
        <item x="3435"/>
        <item x="3436"/>
        <item x="3437"/>
        <item x="3658"/>
        <item x="3438"/>
        <item x="3439"/>
        <item x="3440"/>
        <item x="3441"/>
        <item x="3442"/>
        <item x="3443"/>
        <item x="3444"/>
        <item x="3445"/>
        <item x="3446"/>
        <item x="3447"/>
        <item x="3448"/>
        <item x="3449"/>
        <item x="3450"/>
        <item x="3451"/>
        <item x="3453"/>
        <item x="3454"/>
        <item x="3455"/>
        <item x="3456"/>
        <item x="3457"/>
        <item x="3458"/>
        <item x="3459"/>
        <item x="3460"/>
        <item x="3461"/>
        <item x="3462"/>
        <item x="3463"/>
        <item x="3464"/>
        <item x="3465"/>
        <item x="3466"/>
        <item x="3688"/>
        <item x="3468"/>
        <item x="3469"/>
        <item x="3470"/>
        <item x="3471"/>
        <item x="3472"/>
        <item x="3473"/>
        <item x="3474"/>
        <item x="3475"/>
        <item x="3476"/>
        <item x="3477"/>
        <item x="3478"/>
        <item x="3479"/>
        <item x="3480"/>
        <item x="3481"/>
        <item x="3703"/>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4"/>
        <item x="3645"/>
        <item x="3646"/>
        <item x="3647"/>
        <item x="3648"/>
        <item x="3649"/>
        <item x="3650"/>
        <item x="3651"/>
        <item x="3652"/>
        <item x="3653"/>
        <item x="3654"/>
        <item x="3655"/>
        <item x="3656"/>
        <item x="3657"/>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896"/>
        <item x="3689"/>
        <item x="3690"/>
        <item x="3691"/>
        <item x="3692"/>
        <item x="3693"/>
        <item x="3694"/>
        <item x="3695"/>
        <item x="3696"/>
        <item x="3697"/>
        <item x="3698"/>
        <item x="3699"/>
        <item x="3700"/>
        <item x="3701"/>
        <item x="3702"/>
        <item x="3704"/>
        <item x="3705"/>
        <item x="3706"/>
        <item x="3707"/>
        <item x="3708"/>
        <item x="3709"/>
        <item x="3710"/>
        <item x="3711"/>
        <item x="3712"/>
        <item x="3713"/>
        <item x="3714"/>
        <item x="3715"/>
        <item x="3716"/>
        <item x="3717"/>
        <item x="3718"/>
        <item x="3923"/>
        <item x="3936"/>
        <item x="3937"/>
        <item x="3938"/>
        <item x="3939"/>
        <item x="3940"/>
        <item x="3941"/>
        <item x="3942"/>
        <item x="3943"/>
        <item x="3944"/>
        <item x="3945"/>
        <item x="3946"/>
        <item x="3947"/>
        <item x="3948"/>
        <item x="453"/>
        <item x="3949"/>
        <item x="3950"/>
        <item x="3951"/>
        <item x="3952"/>
        <item x="3953"/>
        <item x="3954"/>
        <item x="3955"/>
        <item x="3956"/>
        <item x="3957"/>
        <item x="3958"/>
        <item x="3959"/>
        <item x="3960"/>
        <item x="3961"/>
        <item x="468"/>
        <item x="469"/>
        <item x="3962"/>
        <item x="3963"/>
        <item x="3964"/>
        <item x="3965"/>
        <item x="3966"/>
        <item x="3967"/>
        <item x="3968"/>
        <item x="3969"/>
        <item x="3970"/>
        <item x="3971"/>
        <item x="3972"/>
        <item x="3973"/>
        <item x="3974"/>
        <item x="485"/>
        <item x="3975"/>
        <item x="3976"/>
        <item x="3977"/>
        <item x="3978"/>
        <item x="3979"/>
        <item x="3980"/>
        <item x="3981"/>
        <item x="3982"/>
        <item x="3983"/>
        <item x="3984"/>
        <item x="3985"/>
        <item x="3986"/>
        <item x="3987"/>
        <item x="3988"/>
        <item x="501"/>
        <item x="3989"/>
        <item x="3990"/>
        <item x="3991"/>
        <item x="3992"/>
        <item x="3993"/>
        <item x="3994"/>
        <item x="3995"/>
        <item x="3996"/>
        <item x="3997"/>
        <item x="3998"/>
        <item x="3999"/>
        <item x="4000"/>
        <item x="4001"/>
        <item x="260"/>
        <item x="261"/>
        <item x="3792"/>
        <item x="3793"/>
        <item x="3794"/>
        <item x="3795"/>
        <item x="3796"/>
        <item x="3797"/>
        <item x="3798"/>
        <item x="3799"/>
        <item x="3800"/>
        <item x="3801"/>
        <item x="3802"/>
        <item x="3803"/>
        <item x="3804"/>
        <item x="277"/>
        <item x="3805"/>
        <item x="3806"/>
        <item x="3807"/>
        <item x="3808"/>
        <item x="3809"/>
        <item x="3810"/>
        <item x="3811"/>
        <item x="3812"/>
        <item x="3813"/>
        <item x="3814"/>
        <item x="3815"/>
        <item x="3816"/>
        <item x="3817"/>
        <item x="3818"/>
        <item x="292"/>
        <item x="3819"/>
        <item x="3820"/>
        <item x="3821"/>
        <item x="3822"/>
        <item x="3823"/>
        <item x="3824"/>
        <item x="3825"/>
        <item x="3826"/>
        <item x="3827"/>
        <item x="3828"/>
        <item x="3829"/>
        <item x="3830"/>
        <item x="3831"/>
        <item x="308"/>
        <item x="309"/>
        <item x="3832"/>
        <item x="3833"/>
        <item x="3834"/>
        <item x="3835"/>
        <item x="3836"/>
        <item x="3837"/>
        <item x="3838"/>
        <item x="3839"/>
        <item x="3840"/>
        <item x="3841"/>
        <item x="3842"/>
        <item x="3843"/>
        <item x="3844"/>
        <item x="324"/>
        <item x="3845"/>
        <item x="3846"/>
        <item x="3847"/>
        <item x="3848"/>
        <item x="3849"/>
        <item x="3850"/>
        <item x="3851"/>
        <item x="3852"/>
        <item x="3853"/>
        <item x="3854"/>
        <item x="3855"/>
        <item x="3856"/>
        <item x="3857"/>
        <item x="340"/>
        <item x="341"/>
        <item x="3858"/>
        <item x="3859"/>
        <item x="3860"/>
        <item x="3861"/>
        <item x="3862"/>
        <item x="3863"/>
        <item x="3864"/>
        <item x="3865"/>
        <item x="3866"/>
        <item x="3867"/>
        <item x="3868"/>
        <item x="3869"/>
        <item x="3870"/>
        <item x="356"/>
        <item x="3871"/>
        <item x="3872"/>
        <item x="3873"/>
        <item x="3874"/>
        <item x="3875"/>
        <item x="3876"/>
        <item x="3877"/>
        <item x="3878"/>
        <item x="3879"/>
        <item x="3880"/>
        <item x="3881"/>
        <item x="3882"/>
        <item x="3883"/>
        <item x="372"/>
        <item x="373"/>
        <item x="3884"/>
        <item x="3885"/>
        <item x="3886"/>
        <item x="3887"/>
        <item x="3888"/>
        <item x="3889"/>
        <item x="3890"/>
        <item x="3891"/>
        <item x="3892"/>
        <item x="3893"/>
        <item x="3894"/>
        <item x="3895"/>
        <item x="388"/>
        <item x="389"/>
        <item x="3897"/>
        <item x="3898"/>
        <item x="3899"/>
        <item x="3900"/>
        <item x="3901"/>
        <item x="3902"/>
        <item x="3903"/>
        <item x="3904"/>
        <item x="3905"/>
        <item x="3906"/>
        <item x="3907"/>
        <item x="3908"/>
        <item x="3909"/>
        <item x="404"/>
        <item x="405"/>
        <item x="3910"/>
        <item x="3911"/>
        <item x="3912"/>
        <item x="3913"/>
        <item x="3914"/>
        <item x="3915"/>
        <item x="3916"/>
        <item x="3917"/>
        <item x="3918"/>
        <item x="3919"/>
        <item x="3920"/>
        <item x="3921"/>
        <item x="3922"/>
        <item x="420"/>
        <item x="421"/>
        <item x="3924"/>
        <item x="3925"/>
        <item x="3926"/>
        <item x="3927"/>
        <item x="3928"/>
        <item x="3929"/>
        <item x="3930"/>
        <item x="3931"/>
        <item x="3932"/>
        <item x="3933"/>
        <item x="3934"/>
        <item x="3935"/>
        <item x="437"/>
        <item x="438"/>
        <item x="454"/>
        <item x="455"/>
        <item x="456"/>
        <item x="457"/>
        <item x="458"/>
        <item x="459"/>
        <item x="460"/>
        <item x="461"/>
        <item x="462"/>
        <item x="463"/>
        <item x="464"/>
        <item x="465"/>
        <item x="466"/>
        <item x="467"/>
        <item x="470"/>
        <item x="471"/>
        <item x="472"/>
        <item x="473"/>
        <item x="474"/>
        <item x="475"/>
        <item x="476"/>
        <item x="477"/>
        <item x="478"/>
        <item x="479"/>
        <item x="480"/>
        <item x="481"/>
        <item x="482"/>
        <item x="483"/>
        <item x="484"/>
        <item x="486"/>
        <item x="487"/>
        <item x="488"/>
        <item x="489"/>
        <item x="490"/>
        <item x="491"/>
        <item x="492"/>
        <item x="493"/>
        <item x="494"/>
        <item x="495"/>
        <item x="496"/>
        <item x="497"/>
        <item x="498"/>
        <item x="499"/>
        <item x="500"/>
        <item x="502"/>
        <item x="503"/>
        <item x="504"/>
        <item x="505"/>
        <item x="506"/>
        <item x="507"/>
        <item x="508"/>
        <item x="509"/>
        <item x="510"/>
        <item x="511"/>
        <item x="512"/>
        <item x="513"/>
        <item x="514"/>
        <item x="515"/>
        <item x="262"/>
        <item x="263"/>
        <item x="264"/>
        <item x="265"/>
        <item x="266"/>
        <item x="267"/>
        <item x="268"/>
        <item x="269"/>
        <item x="270"/>
        <item x="271"/>
        <item x="272"/>
        <item x="273"/>
        <item x="274"/>
        <item x="275"/>
        <item x="276"/>
        <item x="278"/>
        <item x="279"/>
        <item x="280"/>
        <item x="281"/>
        <item x="282"/>
        <item x="283"/>
        <item x="284"/>
        <item x="285"/>
        <item x="286"/>
        <item x="287"/>
        <item x="288"/>
        <item x="289"/>
        <item x="290"/>
        <item x="291"/>
        <item x="293"/>
        <item x="294"/>
        <item x="295"/>
        <item x="296"/>
        <item x="297"/>
        <item x="298"/>
        <item x="299"/>
        <item x="300"/>
        <item x="301"/>
        <item x="302"/>
        <item x="303"/>
        <item x="304"/>
        <item x="305"/>
        <item x="306"/>
        <item x="307"/>
        <item x="310"/>
        <item x="311"/>
        <item x="312"/>
        <item x="313"/>
        <item x="314"/>
        <item x="315"/>
        <item x="316"/>
        <item x="317"/>
        <item x="318"/>
        <item x="319"/>
        <item x="320"/>
        <item x="321"/>
        <item x="322"/>
        <item x="323"/>
        <item x="325"/>
        <item x="326"/>
        <item x="327"/>
        <item x="328"/>
        <item x="329"/>
        <item x="330"/>
        <item x="331"/>
        <item x="332"/>
        <item x="333"/>
        <item x="334"/>
        <item x="335"/>
        <item x="336"/>
        <item x="337"/>
        <item x="338"/>
        <item x="339"/>
        <item x="342"/>
        <item x="343"/>
        <item x="344"/>
        <item x="345"/>
        <item x="346"/>
        <item x="347"/>
        <item x="348"/>
        <item x="349"/>
        <item x="350"/>
        <item x="351"/>
        <item x="352"/>
        <item x="353"/>
        <item x="354"/>
        <item x="355"/>
        <item x="357"/>
        <item x="358"/>
        <item x="359"/>
        <item x="360"/>
        <item x="361"/>
        <item x="362"/>
        <item x="363"/>
        <item x="364"/>
        <item x="365"/>
        <item x="366"/>
        <item x="367"/>
        <item x="368"/>
        <item x="369"/>
        <item x="370"/>
        <item x="371"/>
        <item x="374"/>
        <item x="375"/>
        <item x="376"/>
        <item x="377"/>
        <item x="378"/>
        <item x="379"/>
        <item x="380"/>
        <item x="381"/>
        <item x="382"/>
        <item x="383"/>
        <item x="384"/>
        <item x="385"/>
        <item x="386"/>
        <item x="387"/>
        <item x="390"/>
        <item x="391"/>
        <item x="392"/>
        <item x="393"/>
        <item x="394"/>
        <item x="395"/>
        <item x="396"/>
        <item x="397"/>
        <item x="398"/>
        <item x="399"/>
        <item x="400"/>
        <item x="401"/>
        <item x="402"/>
        <item x="403"/>
        <item x="632"/>
        <item x="406"/>
        <item x="407"/>
        <item x="408"/>
        <item x="409"/>
        <item x="410"/>
        <item x="411"/>
        <item x="412"/>
        <item x="413"/>
        <item x="414"/>
        <item x="415"/>
        <item x="416"/>
        <item x="417"/>
        <item x="418"/>
        <item x="419"/>
        <item x="422"/>
        <item x="423"/>
        <item x="424"/>
        <item x="425"/>
        <item x="426"/>
        <item x="427"/>
        <item x="428"/>
        <item x="429"/>
        <item x="430"/>
        <item x="431"/>
        <item x="432"/>
        <item x="433"/>
        <item x="434"/>
        <item x="435"/>
        <item x="436"/>
        <item x="439"/>
        <item x="440"/>
        <item x="441"/>
        <item x="442"/>
        <item x="443"/>
        <item x="444"/>
        <item x="445"/>
        <item x="446"/>
        <item x="447"/>
        <item x="448"/>
        <item x="449"/>
        <item x="450"/>
        <item x="451"/>
        <item x="452"/>
        <item x="4412"/>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880"/>
        <item x="662"/>
        <item x="663"/>
        <item x="664"/>
        <item x="665"/>
        <item x="666"/>
        <item x="667"/>
        <item x="668"/>
        <item x="669"/>
        <item x="670"/>
        <item x="671"/>
        <item x="672"/>
        <item x="673"/>
        <item x="674"/>
        <item x="675"/>
        <item x="895"/>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1098"/>
        <item x="881"/>
        <item x="882"/>
        <item x="883"/>
        <item x="884"/>
        <item x="885"/>
        <item x="886"/>
        <item x="887"/>
        <item x="888"/>
        <item x="889"/>
        <item x="890"/>
        <item x="891"/>
        <item x="892"/>
        <item x="893"/>
        <item x="894"/>
        <item x="896"/>
        <item x="897"/>
        <item x="898"/>
        <item x="899"/>
        <item x="900"/>
        <item x="901"/>
        <item x="902"/>
        <item x="903"/>
        <item x="904"/>
        <item x="905"/>
        <item x="906"/>
        <item x="907"/>
        <item x="908"/>
        <item x="909"/>
        <item x="1127"/>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9"/>
        <item x="1100"/>
        <item x="1101"/>
        <item x="1102"/>
        <item x="1103"/>
        <item x="1104"/>
        <item x="1105"/>
        <item x="1106"/>
        <item x="1107"/>
        <item x="1108"/>
        <item x="1109"/>
        <item x="1110"/>
        <item x="1111"/>
        <item x="1112"/>
        <item x="1332"/>
        <item x="1113"/>
        <item x="1114"/>
        <item x="1115"/>
        <item x="1116"/>
        <item x="1117"/>
        <item x="1118"/>
        <item x="1119"/>
        <item x="1120"/>
        <item x="1121"/>
        <item x="1122"/>
        <item x="1123"/>
        <item x="1124"/>
        <item x="1125"/>
        <item x="1126"/>
        <item x="1128"/>
        <item x="1129"/>
        <item x="1130"/>
        <item x="1131"/>
        <item x="1132"/>
        <item x="1133"/>
        <item x="1134"/>
        <item x="1135"/>
        <item x="1136"/>
        <item x="1137"/>
        <item x="1138"/>
        <item x="1139"/>
        <item x="1140"/>
        <item x="1141"/>
        <item x="1142"/>
        <item x="1361"/>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3"/>
        <item x="1334"/>
        <item x="1335"/>
        <item x="1336"/>
        <item x="1337"/>
        <item x="1338"/>
        <item x="1339"/>
        <item x="1340"/>
        <item x="1341"/>
        <item x="1342"/>
        <item x="1343"/>
        <item x="1344"/>
        <item x="1345"/>
        <item x="1346"/>
        <item x="1566"/>
        <item x="1347"/>
        <item x="1348"/>
        <item x="1349"/>
        <item x="1350"/>
        <item x="1351"/>
        <item x="1352"/>
        <item x="1353"/>
        <item x="1354"/>
        <item x="1355"/>
        <item x="1356"/>
        <item x="1357"/>
        <item x="1358"/>
        <item x="1359"/>
        <item x="1360"/>
        <item x="1581"/>
        <item x="1362"/>
        <item x="1363"/>
        <item x="1364"/>
        <item x="1365"/>
        <item x="1366"/>
        <item x="1367"/>
        <item x="1368"/>
        <item x="1369"/>
        <item x="1370"/>
        <item x="1371"/>
        <item x="1372"/>
        <item x="1373"/>
        <item x="1374"/>
        <item x="1375"/>
        <item x="1596"/>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7"/>
        <item x="1568"/>
        <item x="1569"/>
        <item x="1570"/>
        <item x="1571"/>
        <item x="1572"/>
        <item x="1573"/>
        <item x="1574"/>
        <item x="1575"/>
        <item x="1576"/>
        <item x="1577"/>
        <item x="1578"/>
        <item x="1579"/>
        <item x="1580"/>
        <item x="1800"/>
        <item x="1582"/>
        <item x="1583"/>
        <item x="1584"/>
        <item x="1585"/>
        <item x="1586"/>
        <item x="1587"/>
        <item x="1588"/>
        <item x="1589"/>
        <item x="1590"/>
        <item x="1591"/>
        <item x="1592"/>
        <item x="1593"/>
        <item x="1594"/>
        <item x="1595"/>
        <item x="1597"/>
        <item x="1598"/>
        <item x="1599"/>
        <item x="1600"/>
        <item x="1601"/>
        <item x="1602"/>
        <item x="1603"/>
        <item x="1604"/>
        <item x="1605"/>
        <item x="1606"/>
        <item x="1607"/>
        <item x="1608"/>
        <item x="1609"/>
        <item x="1610"/>
        <item x="1829"/>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2018"/>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2047"/>
        <item x="1830"/>
        <item x="1831"/>
        <item x="1832"/>
        <item x="1833"/>
        <item x="1834"/>
        <item x="1835"/>
        <item x="1836"/>
        <item x="1837"/>
        <item x="1838"/>
        <item x="1839"/>
        <item x="1840"/>
        <item x="1841"/>
        <item x="1842"/>
        <item x="1843"/>
        <item x="2062"/>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33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237"/>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266"/>
        <item x="2048"/>
        <item x="2049"/>
        <item x="2050"/>
        <item x="2051"/>
        <item x="2052"/>
        <item x="2053"/>
        <item x="2054"/>
        <item x="2055"/>
        <item x="2056"/>
        <item x="2057"/>
        <item x="2058"/>
        <item x="2059"/>
        <item x="2060"/>
        <item x="2061"/>
        <item x="2063"/>
        <item x="2064"/>
        <item x="2065"/>
        <item x="2066"/>
        <item x="2067"/>
        <item x="2068"/>
        <item x="2069"/>
        <item x="2070"/>
        <item x="2071"/>
        <item x="2072"/>
        <item x="2073"/>
        <item x="2074"/>
        <item x="2075"/>
        <item x="2076"/>
        <item x="2295"/>
        <item x="2296"/>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486"/>
        <item x="2267"/>
        <item x="2268"/>
        <item x="2269"/>
        <item x="2270"/>
        <item x="2271"/>
        <item x="2272"/>
        <item x="2273"/>
        <item x="2274"/>
        <item x="2275"/>
        <item x="2276"/>
        <item x="2277"/>
        <item x="2278"/>
        <item x="2279"/>
        <item x="2280"/>
        <item x="2501"/>
        <item x="2281"/>
        <item x="2282"/>
        <item x="2283"/>
        <item x="2284"/>
        <item x="2285"/>
        <item x="2286"/>
        <item x="2287"/>
        <item x="2288"/>
        <item x="2289"/>
        <item x="2290"/>
        <item x="2291"/>
        <item x="2292"/>
        <item x="2293"/>
        <item x="2294"/>
        <item x="2297"/>
        <item x="2298"/>
        <item x="2299"/>
        <item x="2300"/>
        <item x="2301"/>
        <item x="2302"/>
        <item x="2303"/>
        <item x="2304"/>
        <item x="2305"/>
        <item x="2306"/>
        <item x="2307"/>
        <item x="2308"/>
        <item x="2309"/>
        <item x="2310"/>
        <item x="2530"/>
        <item x="2531"/>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7"/>
        <item x="2488"/>
        <item x="2489"/>
        <item x="2490"/>
        <item x="2491"/>
        <item x="2492"/>
        <item x="2493"/>
        <item x="2494"/>
        <item x="2495"/>
        <item x="2496"/>
        <item x="2497"/>
        <item x="2498"/>
        <item x="2499"/>
        <item x="2500"/>
        <item x="272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750"/>
        <item x="2532"/>
        <item x="2533"/>
        <item x="2534"/>
        <item x="2535"/>
        <item x="2536"/>
        <item x="2537"/>
        <item x="2538"/>
        <item x="2539"/>
        <item x="2540"/>
        <item x="2541"/>
        <item x="2542"/>
        <item x="2543"/>
        <item x="2544"/>
        <item x="2545"/>
        <item x="2765"/>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3043"/>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2"/>
        <item x="2723"/>
        <item x="2724"/>
        <item x="2725"/>
        <item x="2726"/>
        <item x="2727"/>
        <item x="2728"/>
        <item x="2729"/>
        <item x="2730"/>
        <item x="2731"/>
        <item x="2732"/>
        <item x="2733"/>
        <item x="2734"/>
        <item x="2735"/>
        <item x="2954"/>
        <item x="2736"/>
        <item x="2737"/>
        <item x="2738"/>
        <item x="2739"/>
        <item x="2740"/>
        <item x="2741"/>
        <item x="2742"/>
        <item x="2743"/>
        <item x="2744"/>
        <item x="2745"/>
        <item x="2746"/>
        <item x="2747"/>
        <item x="2748"/>
        <item x="2749"/>
        <item x="2751"/>
        <item x="2752"/>
        <item x="2753"/>
        <item x="2754"/>
        <item x="2755"/>
        <item x="2756"/>
        <item x="2757"/>
        <item x="2758"/>
        <item x="2759"/>
        <item x="2760"/>
        <item x="2761"/>
        <item x="2762"/>
        <item x="2763"/>
        <item x="2764"/>
        <item x="2983"/>
        <item x="2766"/>
        <item x="2767"/>
        <item x="2768"/>
        <item x="2769"/>
        <item x="2770"/>
        <item x="2771"/>
        <item x="2772"/>
        <item x="2773"/>
        <item x="2774"/>
        <item x="2775"/>
        <item x="2776"/>
        <item x="2777"/>
        <item x="2778"/>
        <item x="2779"/>
        <item x="2999"/>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3117"/>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5"/>
        <item x="2956"/>
        <item x="2957"/>
        <item x="2958"/>
        <item x="2959"/>
        <item x="2960"/>
        <item x="2961"/>
        <item x="2962"/>
        <item x="2963"/>
        <item x="2964"/>
        <item x="2965"/>
        <item x="2966"/>
        <item x="2967"/>
        <item x="2968"/>
        <item x="3190"/>
        <item x="2969"/>
        <item x="2970"/>
        <item x="2971"/>
        <item x="2972"/>
        <item x="2973"/>
        <item x="2974"/>
        <item x="2975"/>
        <item x="2976"/>
        <item x="2977"/>
        <item x="2978"/>
        <item x="2979"/>
        <item x="2980"/>
        <item x="2981"/>
        <item x="2982"/>
        <item x="2984"/>
        <item x="2985"/>
        <item x="2986"/>
        <item x="2987"/>
        <item x="2988"/>
        <item x="2989"/>
        <item x="2990"/>
        <item x="2991"/>
        <item x="2992"/>
        <item x="2993"/>
        <item x="2994"/>
        <item x="2995"/>
        <item x="2996"/>
        <item x="2997"/>
        <item x="2998"/>
        <item x="3000"/>
        <item x="3001"/>
        <item x="3002"/>
        <item x="3003"/>
        <item x="3004"/>
        <item x="3005"/>
        <item x="3006"/>
        <item x="3007"/>
        <item x="3008"/>
        <item x="3009"/>
        <item x="3010"/>
        <item x="3011"/>
        <item x="3012"/>
        <item x="3013"/>
        <item x="3234"/>
        <item x="3235"/>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511"/>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46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451"/>
        <item x="7452"/>
        <item x="7453"/>
        <item x="7454"/>
        <item x="7455"/>
        <item x="7456"/>
        <item x="7457"/>
        <item x="7458"/>
        <item x="7459"/>
        <item x="7460"/>
        <item x="7461"/>
        <item x="7462"/>
        <item x="7463"/>
        <item x="7675"/>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676"/>
        <item x="7677"/>
        <item x="7678"/>
        <item x="7679"/>
        <item x="7680"/>
        <item x="7681"/>
        <item x="7682"/>
        <item x="7683"/>
        <item x="7684"/>
        <item x="7685"/>
        <item x="7686"/>
        <item x="7687"/>
        <item x="4187"/>
        <item x="4188"/>
        <item x="7688"/>
        <item x="7689"/>
        <item x="7690"/>
        <item x="7691"/>
        <item x="7692"/>
        <item x="7693"/>
        <item x="7694"/>
        <item x="7695"/>
        <item x="7696"/>
        <item x="7697"/>
        <item x="7698"/>
        <item x="7699"/>
        <item x="7700"/>
        <item x="4203"/>
        <item x="4204"/>
        <item x="7701"/>
        <item x="7702"/>
        <item x="7703"/>
        <item x="7704"/>
        <item x="7705"/>
        <item x="7706"/>
        <item x="7707"/>
        <item x="7708"/>
        <item x="7709"/>
        <item x="7710"/>
        <item x="7711"/>
        <item x="7712"/>
        <item x="7713"/>
        <item x="4219"/>
        <item x="7714"/>
        <item x="7715"/>
        <item x="7716"/>
        <item x="7717"/>
        <item x="7718"/>
        <item x="7719"/>
        <item x="7720"/>
        <item x="7721"/>
        <item x="7722"/>
        <item x="7723"/>
        <item x="7724"/>
        <item x="7725"/>
        <item x="7726"/>
        <item x="7727"/>
        <item x="4235"/>
        <item x="7728"/>
        <item x="7729"/>
        <item x="7730"/>
        <item x="7731"/>
        <item x="7732"/>
        <item x="7733"/>
        <item x="7734"/>
        <item x="7735"/>
        <item x="7736"/>
        <item x="7737"/>
        <item x="7738"/>
        <item x="7739"/>
        <item x="7740"/>
        <item x="4002"/>
        <item x="7523"/>
        <item x="7524"/>
        <item x="7525"/>
        <item x="7526"/>
        <item x="7527"/>
        <item x="7528"/>
        <item x="7529"/>
        <item x="7530"/>
        <item x="7531"/>
        <item x="7532"/>
        <item x="7533"/>
        <item x="7534"/>
        <item x="7535"/>
        <item x="7536"/>
        <item x="4018"/>
        <item x="7537"/>
        <item x="7538"/>
        <item x="7539"/>
        <item x="7540"/>
        <item x="7541"/>
        <item x="7542"/>
        <item x="7543"/>
        <item x="7544"/>
        <item x="7545"/>
        <item x="7546"/>
        <item x="7547"/>
        <item x="7548"/>
        <item x="7549"/>
        <item x="7550"/>
        <item x="4034"/>
        <item x="7551"/>
        <item x="7552"/>
        <item x="7553"/>
        <item x="7554"/>
        <item x="7555"/>
        <item x="7556"/>
        <item x="7557"/>
        <item x="7558"/>
        <item x="7559"/>
        <item x="7560"/>
        <item x="7561"/>
        <item x="7562"/>
        <item x="7563"/>
        <item x="4049"/>
        <item x="7564"/>
        <item x="7565"/>
        <item x="7566"/>
        <item x="7567"/>
        <item x="7568"/>
        <item x="7569"/>
        <item x="7570"/>
        <item x="7571"/>
        <item x="7572"/>
        <item x="7573"/>
        <item x="7574"/>
        <item x="7575"/>
        <item x="7576"/>
        <item x="7577"/>
        <item x="4065"/>
        <item x="7578"/>
        <item x="7579"/>
        <item x="7580"/>
        <item x="7581"/>
        <item x="7582"/>
        <item x="7583"/>
        <item x="7584"/>
        <item x="7585"/>
        <item x="7586"/>
        <item x="7587"/>
        <item x="7588"/>
        <item x="7589"/>
        <item x="7590"/>
        <item x="4080"/>
        <item x="7591"/>
        <item x="7592"/>
        <item x="7593"/>
        <item x="7594"/>
        <item x="7595"/>
        <item x="7596"/>
        <item x="7597"/>
        <item x="7598"/>
        <item x="7599"/>
        <item x="7600"/>
        <item x="7601"/>
        <item x="7602"/>
        <item x="7603"/>
        <item x="7604"/>
        <item x="4096"/>
        <item x="7605"/>
        <item x="7606"/>
        <item x="7607"/>
        <item x="7608"/>
        <item x="7609"/>
        <item x="7610"/>
        <item x="7611"/>
        <item x="7612"/>
        <item x="7613"/>
        <item x="7614"/>
        <item x="7615"/>
        <item x="7616"/>
        <item x="7617"/>
        <item x="7618"/>
        <item x="4112"/>
        <item x="7619"/>
        <item x="7620"/>
        <item x="7621"/>
        <item x="7622"/>
        <item x="7623"/>
        <item x="7624"/>
        <item x="7625"/>
        <item x="7626"/>
        <item x="7627"/>
        <item x="7628"/>
        <item x="7629"/>
        <item x="7630"/>
        <item x="7631"/>
        <item x="4127"/>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4189"/>
        <item x="4190"/>
        <item x="4191"/>
        <item x="4192"/>
        <item x="4193"/>
        <item x="4194"/>
        <item x="4195"/>
        <item x="4196"/>
        <item x="4197"/>
        <item x="4198"/>
        <item x="4199"/>
        <item x="4200"/>
        <item x="4201"/>
        <item x="4202"/>
        <item x="4426"/>
        <item x="4205"/>
        <item x="4206"/>
        <item x="4207"/>
        <item x="4208"/>
        <item x="4209"/>
        <item x="4210"/>
        <item x="4211"/>
        <item x="4212"/>
        <item x="4213"/>
        <item x="4214"/>
        <item x="4215"/>
        <item x="4216"/>
        <item x="4217"/>
        <item x="4218"/>
        <item x="4220"/>
        <item x="4221"/>
        <item x="4222"/>
        <item x="4223"/>
        <item x="4224"/>
        <item x="4225"/>
        <item x="4226"/>
        <item x="4227"/>
        <item x="4228"/>
        <item x="4229"/>
        <item x="4230"/>
        <item x="4231"/>
        <item x="4232"/>
        <item x="4233"/>
        <item x="4234"/>
        <item x="4236"/>
        <item x="4237"/>
        <item x="4238"/>
        <item x="4239"/>
        <item x="4240"/>
        <item x="4241"/>
        <item x="4242"/>
        <item x="4243"/>
        <item x="4244"/>
        <item x="4245"/>
        <item x="4246"/>
        <item x="4247"/>
        <item x="4248"/>
        <item x="4249"/>
        <item x="4003"/>
        <item x="4004"/>
        <item x="4005"/>
        <item x="4006"/>
        <item x="4007"/>
        <item x="4008"/>
        <item x="4009"/>
        <item x="4010"/>
        <item x="4011"/>
        <item x="4012"/>
        <item x="4013"/>
        <item x="4014"/>
        <item x="4015"/>
        <item x="4016"/>
        <item x="4017"/>
        <item x="4019"/>
        <item x="4020"/>
        <item x="4021"/>
        <item x="4022"/>
        <item x="4023"/>
        <item x="4024"/>
        <item x="4025"/>
        <item x="4026"/>
        <item x="4027"/>
        <item x="4028"/>
        <item x="4029"/>
        <item x="4030"/>
        <item x="4031"/>
        <item x="4032"/>
        <item x="4033"/>
        <item x="4035"/>
        <item x="4036"/>
        <item x="4037"/>
        <item x="4038"/>
        <item x="4039"/>
        <item x="4040"/>
        <item x="4041"/>
        <item x="4042"/>
        <item x="4043"/>
        <item x="4044"/>
        <item x="4045"/>
        <item x="4046"/>
        <item x="4047"/>
        <item x="4048"/>
        <item x="4050"/>
        <item x="4051"/>
        <item x="4052"/>
        <item x="4053"/>
        <item x="4054"/>
        <item x="4055"/>
        <item x="4056"/>
        <item x="4057"/>
        <item x="4058"/>
        <item x="4059"/>
        <item x="4060"/>
        <item x="4061"/>
        <item x="4062"/>
        <item x="4063"/>
        <item x="4064"/>
        <item x="4066"/>
        <item x="4067"/>
        <item x="4068"/>
        <item x="4069"/>
        <item x="4070"/>
        <item x="4071"/>
        <item x="4072"/>
        <item x="4073"/>
        <item x="4074"/>
        <item x="4075"/>
        <item x="4076"/>
        <item x="4077"/>
        <item x="4078"/>
        <item x="4079"/>
        <item x="4081"/>
        <item x="4082"/>
        <item x="4083"/>
        <item x="4084"/>
        <item x="4085"/>
        <item x="4086"/>
        <item x="4087"/>
        <item x="4088"/>
        <item x="4089"/>
        <item x="4090"/>
        <item x="4091"/>
        <item x="4092"/>
        <item x="4093"/>
        <item x="4094"/>
        <item x="4095"/>
        <item x="4097"/>
        <item x="4098"/>
        <item x="4099"/>
        <item x="4100"/>
        <item x="4101"/>
        <item x="4102"/>
        <item x="4103"/>
        <item x="4104"/>
        <item x="4105"/>
        <item x="4106"/>
        <item x="4107"/>
        <item x="4108"/>
        <item x="4109"/>
        <item x="4110"/>
        <item x="4111"/>
        <item x="4113"/>
        <item x="4114"/>
        <item x="4115"/>
        <item x="4116"/>
        <item x="4117"/>
        <item x="4118"/>
        <item x="4119"/>
        <item x="4120"/>
        <item x="4121"/>
        <item x="4122"/>
        <item x="4123"/>
        <item x="4124"/>
        <item x="4125"/>
        <item x="4126"/>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413"/>
        <item x="4414"/>
        <item x="4415"/>
        <item x="4416"/>
        <item x="4417"/>
        <item x="4418"/>
        <item x="4419"/>
        <item x="4420"/>
        <item x="4421"/>
        <item x="4422"/>
        <item x="4423"/>
        <item x="4424"/>
        <item x="4425"/>
        <item x="464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647"/>
        <item x="4648"/>
        <item x="4649"/>
        <item x="4650"/>
        <item x="4651"/>
        <item x="4652"/>
        <item x="4653"/>
        <item x="4654"/>
        <item x="4655"/>
        <item x="4656"/>
        <item x="4657"/>
        <item x="4658"/>
        <item x="4659"/>
        <item x="487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908"/>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5127"/>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5114"/>
        <item x="5115"/>
        <item x="5116"/>
        <item x="5117"/>
        <item x="5118"/>
        <item x="5119"/>
        <item x="5120"/>
        <item x="5121"/>
        <item x="5122"/>
        <item x="5123"/>
        <item x="5124"/>
        <item x="5125"/>
        <item x="5126"/>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375"/>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594"/>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580"/>
        <item x="5581"/>
        <item x="5582"/>
        <item x="5583"/>
        <item x="5584"/>
        <item x="5585"/>
        <item x="5586"/>
        <item x="5587"/>
        <item x="5588"/>
        <item x="5589"/>
        <item x="5590"/>
        <item x="5591"/>
        <item x="5592"/>
        <item x="5593"/>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841"/>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6059"/>
        <item x="5842"/>
        <item x="5843"/>
        <item x="5844"/>
        <item x="5845"/>
        <item x="5846"/>
        <item x="5847"/>
        <item x="5848"/>
        <item x="5849"/>
        <item x="5850"/>
        <item x="5851"/>
        <item x="5852"/>
        <item x="5853"/>
        <item x="5854"/>
        <item x="5855"/>
        <item x="6074"/>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6045"/>
        <item x="6046"/>
        <item x="6047"/>
        <item x="6048"/>
        <item x="6049"/>
        <item x="6050"/>
        <item x="6051"/>
        <item x="6052"/>
        <item x="6053"/>
        <item x="6054"/>
        <item x="6055"/>
        <item x="6056"/>
        <item x="6057"/>
        <item x="6058"/>
        <item x="6060"/>
        <item x="6061"/>
        <item x="6062"/>
        <item x="6063"/>
        <item x="6064"/>
        <item x="6065"/>
        <item x="6066"/>
        <item x="6067"/>
        <item x="6068"/>
        <item x="6069"/>
        <item x="6070"/>
        <item x="6071"/>
        <item x="6072"/>
        <item x="6073"/>
        <item x="6295"/>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281"/>
        <item x="6282"/>
        <item x="6283"/>
        <item x="6284"/>
        <item x="6285"/>
        <item x="6286"/>
        <item x="6287"/>
        <item x="6288"/>
        <item x="6289"/>
        <item x="6290"/>
        <item x="6291"/>
        <item x="6292"/>
        <item x="6293"/>
        <item x="6294"/>
        <item x="6296"/>
        <item x="6297"/>
        <item x="6298"/>
        <item x="6299"/>
        <item x="6300"/>
        <item x="6301"/>
        <item x="6302"/>
        <item x="6303"/>
        <item x="6304"/>
        <item x="6305"/>
        <item x="6306"/>
        <item x="6307"/>
        <item x="6308"/>
        <item x="6309"/>
        <item x="6528"/>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515"/>
        <item x="6516"/>
        <item x="6517"/>
        <item x="6518"/>
        <item x="6519"/>
        <item x="6520"/>
        <item x="6521"/>
        <item x="6522"/>
        <item x="6523"/>
        <item x="6524"/>
        <item x="6525"/>
        <item x="6526"/>
        <item x="6527"/>
        <item x="6748"/>
        <item x="6529"/>
        <item x="6530"/>
        <item x="6531"/>
        <item x="6532"/>
        <item x="6533"/>
        <item x="6534"/>
        <item x="6535"/>
        <item x="6536"/>
        <item x="6537"/>
        <item x="6538"/>
        <item x="6539"/>
        <item x="6540"/>
        <item x="6541"/>
        <item x="6542"/>
        <item x="676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749"/>
        <item x="6750"/>
        <item x="6751"/>
        <item x="6752"/>
        <item x="6753"/>
        <item x="6754"/>
        <item x="6755"/>
        <item x="6756"/>
        <item x="6757"/>
        <item x="6758"/>
        <item x="6759"/>
        <item x="6760"/>
        <item x="6761"/>
        <item x="698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983"/>
        <item x="6984"/>
        <item x="6985"/>
        <item x="6986"/>
        <item x="6987"/>
        <item x="6988"/>
        <item x="6989"/>
        <item x="6990"/>
        <item x="6991"/>
        <item x="6992"/>
        <item x="6993"/>
        <item x="6994"/>
        <item x="6995"/>
        <item x="721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244"/>
        <item x="10759"/>
        <item x="10760"/>
        <item x="10761"/>
        <item x="10762"/>
        <item x="10763"/>
        <item x="10764"/>
        <item x="10765"/>
        <item x="10766"/>
        <item x="10767"/>
        <item x="10768"/>
        <item x="10769"/>
        <item x="10770"/>
        <item x="10771"/>
        <item x="10772"/>
        <item x="10552"/>
        <item x="10774"/>
        <item x="10775"/>
        <item x="10776"/>
        <item x="10777"/>
        <item x="10778"/>
        <item x="10779"/>
        <item x="10780"/>
        <item x="10781"/>
        <item x="10782"/>
        <item x="10783"/>
        <item x="10784"/>
        <item x="10785"/>
        <item x="10786"/>
        <item x="10336"/>
        <item x="10553"/>
        <item x="10554"/>
        <item x="10555"/>
        <item x="10556"/>
        <item x="10557"/>
        <item x="10558"/>
        <item x="10559"/>
        <item x="10560"/>
        <item x="10561"/>
        <item x="10562"/>
        <item x="10563"/>
        <item x="10564"/>
        <item x="10565"/>
        <item x="10566"/>
        <item x="10350"/>
        <item x="10568"/>
        <item x="10569"/>
        <item x="10570"/>
        <item x="10571"/>
        <item x="10572"/>
        <item x="10573"/>
        <item x="10574"/>
        <item x="10575"/>
        <item x="10576"/>
        <item x="10577"/>
        <item x="10578"/>
        <item x="10579"/>
        <item x="10580"/>
        <item x="10581"/>
        <item x="10365"/>
        <item x="10583"/>
        <item x="10584"/>
        <item x="10585"/>
        <item x="10586"/>
        <item x="10587"/>
        <item x="10588"/>
        <item x="10589"/>
        <item x="10590"/>
        <item x="10591"/>
        <item x="10592"/>
        <item x="10593"/>
        <item x="10594"/>
        <item x="10595"/>
        <item x="10379"/>
        <item x="10597"/>
        <item x="10598"/>
        <item x="10599"/>
        <item x="10600"/>
        <item x="10601"/>
        <item x="10602"/>
        <item x="10603"/>
        <item x="10604"/>
        <item x="10605"/>
        <item x="10606"/>
        <item x="10607"/>
        <item x="10608"/>
        <item x="10609"/>
        <item x="10610"/>
        <item x="10394"/>
        <item x="10612"/>
        <item x="10613"/>
        <item x="10614"/>
        <item x="10615"/>
        <item x="10616"/>
        <item x="10617"/>
        <item x="10618"/>
        <item x="10619"/>
        <item x="10620"/>
        <item x="10621"/>
        <item x="10622"/>
        <item x="10623"/>
        <item x="10624"/>
        <item x="10408"/>
        <item x="10626"/>
        <item x="10627"/>
        <item x="10628"/>
        <item x="10629"/>
        <item x="10630"/>
        <item x="10631"/>
        <item x="10632"/>
        <item x="10633"/>
        <item x="10634"/>
        <item x="10635"/>
        <item x="10636"/>
        <item x="10637"/>
        <item x="10638"/>
        <item x="10639"/>
        <item x="10423"/>
        <item x="10641"/>
        <item x="10642"/>
        <item x="10643"/>
        <item x="10644"/>
        <item x="10645"/>
        <item x="10646"/>
        <item x="10647"/>
        <item x="10648"/>
        <item x="10649"/>
        <item x="10650"/>
        <item x="10651"/>
        <item x="10652"/>
        <item x="10653"/>
        <item x="10654"/>
        <item x="10656"/>
        <item x="10657"/>
        <item x="10658"/>
        <item x="10659"/>
        <item x="10660"/>
        <item x="10661"/>
        <item x="10662"/>
        <item x="10663"/>
        <item x="10664"/>
        <item x="10665"/>
        <item x="10666"/>
        <item x="10667"/>
        <item x="10668"/>
        <item x="10669"/>
        <item x="10452"/>
        <item x="10670"/>
        <item x="10671"/>
        <item x="10672"/>
        <item x="10673"/>
        <item x="10674"/>
        <item x="10675"/>
        <item x="10676"/>
        <item x="10677"/>
        <item x="10678"/>
        <item x="10679"/>
        <item x="10680"/>
        <item x="10681"/>
        <item x="10682"/>
        <item x="10683"/>
        <item x="10466"/>
        <item x="10685"/>
        <item x="10686"/>
        <item x="10687"/>
        <item x="10688"/>
        <item x="10689"/>
        <item x="10690"/>
        <item x="10691"/>
        <item x="10692"/>
        <item x="10693"/>
        <item x="10694"/>
        <item x="10695"/>
        <item x="10696"/>
        <item x="10697"/>
        <item x="10481"/>
        <item x="10699"/>
        <item x="10700"/>
        <item x="10701"/>
        <item x="10702"/>
        <item x="10703"/>
        <item x="10704"/>
        <item x="10705"/>
        <item x="10706"/>
        <item x="10707"/>
        <item x="10708"/>
        <item x="10709"/>
        <item x="10710"/>
        <item x="10711"/>
        <item x="10712"/>
        <item x="10713"/>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758"/>
        <item x="10978"/>
        <item x="10979"/>
        <item x="10980"/>
        <item x="10981"/>
        <item x="10982"/>
        <item x="10983"/>
        <item x="10984"/>
        <item x="10985"/>
        <item x="10986"/>
        <item x="10987"/>
        <item x="10988"/>
        <item x="10989"/>
        <item x="10990"/>
        <item x="10991"/>
        <item x="10773"/>
        <item x="10993"/>
        <item x="10994"/>
        <item x="10995"/>
        <item x="10996"/>
        <item x="10997"/>
        <item x="10998"/>
        <item x="10999"/>
        <item x="11000"/>
        <item x="11001"/>
        <item x="11002"/>
        <item x="11003"/>
        <item x="11004"/>
        <item x="11005"/>
        <item x="10787"/>
        <item x="11007"/>
        <item x="11008"/>
        <item x="11009"/>
        <item x="11010"/>
        <item x="11011"/>
        <item x="11012"/>
        <item x="11013"/>
        <item x="11014"/>
        <item x="11015"/>
        <item x="11016"/>
        <item x="11017"/>
        <item x="11018"/>
        <item x="11019"/>
        <item x="11020"/>
        <item x="10567"/>
        <item x="10788"/>
        <item x="10789"/>
        <item x="10790"/>
        <item x="10791"/>
        <item x="10792"/>
        <item x="10793"/>
        <item x="10794"/>
        <item x="10795"/>
        <item x="10796"/>
        <item x="10797"/>
        <item x="10798"/>
        <item x="10799"/>
        <item x="10800"/>
        <item x="10582"/>
        <item x="10802"/>
        <item x="10803"/>
        <item x="10804"/>
        <item x="10805"/>
        <item x="10806"/>
        <item x="10807"/>
        <item x="10808"/>
        <item x="10809"/>
        <item x="10810"/>
        <item x="10811"/>
        <item x="10812"/>
        <item x="10813"/>
        <item x="10814"/>
        <item x="10815"/>
        <item x="10596"/>
        <item x="10817"/>
        <item x="10818"/>
        <item x="10819"/>
        <item x="10820"/>
        <item x="10821"/>
        <item x="10822"/>
        <item x="10823"/>
        <item x="10824"/>
        <item x="10825"/>
        <item x="10826"/>
        <item x="10827"/>
        <item x="10828"/>
        <item x="10829"/>
        <item x="10830"/>
        <item x="10611"/>
        <item x="10832"/>
        <item x="10833"/>
        <item x="10834"/>
        <item x="10835"/>
        <item x="10836"/>
        <item x="10837"/>
        <item x="10838"/>
        <item x="10839"/>
        <item x="10840"/>
        <item x="10841"/>
        <item x="10842"/>
        <item x="10843"/>
        <item x="10844"/>
        <item x="10845"/>
        <item x="10625"/>
        <item x="10847"/>
        <item x="10848"/>
        <item x="10849"/>
        <item x="10850"/>
        <item x="10851"/>
        <item x="10852"/>
        <item x="10853"/>
        <item x="10854"/>
        <item x="10855"/>
        <item x="10856"/>
        <item x="10857"/>
        <item x="10858"/>
        <item x="10859"/>
        <item x="10640"/>
        <item x="10861"/>
        <item x="10862"/>
        <item x="10863"/>
        <item x="10864"/>
        <item x="10865"/>
        <item x="10866"/>
        <item x="10867"/>
        <item x="10868"/>
        <item x="10869"/>
        <item x="10870"/>
        <item x="10871"/>
        <item x="10872"/>
        <item x="10873"/>
        <item x="10874"/>
        <item x="10655"/>
        <item x="10876"/>
        <item x="10877"/>
        <item x="10878"/>
        <item x="10879"/>
        <item x="10880"/>
        <item x="10881"/>
        <item x="10882"/>
        <item x="10883"/>
        <item x="10884"/>
        <item x="10885"/>
        <item x="10886"/>
        <item x="10887"/>
        <item x="10888"/>
        <item x="10889"/>
        <item x="10891"/>
        <item x="10892"/>
        <item x="10893"/>
        <item x="10894"/>
        <item x="10895"/>
        <item x="10896"/>
        <item x="10897"/>
        <item x="10898"/>
        <item x="10899"/>
        <item x="10900"/>
        <item x="10901"/>
        <item x="10902"/>
        <item x="10903"/>
        <item x="10904"/>
        <item x="10684"/>
        <item x="10905"/>
        <item x="10906"/>
        <item x="10907"/>
        <item x="10908"/>
        <item x="10909"/>
        <item x="10910"/>
        <item x="10911"/>
        <item x="10912"/>
        <item x="10913"/>
        <item x="10914"/>
        <item x="10915"/>
        <item x="10916"/>
        <item x="10917"/>
        <item x="10918"/>
        <item x="10698"/>
        <item x="10920"/>
        <item x="10921"/>
        <item x="10922"/>
        <item x="10923"/>
        <item x="10924"/>
        <item x="10925"/>
        <item x="10926"/>
        <item x="10927"/>
        <item x="10928"/>
        <item x="10929"/>
        <item x="10930"/>
        <item x="10931"/>
        <item x="10932"/>
        <item x="10714"/>
        <item x="10934"/>
        <item x="10935"/>
        <item x="10936"/>
        <item x="10937"/>
        <item x="10938"/>
        <item x="10939"/>
        <item x="10940"/>
        <item x="10941"/>
        <item x="10942"/>
        <item x="10943"/>
        <item x="10944"/>
        <item x="10945"/>
        <item x="10946"/>
        <item x="10947"/>
        <item x="10948"/>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0992"/>
        <item x="11210"/>
        <item x="11211"/>
        <item x="11212"/>
        <item x="11213"/>
        <item x="11214"/>
        <item x="11215"/>
        <item x="11216"/>
        <item x="11217"/>
        <item x="11218"/>
        <item x="11219"/>
        <item x="11220"/>
        <item x="11221"/>
        <item x="11222"/>
        <item x="11223"/>
        <item x="11006"/>
        <item x="11225"/>
        <item x="11226"/>
        <item x="11227"/>
        <item x="11228"/>
        <item x="11229"/>
        <item x="11230"/>
        <item x="11231"/>
        <item x="11232"/>
        <item x="11233"/>
        <item x="11234"/>
        <item x="11235"/>
        <item x="11236"/>
        <item x="11237"/>
        <item x="11021"/>
        <item x="11238"/>
        <item x="11239"/>
        <item x="11240"/>
        <item x="11241"/>
        <item x="11242"/>
        <item x="11243"/>
        <item x="11244"/>
        <item x="11245"/>
        <item x="11246"/>
        <item x="11247"/>
        <item x="11248"/>
        <item x="11249"/>
        <item x="11250"/>
        <item x="11251"/>
        <item x="10801"/>
        <item x="11022"/>
        <item x="11023"/>
        <item x="11024"/>
        <item x="11025"/>
        <item x="11026"/>
        <item x="11027"/>
        <item x="11028"/>
        <item x="11029"/>
        <item x="11030"/>
        <item x="11031"/>
        <item x="11032"/>
        <item x="11033"/>
        <item x="11034"/>
        <item x="11035"/>
        <item x="10816"/>
        <item x="11036"/>
        <item x="11037"/>
        <item x="11038"/>
        <item x="11039"/>
        <item x="11040"/>
        <item x="11041"/>
        <item x="11042"/>
        <item x="11043"/>
        <item x="11044"/>
        <item x="11045"/>
        <item x="11046"/>
        <item x="11047"/>
        <item x="11048"/>
        <item x="10831"/>
        <item x="11049"/>
        <item x="11050"/>
        <item x="11051"/>
        <item x="11052"/>
        <item x="11053"/>
        <item x="11054"/>
        <item x="11055"/>
        <item x="11056"/>
        <item x="11057"/>
        <item x="11058"/>
        <item x="11059"/>
        <item x="11060"/>
        <item x="11061"/>
        <item x="11062"/>
        <item x="10846"/>
        <item x="11064"/>
        <item x="11065"/>
        <item x="11066"/>
        <item x="11067"/>
        <item x="11068"/>
        <item x="11069"/>
        <item x="11070"/>
        <item x="11071"/>
        <item x="11072"/>
        <item x="11073"/>
        <item x="11074"/>
        <item x="11075"/>
        <item x="11076"/>
        <item x="10860"/>
        <item x="11078"/>
        <item x="11079"/>
        <item x="11080"/>
        <item x="11081"/>
        <item x="11082"/>
        <item x="11083"/>
        <item x="11084"/>
        <item x="11085"/>
        <item x="11086"/>
        <item x="11087"/>
        <item x="11088"/>
        <item x="11089"/>
        <item x="11090"/>
        <item x="11091"/>
        <item x="10875"/>
        <item x="11093"/>
        <item x="11094"/>
        <item x="11095"/>
        <item x="11096"/>
        <item x="11097"/>
        <item x="11098"/>
        <item x="11099"/>
        <item x="11100"/>
        <item x="11101"/>
        <item x="11102"/>
        <item x="11103"/>
        <item x="11104"/>
        <item x="11105"/>
        <item x="10890"/>
        <item x="11107"/>
        <item x="11108"/>
        <item x="11109"/>
        <item x="11110"/>
        <item x="11111"/>
        <item x="11112"/>
        <item x="11113"/>
        <item x="11114"/>
        <item x="11115"/>
        <item x="11116"/>
        <item x="11117"/>
        <item x="11118"/>
        <item x="11119"/>
        <item x="11120"/>
        <item x="11121"/>
        <item x="11123"/>
        <item x="11124"/>
        <item x="11125"/>
        <item x="11126"/>
        <item x="11127"/>
        <item x="11128"/>
        <item x="11129"/>
        <item x="11130"/>
        <item x="11131"/>
        <item x="11132"/>
        <item x="11133"/>
        <item x="11134"/>
        <item x="11135"/>
        <item x="11136"/>
        <item x="10919"/>
        <item x="11137"/>
        <item x="11138"/>
        <item x="11139"/>
        <item x="11140"/>
        <item x="11141"/>
        <item x="11142"/>
        <item x="11143"/>
        <item x="11144"/>
        <item x="11145"/>
        <item x="11146"/>
        <item x="11147"/>
        <item x="11148"/>
        <item x="11149"/>
        <item x="10933"/>
        <item x="11151"/>
        <item x="11152"/>
        <item x="11153"/>
        <item x="11154"/>
        <item x="11155"/>
        <item x="11156"/>
        <item x="11157"/>
        <item x="11158"/>
        <item x="11159"/>
        <item x="11160"/>
        <item x="11161"/>
        <item x="11162"/>
        <item x="11163"/>
        <item x="11164"/>
        <item x="10949"/>
        <item x="11166"/>
        <item x="11167"/>
        <item x="11168"/>
        <item x="11169"/>
        <item x="11170"/>
        <item x="11171"/>
        <item x="11172"/>
        <item x="11173"/>
        <item x="11174"/>
        <item x="11175"/>
        <item x="11176"/>
        <item x="11177"/>
        <item x="11178"/>
        <item x="11179"/>
        <item x="11180"/>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224"/>
        <item x="11403"/>
        <item x="11404"/>
        <item x="11405"/>
        <item x="11406"/>
        <item x="11407"/>
        <item x="11408"/>
        <item x="11409"/>
        <item x="11410"/>
        <item x="11411"/>
        <item x="11412"/>
        <item x="11413"/>
        <item x="11414"/>
        <item x="11415"/>
        <item x="11416"/>
        <item x="11063"/>
        <item x="11252"/>
        <item x="11253"/>
        <item x="11254"/>
        <item x="11255"/>
        <item x="11256"/>
        <item x="11257"/>
        <item x="11258"/>
        <item x="11259"/>
        <item x="11260"/>
        <item x="11261"/>
        <item x="11262"/>
        <item x="11263"/>
        <item x="11264"/>
        <item x="11077"/>
        <item x="11265"/>
        <item x="11266"/>
        <item x="11267"/>
        <item x="11268"/>
        <item x="11269"/>
        <item x="11270"/>
        <item x="11271"/>
        <item x="11272"/>
        <item x="11273"/>
        <item x="11274"/>
        <item x="11275"/>
        <item x="11276"/>
        <item x="11277"/>
        <item x="11278"/>
        <item x="11092"/>
        <item x="11279"/>
        <item x="11280"/>
        <item x="11281"/>
        <item x="11282"/>
        <item x="11283"/>
        <item x="11284"/>
        <item x="11285"/>
        <item x="11286"/>
        <item x="11287"/>
        <item x="11288"/>
        <item x="11289"/>
        <item x="11290"/>
        <item x="11291"/>
        <item x="11106"/>
        <item x="11292"/>
        <item x="11293"/>
        <item x="11294"/>
        <item x="11295"/>
        <item x="11296"/>
        <item x="11297"/>
        <item x="11298"/>
        <item x="11299"/>
        <item x="11300"/>
        <item x="11301"/>
        <item x="11302"/>
        <item x="11303"/>
        <item x="11304"/>
        <item x="11305"/>
        <item x="11122"/>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150"/>
        <item x="11334"/>
        <item x="11335"/>
        <item x="11336"/>
        <item x="11337"/>
        <item x="11338"/>
        <item x="11339"/>
        <item x="11340"/>
        <item x="11341"/>
        <item x="11342"/>
        <item x="11343"/>
        <item x="11344"/>
        <item x="11345"/>
        <item x="11346"/>
        <item x="11347"/>
        <item x="11165"/>
        <item x="11348"/>
        <item x="11349"/>
        <item x="11350"/>
        <item x="11351"/>
        <item x="11352"/>
        <item x="11353"/>
        <item x="11354"/>
        <item x="11355"/>
        <item x="11356"/>
        <item x="11357"/>
        <item x="11358"/>
        <item x="11359"/>
        <item x="11360"/>
        <item x="11181"/>
        <item x="11361"/>
        <item x="11362"/>
        <item x="11363"/>
        <item x="11364"/>
        <item x="11365"/>
        <item x="11366"/>
        <item x="11367"/>
        <item x="11368"/>
        <item x="11369"/>
        <item x="11370"/>
        <item x="11371"/>
        <item x="11372"/>
        <item x="11373"/>
        <item x="11374"/>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6"/>
        <item x="7977"/>
        <item x="7978"/>
        <item x="7979"/>
        <item x="7980"/>
        <item x="7981"/>
        <item x="7982"/>
        <item x="7983"/>
        <item x="7984"/>
        <item x="7985"/>
        <item x="7986"/>
        <item x="7987"/>
        <item x="7988"/>
        <item x="7989"/>
        <item x="7741"/>
        <item x="7742"/>
        <item x="7743"/>
        <item x="7744"/>
        <item x="7745"/>
        <item x="7746"/>
        <item x="7747"/>
        <item x="7748"/>
        <item x="7749"/>
        <item x="7750"/>
        <item x="7751"/>
        <item x="7752"/>
        <item x="7753"/>
        <item x="7754"/>
        <item x="7755"/>
        <item x="7757"/>
        <item x="7758"/>
        <item x="7759"/>
        <item x="7760"/>
        <item x="7761"/>
        <item x="7762"/>
        <item x="7763"/>
        <item x="7764"/>
        <item x="7765"/>
        <item x="7766"/>
        <item x="7767"/>
        <item x="7768"/>
        <item x="7769"/>
        <item x="7770"/>
        <item x="7771"/>
        <item x="7774"/>
        <item x="7775"/>
        <item x="7776"/>
        <item x="7777"/>
        <item x="7778"/>
        <item x="7779"/>
        <item x="7780"/>
        <item x="7781"/>
        <item x="7782"/>
        <item x="7783"/>
        <item x="7784"/>
        <item x="7785"/>
        <item x="7786"/>
        <item x="7787"/>
        <item x="7788"/>
        <item x="7790"/>
        <item x="7791"/>
        <item x="7792"/>
        <item x="7793"/>
        <item x="7794"/>
        <item x="7795"/>
        <item x="7796"/>
        <item x="7797"/>
        <item x="7798"/>
        <item x="7799"/>
        <item x="7800"/>
        <item x="7801"/>
        <item x="7802"/>
        <item x="7803"/>
        <item x="7805"/>
        <item x="7806"/>
        <item x="7807"/>
        <item x="7808"/>
        <item x="7809"/>
        <item x="7810"/>
        <item x="7811"/>
        <item x="7812"/>
        <item x="7813"/>
        <item x="7814"/>
        <item x="7815"/>
        <item x="7816"/>
        <item x="7817"/>
        <item x="7818"/>
        <item x="7819"/>
        <item x="7821"/>
        <item x="7822"/>
        <item x="7823"/>
        <item x="7824"/>
        <item x="7825"/>
        <item x="7826"/>
        <item x="7827"/>
        <item x="7828"/>
        <item x="7829"/>
        <item x="7830"/>
        <item x="7831"/>
        <item x="7832"/>
        <item x="7833"/>
        <item x="7834"/>
        <item x="7835"/>
        <item x="7837"/>
        <item x="7838"/>
        <item x="7839"/>
        <item x="7840"/>
        <item x="7841"/>
        <item x="7842"/>
        <item x="7843"/>
        <item x="7844"/>
        <item x="7845"/>
        <item x="7846"/>
        <item x="7847"/>
        <item x="7848"/>
        <item x="7849"/>
        <item x="7850"/>
        <item x="7852"/>
        <item x="7853"/>
        <item x="7854"/>
        <item x="7855"/>
        <item x="7856"/>
        <item x="7857"/>
        <item x="7858"/>
        <item x="7859"/>
        <item x="7860"/>
        <item x="7861"/>
        <item x="7862"/>
        <item x="7863"/>
        <item x="7864"/>
        <item x="7865"/>
        <item x="7866"/>
        <item x="7868"/>
        <item x="7869"/>
        <item x="7870"/>
        <item x="7871"/>
        <item x="7872"/>
        <item x="7873"/>
        <item x="7874"/>
        <item x="7875"/>
        <item x="7876"/>
        <item x="7877"/>
        <item x="7878"/>
        <item x="7879"/>
        <item x="7880"/>
        <item x="7881"/>
        <item x="7883"/>
        <item x="7884"/>
        <item x="7885"/>
        <item x="7886"/>
        <item x="7887"/>
        <item x="7888"/>
        <item x="7889"/>
        <item x="7890"/>
        <item x="7891"/>
        <item x="7892"/>
        <item x="7893"/>
        <item x="7894"/>
        <item x="7895"/>
        <item x="7896"/>
        <item x="7897"/>
        <item x="7899"/>
        <item x="7900"/>
        <item x="7901"/>
        <item x="7902"/>
        <item x="7903"/>
        <item x="7904"/>
        <item x="7905"/>
        <item x="7906"/>
        <item x="7907"/>
        <item x="7908"/>
        <item x="7909"/>
        <item x="7910"/>
        <item x="7911"/>
        <item x="7912"/>
        <item x="7913"/>
        <item x="7915"/>
        <item x="7916"/>
        <item x="7917"/>
        <item x="7918"/>
        <item x="7919"/>
        <item x="7920"/>
        <item x="7921"/>
        <item x="7922"/>
        <item x="7923"/>
        <item x="7924"/>
        <item x="7925"/>
        <item x="7926"/>
        <item x="7927"/>
        <item x="7928"/>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7975"/>
        <item x="8194"/>
        <item x="8195"/>
        <item x="8196"/>
        <item x="8197"/>
        <item x="8198"/>
        <item x="8199"/>
        <item x="8200"/>
        <item x="8201"/>
        <item x="8202"/>
        <item x="8203"/>
        <item x="8204"/>
        <item x="8205"/>
        <item x="8206"/>
        <item x="8207"/>
        <item x="7990"/>
        <item x="8209"/>
        <item x="8210"/>
        <item x="8211"/>
        <item x="8212"/>
        <item x="8213"/>
        <item x="8214"/>
        <item x="8215"/>
        <item x="8216"/>
        <item x="8217"/>
        <item x="8218"/>
        <item x="8219"/>
        <item x="8220"/>
        <item x="8221"/>
        <item x="8222"/>
        <item x="7756"/>
        <item x="7991"/>
        <item x="7992"/>
        <item x="7993"/>
        <item x="7994"/>
        <item x="7995"/>
        <item x="7996"/>
        <item x="7997"/>
        <item x="7998"/>
        <item x="7999"/>
        <item x="8000"/>
        <item x="8001"/>
        <item x="8002"/>
        <item x="8003"/>
        <item x="7772"/>
        <item x="7773"/>
        <item x="8005"/>
        <item x="8006"/>
        <item x="8007"/>
        <item x="8008"/>
        <item x="8009"/>
        <item x="8010"/>
        <item x="8011"/>
        <item x="8012"/>
        <item x="8013"/>
        <item x="8014"/>
        <item x="8015"/>
        <item x="8016"/>
        <item x="8017"/>
        <item x="7789"/>
        <item x="8019"/>
        <item x="8020"/>
        <item x="8021"/>
        <item x="8022"/>
        <item x="8023"/>
        <item x="8024"/>
        <item x="8025"/>
        <item x="8026"/>
        <item x="8027"/>
        <item x="8028"/>
        <item x="8029"/>
        <item x="8030"/>
        <item x="8031"/>
        <item x="8032"/>
        <item x="7804"/>
        <item x="8034"/>
        <item x="8035"/>
        <item x="8036"/>
        <item x="8037"/>
        <item x="8038"/>
        <item x="8039"/>
        <item x="8040"/>
        <item x="8041"/>
        <item x="8042"/>
        <item x="8043"/>
        <item x="8044"/>
        <item x="8045"/>
        <item x="8046"/>
        <item x="7820"/>
        <item x="8048"/>
        <item x="8049"/>
        <item x="8050"/>
        <item x="8051"/>
        <item x="8052"/>
        <item x="8053"/>
        <item x="8054"/>
        <item x="8055"/>
        <item x="8056"/>
        <item x="8057"/>
        <item x="8058"/>
        <item x="8059"/>
        <item x="8060"/>
        <item x="8061"/>
        <item x="7836"/>
        <item x="8063"/>
        <item x="8064"/>
        <item x="8065"/>
        <item x="8066"/>
        <item x="8067"/>
        <item x="8068"/>
        <item x="8069"/>
        <item x="8070"/>
        <item x="8071"/>
        <item x="8072"/>
        <item x="8073"/>
        <item x="8074"/>
        <item x="8075"/>
        <item x="8076"/>
        <item x="7851"/>
        <item x="8078"/>
        <item x="8079"/>
        <item x="8080"/>
        <item x="8081"/>
        <item x="8082"/>
        <item x="8083"/>
        <item x="8084"/>
        <item x="8085"/>
        <item x="8086"/>
        <item x="8087"/>
        <item x="8088"/>
        <item x="8089"/>
        <item x="8090"/>
        <item x="7867"/>
        <item x="8092"/>
        <item x="8093"/>
        <item x="8094"/>
        <item x="8095"/>
        <item x="8096"/>
        <item x="8097"/>
        <item x="8098"/>
        <item x="8099"/>
        <item x="8100"/>
        <item x="8101"/>
        <item x="8102"/>
        <item x="8103"/>
        <item x="8104"/>
        <item x="8105"/>
        <item x="7882"/>
        <item x="8107"/>
        <item x="8108"/>
        <item x="8109"/>
        <item x="8110"/>
        <item x="8111"/>
        <item x="8112"/>
        <item x="8113"/>
        <item x="8114"/>
        <item x="8115"/>
        <item x="8116"/>
        <item x="8117"/>
        <item x="8118"/>
        <item x="8119"/>
        <item x="8120"/>
        <item x="7898"/>
        <item x="8122"/>
        <item x="8123"/>
        <item x="8124"/>
        <item x="8125"/>
        <item x="8126"/>
        <item x="8127"/>
        <item x="8128"/>
        <item x="8129"/>
        <item x="8130"/>
        <item x="8131"/>
        <item x="8132"/>
        <item x="8133"/>
        <item x="8134"/>
        <item x="7914"/>
        <item x="8136"/>
        <item x="8137"/>
        <item x="8138"/>
        <item x="8139"/>
        <item x="8140"/>
        <item x="8141"/>
        <item x="8142"/>
        <item x="8143"/>
        <item x="8144"/>
        <item x="8145"/>
        <item x="8146"/>
        <item x="8147"/>
        <item x="8148"/>
        <item x="8149"/>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208"/>
        <item x="8430"/>
        <item x="8431"/>
        <item x="8432"/>
        <item x="8433"/>
        <item x="8434"/>
        <item x="8435"/>
        <item x="8436"/>
        <item x="8437"/>
        <item x="8438"/>
        <item x="8439"/>
        <item x="8440"/>
        <item x="8441"/>
        <item x="8442"/>
        <item x="8223"/>
        <item x="8444"/>
        <item x="8445"/>
        <item x="8446"/>
        <item x="8447"/>
        <item x="8448"/>
        <item x="8449"/>
        <item x="8450"/>
        <item x="8451"/>
        <item x="8452"/>
        <item x="8453"/>
        <item x="8454"/>
        <item x="8455"/>
        <item x="8456"/>
        <item x="8457"/>
        <item x="8004"/>
        <item x="8224"/>
        <item x="8225"/>
        <item x="8226"/>
        <item x="8227"/>
        <item x="8228"/>
        <item x="8229"/>
        <item x="8230"/>
        <item x="8231"/>
        <item x="8232"/>
        <item x="8233"/>
        <item x="8234"/>
        <item x="8235"/>
        <item x="8236"/>
        <item x="8237"/>
        <item x="8018"/>
        <item x="8239"/>
        <item x="8240"/>
        <item x="8241"/>
        <item x="8242"/>
        <item x="8243"/>
        <item x="8244"/>
        <item x="8245"/>
        <item x="8246"/>
        <item x="8247"/>
        <item x="8248"/>
        <item x="8249"/>
        <item x="8250"/>
        <item x="8251"/>
        <item x="8033"/>
        <item x="8253"/>
        <item x="8254"/>
        <item x="8255"/>
        <item x="8256"/>
        <item x="8257"/>
        <item x="8258"/>
        <item x="8259"/>
        <item x="8260"/>
        <item x="8261"/>
        <item x="8262"/>
        <item x="8263"/>
        <item x="8264"/>
        <item x="8265"/>
        <item x="8266"/>
        <item x="8047"/>
        <item x="8268"/>
        <item x="8269"/>
        <item x="8270"/>
        <item x="8271"/>
        <item x="8272"/>
        <item x="8273"/>
        <item x="8274"/>
        <item x="8275"/>
        <item x="8276"/>
        <item x="8277"/>
        <item x="8278"/>
        <item x="8279"/>
        <item x="8280"/>
        <item x="8062"/>
        <item x="8282"/>
        <item x="8283"/>
        <item x="8284"/>
        <item x="8285"/>
        <item x="8286"/>
        <item x="8287"/>
        <item x="8288"/>
        <item x="8289"/>
        <item x="8290"/>
        <item x="8291"/>
        <item x="8292"/>
        <item x="8293"/>
        <item x="8294"/>
        <item x="8295"/>
        <item x="8077"/>
        <item x="8297"/>
        <item x="8298"/>
        <item x="8299"/>
        <item x="8300"/>
        <item x="8301"/>
        <item x="8302"/>
        <item x="8303"/>
        <item x="8304"/>
        <item x="8305"/>
        <item x="8306"/>
        <item x="8307"/>
        <item x="8308"/>
        <item x="8309"/>
        <item x="8310"/>
        <item x="8091"/>
        <item x="8312"/>
        <item x="8313"/>
        <item x="8314"/>
        <item x="8315"/>
        <item x="8316"/>
        <item x="8317"/>
        <item x="8318"/>
        <item x="8319"/>
        <item x="8320"/>
        <item x="8321"/>
        <item x="8322"/>
        <item x="8323"/>
        <item x="8324"/>
        <item x="8106"/>
        <item x="8326"/>
        <item x="8327"/>
        <item x="8328"/>
        <item x="8329"/>
        <item x="8330"/>
        <item x="8331"/>
        <item x="8332"/>
        <item x="8333"/>
        <item x="8334"/>
        <item x="8335"/>
        <item x="8336"/>
        <item x="8337"/>
        <item x="8338"/>
        <item x="8339"/>
        <item x="8121"/>
        <item x="8341"/>
        <item x="8342"/>
        <item x="8343"/>
        <item x="8344"/>
        <item x="8345"/>
        <item x="8346"/>
        <item x="8347"/>
        <item x="8348"/>
        <item x="8349"/>
        <item x="8350"/>
        <item x="8351"/>
        <item x="8352"/>
        <item x="8353"/>
        <item x="8354"/>
        <item x="8135"/>
        <item x="8356"/>
        <item x="8357"/>
        <item x="8358"/>
        <item x="8359"/>
        <item x="8360"/>
        <item x="8361"/>
        <item x="8362"/>
        <item x="8363"/>
        <item x="8364"/>
        <item x="8365"/>
        <item x="8366"/>
        <item x="8367"/>
        <item x="8368"/>
        <item x="8369"/>
        <item x="8150"/>
        <item x="8371"/>
        <item x="8372"/>
        <item x="8373"/>
        <item x="8374"/>
        <item x="8375"/>
        <item x="8376"/>
        <item x="8377"/>
        <item x="8378"/>
        <item x="8379"/>
        <item x="8380"/>
        <item x="8381"/>
        <item x="8382"/>
        <item x="8383"/>
        <item x="8384"/>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443"/>
        <item x="8665"/>
        <item x="8666"/>
        <item x="8667"/>
        <item x="8668"/>
        <item x="8669"/>
        <item x="8670"/>
        <item x="8671"/>
        <item x="8672"/>
        <item x="8673"/>
        <item x="8674"/>
        <item x="8675"/>
        <item x="8676"/>
        <item x="8677"/>
        <item x="8678"/>
        <item x="8458"/>
        <item x="8680"/>
        <item x="8681"/>
        <item x="8682"/>
        <item x="8683"/>
        <item x="8684"/>
        <item x="8685"/>
        <item x="8686"/>
        <item x="8687"/>
        <item x="8688"/>
        <item x="8689"/>
        <item x="8690"/>
        <item x="8691"/>
        <item x="8692"/>
        <item x="8238"/>
        <item x="8459"/>
        <item x="8460"/>
        <item x="8461"/>
        <item x="8462"/>
        <item x="8463"/>
        <item x="8464"/>
        <item x="8465"/>
        <item x="8466"/>
        <item x="8467"/>
        <item x="8468"/>
        <item x="8469"/>
        <item x="8470"/>
        <item x="8471"/>
        <item x="8472"/>
        <item x="8252"/>
        <item x="8474"/>
        <item x="8475"/>
        <item x="8476"/>
        <item x="8477"/>
        <item x="8478"/>
        <item x="8479"/>
        <item x="8480"/>
        <item x="8481"/>
        <item x="8482"/>
        <item x="8483"/>
        <item x="8484"/>
        <item x="8485"/>
        <item x="8486"/>
        <item x="8487"/>
        <item x="8267"/>
        <item x="8489"/>
        <item x="8490"/>
        <item x="8491"/>
        <item x="8492"/>
        <item x="8493"/>
        <item x="8494"/>
        <item x="8495"/>
        <item x="8496"/>
        <item x="8497"/>
        <item x="8498"/>
        <item x="8499"/>
        <item x="8500"/>
        <item x="8501"/>
        <item x="8281"/>
        <item x="8503"/>
        <item x="8504"/>
        <item x="8505"/>
        <item x="8506"/>
        <item x="8507"/>
        <item x="8508"/>
        <item x="8509"/>
        <item x="8510"/>
        <item x="8511"/>
        <item x="8512"/>
        <item x="8513"/>
        <item x="8514"/>
        <item x="8515"/>
        <item x="8516"/>
        <item x="8296"/>
        <item x="8518"/>
        <item x="8519"/>
        <item x="8520"/>
        <item x="8521"/>
        <item x="8522"/>
        <item x="8523"/>
        <item x="8524"/>
        <item x="8525"/>
        <item x="8526"/>
        <item x="8527"/>
        <item x="8528"/>
        <item x="8529"/>
        <item x="8530"/>
        <item x="8531"/>
        <item x="8311"/>
        <item x="8533"/>
        <item x="8534"/>
        <item x="8535"/>
        <item x="8536"/>
        <item x="8537"/>
        <item x="8538"/>
        <item x="8539"/>
        <item x="8540"/>
        <item x="8541"/>
        <item x="8542"/>
        <item x="8543"/>
        <item x="8544"/>
        <item x="8545"/>
        <item x="8325"/>
        <item x="8547"/>
        <item x="8548"/>
        <item x="8549"/>
        <item x="8550"/>
        <item x="8551"/>
        <item x="8552"/>
        <item x="8553"/>
        <item x="8554"/>
        <item x="8555"/>
        <item x="8556"/>
        <item x="8557"/>
        <item x="8558"/>
        <item x="8559"/>
        <item x="8560"/>
        <item x="8340"/>
        <item x="8562"/>
        <item x="8563"/>
        <item x="8564"/>
        <item x="8565"/>
        <item x="8566"/>
        <item x="8567"/>
        <item x="8568"/>
        <item x="8569"/>
        <item x="8570"/>
        <item x="8571"/>
        <item x="8572"/>
        <item x="8573"/>
        <item x="8574"/>
        <item x="8355"/>
        <item x="8576"/>
        <item x="8577"/>
        <item x="8578"/>
        <item x="8579"/>
        <item x="8580"/>
        <item x="8581"/>
        <item x="8582"/>
        <item x="8583"/>
        <item x="8584"/>
        <item x="8585"/>
        <item x="8586"/>
        <item x="8587"/>
        <item x="8588"/>
        <item x="8589"/>
        <item x="8370"/>
        <item x="8591"/>
        <item x="8592"/>
        <item x="8593"/>
        <item x="8594"/>
        <item x="8595"/>
        <item x="8596"/>
        <item x="8597"/>
        <item x="8598"/>
        <item x="8599"/>
        <item x="8600"/>
        <item x="8601"/>
        <item x="8602"/>
        <item x="8603"/>
        <item x="8604"/>
        <item x="8385"/>
        <item x="8606"/>
        <item x="8607"/>
        <item x="8608"/>
        <item x="8609"/>
        <item x="8610"/>
        <item x="8611"/>
        <item x="8612"/>
        <item x="8613"/>
        <item x="8614"/>
        <item x="8615"/>
        <item x="8616"/>
        <item x="8617"/>
        <item x="8618"/>
        <item x="8619"/>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664"/>
        <item x="8885"/>
        <item x="8886"/>
        <item x="8887"/>
        <item x="8888"/>
        <item x="8889"/>
        <item x="8890"/>
        <item x="8891"/>
        <item x="8892"/>
        <item x="8893"/>
        <item x="8894"/>
        <item x="8895"/>
        <item x="8896"/>
        <item x="8897"/>
        <item x="8679"/>
        <item x="8899"/>
        <item x="8900"/>
        <item x="8901"/>
        <item x="8902"/>
        <item x="8903"/>
        <item x="8904"/>
        <item x="8905"/>
        <item x="8906"/>
        <item x="8907"/>
        <item x="8908"/>
        <item x="8909"/>
        <item x="8910"/>
        <item x="8911"/>
        <item x="8912"/>
        <item x="8693"/>
        <item x="8914"/>
        <item x="8915"/>
        <item x="8916"/>
        <item x="8917"/>
        <item x="8918"/>
        <item x="8919"/>
        <item x="8920"/>
        <item x="8921"/>
        <item x="8922"/>
        <item x="8923"/>
        <item x="8924"/>
        <item x="8925"/>
        <item x="8926"/>
        <item x="8473"/>
        <item x="8694"/>
        <item x="8695"/>
        <item x="8696"/>
        <item x="8697"/>
        <item x="8698"/>
        <item x="8699"/>
        <item x="8700"/>
        <item x="8701"/>
        <item x="8702"/>
        <item x="8703"/>
        <item x="8704"/>
        <item x="8705"/>
        <item x="8706"/>
        <item x="8707"/>
        <item x="8488"/>
        <item x="8709"/>
        <item x="8710"/>
        <item x="8711"/>
        <item x="8712"/>
        <item x="8713"/>
        <item x="8714"/>
        <item x="8715"/>
        <item x="8716"/>
        <item x="8717"/>
        <item x="8718"/>
        <item x="8719"/>
        <item x="8720"/>
        <item x="8721"/>
        <item x="8722"/>
        <item x="8502"/>
        <item x="8724"/>
        <item x="8725"/>
        <item x="8726"/>
        <item x="8727"/>
        <item x="8728"/>
        <item x="8729"/>
        <item x="8730"/>
        <item x="8731"/>
        <item x="8732"/>
        <item x="8733"/>
        <item x="8734"/>
        <item x="8735"/>
        <item x="8736"/>
        <item x="8517"/>
        <item x="8738"/>
        <item x="8739"/>
        <item x="8740"/>
        <item x="8741"/>
        <item x="8742"/>
        <item x="8743"/>
        <item x="8744"/>
        <item x="8745"/>
        <item x="8746"/>
        <item x="8747"/>
        <item x="8748"/>
        <item x="8749"/>
        <item x="8750"/>
        <item x="8751"/>
        <item x="8532"/>
        <item x="8753"/>
        <item x="8754"/>
        <item x="8755"/>
        <item x="8756"/>
        <item x="8757"/>
        <item x="8758"/>
        <item x="8759"/>
        <item x="8760"/>
        <item x="8761"/>
        <item x="8762"/>
        <item x="8763"/>
        <item x="8764"/>
        <item x="8765"/>
        <item x="8766"/>
        <item x="8546"/>
        <item x="8768"/>
        <item x="8769"/>
        <item x="8770"/>
        <item x="8771"/>
        <item x="8772"/>
        <item x="8773"/>
        <item x="8774"/>
        <item x="8775"/>
        <item x="8776"/>
        <item x="8777"/>
        <item x="8778"/>
        <item x="8779"/>
        <item x="8780"/>
        <item x="8561"/>
        <item x="8782"/>
        <item x="8783"/>
        <item x="8784"/>
        <item x="8785"/>
        <item x="8786"/>
        <item x="8787"/>
        <item x="8788"/>
        <item x="8789"/>
        <item x="8790"/>
        <item x="8791"/>
        <item x="8792"/>
        <item x="8793"/>
        <item x="8794"/>
        <item x="8795"/>
        <item x="8575"/>
        <item x="8797"/>
        <item x="8798"/>
        <item x="8799"/>
        <item x="8800"/>
        <item x="8801"/>
        <item x="8802"/>
        <item x="8803"/>
        <item x="8804"/>
        <item x="8805"/>
        <item x="8806"/>
        <item x="8807"/>
        <item x="8808"/>
        <item x="8809"/>
        <item x="8810"/>
        <item x="8590"/>
        <item x="8812"/>
        <item x="8813"/>
        <item x="8814"/>
        <item x="8815"/>
        <item x="8816"/>
        <item x="8817"/>
        <item x="8818"/>
        <item x="8819"/>
        <item x="8820"/>
        <item x="8821"/>
        <item x="8822"/>
        <item x="8823"/>
        <item x="8824"/>
        <item x="8605"/>
        <item x="8826"/>
        <item x="8827"/>
        <item x="8828"/>
        <item x="8829"/>
        <item x="8830"/>
        <item x="8831"/>
        <item x="8832"/>
        <item x="8833"/>
        <item x="8834"/>
        <item x="8835"/>
        <item x="8836"/>
        <item x="8837"/>
        <item x="8838"/>
        <item x="8839"/>
        <item x="8620"/>
        <item x="8841"/>
        <item x="8842"/>
        <item x="8843"/>
        <item x="8844"/>
        <item x="8845"/>
        <item x="8846"/>
        <item x="8847"/>
        <item x="8848"/>
        <item x="8849"/>
        <item x="8850"/>
        <item x="8851"/>
        <item x="8852"/>
        <item x="8853"/>
        <item x="8854"/>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8898"/>
        <item x="9118"/>
        <item x="9119"/>
        <item x="9120"/>
        <item x="9121"/>
        <item x="9122"/>
        <item x="9123"/>
        <item x="9124"/>
        <item x="9125"/>
        <item x="9126"/>
        <item x="9127"/>
        <item x="9128"/>
        <item x="9129"/>
        <item x="9130"/>
        <item x="9131"/>
        <item x="8913"/>
        <item x="9133"/>
        <item x="9134"/>
        <item x="9135"/>
        <item x="9136"/>
        <item x="9137"/>
        <item x="9138"/>
        <item x="9139"/>
        <item x="9140"/>
        <item x="9141"/>
        <item x="9142"/>
        <item x="9143"/>
        <item x="9144"/>
        <item x="9145"/>
        <item x="8927"/>
        <item x="9147"/>
        <item x="9148"/>
        <item x="9149"/>
        <item x="9150"/>
        <item x="9151"/>
        <item x="9152"/>
        <item x="9153"/>
        <item x="9154"/>
        <item x="9155"/>
        <item x="9156"/>
        <item x="9157"/>
        <item x="9158"/>
        <item x="9159"/>
        <item x="9160"/>
        <item x="8708"/>
        <item x="8928"/>
        <item x="8929"/>
        <item x="8930"/>
        <item x="8931"/>
        <item x="8932"/>
        <item x="8933"/>
        <item x="8934"/>
        <item x="8935"/>
        <item x="8936"/>
        <item x="8937"/>
        <item x="8938"/>
        <item x="8939"/>
        <item x="8940"/>
        <item x="8941"/>
        <item x="8723"/>
        <item x="8943"/>
        <item x="8944"/>
        <item x="8945"/>
        <item x="8946"/>
        <item x="8947"/>
        <item x="8948"/>
        <item x="8949"/>
        <item x="8950"/>
        <item x="8951"/>
        <item x="8952"/>
        <item x="8953"/>
        <item x="8954"/>
        <item x="8955"/>
        <item x="8737"/>
        <item x="8957"/>
        <item x="8958"/>
        <item x="8959"/>
        <item x="8960"/>
        <item x="8961"/>
        <item x="8962"/>
        <item x="8963"/>
        <item x="8964"/>
        <item x="8965"/>
        <item x="8966"/>
        <item x="8967"/>
        <item x="8968"/>
        <item x="8969"/>
        <item x="8970"/>
        <item x="8752"/>
        <item x="8972"/>
        <item x="8973"/>
        <item x="8974"/>
        <item x="8975"/>
        <item x="8976"/>
        <item x="8977"/>
        <item x="8978"/>
        <item x="8979"/>
        <item x="8980"/>
        <item x="8981"/>
        <item x="8982"/>
        <item x="8983"/>
        <item x="8984"/>
        <item x="8767"/>
        <item x="8986"/>
        <item x="8987"/>
        <item x="8988"/>
        <item x="8989"/>
        <item x="8990"/>
        <item x="8991"/>
        <item x="8992"/>
        <item x="8993"/>
        <item x="8994"/>
        <item x="8995"/>
        <item x="8996"/>
        <item x="8997"/>
        <item x="8998"/>
        <item x="8999"/>
        <item x="8781"/>
        <item x="9001"/>
        <item x="9002"/>
        <item x="9003"/>
        <item x="9004"/>
        <item x="9005"/>
        <item x="9006"/>
        <item x="9007"/>
        <item x="9008"/>
        <item x="9009"/>
        <item x="9010"/>
        <item x="9011"/>
        <item x="9012"/>
        <item x="9013"/>
        <item x="9014"/>
        <item x="8796"/>
        <item x="9016"/>
        <item x="9017"/>
        <item x="9018"/>
        <item x="9019"/>
        <item x="9020"/>
        <item x="9021"/>
        <item x="9022"/>
        <item x="9023"/>
        <item x="9024"/>
        <item x="9025"/>
        <item x="9026"/>
        <item x="9027"/>
        <item x="9028"/>
        <item x="9029"/>
        <item x="8811"/>
        <item x="9031"/>
        <item x="9032"/>
        <item x="9033"/>
        <item x="9034"/>
        <item x="9035"/>
        <item x="9036"/>
        <item x="9037"/>
        <item x="9038"/>
        <item x="9039"/>
        <item x="9040"/>
        <item x="9041"/>
        <item x="9042"/>
        <item x="9043"/>
        <item x="8825"/>
        <item x="9044"/>
        <item x="9045"/>
        <item x="9046"/>
        <item x="9047"/>
        <item x="9048"/>
        <item x="9049"/>
        <item x="9050"/>
        <item x="9051"/>
        <item x="9052"/>
        <item x="9053"/>
        <item x="9054"/>
        <item x="9055"/>
        <item x="9056"/>
        <item x="9057"/>
        <item x="8840"/>
        <item x="9059"/>
        <item x="9060"/>
        <item x="9061"/>
        <item x="9062"/>
        <item x="9063"/>
        <item x="9064"/>
        <item x="9065"/>
        <item x="9066"/>
        <item x="9067"/>
        <item x="9068"/>
        <item x="9069"/>
        <item x="9070"/>
        <item x="9071"/>
        <item x="9072"/>
        <item x="8855"/>
        <item x="9074"/>
        <item x="9075"/>
        <item x="9076"/>
        <item x="9077"/>
        <item x="9078"/>
        <item x="9079"/>
        <item x="9080"/>
        <item x="9081"/>
        <item x="9082"/>
        <item x="9083"/>
        <item x="9084"/>
        <item x="9085"/>
        <item x="9086"/>
        <item x="9087"/>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132"/>
        <item x="9351"/>
        <item x="9352"/>
        <item x="9353"/>
        <item x="9354"/>
        <item x="9355"/>
        <item x="9356"/>
        <item x="9357"/>
        <item x="9358"/>
        <item x="9359"/>
        <item x="9360"/>
        <item x="9361"/>
        <item x="9362"/>
        <item x="9363"/>
        <item x="9146"/>
        <item x="9365"/>
        <item x="9366"/>
        <item x="9367"/>
        <item x="9368"/>
        <item x="9369"/>
        <item x="9370"/>
        <item x="9371"/>
        <item x="9372"/>
        <item x="9373"/>
        <item x="9374"/>
        <item x="9375"/>
        <item x="9376"/>
        <item x="9377"/>
        <item x="9378"/>
        <item x="9161"/>
        <item x="9380"/>
        <item x="9381"/>
        <item x="9382"/>
        <item x="9383"/>
        <item x="9384"/>
        <item x="9385"/>
        <item x="9386"/>
        <item x="9387"/>
        <item x="9388"/>
        <item x="9389"/>
        <item x="9390"/>
        <item x="9391"/>
        <item x="9392"/>
        <item x="8942"/>
        <item x="9162"/>
        <item x="9163"/>
        <item x="9164"/>
        <item x="9165"/>
        <item x="9166"/>
        <item x="9167"/>
        <item x="9168"/>
        <item x="9169"/>
        <item x="9170"/>
        <item x="9171"/>
        <item x="9172"/>
        <item x="9173"/>
        <item x="9174"/>
        <item x="9175"/>
        <item x="8956"/>
        <item x="9177"/>
        <item x="9178"/>
        <item x="9179"/>
        <item x="9180"/>
        <item x="9181"/>
        <item x="9182"/>
        <item x="9183"/>
        <item x="9184"/>
        <item x="9185"/>
        <item x="9186"/>
        <item x="9187"/>
        <item x="9188"/>
        <item x="9189"/>
        <item x="8971"/>
        <item x="9191"/>
        <item x="9192"/>
        <item x="9193"/>
        <item x="9194"/>
        <item x="9195"/>
        <item x="9196"/>
        <item x="9197"/>
        <item x="9198"/>
        <item x="9199"/>
        <item x="9200"/>
        <item x="9201"/>
        <item x="9202"/>
        <item x="9203"/>
        <item x="9204"/>
        <item x="8985"/>
        <item x="9206"/>
        <item x="9207"/>
        <item x="9208"/>
        <item x="9209"/>
        <item x="9210"/>
        <item x="9211"/>
        <item x="9212"/>
        <item x="9213"/>
        <item x="9214"/>
        <item x="9215"/>
        <item x="9216"/>
        <item x="9217"/>
        <item x="9218"/>
        <item x="9000"/>
        <item x="9220"/>
        <item x="9221"/>
        <item x="9222"/>
        <item x="9223"/>
        <item x="9224"/>
        <item x="9225"/>
        <item x="9226"/>
        <item x="9227"/>
        <item x="9228"/>
        <item x="9229"/>
        <item x="9230"/>
        <item x="9231"/>
        <item x="9232"/>
        <item x="9233"/>
        <item x="9015"/>
        <item x="9235"/>
        <item x="9236"/>
        <item x="9237"/>
        <item x="9238"/>
        <item x="9239"/>
        <item x="9240"/>
        <item x="9241"/>
        <item x="9242"/>
        <item x="9243"/>
        <item x="9244"/>
        <item x="9245"/>
        <item x="9246"/>
        <item x="9247"/>
        <item x="9030"/>
        <item x="9249"/>
        <item x="9250"/>
        <item x="9251"/>
        <item x="9252"/>
        <item x="9253"/>
        <item x="9254"/>
        <item x="9255"/>
        <item x="9256"/>
        <item x="9257"/>
        <item x="9258"/>
        <item x="9259"/>
        <item x="9260"/>
        <item x="9261"/>
        <item x="9262"/>
        <item x="9264"/>
        <item x="9265"/>
        <item x="9266"/>
        <item x="9267"/>
        <item x="9268"/>
        <item x="9269"/>
        <item x="9270"/>
        <item x="9271"/>
        <item x="9272"/>
        <item x="9273"/>
        <item x="9274"/>
        <item x="9275"/>
        <item x="9276"/>
        <item x="9277"/>
        <item x="9058"/>
        <item x="9278"/>
        <item x="9279"/>
        <item x="9280"/>
        <item x="9281"/>
        <item x="9282"/>
        <item x="9283"/>
        <item x="9284"/>
        <item x="9285"/>
        <item x="9286"/>
        <item x="9287"/>
        <item x="9288"/>
        <item x="9289"/>
        <item x="9290"/>
        <item x="9291"/>
        <item x="9073"/>
        <item x="9293"/>
        <item x="9294"/>
        <item x="9295"/>
        <item x="9296"/>
        <item x="9297"/>
        <item x="9298"/>
        <item x="9299"/>
        <item x="9300"/>
        <item x="9301"/>
        <item x="9302"/>
        <item x="9303"/>
        <item x="9304"/>
        <item x="9305"/>
        <item x="9088"/>
        <item x="9307"/>
        <item x="9308"/>
        <item x="9309"/>
        <item x="9310"/>
        <item x="9311"/>
        <item x="9312"/>
        <item x="9313"/>
        <item x="9314"/>
        <item x="9315"/>
        <item x="9316"/>
        <item x="9317"/>
        <item x="9318"/>
        <item x="9319"/>
        <item x="9320"/>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364"/>
        <item x="9583"/>
        <item x="9584"/>
        <item x="9585"/>
        <item x="9586"/>
        <item x="9587"/>
        <item x="9588"/>
        <item x="9589"/>
        <item x="9590"/>
        <item x="9591"/>
        <item x="9592"/>
        <item x="9593"/>
        <item x="9594"/>
        <item x="9595"/>
        <item x="9379"/>
        <item x="9597"/>
        <item x="9598"/>
        <item x="9599"/>
        <item x="9600"/>
        <item x="9601"/>
        <item x="9602"/>
        <item x="9603"/>
        <item x="9604"/>
        <item x="9605"/>
        <item x="9606"/>
        <item x="9607"/>
        <item x="9608"/>
        <item x="9609"/>
        <item x="9610"/>
        <item x="9393"/>
        <item x="9612"/>
        <item x="9613"/>
        <item x="9614"/>
        <item x="9615"/>
        <item x="9616"/>
        <item x="9617"/>
        <item x="9618"/>
        <item x="9619"/>
        <item x="9620"/>
        <item x="9621"/>
        <item x="9622"/>
        <item x="9623"/>
        <item x="9624"/>
        <item x="9176"/>
        <item x="9394"/>
        <item x="9395"/>
        <item x="9396"/>
        <item x="9397"/>
        <item x="9398"/>
        <item x="9399"/>
        <item x="9400"/>
        <item x="9401"/>
        <item x="9402"/>
        <item x="9403"/>
        <item x="9404"/>
        <item x="9405"/>
        <item x="9406"/>
        <item x="9407"/>
        <item x="9190"/>
        <item x="9409"/>
        <item x="9410"/>
        <item x="9411"/>
        <item x="9412"/>
        <item x="9413"/>
        <item x="9414"/>
        <item x="9415"/>
        <item x="9416"/>
        <item x="9417"/>
        <item x="9418"/>
        <item x="9419"/>
        <item x="9420"/>
        <item x="9421"/>
        <item x="9205"/>
        <item x="9423"/>
        <item x="9424"/>
        <item x="9425"/>
        <item x="9426"/>
        <item x="9427"/>
        <item x="9428"/>
        <item x="9429"/>
        <item x="9430"/>
        <item x="9431"/>
        <item x="9432"/>
        <item x="9433"/>
        <item x="9434"/>
        <item x="9435"/>
        <item x="9436"/>
        <item x="9219"/>
        <item x="9438"/>
        <item x="9439"/>
        <item x="9440"/>
        <item x="9441"/>
        <item x="9442"/>
        <item x="9443"/>
        <item x="9444"/>
        <item x="9445"/>
        <item x="9446"/>
        <item x="9447"/>
        <item x="9448"/>
        <item x="9449"/>
        <item x="9450"/>
        <item x="9234"/>
        <item x="9452"/>
        <item x="9453"/>
        <item x="9454"/>
        <item x="9455"/>
        <item x="9456"/>
        <item x="9457"/>
        <item x="9458"/>
        <item x="9459"/>
        <item x="9460"/>
        <item x="9461"/>
        <item x="9462"/>
        <item x="9463"/>
        <item x="9464"/>
        <item x="9465"/>
        <item x="9248"/>
        <item x="9467"/>
        <item x="9468"/>
        <item x="9469"/>
        <item x="9470"/>
        <item x="9471"/>
        <item x="9472"/>
        <item x="9473"/>
        <item x="9474"/>
        <item x="9475"/>
        <item x="9476"/>
        <item x="9477"/>
        <item x="9478"/>
        <item x="9479"/>
        <item x="9263"/>
        <item x="9481"/>
        <item x="9482"/>
        <item x="9483"/>
        <item x="9484"/>
        <item x="9485"/>
        <item x="9486"/>
        <item x="9487"/>
        <item x="9488"/>
        <item x="9489"/>
        <item x="9490"/>
        <item x="9491"/>
        <item x="9492"/>
        <item x="9493"/>
        <item x="9494"/>
        <item x="9496"/>
        <item x="9497"/>
        <item x="9498"/>
        <item x="9499"/>
        <item x="9500"/>
        <item x="9501"/>
        <item x="9502"/>
        <item x="9503"/>
        <item x="9504"/>
        <item x="9505"/>
        <item x="9506"/>
        <item x="9507"/>
        <item x="9508"/>
        <item x="9509"/>
        <item x="9292"/>
        <item x="9510"/>
        <item x="9511"/>
        <item x="9512"/>
        <item x="9513"/>
        <item x="9514"/>
        <item x="9515"/>
        <item x="9516"/>
        <item x="9517"/>
        <item x="9518"/>
        <item x="9519"/>
        <item x="9520"/>
        <item x="9521"/>
        <item x="9522"/>
        <item x="9523"/>
        <item x="9306"/>
        <item x="9525"/>
        <item x="9526"/>
        <item x="9527"/>
        <item x="9528"/>
        <item x="9529"/>
        <item x="9530"/>
        <item x="9531"/>
        <item x="9532"/>
        <item x="9533"/>
        <item x="9534"/>
        <item x="9535"/>
        <item x="9536"/>
        <item x="9537"/>
        <item x="9321"/>
        <item x="9539"/>
        <item x="9540"/>
        <item x="9541"/>
        <item x="9542"/>
        <item x="9543"/>
        <item x="9544"/>
        <item x="9545"/>
        <item x="9546"/>
        <item x="9547"/>
        <item x="9548"/>
        <item x="9549"/>
        <item x="9550"/>
        <item x="9551"/>
        <item x="9552"/>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596"/>
        <item x="9815"/>
        <item x="9816"/>
        <item x="9817"/>
        <item x="9818"/>
        <item x="9819"/>
        <item x="9820"/>
        <item x="9821"/>
        <item x="9822"/>
        <item x="9823"/>
        <item x="9824"/>
        <item x="9825"/>
        <item x="9826"/>
        <item x="9827"/>
        <item x="9611"/>
        <item x="9829"/>
        <item x="9830"/>
        <item x="9831"/>
        <item x="9832"/>
        <item x="9833"/>
        <item x="9834"/>
        <item x="9835"/>
        <item x="9836"/>
        <item x="9837"/>
        <item x="9838"/>
        <item x="9839"/>
        <item x="9840"/>
        <item x="9841"/>
        <item x="9842"/>
        <item x="9625"/>
        <item x="9844"/>
        <item x="9845"/>
        <item x="9846"/>
        <item x="9847"/>
        <item x="9848"/>
        <item x="9849"/>
        <item x="9850"/>
        <item x="9851"/>
        <item x="9852"/>
        <item x="9853"/>
        <item x="9854"/>
        <item x="9855"/>
        <item x="9856"/>
        <item x="9408"/>
        <item x="9626"/>
        <item x="9627"/>
        <item x="9628"/>
        <item x="9629"/>
        <item x="9630"/>
        <item x="9631"/>
        <item x="9632"/>
        <item x="9633"/>
        <item x="9634"/>
        <item x="9635"/>
        <item x="9636"/>
        <item x="9637"/>
        <item x="9638"/>
        <item x="9639"/>
        <item x="9422"/>
        <item x="9641"/>
        <item x="9642"/>
        <item x="9643"/>
        <item x="9644"/>
        <item x="9645"/>
        <item x="9646"/>
        <item x="9647"/>
        <item x="9648"/>
        <item x="9649"/>
        <item x="9650"/>
        <item x="9651"/>
        <item x="9652"/>
        <item x="9653"/>
        <item x="9437"/>
        <item x="9655"/>
        <item x="9656"/>
        <item x="9657"/>
        <item x="9658"/>
        <item x="9659"/>
        <item x="9660"/>
        <item x="9661"/>
        <item x="9662"/>
        <item x="9663"/>
        <item x="9664"/>
        <item x="9665"/>
        <item x="9666"/>
        <item x="9667"/>
        <item x="9668"/>
        <item x="9451"/>
        <item x="9670"/>
        <item x="9671"/>
        <item x="9672"/>
        <item x="9673"/>
        <item x="9674"/>
        <item x="9675"/>
        <item x="9676"/>
        <item x="9677"/>
        <item x="9678"/>
        <item x="9679"/>
        <item x="9680"/>
        <item x="9681"/>
        <item x="9682"/>
        <item x="9466"/>
        <item x="9684"/>
        <item x="9685"/>
        <item x="9686"/>
        <item x="9687"/>
        <item x="9688"/>
        <item x="9689"/>
        <item x="9690"/>
        <item x="9691"/>
        <item x="9692"/>
        <item x="9693"/>
        <item x="9694"/>
        <item x="9695"/>
        <item x="9696"/>
        <item x="9697"/>
        <item x="9480"/>
        <item x="9699"/>
        <item x="9700"/>
        <item x="9701"/>
        <item x="9702"/>
        <item x="9703"/>
        <item x="9704"/>
        <item x="9705"/>
        <item x="9706"/>
        <item x="9707"/>
        <item x="9708"/>
        <item x="9709"/>
        <item x="9710"/>
        <item x="9711"/>
        <item x="9495"/>
        <item x="9713"/>
        <item x="9714"/>
        <item x="9715"/>
        <item x="9716"/>
        <item x="9717"/>
        <item x="9718"/>
        <item x="9719"/>
        <item x="9720"/>
        <item x="9721"/>
        <item x="9722"/>
        <item x="9723"/>
        <item x="9724"/>
        <item x="9725"/>
        <item x="9726"/>
        <item x="9728"/>
        <item x="9729"/>
        <item x="9730"/>
        <item x="9731"/>
        <item x="9732"/>
        <item x="9733"/>
        <item x="9734"/>
        <item x="9735"/>
        <item x="9736"/>
        <item x="9737"/>
        <item x="9738"/>
        <item x="9739"/>
        <item x="9740"/>
        <item x="9741"/>
        <item x="9524"/>
        <item x="9742"/>
        <item x="9743"/>
        <item x="9744"/>
        <item x="9745"/>
        <item x="9746"/>
        <item x="9747"/>
        <item x="9748"/>
        <item x="9749"/>
        <item x="9750"/>
        <item x="9751"/>
        <item x="9752"/>
        <item x="9753"/>
        <item x="9754"/>
        <item x="9755"/>
        <item x="9538"/>
        <item x="9757"/>
        <item x="9758"/>
        <item x="9759"/>
        <item x="9760"/>
        <item x="9761"/>
        <item x="9762"/>
        <item x="9763"/>
        <item x="9764"/>
        <item x="9765"/>
        <item x="9766"/>
        <item x="9767"/>
        <item x="9768"/>
        <item x="9769"/>
        <item x="9553"/>
        <item x="9771"/>
        <item x="9772"/>
        <item x="9773"/>
        <item x="9774"/>
        <item x="9775"/>
        <item x="9776"/>
        <item x="9777"/>
        <item x="9778"/>
        <item x="9779"/>
        <item x="9780"/>
        <item x="9781"/>
        <item x="9782"/>
        <item x="9783"/>
        <item x="9784"/>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9828"/>
        <item x="10047"/>
        <item x="10048"/>
        <item x="10049"/>
        <item x="10050"/>
        <item x="10051"/>
        <item x="10052"/>
        <item x="10053"/>
        <item x="10054"/>
        <item x="10055"/>
        <item x="10056"/>
        <item x="10057"/>
        <item x="10058"/>
        <item x="10059"/>
        <item x="9843"/>
        <item x="10061"/>
        <item x="10062"/>
        <item x="10063"/>
        <item x="10064"/>
        <item x="10065"/>
        <item x="10066"/>
        <item x="10067"/>
        <item x="10068"/>
        <item x="10069"/>
        <item x="10070"/>
        <item x="10071"/>
        <item x="10072"/>
        <item x="10073"/>
        <item x="10074"/>
        <item x="9857"/>
        <item x="10076"/>
        <item x="10077"/>
        <item x="10078"/>
        <item x="10079"/>
        <item x="10080"/>
        <item x="10081"/>
        <item x="10082"/>
        <item x="10083"/>
        <item x="10084"/>
        <item x="10085"/>
        <item x="10086"/>
        <item x="10087"/>
        <item x="10088"/>
        <item x="9640"/>
        <item x="9858"/>
        <item x="9859"/>
        <item x="9860"/>
        <item x="9861"/>
        <item x="9862"/>
        <item x="9863"/>
        <item x="9864"/>
        <item x="9865"/>
        <item x="9866"/>
        <item x="9867"/>
        <item x="9868"/>
        <item x="9869"/>
        <item x="9870"/>
        <item x="9871"/>
        <item x="9654"/>
        <item x="9873"/>
        <item x="9874"/>
        <item x="9875"/>
        <item x="9876"/>
        <item x="9877"/>
        <item x="9878"/>
        <item x="9879"/>
        <item x="9880"/>
        <item x="9881"/>
        <item x="9882"/>
        <item x="9883"/>
        <item x="9884"/>
        <item x="9885"/>
        <item x="9669"/>
        <item x="9887"/>
        <item x="9888"/>
        <item x="9889"/>
        <item x="9890"/>
        <item x="9891"/>
        <item x="9892"/>
        <item x="9893"/>
        <item x="9894"/>
        <item x="9895"/>
        <item x="9896"/>
        <item x="9897"/>
        <item x="9898"/>
        <item x="9899"/>
        <item x="9900"/>
        <item x="9683"/>
        <item x="9902"/>
        <item x="9903"/>
        <item x="9904"/>
        <item x="9905"/>
        <item x="9906"/>
        <item x="9907"/>
        <item x="9908"/>
        <item x="9909"/>
        <item x="9910"/>
        <item x="9911"/>
        <item x="9912"/>
        <item x="9913"/>
        <item x="9914"/>
        <item x="9698"/>
        <item x="9916"/>
        <item x="9917"/>
        <item x="9918"/>
        <item x="9919"/>
        <item x="9920"/>
        <item x="9921"/>
        <item x="9922"/>
        <item x="9923"/>
        <item x="9924"/>
        <item x="9925"/>
        <item x="9926"/>
        <item x="9927"/>
        <item x="9928"/>
        <item x="9929"/>
        <item x="9712"/>
        <item x="9931"/>
        <item x="9932"/>
        <item x="9933"/>
        <item x="9934"/>
        <item x="9935"/>
        <item x="9936"/>
        <item x="9937"/>
        <item x="9938"/>
        <item x="9939"/>
        <item x="9940"/>
        <item x="9941"/>
        <item x="9942"/>
        <item x="9943"/>
        <item x="9727"/>
        <item x="9945"/>
        <item x="9946"/>
        <item x="9947"/>
        <item x="9948"/>
        <item x="9949"/>
        <item x="9950"/>
        <item x="9951"/>
        <item x="9952"/>
        <item x="9953"/>
        <item x="9954"/>
        <item x="9955"/>
        <item x="9956"/>
        <item x="9957"/>
        <item x="9958"/>
        <item x="9960"/>
        <item x="9961"/>
        <item x="9962"/>
        <item x="9963"/>
        <item x="9964"/>
        <item x="9965"/>
        <item x="9966"/>
        <item x="9967"/>
        <item x="9968"/>
        <item x="9969"/>
        <item x="9970"/>
        <item x="9971"/>
        <item x="9972"/>
        <item x="9973"/>
        <item x="9756"/>
        <item x="9974"/>
        <item x="9975"/>
        <item x="9976"/>
        <item x="9977"/>
        <item x="9978"/>
        <item x="9979"/>
        <item x="9980"/>
        <item x="9981"/>
        <item x="9982"/>
        <item x="9983"/>
        <item x="9984"/>
        <item x="9985"/>
        <item x="9986"/>
        <item x="9987"/>
        <item x="9770"/>
        <item x="9989"/>
        <item x="9990"/>
        <item x="9991"/>
        <item x="9992"/>
        <item x="9993"/>
        <item x="9994"/>
        <item x="9995"/>
        <item x="9996"/>
        <item x="9997"/>
        <item x="9998"/>
        <item x="9999"/>
        <item x="10000"/>
        <item x="10001"/>
        <item x="9785"/>
        <item x="10003"/>
        <item x="10004"/>
        <item x="10005"/>
        <item x="10006"/>
        <item x="10007"/>
        <item x="10008"/>
        <item x="10009"/>
        <item x="10010"/>
        <item x="10011"/>
        <item x="10012"/>
        <item x="10013"/>
        <item x="10014"/>
        <item x="10015"/>
        <item x="10016"/>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060"/>
        <item x="10279"/>
        <item x="10280"/>
        <item x="10281"/>
        <item x="10282"/>
        <item x="10283"/>
        <item x="10284"/>
        <item x="10285"/>
        <item x="10286"/>
        <item x="10287"/>
        <item x="10288"/>
        <item x="10289"/>
        <item x="10290"/>
        <item x="10291"/>
        <item x="10075"/>
        <item x="10293"/>
        <item x="10294"/>
        <item x="10295"/>
        <item x="10296"/>
        <item x="10297"/>
        <item x="10298"/>
        <item x="10299"/>
        <item x="10300"/>
        <item x="10301"/>
        <item x="10302"/>
        <item x="10303"/>
        <item x="10304"/>
        <item x="10305"/>
        <item x="10306"/>
        <item x="10089"/>
        <item x="10308"/>
        <item x="10309"/>
        <item x="10310"/>
        <item x="10311"/>
        <item x="10312"/>
        <item x="10313"/>
        <item x="10314"/>
        <item x="10315"/>
        <item x="10316"/>
        <item x="10317"/>
        <item x="10318"/>
        <item x="10319"/>
        <item x="10320"/>
        <item x="9872"/>
        <item x="10090"/>
        <item x="10091"/>
        <item x="10092"/>
        <item x="10093"/>
        <item x="10094"/>
        <item x="10095"/>
        <item x="10096"/>
        <item x="10097"/>
        <item x="10098"/>
        <item x="10099"/>
        <item x="10100"/>
        <item x="10101"/>
        <item x="10102"/>
        <item x="10103"/>
        <item x="9886"/>
        <item x="10105"/>
        <item x="10106"/>
        <item x="10107"/>
        <item x="10108"/>
        <item x="10109"/>
        <item x="10110"/>
        <item x="10111"/>
        <item x="10112"/>
        <item x="10113"/>
        <item x="10114"/>
        <item x="10115"/>
        <item x="10116"/>
        <item x="10117"/>
        <item x="9901"/>
        <item x="10119"/>
        <item x="10120"/>
        <item x="10121"/>
        <item x="10122"/>
        <item x="10123"/>
        <item x="10124"/>
        <item x="10125"/>
        <item x="10126"/>
        <item x="10127"/>
        <item x="10128"/>
        <item x="10129"/>
        <item x="10130"/>
        <item x="10131"/>
        <item x="10132"/>
        <item x="9915"/>
        <item x="10134"/>
        <item x="10135"/>
        <item x="10136"/>
        <item x="10137"/>
        <item x="10138"/>
        <item x="10139"/>
        <item x="10140"/>
        <item x="10141"/>
        <item x="10142"/>
        <item x="10143"/>
        <item x="10144"/>
        <item x="10145"/>
        <item x="10146"/>
        <item x="9930"/>
        <item x="10148"/>
        <item x="10149"/>
        <item x="10150"/>
        <item x="10151"/>
        <item x="10152"/>
        <item x="10153"/>
        <item x="10154"/>
        <item x="10155"/>
        <item x="10156"/>
        <item x="10157"/>
        <item x="10158"/>
        <item x="10159"/>
        <item x="10160"/>
        <item x="10161"/>
        <item x="9944"/>
        <item x="10163"/>
        <item x="10164"/>
        <item x="10165"/>
        <item x="10166"/>
        <item x="10167"/>
        <item x="10168"/>
        <item x="10169"/>
        <item x="10170"/>
        <item x="10171"/>
        <item x="10172"/>
        <item x="10173"/>
        <item x="10174"/>
        <item x="10175"/>
        <item x="9959"/>
        <item x="10177"/>
        <item x="10178"/>
        <item x="10179"/>
        <item x="10180"/>
        <item x="10181"/>
        <item x="10182"/>
        <item x="10183"/>
        <item x="10184"/>
        <item x="10185"/>
        <item x="10186"/>
        <item x="10187"/>
        <item x="10188"/>
        <item x="10189"/>
        <item x="10190"/>
        <item x="10192"/>
        <item x="10193"/>
        <item x="10194"/>
        <item x="10195"/>
        <item x="10196"/>
        <item x="10197"/>
        <item x="10198"/>
        <item x="10199"/>
        <item x="10200"/>
        <item x="10201"/>
        <item x="10202"/>
        <item x="10203"/>
        <item x="10204"/>
        <item x="10205"/>
        <item x="9988"/>
        <item x="10206"/>
        <item x="10207"/>
        <item x="10208"/>
        <item x="10209"/>
        <item x="10210"/>
        <item x="10211"/>
        <item x="10212"/>
        <item x="10213"/>
        <item x="10214"/>
        <item x="10215"/>
        <item x="10216"/>
        <item x="10217"/>
        <item x="10218"/>
        <item x="10219"/>
        <item x="10002"/>
        <item x="10221"/>
        <item x="10222"/>
        <item x="10223"/>
        <item x="10224"/>
        <item x="10225"/>
        <item x="10226"/>
        <item x="10227"/>
        <item x="10228"/>
        <item x="10229"/>
        <item x="10230"/>
        <item x="10231"/>
        <item x="10232"/>
        <item x="10233"/>
        <item x="10017"/>
        <item x="10235"/>
        <item x="10236"/>
        <item x="10237"/>
        <item x="10238"/>
        <item x="10239"/>
        <item x="10240"/>
        <item x="10241"/>
        <item x="10242"/>
        <item x="10243"/>
        <item x="10244"/>
        <item x="10245"/>
        <item x="10246"/>
        <item x="10247"/>
        <item x="10248"/>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292"/>
        <item x="10511"/>
        <item x="10512"/>
        <item x="10513"/>
        <item x="10514"/>
        <item x="10515"/>
        <item x="10516"/>
        <item x="10517"/>
        <item x="10518"/>
        <item x="10519"/>
        <item x="10520"/>
        <item x="10521"/>
        <item x="10522"/>
        <item x="10523"/>
        <item x="10307"/>
        <item x="10525"/>
        <item x="10526"/>
        <item x="10527"/>
        <item x="10528"/>
        <item x="10529"/>
        <item x="10530"/>
        <item x="10531"/>
        <item x="10532"/>
        <item x="10533"/>
        <item x="10534"/>
        <item x="10535"/>
        <item x="10536"/>
        <item x="10537"/>
        <item x="10538"/>
        <item x="10321"/>
        <item x="10539"/>
        <item x="10540"/>
        <item x="10541"/>
        <item x="10542"/>
        <item x="10543"/>
        <item x="10544"/>
        <item x="10545"/>
        <item x="10546"/>
        <item x="10547"/>
        <item x="10548"/>
        <item x="10549"/>
        <item x="10550"/>
        <item x="10551"/>
        <item x="10104"/>
        <item x="10322"/>
        <item x="10323"/>
        <item x="10324"/>
        <item x="10325"/>
        <item x="10326"/>
        <item x="10327"/>
        <item x="10328"/>
        <item x="10329"/>
        <item x="10330"/>
        <item x="10331"/>
        <item x="10332"/>
        <item x="10333"/>
        <item x="10334"/>
        <item x="10335"/>
        <item x="10118"/>
        <item x="10337"/>
        <item x="10338"/>
        <item x="10339"/>
        <item x="10340"/>
        <item x="10341"/>
        <item x="10342"/>
        <item x="10343"/>
        <item x="10344"/>
        <item x="10345"/>
        <item x="10346"/>
        <item x="10347"/>
        <item x="10348"/>
        <item x="10349"/>
        <item x="10133"/>
        <item x="10351"/>
        <item x="10352"/>
        <item x="10353"/>
        <item x="10354"/>
        <item x="10355"/>
        <item x="10356"/>
        <item x="10357"/>
        <item x="10358"/>
        <item x="10359"/>
        <item x="10360"/>
        <item x="10361"/>
        <item x="10362"/>
        <item x="10363"/>
        <item x="10364"/>
        <item x="10147"/>
        <item x="10366"/>
        <item x="10367"/>
        <item x="10368"/>
        <item x="10369"/>
        <item x="10370"/>
        <item x="10371"/>
        <item x="10372"/>
        <item x="10373"/>
        <item x="10374"/>
        <item x="10375"/>
        <item x="10376"/>
        <item x="10377"/>
        <item x="10378"/>
        <item x="10162"/>
        <item x="10380"/>
        <item x="10381"/>
        <item x="10382"/>
        <item x="10383"/>
        <item x="10384"/>
        <item x="10385"/>
        <item x="10386"/>
        <item x="10387"/>
        <item x="10388"/>
        <item x="10389"/>
        <item x="10390"/>
        <item x="10391"/>
        <item x="10392"/>
        <item x="10393"/>
        <item x="10176"/>
        <item x="10395"/>
        <item x="10396"/>
        <item x="10397"/>
        <item x="10398"/>
        <item x="10399"/>
        <item x="10400"/>
        <item x="10401"/>
        <item x="10402"/>
        <item x="10403"/>
        <item x="10404"/>
        <item x="10405"/>
        <item x="10406"/>
        <item x="10407"/>
        <item x="10191"/>
        <item x="10409"/>
        <item x="10410"/>
        <item x="10411"/>
        <item x="10412"/>
        <item x="10413"/>
        <item x="10414"/>
        <item x="10415"/>
        <item x="10416"/>
        <item x="10417"/>
        <item x="10418"/>
        <item x="10419"/>
        <item x="10420"/>
        <item x="10421"/>
        <item x="10422"/>
        <item x="10424"/>
        <item x="10425"/>
        <item x="10426"/>
        <item x="10427"/>
        <item x="10428"/>
        <item x="10429"/>
        <item x="10430"/>
        <item x="10431"/>
        <item x="10432"/>
        <item x="10433"/>
        <item x="10434"/>
        <item x="10435"/>
        <item x="10436"/>
        <item x="10437"/>
        <item x="10220"/>
        <item x="10438"/>
        <item x="10439"/>
        <item x="10440"/>
        <item x="10441"/>
        <item x="10442"/>
        <item x="10443"/>
        <item x="10444"/>
        <item x="10445"/>
        <item x="10446"/>
        <item x="10447"/>
        <item x="10448"/>
        <item x="10449"/>
        <item x="10450"/>
        <item x="10451"/>
        <item x="10234"/>
        <item x="10453"/>
        <item x="10454"/>
        <item x="10455"/>
        <item x="10456"/>
        <item x="10457"/>
        <item x="10458"/>
        <item x="10459"/>
        <item x="10460"/>
        <item x="10461"/>
        <item x="10462"/>
        <item x="10463"/>
        <item x="10464"/>
        <item x="10465"/>
        <item x="10249"/>
        <item x="10467"/>
        <item x="10468"/>
        <item x="10469"/>
        <item x="10470"/>
        <item x="10471"/>
        <item x="10472"/>
        <item x="10473"/>
        <item x="10474"/>
        <item x="10475"/>
        <item x="10476"/>
        <item x="10477"/>
        <item x="10478"/>
        <item x="10479"/>
        <item x="10480"/>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524"/>
        <item x="10744"/>
        <item x="10745"/>
        <item x="10746"/>
        <item x="10747"/>
        <item x="10748"/>
        <item x="10749"/>
        <item x="10750"/>
        <item x="10751"/>
        <item x="10752"/>
        <item x="10753"/>
        <item x="10754"/>
        <item x="10755"/>
        <item x="10756"/>
        <item x="10757"/>
        <item x="14323"/>
        <item x="14324"/>
        <item x="14325"/>
        <item x="14326"/>
        <item x="14327"/>
        <item x="14328"/>
        <item x="14329"/>
        <item x="14330"/>
        <item x="14331"/>
        <item x="14332"/>
        <item x="14333"/>
        <item x="14334"/>
        <item x="14335"/>
        <item x="14336"/>
        <item x="14159"/>
        <item x="14338"/>
        <item x="14339"/>
        <item x="14340"/>
        <item x="14341"/>
        <item x="14342"/>
        <item x="14343"/>
        <item x="14344"/>
        <item x="14345"/>
        <item x="14346"/>
        <item x="14347"/>
        <item x="14348"/>
        <item x="14349"/>
        <item x="14350"/>
        <item x="13968"/>
        <item x="14160"/>
        <item x="14161"/>
        <item x="14162"/>
        <item x="14163"/>
        <item x="14164"/>
        <item x="14165"/>
        <item x="14166"/>
        <item x="14167"/>
        <item x="14168"/>
        <item x="14169"/>
        <item x="14170"/>
        <item x="14171"/>
        <item x="14172"/>
        <item x="14173"/>
        <item x="13982"/>
        <item x="14175"/>
        <item x="14176"/>
        <item x="14177"/>
        <item x="14178"/>
        <item x="14179"/>
        <item x="14180"/>
        <item x="14181"/>
        <item x="14182"/>
        <item x="14183"/>
        <item x="14184"/>
        <item x="14185"/>
        <item x="14186"/>
        <item x="14187"/>
        <item x="13997"/>
        <item x="14189"/>
        <item x="14190"/>
        <item x="14191"/>
        <item x="14192"/>
        <item x="14193"/>
        <item x="14194"/>
        <item x="14195"/>
        <item x="14196"/>
        <item x="14197"/>
        <item x="14198"/>
        <item x="14199"/>
        <item x="14200"/>
        <item x="14201"/>
        <item x="14202"/>
        <item x="14011"/>
        <item x="14204"/>
        <item x="14205"/>
        <item x="14206"/>
        <item x="14207"/>
        <item x="14208"/>
        <item x="14209"/>
        <item x="14210"/>
        <item x="14211"/>
        <item x="14212"/>
        <item x="14213"/>
        <item x="14214"/>
        <item x="14215"/>
        <item x="14216"/>
        <item x="14026"/>
        <item x="14218"/>
        <item x="14219"/>
        <item x="14220"/>
        <item x="14221"/>
        <item x="14222"/>
        <item x="14223"/>
        <item x="14224"/>
        <item x="14225"/>
        <item x="14226"/>
        <item x="14227"/>
        <item x="14228"/>
        <item x="14229"/>
        <item x="14230"/>
        <item x="14231"/>
        <item x="14040"/>
        <item x="14233"/>
        <item x="14234"/>
        <item x="14235"/>
        <item x="14236"/>
        <item x="14237"/>
        <item x="14238"/>
        <item x="14239"/>
        <item x="14240"/>
        <item x="14241"/>
        <item x="14242"/>
        <item x="14243"/>
        <item x="14244"/>
        <item x="14245"/>
        <item x="14055"/>
        <item x="14247"/>
        <item x="14248"/>
        <item x="14249"/>
        <item x="14250"/>
        <item x="14251"/>
        <item x="14252"/>
        <item x="14253"/>
        <item x="14254"/>
        <item x="14255"/>
        <item x="14256"/>
        <item x="14257"/>
        <item x="14258"/>
        <item x="14259"/>
        <item x="14260"/>
        <item x="14061"/>
        <item x="14262"/>
        <item x="14263"/>
        <item x="14264"/>
        <item x="14265"/>
        <item x="14266"/>
        <item x="14267"/>
        <item x="14268"/>
        <item x="14269"/>
        <item x="14270"/>
        <item x="14271"/>
        <item x="14272"/>
        <item x="14273"/>
        <item x="14274"/>
        <item x="14062"/>
        <item x="14063"/>
        <item x="14064"/>
        <item x="14065"/>
        <item x="14066"/>
        <item x="14067"/>
        <item x="14068"/>
        <item x="14069"/>
        <item x="14070"/>
        <item x="14071"/>
        <item x="14276"/>
        <item x="14277"/>
        <item x="14278"/>
        <item x="14279"/>
        <item x="14280"/>
        <item x="14072"/>
        <item x="14073"/>
        <item x="14074"/>
        <item x="14075"/>
        <item x="14076"/>
        <item x="14077"/>
        <item x="14078"/>
        <item x="14079"/>
        <item x="14080"/>
        <item x="14081"/>
        <item x="14291"/>
        <item x="14292"/>
        <item x="14293"/>
        <item x="14294"/>
        <item x="14082"/>
        <item x="14083"/>
        <item x="14084"/>
        <item x="14085"/>
        <item x="14086"/>
        <item x="14087"/>
        <item x="14088"/>
        <item x="14089"/>
        <item x="14090"/>
        <item x="14091"/>
        <item x="14305"/>
        <item x="14306"/>
        <item x="14307"/>
        <item x="14308"/>
        <item x="14309"/>
        <item x="14320"/>
        <item x="14512"/>
        <item x="14513"/>
        <item x="14514"/>
        <item x="14515"/>
        <item x="14516"/>
        <item x="14517"/>
        <item x="14518"/>
        <item x="14519"/>
        <item x="14520"/>
        <item x="14521"/>
        <item x="14522"/>
        <item x="14523"/>
        <item x="14524"/>
        <item x="14321"/>
        <item x="14526"/>
        <item x="14527"/>
        <item x="14528"/>
        <item x="14529"/>
        <item x="14530"/>
        <item x="14531"/>
        <item x="14532"/>
        <item x="14533"/>
        <item x="14534"/>
        <item x="14535"/>
        <item x="14536"/>
        <item x="14537"/>
        <item x="14538"/>
        <item x="14539"/>
        <item x="14322"/>
        <item x="14541"/>
        <item x="14542"/>
        <item x="14543"/>
        <item x="14544"/>
        <item x="14545"/>
        <item x="14546"/>
        <item x="14547"/>
        <item x="14548"/>
        <item x="14549"/>
        <item x="14550"/>
        <item x="14551"/>
        <item x="14552"/>
        <item x="14553"/>
        <item x="14337"/>
        <item x="14555"/>
        <item x="14556"/>
        <item x="14557"/>
        <item x="14558"/>
        <item x="14559"/>
        <item x="14560"/>
        <item x="14561"/>
        <item x="14562"/>
        <item x="14563"/>
        <item x="14564"/>
        <item x="14565"/>
        <item x="14566"/>
        <item x="14567"/>
        <item x="14568"/>
        <item x="14351"/>
        <item x="14570"/>
        <item x="14571"/>
        <item x="14572"/>
        <item x="14573"/>
        <item x="14574"/>
        <item x="14575"/>
        <item x="14576"/>
        <item x="14577"/>
        <item x="14578"/>
        <item x="14579"/>
        <item x="14580"/>
        <item x="14581"/>
        <item x="14582"/>
        <item x="14174"/>
        <item x="14352"/>
        <item x="14353"/>
        <item x="14354"/>
        <item x="14355"/>
        <item x="14356"/>
        <item x="14357"/>
        <item x="14358"/>
        <item x="14359"/>
        <item x="14360"/>
        <item x="14361"/>
        <item x="14362"/>
        <item x="14363"/>
        <item x="14364"/>
        <item x="14365"/>
        <item x="14188"/>
        <item x="14367"/>
        <item x="14368"/>
        <item x="14369"/>
        <item x="14370"/>
        <item x="14371"/>
        <item x="14372"/>
        <item x="14373"/>
        <item x="14374"/>
        <item x="14375"/>
        <item x="14376"/>
        <item x="14377"/>
        <item x="14378"/>
        <item x="14379"/>
        <item x="14203"/>
        <item x="14381"/>
        <item x="14382"/>
        <item x="14383"/>
        <item x="14384"/>
        <item x="14385"/>
        <item x="14386"/>
        <item x="14387"/>
        <item x="14388"/>
        <item x="14389"/>
        <item x="14390"/>
        <item x="14391"/>
        <item x="14392"/>
        <item x="14393"/>
        <item x="14394"/>
        <item x="14217"/>
        <item x="14396"/>
        <item x="14397"/>
        <item x="14398"/>
        <item x="14399"/>
        <item x="14400"/>
        <item x="14401"/>
        <item x="14402"/>
        <item x="14403"/>
        <item x="14404"/>
        <item x="14405"/>
        <item x="14406"/>
        <item x="14407"/>
        <item x="14408"/>
        <item x="14232"/>
        <item x="14410"/>
        <item x="14411"/>
        <item x="14412"/>
        <item x="14413"/>
        <item x="14414"/>
        <item x="14415"/>
        <item x="14416"/>
        <item x="14417"/>
        <item x="14418"/>
        <item x="14419"/>
        <item x="14420"/>
        <item x="14421"/>
        <item x="14422"/>
        <item x="14423"/>
        <item x="14246"/>
        <item x="14425"/>
        <item x="14426"/>
        <item x="14427"/>
        <item x="14428"/>
        <item x="14429"/>
        <item x="14430"/>
        <item x="14431"/>
        <item x="14432"/>
        <item x="14433"/>
        <item x="14434"/>
        <item x="14435"/>
        <item x="14436"/>
        <item x="14437"/>
        <item x="14261"/>
        <item x="14439"/>
        <item x="14440"/>
        <item x="14441"/>
        <item x="14442"/>
        <item x="14443"/>
        <item x="14444"/>
        <item x="14445"/>
        <item x="14446"/>
        <item x="14447"/>
        <item x="14448"/>
        <item x="14449"/>
        <item x="14450"/>
        <item x="14451"/>
        <item x="14452"/>
        <item x="14275"/>
        <item x="14454"/>
        <item x="14455"/>
        <item x="14456"/>
        <item x="14457"/>
        <item x="14458"/>
        <item x="14459"/>
        <item x="14460"/>
        <item x="14461"/>
        <item x="14462"/>
        <item x="14463"/>
        <item x="14464"/>
        <item x="14465"/>
        <item x="14466"/>
        <item x="14281"/>
        <item x="14282"/>
        <item x="14283"/>
        <item x="14284"/>
        <item x="14285"/>
        <item x="14286"/>
        <item x="14287"/>
        <item x="14288"/>
        <item x="14289"/>
        <item x="14290"/>
        <item x="14468"/>
        <item x="14469"/>
        <item x="14470"/>
        <item x="14471"/>
        <item x="14472"/>
        <item x="14295"/>
        <item x="14296"/>
        <item x="14297"/>
        <item x="14298"/>
        <item x="14299"/>
        <item x="14300"/>
        <item x="14301"/>
        <item x="14302"/>
        <item x="14303"/>
        <item x="14304"/>
        <item x="14483"/>
        <item x="14484"/>
        <item x="14485"/>
        <item x="14486"/>
        <item x="14310"/>
        <item x="14311"/>
        <item x="14312"/>
        <item x="14313"/>
        <item x="14314"/>
        <item x="14315"/>
        <item x="14316"/>
        <item x="14317"/>
        <item x="14318"/>
        <item x="14319"/>
        <item x="14497"/>
        <item x="14498"/>
        <item x="14499"/>
        <item x="14500"/>
        <item x="14501"/>
        <item x="14525"/>
        <item x="14744"/>
        <item x="14745"/>
        <item x="14746"/>
        <item x="14747"/>
        <item x="14748"/>
        <item x="14749"/>
        <item x="14750"/>
        <item x="14751"/>
        <item x="14752"/>
        <item x="14753"/>
        <item x="14754"/>
        <item x="14755"/>
        <item x="14756"/>
        <item x="14540"/>
        <item x="14758"/>
        <item x="14759"/>
        <item x="14760"/>
        <item x="14761"/>
        <item x="14762"/>
        <item x="14763"/>
        <item x="14764"/>
        <item x="14765"/>
        <item x="14766"/>
        <item x="14767"/>
        <item x="14768"/>
        <item x="14769"/>
        <item x="14770"/>
        <item x="14771"/>
        <item x="14554"/>
        <item x="14773"/>
        <item x="14774"/>
        <item x="14775"/>
        <item x="14776"/>
        <item x="14777"/>
        <item x="14778"/>
        <item x="14779"/>
        <item x="14780"/>
        <item x="14781"/>
        <item x="14782"/>
        <item x="14783"/>
        <item x="14784"/>
        <item x="14785"/>
        <item x="14569"/>
        <item x="14787"/>
        <item x="14788"/>
        <item x="14789"/>
        <item x="14790"/>
        <item x="14791"/>
        <item x="14792"/>
        <item x="14793"/>
        <item x="14794"/>
        <item x="14795"/>
        <item x="14796"/>
        <item x="14797"/>
        <item x="14798"/>
        <item x="14799"/>
        <item x="14800"/>
        <item x="14583"/>
        <item x="14802"/>
        <item x="14803"/>
        <item x="14804"/>
        <item x="14805"/>
        <item x="14806"/>
        <item x="14807"/>
        <item x="14808"/>
        <item x="14809"/>
        <item x="14810"/>
        <item x="14811"/>
        <item x="14812"/>
        <item x="14813"/>
        <item x="14814"/>
        <item x="14366"/>
        <item x="14584"/>
        <item x="14585"/>
        <item x="14586"/>
        <item x="14587"/>
        <item x="14588"/>
        <item x="14589"/>
        <item x="14590"/>
        <item x="14591"/>
        <item x="14592"/>
        <item x="14593"/>
        <item x="14594"/>
        <item x="14595"/>
        <item x="14596"/>
        <item x="14597"/>
        <item x="14380"/>
        <item x="14599"/>
        <item x="14600"/>
        <item x="14601"/>
        <item x="14602"/>
        <item x="14603"/>
        <item x="14604"/>
        <item x="14605"/>
        <item x="14606"/>
        <item x="14607"/>
        <item x="14608"/>
        <item x="14609"/>
        <item x="14610"/>
        <item x="14611"/>
        <item x="14395"/>
        <item x="14613"/>
        <item x="14614"/>
        <item x="14615"/>
        <item x="14616"/>
        <item x="14617"/>
        <item x="14618"/>
        <item x="14619"/>
        <item x="14620"/>
        <item x="14621"/>
        <item x="14622"/>
        <item x="14623"/>
        <item x="14624"/>
        <item x="14625"/>
        <item x="14626"/>
        <item x="14409"/>
        <item x="14628"/>
        <item x="14629"/>
        <item x="14630"/>
        <item x="14631"/>
        <item x="14632"/>
        <item x="14633"/>
        <item x="14634"/>
        <item x="14635"/>
        <item x="14636"/>
        <item x="14637"/>
        <item x="14638"/>
        <item x="14639"/>
        <item x="14640"/>
        <item x="14424"/>
        <item x="14642"/>
        <item x="14643"/>
        <item x="14644"/>
        <item x="14645"/>
        <item x="14646"/>
        <item x="14647"/>
        <item x="14648"/>
        <item x="14649"/>
        <item x="14650"/>
        <item x="14651"/>
        <item x="14652"/>
        <item x="14653"/>
        <item x="14654"/>
        <item x="14655"/>
        <item x="14438"/>
        <item x="14657"/>
        <item x="14658"/>
        <item x="14659"/>
        <item x="14660"/>
        <item x="14661"/>
        <item x="14662"/>
        <item x="14663"/>
        <item x="14664"/>
        <item x="14665"/>
        <item x="14666"/>
        <item x="14667"/>
        <item x="14668"/>
        <item x="14669"/>
        <item x="14453"/>
        <item x="14671"/>
        <item x="14672"/>
        <item x="14673"/>
        <item x="14674"/>
        <item x="14675"/>
        <item x="14676"/>
        <item x="14677"/>
        <item x="14678"/>
        <item x="14679"/>
        <item x="14680"/>
        <item x="14681"/>
        <item x="14682"/>
        <item x="14683"/>
        <item x="14684"/>
        <item x="14467"/>
        <item x="14686"/>
        <item x="14687"/>
        <item x="14688"/>
        <item x="14689"/>
        <item x="14690"/>
        <item x="14691"/>
        <item x="14692"/>
        <item x="14693"/>
        <item x="14694"/>
        <item x="14695"/>
        <item x="14696"/>
        <item x="14697"/>
        <item x="14698"/>
        <item x="14473"/>
        <item x="14474"/>
        <item x="14475"/>
        <item x="14476"/>
        <item x="14477"/>
        <item x="14478"/>
        <item x="14479"/>
        <item x="14480"/>
        <item x="14481"/>
        <item x="14482"/>
        <item x="14700"/>
        <item x="14701"/>
        <item x="14702"/>
        <item x="14703"/>
        <item x="14704"/>
        <item x="14487"/>
        <item x="14488"/>
        <item x="14489"/>
        <item x="14490"/>
        <item x="14491"/>
        <item x="14492"/>
        <item x="14493"/>
        <item x="14494"/>
        <item x="14495"/>
        <item x="14496"/>
        <item x="14715"/>
        <item x="14716"/>
        <item x="14717"/>
        <item x="14718"/>
        <item x="14502"/>
        <item x="14503"/>
        <item x="14504"/>
        <item x="14505"/>
        <item x="14506"/>
        <item x="14507"/>
        <item x="14508"/>
        <item x="14509"/>
        <item x="14510"/>
        <item x="14511"/>
        <item x="14729"/>
        <item x="14730"/>
        <item x="14731"/>
        <item x="14732"/>
        <item x="14733"/>
        <item x="14757"/>
        <item x="14965"/>
        <item x="14966"/>
        <item x="14967"/>
        <item x="14968"/>
        <item x="14969"/>
        <item x="14970"/>
        <item x="14971"/>
        <item x="14972"/>
        <item x="14973"/>
        <item x="14974"/>
        <item x="14975"/>
        <item x="14976"/>
        <item x="14977"/>
        <item x="14772"/>
        <item x="14978"/>
        <item x="14979"/>
        <item x="14980"/>
        <item x="14981"/>
        <item x="14982"/>
        <item x="14983"/>
        <item x="14984"/>
        <item x="14985"/>
        <item x="14986"/>
        <item x="14987"/>
        <item x="14988"/>
        <item x="14989"/>
        <item x="14990"/>
        <item x="14991"/>
        <item x="14786"/>
        <item x="14992"/>
        <item x="14993"/>
        <item x="14994"/>
        <item x="14995"/>
        <item x="14996"/>
        <item x="14997"/>
        <item x="14998"/>
        <item x="14999"/>
        <item x="15000"/>
        <item x="15001"/>
        <item x="15002"/>
        <item x="15003"/>
        <item x="15004"/>
        <item x="14801"/>
        <item x="15005"/>
        <item x="15006"/>
        <item x="15007"/>
        <item x="15008"/>
        <item x="15009"/>
        <item x="15010"/>
        <item x="15011"/>
        <item x="15012"/>
        <item x="15013"/>
        <item x="15014"/>
        <item x="15015"/>
        <item x="15016"/>
        <item x="15017"/>
        <item x="15018"/>
        <item x="14815"/>
        <item x="15019"/>
        <item x="15020"/>
        <item x="15021"/>
        <item x="15022"/>
        <item x="15023"/>
        <item x="15024"/>
        <item x="15025"/>
        <item x="15026"/>
        <item x="15027"/>
        <item x="15028"/>
        <item x="15029"/>
        <item x="15030"/>
        <item x="15031"/>
        <item x="14598"/>
        <item x="14816"/>
        <item x="14817"/>
        <item x="14818"/>
        <item x="14819"/>
        <item x="14820"/>
        <item x="14821"/>
        <item x="14822"/>
        <item x="14823"/>
        <item x="14824"/>
        <item x="14825"/>
        <item x="14826"/>
        <item x="14827"/>
        <item x="14828"/>
        <item x="14829"/>
        <item x="14612"/>
        <item x="14830"/>
        <item x="14831"/>
        <item x="14832"/>
        <item x="14833"/>
        <item x="14834"/>
        <item x="14835"/>
        <item x="14836"/>
        <item x="14837"/>
        <item x="14838"/>
        <item x="14839"/>
        <item x="14840"/>
        <item x="14841"/>
        <item x="14842"/>
        <item x="14627"/>
        <item x="14843"/>
        <item x="14844"/>
        <item x="14845"/>
        <item x="14846"/>
        <item x="14847"/>
        <item x="14848"/>
        <item x="14849"/>
        <item x="14850"/>
        <item x="14851"/>
        <item x="14852"/>
        <item x="14853"/>
        <item x="14854"/>
        <item x="14855"/>
        <item x="14856"/>
        <item x="14641"/>
        <item x="14857"/>
        <item x="14858"/>
        <item x="14859"/>
        <item x="14860"/>
        <item x="14861"/>
        <item x="14862"/>
        <item x="14863"/>
        <item x="14864"/>
        <item x="14865"/>
        <item x="14866"/>
        <item x="14867"/>
        <item x="14868"/>
        <item x="14869"/>
        <item x="14656"/>
        <item x="14870"/>
        <item x="14871"/>
        <item x="14872"/>
        <item x="14873"/>
        <item x="14874"/>
        <item x="14875"/>
        <item x="14876"/>
        <item x="14877"/>
        <item x="14878"/>
        <item x="14879"/>
        <item x="14880"/>
        <item x="14881"/>
        <item x="14882"/>
        <item x="14883"/>
        <item x="14670"/>
        <item x="14884"/>
        <item x="14885"/>
        <item x="14886"/>
        <item x="14887"/>
        <item x="14888"/>
        <item x="14889"/>
        <item x="14890"/>
        <item x="14891"/>
        <item x="14892"/>
        <item x="14893"/>
        <item x="14894"/>
        <item x="14895"/>
        <item x="14896"/>
        <item x="14685"/>
        <item x="14897"/>
        <item x="14898"/>
        <item x="14899"/>
        <item x="14900"/>
        <item x="14901"/>
        <item x="14902"/>
        <item x="14903"/>
        <item x="14904"/>
        <item x="14905"/>
        <item x="14906"/>
        <item x="14907"/>
        <item x="14908"/>
        <item x="14909"/>
        <item x="14910"/>
        <item x="14699"/>
        <item x="14911"/>
        <item x="14912"/>
        <item x="14913"/>
        <item x="14914"/>
        <item x="14915"/>
        <item x="14916"/>
        <item x="14917"/>
        <item x="14918"/>
        <item x="14919"/>
        <item x="14920"/>
        <item x="14921"/>
        <item x="14922"/>
        <item x="14923"/>
        <item x="14705"/>
        <item x="14706"/>
        <item x="14707"/>
        <item x="14708"/>
        <item x="14709"/>
        <item x="14710"/>
        <item x="14711"/>
        <item x="14712"/>
        <item x="14713"/>
        <item x="14714"/>
        <item x="14924"/>
        <item x="14925"/>
        <item x="14926"/>
        <item x="14927"/>
        <item x="14928"/>
        <item x="14719"/>
        <item x="14720"/>
        <item x="14721"/>
        <item x="14722"/>
        <item x="14723"/>
        <item x="14724"/>
        <item x="14725"/>
        <item x="14726"/>
        <item x="14727"/>
        <item x="14728"/>
        <item x="14938"/>
        <item x="14939"/>
        <item x="14940"/>
        <item x="14941"/>
        <item x="14734"/>
        <item x="14735"/>
        <item x="14736"/>
        <item x="14737"/>
        <item x="14738"/>
        <item x="14739"/>
        <item x="14740"/>
        <item x="14741"/>
        <item x="14742"/>
        <item x="14743"/>
        <item x="14951"/>
        <item x="14952"/>
        <item x="14953"/>
        <item x="14954"/>
        <item x="14955"/>
        <item x="11593"/>
        <item x="11594"/>
        <item x="11595"/>
        <item x="11596"/>
        <item x="11597"/>
        <item x="11598"/>
        <item x="11599"/>
        <item x="11600"/>
        <item x="11601"/>
        <item x="11602"/>
        <item x="11603"/>
        <item x="11604"/>
        <item x="11605"/>
        <item x="11606"/>
        <item x="11607"/>
        <item x="11609"/>
        <item x="11610"/>
        <item x="11611"/>
        <item x="11612"/>
        <item x="11613"/>
        <item x="11614"/>
        <item x="11615"/>
        <item x="11616"/>
        <item x="11617"/>
        <item x="11618"/>
        <item x="11619"/>
        <item x="11620"/>
        <item x="11621"/>
        <item x="11622"/>
        <item x="11624"/>
        <item x="11625"/>
        <item x="11626"/>
        <item x="11627"/>
        <item x="11628"/>
        <item x="11629"/>
        <item x="11630"/>
        <item x="11631"/>
        <item x="11632"/>
        <item x="11633"/>
        <item x="11634"/>
        <item x="11635"/>
        <item x="11636"/>
        <item x="11637"/>
        <item x="11638"/>
        <item x="11640"/>
        <item x="11641"/>
        <item x="11642"/>
        <item x="11643"/>
        <item x="11644"/>
        <item x="11645"/>
        <item x="11646"/>
        <item x="11647"/>
        <item x="11648"/>
        <item x="11649"/>
        <item x="11650"/>
        <item x="11651"/>
        <item x="11652"/>
        <item x="11653"/>
        <item x="11417"/>
        <item x="11418"/>
        <item x="11419"/>
        <item x="11420"/>
        <item x="11421"/>
        <item x="11422"/>
        <item x="11423"/>
        <item x="11424"/>
        <item x="11425"/>
        <item x="11426"/>
        <item x="11427"/>
        <item x="11428"/>
        <item x="11429"/>
        <item x="11430"/>
        <item x="11431"/>
        <item x="11433"/>
        <item x="11434"/>
        <item x="11435"/>
        <item x="11436"/>
        <item x="11437"/>
        <item x="11438"/>
        <item x="11439"/>
        <item x="11440"/>
        <item x="11441"/>
        <item x="11442"/>
        <item x="11443"/>
        <item x="11444"/>
        <item x="11445"/>
        <item x="11446"/>
        <item x="11448"/>
        <item x="11449"/>
        <item x="11450"/>
        <item x="11451"/>
        <item x="11452"/>
        <item x="11453"/>
        <item x="11454"/>
        <item x="11455"/>
        <item x="11456"/>
        <item x="11457"/>
        <item x="11458"/>
        <item x="11459"/>
        <item x="11460"/>
        <item x="11461"/>
        <item x="11462"/>
        <item x="11464"/>
        <item x="11465"/>
        <item x="11466"/>
        <item x="11467"/>
        <item x="11468"/>
        <item x="11469"/>
        <item x="11470"/>
        <item x="11471"/>
        <item x="11472"/>
        <item x="11473"/>
        <item x="11474"/>
        <item x="11475"/>
        <item x="11476"/>
        <item x="11477"/>
        <item x="11479"/>
        <item x="11480"/>
        <item x="11481"/>
        <item x="11482"/>
        <item x="11483"/>
        <item x="11484"/>
        <item x="11485"/>
        <item x="11486"/>
        <item x="11487"/>
        <item x="11488"/>
        <item x="11489"/>
        <item x="11490"/>
        <item x="11491"/>
        <item x="11492"/>
        <item x="11493"/>
        <item x="11495"/>
        <item x="11496"/>
        <item x="11497"/>
        <item x="11498"/>
        <item x="11499"/>
        <item x="11500"/>
        <item x="11501"/>
        <item x="11502"/>
        <item x="11503"/>
        <item x="11504"/>
        <item x="11505"/>
        <item x="11506"/>
        <item x="11507"/>
        <item x="11508"/>
        <item x="11510"/>
        <item x="11511"/>
        <item x="11512"/>
        <item x="11513"/>
        <item x="11514"/>
        <item x="11515"/>
        <item x="11516"/>
        <item x="11517"/>
        <item x="11518"/>
        <item x="11519"/>
        <item x="11520"/>
        <item x="11521"/>
        <item x="11522"/>
        <item x="11523"/>
        <item x="11524"/>
        <item x="11526"/>
        <item x="11527"/>
        <item x="11528"/>
        <item x="11529"/>
        <item x="11530"/>
        <item x="11531"/>
        <item x="11532"/>
        <item x="11533"/>
        <item x="11534"/>
        <item x="11535"/>
        <item x="11536"/>
        <item x="11537"/>
        <item x="11538"/>
        <item x="11539"/>
        <item x="11541"/>
        <item x="11542"/>
        <item x="11543"/>
        <item x="11544"/>
        <item x="11545"/>
        <item x="11546"/>
        <item x="11547"/>
        <item x="11548"/>
        <item x="11549"/>
        <item x="11550"/>
        <item x="11551"/>
        <item x="11552"/>
        <item x="11553"/>
        <item x="11554"/>
        <item x="11555"/>
        <item x="14929"/>
        <item x="14930"/>
        <item x="14931"/>
        <item x="14932"/>
        <item x="14933"/>
        <item x="14934"/>
        <item x="14935"/>
        <item x="14936"/>
        <item x="14937"/>
        <item x="11557"/>
        <item x="11558"/>
        <item x="11559"/>
        <item x="11560"/>
        <item x="11561"/>
        <item x="14942"/>
        <item x="14943"/>
        <item x="14944"/>
        <item x="14945"/>
        <item x="14946"/>
        <item x="14947"/>
        <item x="14948"/>
        <item x="14949"/>
        <item x="14950"/>
        <item x="11572"/>
        <item x="11573"/>
        <item x="11574"/>
        <item x="11575"/>
        <item x="11576"/>
        <item x="11577"/>
        <item x="14956"/>
        <item x="14957"/>
        <item x="14958"/>
        <item x="14959"/>
        <item x="14960"/>
        <item x="14961"/>
        <item x="14962"/>
        <item x="14963"/>
        <item x="14964"/>
        <item x="11588"/>
        <item x="11589"/>
        <item x="11590"/>
        <item x="11591"/>
        <item x="11592"/>
        <item x="7929"/>
        <item x="11815"/>
        <item x="11816"/>
        <item x="11817"/>
        <item x="11818"/>
        <item x="11819"/>
        <item x="11820"/>
        <item x="11821"/>
        <item x="11822"/>
        <item x="11823"/>
        <item x="11824"/>
        <item x="11825"/>
        <item x="11826"/>
        <item x="11827"/>
        <item x="11608"/>
        <item x="11829"/>
        <item x="11830"/>
        <item x="11831"/>
        <item x="11832"/>
        <item x="11833"/>
        <item x="11834"/>
        <item x="11835"/>
        <item x="11836"/>
        <item x="11837"/>
        <item x="11838"/>
        <item x="11839"/>
        <item x="11840"/>
        <item x="11841"/>
        <item x="11842"/>
        <item x="11623"/>
        <item x="11844"/>
        <item x="11845"/>
        <item x="11846"/>
        <item x="11847"/>
        <item x="11848"/>
        <item x="11849"/>
        <item x="11850"/>
        <item x="11851"/>
        <item x="11852"/>
        <item x="11853"/>
        <item x="11854"/>
        <item x="11855"/>
        <item x="11856"/>
        <item x="11639"/>
        <item x="11858"/>
        <item x="11859"/>
        <item x="11860"/>
        <item x="11861"/>
        <item x="11862"/>
        <item x="11863"/>
        <item x="11864"/>
        <item x="11865"/>
        <item x="11866"/>
        <item x="11867"/>
        <item x="11868"/>
        <item x="11869"/>
        <item x="11870"/>
        <item x="11871"/>
        <item x="11654"/>
        <item x="11873"/>
        <item x="11874"/>
        <item x="11875"/>
        <item x="11876"/>
        <item x="11877"/>
        <item x="11878"/>
        <item x="11879"/>
        <item x="11880"/>
        <item x="11881"/>
        <item x="11882"/>
        <item x="11883"/>
        <item x="11884"/>
        <item x="11885"/>
        <item x="11432"/>
        <item x="11655"/>
        <item x="11656"/>
        <item x="11657"/>
        <item x="11658"/>
        <item x="11659"/>
        <item x="11660"/>
        <item x="11661"/>
        <item x="11662"/>
        <item x="11663"/>
        <item x="11664"/>
        <item x="11665"/>
        <item x="11666"/>
        <item x="11667"/>
        <item x="11668"/>
        <item x="11447"/>
        <item x="11670"/>
        <item x="11671"/>
        <item x="11672"/>
        <item x="11673"/>
        <item x="11674"/>
        <item x="11675"/>
        <item x="11676"/>
        <item x="11677"/>
        <item x="11678"/>
        <item x="11679"/>
        <item x="11680"/>
        <item x="11681"/>
        <item x="11682"/>
        <item x="11463"/>
        <item x="11684"/>
        <item x="11685"/>
        <item x="11686"/>
        <item x="11687"/>
        <item x="11688"/>
        <item x="11689"/>
        <item x="11690"/>
        <item x="11691"/>
        <item x="11692"/>
        <item x="11693"/>
        <item x="11694"/>
        <item x="11695"/>
        <item x="11696"/>
        <item x="11697"/>
        <item x="11478"/>
        <item x="11699"/>
        <item x="11700"/>
        <item x="11701"/>
        <item x="11702"/>
        <item x="11703"/>
        <item x="11704"/>
        <item x="11705"/>
        <item x="11706"/>
        <item x="11707"/>
        <item x="11708"/>
        <item x="11709"/>
        <item x="11710"/>
        <item x="11711"/>
        <item x="11494"/>
        <item x="11713"/>
        <item x="11714"/>
        <item x="11715"/>
        <item x="11716"/>
        <item x="11717"/>
        <item x="11718"/>
        <item x="11719"/>
        <item x="11720"/>
        <item x="11721"/>
        <item x="11722"/>
        <item x="11723"/>
        <item x="11724"/>
        <item x="11725"/>
        <item x="11726"/>
        <item x="11509"/>
        <item x="11728"/>
        <item x="11729"/>
        <item x="11730"/>
        <item x="11731"/>
        <item x="11732"/>
        <item x="11733"/>
        <item x="11734"/>
        <item x="11735"/>
        <item x="11736"/>
        <item x="11737"/>
        <item x="11738"/>
        <item x="11739"/>
        <item x="11740"/>
        <item x="11525"/>
        <item x="11742"/>
        <item x="11743"/>
        <item x="11744"/>
        <item x="11745"/>
        <item x="11746"/>
        <item x="11747"/>
        <item x="11748"/>
        <item x="11749"/>
        <item x="11750"/>
        <item x="11751"/>
        <item x="11752"/>
        <item x="11753"/>
        <item x="11754"/>
        <item x="11755"/>
        <item x="11540"/>
        <item x="11757"/>
        <item x="11758"/>
        <item x="11759"/>
        <item x="11760"/>
        <item x="11761"/>
        <item x="11762"/>
        <item x="11763"/>
        <item x="11764"/>
        <item x="11765"/>
        <item x="11766"/>
        <item x="11767"/>
        <item x="11768"/>
        <item x="11769"/>
        <item x="11556"/>
        <item x="11771"/>
        <item x="11772"/>
        <item x="11773"/>
        <item x="11774"/>
        <item x="11775"/>
        <item x="11776"/>
        <item x="11777"/>
        <item x="11778"/>
        <item x="11779"/>
        <item x="11780"/>
        <item x="11781"/>
        <item x="11782"/>
        <item x="11783"/>
        <item x="11784"/>
        <item x="11562"/>
        <item x="11563"/>
        <item x="11564"/>
        <item x="11565"/>
        <item x="11566"/>
        <item x="11567"/>
        <item x="11568"/>
        <item x="11569"/>
        <item x="11570"/>
        <item x="11571"/>
        <item x="11786"/>
        <item x="11787"/>
        <item x="11788"/>
        <item x="11789"/>
        <item x="11578"/>
        <item x="11579"/>
        <item x="11580"/>
        <item x="11581"/>
        <item x="11582"/>
        <item x="11583"/>
        <item x="11584"/>
        <item x="11585"/>
        <item x="11586"/>
        <item x="11587"/>
        <item x="11800"/>
        <item x="11801"/>
        <item x="11802"/>
        <item x="11803"/>
        <item x="11804"/>
        <item x="11828"/>
        <item x="12047"/>
        <item x="12048"/>
        <item x="12049"/>
        <item x="12050"/>
        <item x="12051"/>
        <item x="12052"/>
        <item x="12053"/>
        <item x="12054"/>
        <item x="12055"/>
        <item x="12056"/>
        <item x="12057"/>
        <item x="12058"/>
        <item x="12059"/>
        <item x="11843"/>
        <item x="12061"/>
        <item x="12062"/>
        <item x="12063"/>
        <item x="12064"/>
        <item x="12065"/>
        <item x="12066"/>
        <item x="12067"/>
        <item x="12068"/>
        <item x="12069"/>
        <item x="12070"/>
        <item x="12071"/>
        <item x="12072"/>
        <item x="12073"/>
        <item x="12074"/>
        <item x="11857"/>
        <item x="12076"/>
        <item x="12077"/>
        <item x="12078"/>
        <item x="12079"/>
        <item x="12080"/>
        <item x="12081"/>
        <item x="12082"/>
        <item x="12083"/>
        <item x="12084"/>
        <item x="12085"/>
        <item x="12086"/>
        <item x="12087"/>
        <item x="12088"/>
        <item x="11872"/>
        <item x="12090"/>
        <item x="12091"/>
        <item x="12092"/>
        <item x="12093"/>
        <item x="12094"/>
        <item x="12095"/>
        <item x="12096"/>
        <item x="12097"/>
        <item x="12098"/>
        <item x="12099"/>
        <item x="12100"/>
        <item x="12101"/>
        <item x="12102"/>
        <item x="12103"/>
        <item x="11886"/>
        <item x="12105"/>
        <item x="12106"/>
        <item x="12107"/>
        <item x="12108"/>
        <item x="12109"/>
        <item x="12110"/>
        <item x="12111"/>
        <item x="12112"/>
        <item x="12113"/>
        <item x="12114"/>
        <item x="12115"/>
        <item x="12116"/>
        <item x="12117"/>
        <item x="11669"/>
        <item x="11887"/>
        <item x="11888"/>
        <item x="11889"/>
        <item x="11890"/>
        <item x="11891"/>
        <item x="11892"/>
        <item x="11893"/>
        <item x="11894"/>
        <item x="11895"/>
        <item x="11896"/>
        <item x="11897"/>
        <item x="11898"/>
        <item x="11899"/>
        <item x="11900"/>
        <item x="11683"/>
        <item x="11902"/>
        <item x="11903"/>
        <item x="11904"/>
        <item x="11905"/>
        <item x="11906"/>
        <item x="11907"/>
        <item x="11908"/>
        <item x="11909"/>
        <item x="11910"/>
        <item x="11911"/>
        <item x="11912"/>
        <item x="11913"/>
        <item x="11914"/>
        <item x="11698"/>
        <item x="11916"/>
        <item x="11917"/>
        <item x="11918"/>
        <item x="11919"/>
        <item x="11920"/>
        <item x="11921"/>
        <item x="11922"/>
        <item x="11923"/>
        <item x="11924"/>
        <item x="11925"/>
        <item x="11926"/>
        <item x="11927"/>
        <item x="11928"/>
        <item x="11929"/>
        <item x="11712"/>
        <item x="11931"/>
        <item x="11932"/>
        <item x="11933"/>
        <item x="11934"/>
        <item x="11935"/>
        <item x="11936"/>
        <item x="11937"/>
        <item x="11938"/>
        <item x="11939"/>
        <item x="11940"/>
        <item x="11941"/>
        <item x="11942"/>
        <item x="11943"/>
        <item x="11727"/>
        <item x="11945"/>
        <item x="11946"/>
        <item x="11947"/>
        <item x="11948"/>
        <item x="11949"/>
        <item x="11950"/>
        <item x="11951"/>
        <item x="11952"/>
        <item x="11953"/>
        <item x="11954"/>
        <item x="11955"/>
        <item x="11956"/>
        <item x="11957"/>
        <item x="11958"/>
        <item x="11741"/>
        <item x="11960"/>
        <item x="11961"/>
        <item x="11962"/>
        <item x="11963"/>
        <item x="11964"/>
        <item x="11965"/>
        <item x="11966"/>
        <item x="11967"/>
        <item x="11968"/>
        <item x="11969"/>
        <item x="11970"/>
        <item x="11971"/>
        <item x="11972"/>
        <item x="11756"/>
        <item x="11974"/>
        <item x="11975"/>
        <item x="11976"/>
        <item x="11977"/>
        <item x="11978"/>
        <item x="11979"/>
        <item x="11980"/>
        <item x="11981"/>
        <item x="11982"/>
        <item x="11983"/>
        <item x="11984"/>
        <item x="11985"/>
        <item x="11986"/>
        <item x="11987"/>
        <item x="11770"/>
        <item x="11989"/>
        <item x="11990"/>
        <item x="11991"/>
        <item x="11992"/>
        <item x="11993"/>
        <item x="11994"/>
        <item x="11995"/>
        <item x="11996"/>
        <item x="11997"/>
        <item x="11998"/>
        <item x="11999"/>
        <item x="12000"/>
        <item x="12001"/>
        <item x="11785"/>
        <item x="12003"/>
        <item x="12004"/>
        <item x="12005"/>
        <item x="12006"/>
        <item x="12007"/>
        <item x="12008"/>
        <item x="12009"/>
        <item x="12010"/>
        <item x="12011"/>
        <item x="12012"/>
        <item x="12013"/>
        <item x="12014"/>
        <item x="12015"/>
        <item x="12016"/>
        <item x="11790"/>
        <item x="11791"/>
        <item x="11792"/>
        <item x="11793"/>
        <item x="11794"/>
        <item x="11795"/>
        <item x="11796"/>
        <item x="11797"/>
        <item x="11798"/>
        <item x="11799"/>
        <item x="12018"/>
        <item x="12019"/>
        <item x="12020"/>
        <item x="12021"/>
        <item x="11805"/>
        <item x="11806"/>
        <item x="11807"/>
        <item x="11808"/>
        <item x="11809"/>
        <item x="11810"/>
        <item x="11811"/>
        <item x="11812"/>
        <item x="11813"/>
        <item x="11814"/>
        <item x="12032"/>
        <item x="12033"/>
        <item x="12034"/>
        <item x="12035"/>
        <item x="12036"/>
        <item x="12060"/>
        <item x="12279"/>
        <item x="12280"/>
        <item x="12281"/>
        <item x="12282"/>
        <item x="12283"/>
        <item x="12284"/>
        <item x="12285"/>
        <item x="12286"/>
        <item x="12287"/>
        <item x="12288"/>
        <item x="12289"/>
        <item x="12290"/>
        <item x="12291"/>
        <item x="12075"/>
        <item x="12293"/>
        <item x="12294"/>
        <item x="12295"/>
        <item x="12296"/>
        <item x="12297"/>
        <item x="12298"/>
        <item x="12299"/>
        <item x="12300"/>
        <item x="12301"/>
        <item x="12302"/>
        <item x="12303"/>
        <item x="12304"/>
        <item x="12305"/>
        <item x="12306"/>
        <item x="12089"/>
        <item x="12308"/>
        <item x="12309"/>
        <item x="12310"/>
        <item x="12311"/>
        <item x="12312"/>
        <item x="12313"/>
        <item x="12314"/>
        <item x="12315"/>
        <item x="12316"/>
        <item x="12317"/>
        <item x="12318"/>
        <item x="12319"/>
        <item x="12320"/>
        <item x="12104"/>
        <item x="12322"/>
        <item x="12323"/>
        <item x="12324"/>
        <item x="12325"/>
        <item x="12326"/>
        <item x="12327"/>
        <item x="12328"/>
        <item x="12329"/>
        <item x="12330"/>
        <item x="12331"/>
        <item x="12332"/>
        <item x="12333"/>
        <item x="12334"/>
        <item x="12335"/>
        <item x="12118"/>
        <item x="12337"/>
        <item x="12338"/>
        <item x="12339"/>
        <item x="12340"/>
        <item x="12341"/>
        <item x="12342"/>
        <item x="12343"/>
        <item x="12344"/>
        <item x="12345"/>
        <item x="12346"/>
        <item x="12347"/>
        <item x="12348"/>
        <item x="12349"/>
        <item x="11901"/>
        <item x="12119"/>
        <item x="12120"/>
        <item x="12121"/>
        <item x="12122"/>
        <item x="12123"/>
        <item x="12124"/>
        <item x="12125"/>
        <item x="12126"/>
        <item x="12127"/>
        <item x="12128"/>
        <item x="12129"/>
        <item x="12130"/>
        <item x="12131"/>
        <item x="12132"/>
        <item x="11915"/>
        <item x="12134"/>
        <item x="12135"/>
        <item x="12136"/>
        <item x="12137"/>
        <item x="12138"/>
        <item x="12139"/>
        <item x="12140"/>
        <item x="12141"/>
        <item x="12142"/>
        <item x="12143"/>
        <item x="12144"/>
        <item x="12145"/>
        <item x="12146"/>
        <item x="11930"/>
        <item x="12148"/>
        <item x="12149"/>
        <item x="12150"/>
        <item x="12151"/>
        <item x="12152"/>
        <item x="12153"/>
        <item x="12154"/>
        <item x="12155"/>
        <item x="12156"/>
        <item x="12157"/>
        <item x="12158"/>
        <item x="12159"/>
        <item x="12160"/>
        <item x="12161"/>
        <item x="11944"/>
        <item x="12163"/>
        <item x="12164"/>
        <item x="12165"/>
        <item x="12166"/>
        <item x="12167"/>
        <item x="12168"/>
        <item x="12169"/>
        <item x="12170"/>
        <item x="12171"/>
        <item x="12172"/>
        <item x="12173"/>
        <item x="12174"/>
        <item x="12175"/>
        <item x="11959"/>
        <item x="12177"/>
        <item x="12178"/>
        <item x="12179"/>
        <item x="12180"/>
        <item x="12181"/>
        <item x="12182"/>
        <item x="12183"/>
        <item x="12184"/>
        <item x="12185"/>
        <item x="12186"/>
        <item x="12187"/>
        <item x="12188"/>
        <item x="12189"/>
        <item x="12190"/>
        <item x="11973"/>
        <item x="12192"/>
        <item x="12193"/>
        <item x="12194"/>
        <item x="12195"/>
        <item x="12196"/>
        <item x="12197"/>
        <item x="12198"/>
        <item x="12199"/>
        <item x="12200"/>
        <item x="12201"/>
        <item x="12202"/>
        <item x="12203"/>
        <item x="12204"/>
        <item x="11988"/>
        <item x="12206"/>
        <item x="12207"/>
        <item x="12208"/>
        <item x="12209"/>
        <item x="12210"/>
        <item x="12211"/>
        <item x="12212"/>
        <item x="12213"/>
        <item x="12214"/>
        <item x="12215"/>
        <item x="12216"/>
        <item x="12217"/>
        <item x="12218"/>
        <item x="12219"/>
        <item x="12002"/>
        <item x="12221"/>
        <item x="12222"/>
        <item x="12223"/>
        <item x="12224"/>
        <item x="12225"/>
        <item x="12226"/>
        <item x="12227"/>
        <item x="12228"/>
        <item x="12229"/>
        <item x="12230"/>
        <item x="12231"/>
        <item x="12232"/>
        <item x="12233"/>
        <item x="12017"/>
        <item x="12235"/>
        <item x="12236"/>
        <item x="12237"/>
        <item x="12238"/>
        <item x="12239"/>
        <item x="12240"/>
        <item x="12241"/>
        <item x="12242"/>
        <item x="12243"/>
        <item x="12244"/>
        <item x="12245"/>
        <item x="12246"/>
        <item x="12247"/>
        <item x="12248"/>
        <item x="12022"/>
        <item x="12023"/>
        <item x="12024"/>
        <item x="12025"/>
        <item x="12026"/>
        <item x="12027"/>
        <item x="12028"/>
        <item x="12029"/>
        <item x="12030"/>
        <item x="12031"/>
        <item x="12250"/>
        <item x="12251"/>
        <item x="12252"/>
        <item x="12253"/>
        <item x="12037"/>
        <item x="12038"/>
        <item x="12039"/>
        <item x="12040"/>
        <item x="12041"/>
        <item x="12042"/>
        <item x="12043"/>
        <item x="12044"/>
        <item x="12045"/>
        <item x="12046"/>
        <item x="12264"/>
        <item x="12265"/>
        <item x="12266"/>
        <item x="12267"/>
        <item x="12268"/>
        <item x="12292"/>
        <item x="12511"/>
        <item x="12512"/>
        <item x="12513"/>
        <item x="12514"/>
        <item x="12515"/>
        <item x="12516"/>
        <item x="12517"/>
        <item x="12518"/>
        <item x="12519"/>
        <item x="12520"/>
        <item x="12521"/>
        <item x="12522"/>
        <item x="12523"/>
        <item x="12307"/>
        <item x="12525"/>
        <item x="12526"/>
        <item x="12527"/>
        <item x="12528"/>
        <item x="12529"/>
        <item x="12530"/>
        <item x="12531"/>
        <item x="12532"/>
        <item x="12533"/>
        <item x="12534"/>
        <item x="12535"/>
        <item x="12536"/>
        <item x="12537"/>
        <item x="12538"/>
        <item x="12321"/>
        <item x="12540"/>
        <item x="12541"/>
        <item x="12542"/>
        <item x="12543"/>
        <item x="12544"/>
        <item x="12545"/>
        <item x="12546"/>
        <item x="12547"/>
        <item x="12548"/>
        <item x="12549"/>
        <item x="12550"/>
        <item x="12551"/>
        <item x="12552"/>
        <item x="12336"/>
        <item x="12554"/>
        <item x="12555"/>
        <item x="12556"/>
        <item x="12557"/>
        <item x="12558"/>
        <item x="12559"/>
        <item x="12560"/>
        <item x="12561"/>
        <item x="12562"/>
        <item x="12563"/>
        <item x="12564"/>
        <item x="12565"/>
        <item x="12566"/>
        <item x="12567"/>
        <item x="12350"/>
        <item x="12569"/>
        <item x="12570"/>
        <item x="12571"/>
        <item x="12572"/>
        <item x="12573"/>
        <item x="12574"/>
        <item x="12575"/>
        <item x="12576"/>
        <item x="12577"/>
        <item x="12578"/>
        <item x="12579"/>
        <item x="12580"/>
        <item x="12581"/>
        <item x="12133"/>
        <item x="12351"/>
        <item x="12352"/>
        <item x="12353"/>
        <item x="12354"/>
        <item x="12355"/>
        <item x="12356"/>
        <item x="12357"/>
        <item x="12358"/>
        <item x="12359"/>
        <item x="12360"/>
        <item x="12361"/>
        <item x="12362"/>
        <item x="12363"/>
        <item x="12364"/>
        <item x="12147"/>
        <item x="12366"/>
        <item x="12367"/>
        <item x="12368"/>
        <item x="12369"/>
        <item x="12370"/>
        <item x="12371"/>
        <item x="12372"/>
        <item x="12373"/>
        <item x="12374"/>
        <item x="12375"/>
        <item x="12376"/>
        <item x="12377"/>
        <item x="12378"/>
        <item x="12162"/>
        <item x="12380"/>
        <item x="12381"/>
        <item x="12382"/>
        <item x="12383"/>
        <item x="12384"/>
        <item x="12385"/>
        <item x="12386"/>
        <item x="12387"/>
        <item x="12388"/>
        <item x="12389"/>
        <item x="12390"/>
        <item x="12391"/>
        <item x="12392"/>
        <item x="12393"/>
        <item x="12176"/>
        <item x="12395"/>
        <item x="12396"/>
        <item x="12397"/>
        <item x="12398"/>
        <item x="12399"/>
        <item x="12400"/>
        <item x="12401"/>
        <item x="12402"/>
        <item x="12403"/>
        <item x="12404"/>
        <item x="12405"/>
        <item x="12406"/>
        <item x="12407"/>
        <item x="12191"/>
        <item x="12409"/>
        <item x="12410"/>
        <item x="12411"/>
        <item x="12412"/>
        <item x="12413"/>
        <item x="12414"/>
        <item x="12415"/>
        <item x="12416"/>
        <item x="12417"/>
        <item x="12418"/>
        <item x="12419"/>
        <item x="12420"/>
        <item x="12421"/>
        <item x="12422"/>
        <item x="12205"/>
        <item x="12424"/>
        <item x="12425"/>
        <item x="12426"/>
        <item x="12427"/>
        <item x="12428"/>
        <item x="12429"/>
        <item x="12430"/>
        <item x="12431"/>
        <item x="12432"/>
        <item x="12433"/>
        <item x="12434"/>
        <item x="12435"/>
        <item x="12436"/>
        <item x="12220"/>
        <item x="12438"/>
        <item x="12439"/>
        <item x="12440"/>
        <item x="12441"/>
        <item x="12442"/>
        <item x="12443"/>
        <item x="12444"/>
        <item x="12445"/>
        <item x="12446"/>
        <item x="12447"/>
        <item x="12448"/>
        <item x="12449"/>
        <item x="12450"/>
        <item x="12451"/>
        <item x="12234"/>
        <item x="12453"/>
        <item x="12454"/>
        <item x="12455"/>
        <item x="12456"/>
        <item x="12457"/>
        <item x="12458"/>
        <item x="12459"/>
        <item x="12460"/>
        <item x="12461"/>
        <item x="12462"/>
        <item x="12463"/>
        <item x="12464"/>
        <item x="12465"/>
        <item x="12249"/>
        <item x="12467"/>
        <item x="12468"/>
        <item x="12469"/>
        <item x="12470"/>
        <item x="12471"/>
        <item x="12472"/>
        <item x="12473"/>
        <item x="12474"/>
        <item x="12475"/>
        <item x="12476"/>
        <item x="12477"/>
        <item x="12478"/>
        <item x="12479"/>
        <item x="12480"/>
        <item x="12254"/>
        <item x="12255"/>
        <item x="12256"/>
        <item x="12257"/>
        <item x="12258"/>
        <item x="12259"/>
        <item x="12260"/>
        <item x="12261"/>
        <item x="12262"/>
        <item x="12263"/>
        <item x="12482"/>
        <item x="12483"/>
        <item x="12484"/>
        <item x="12485"/>
        <item x="12269"/>
        <item x="12270"/>
        <item x="12271"/>
        <item x="12272"/>
        <item x="12273"/>
        <item x="12274"/>
        <item x="12275"/>
        <item x="12276"/>
        <item x="12277"/>
        <item x="12278"/>
        <item x="12496"/>
        <item x="12497"/>
        <item x="12498"/>
        <item x="12499"/>
        <item x="12500"/>
        <item x="12524"/>
        <item x="12743"/>
        <item x="12744"/>
        <item x="12745"/>
        <item x="12746"/>
        <item x="12747"/>
        <item x="12748"/>
        <item x="12749"/>
        <item x="12750"/>
        <item x="12751"/>
        <item x="12752"/>
        <item x="12753"/>
        <item x="12754"/>
        <item x="12755"/>
        <item x="12539"/>
        <item x="12757"/>
        <item x="12758"/>
        <item x="12759"/>
        <item x="12760"/>
        <item x="12761"/>
        <item x="12762"/>
        <item x="12763"/>
        <item x="12764"/>
        <item x="12765"/>
        <item x="12766"/>
        <item x="12767"/>
        <item x="12768"/>
        <item x="12769"/>
        <item x="12770"/>
        <item x="12553"/>
        <item x="12772"/>
        <item x="12773"/>
        <item x="12774"/>
        <item x="12775"/>
        <item x="12776"/>
        <item x="12777"/>
        <item x="12778"/>
        <item x="12779"/>
        <item x="12780"/>
        <item x="12781"/>
        <item x="12782"/>
        <item x="12783"/>
        <item x="12784"/>
        <item x="12568"/>
        <item x="12786"/>
        <item x="12787"/>
        <item x="12788"/>
        <item x="12789"/>
        <item x="12790"/>
        <item x="12791"/>
        <item x="12792"/>
        <item x="12793"/>
        <item x="12794"/>
        <item x="12795"/>
        <item x="12796"/>
        <item x="12797"/>
        <item x="12798"/>
        <item x="12799"/>
        <item x="12582"/>
        <item x="12801"/>
        <item x="12802"/>
        <item x="12803"/>
        <item x="12804"/>
        <item x="12805"/>
        <item x="12806"/>
        <item x="12807"/>
        <item x="12808"/>
        <item x="12809"/>
        <item x="12810"/>
        <item x="12811"/>
        <item x="12812"/>
        <item x="12813"/>
        <item x="12365"/>
        <item x="12583"/>
        <item x="12584"/>
        <item x="12585"/>
        <item x="12586"/>
        <item x="12587"/>
        <item x="12588"/>
        <item x="12589"/>
        <item x="12590"/>
        <item x="12591"/>
        <item x="12592"/>
        <item x="12593"/>
        <item x="12594"/>
        <item x="12595"/>
        <item x="12596"/>
        <item x="12379"/>
        <item x="12598"/>
        <item x="12599"/>
        <item x="12600"/>
        <item x="12601"/>
        <item x="12602"/>
        <item x="12603"/>
        <item x="12604"/>
        <item x="12605"/>
        <item x="12606"/>
        <item x="12607"/>
        <item x="12608"/>
        <item x="12609"/>
        <item x="12610"/>
        <item x="12394"/>
        <item x="12612"/>
        <item x="12613"/>
        <item x="12614"/>
        <item x="12615"/>
        <item x="12616"/>
        <item x="12617"/>
        <item x="12618"/>
        <item x="12619"/>
        <item x="12620"/>
        <item x="12621"/>
        <item x="12622"/>
        <item x="12623"/>
        <item x="12624"/>
        <item x="12625"/>
        <item x="12408"/>
        <item x="12627"/>
        <item x="12628"/>
        <item x="12629"/>
        <item x="12630"/>
        <item x="12631"/>
        <item x="12632"/>
        <item x="12633"/>
        <item x="12634"/>
        <item x="12635"/>
        <item x="12636"/>
        <item x="12637"/>
        <item x="12638"/>
        <item x="12639"/>
        <item x="12423"/>
        <item x="12641"/>
        <item x="12642"/>
        <item x="12643"/>
        <item x="12644"/>
        <item x="12645"/>
        <item x="12646"/>
        <item x="12647"/>
        <item x="12648"/>
        <item x="12649"/>
        <item x="12650"/>
        <item x="12651"/>
        <item x="12652"/>
        <item x="12653"/>
        <item x="12654"/>
        <item x="12437"/>
        <item x="12656"/>
        <item x="12657"/>
        <item x="12658"/>
        <item x="12659"/>
        <item x="12660"/>
        <item x="12661"/>
        <item x="12662"/>
        <item x="12663"/>
        <item x="12664"/>
        <item x="12665"/>
        <item x="12666"/>
        <item x="12667"/>
        <item x="12668"/>
        <item x="12452"/>
        <item x="12670"/>
        <item x="12671"/>
        <item x="12672"/>
        <item x="12673"/>
        <item x="12674"/>
        <item x="12675"/>
        <item x="12676"/>
        <item x="12677"/>
        <item x="12678"/>
        <item x="12679"/>
        <item x="12680"/>
        <item x="12681"/>
        <item x="12682"/>
        <item x="12683"/>
        <item x="12466"/>
        <item x="12685"/>
        <item x="12686"/>
        <item x="12687"/>
        <item x="12688"/>
        <item x="12689"/>
        <item x="12690"/>
        <item x="12691"/>
        <item x="12692"/>
        <item x="12693"/>
        <item x="12694"/>
        <item x="12695"/>
        <item x="12696"/>
        <item x="12697"/>
        <item x="12481"/>
        <item x="12699"/>
        <item x="12700"/>
        <item x="12701"/>
        <item x="12702"/>
        <item x="12703"/>
        <item x="12704"/>
        <item x="12705"/>
        <item x="12706"/>
        <item x="12707"/>
        <item x="12708"/>
        <item x="12709"/>
        <item x="12710"/>
        <item x="12711"/>
        <item x="12712"/>
        <item x="12486"/>
        <item x="12487"/>
        <item x="12488"/>
        <item x="12489"/>
        <item x="12490"/>
        <item x="12491"/>
        <item x="12492"/>
        <item x="12493"/>
        <item x="12494"/>
        <item x="12495"/>
        <item x="12714"/>
        <item x="12715"/>
        <item x="12716"/>
        <item x="12717"/>
        <item x="12501"/>
        <item x="12502"/>
        <item x="12503"/>
        <item x="12504"/>
        <item x="12505"/>
        <item x="12506"/>
        <item x="12507"/>
        <item x="12508"/>
        <item x="12509"/>
        <item x="12510"/>
        <item x="12728"/>
        <item x="12729"/>
        <item x="12730"/>
        <item x="12731"/>
        <item x="12732"/>
        <item x="12756"/>
        <item x="12975"/>
        <item x="12976"/>
        <item x="12977"/>
        <item x="12978"/>
        <item x="12979"/>
        <item x="12980"/>
        <item x="12981"/>
        <item x="12982"/>
        <item x="12983"/>
        <item x="12984"/>
        <item x="12985"/>
        <item x="12986"/>
        <item x="12987"/>
        <item x="12771"/>
        <item x="12989"/>
        <item x="12990"/>
        <item x="12991"/>
        <item x="12992"/>
        <item x="12993"/>
        <item x="12994"/>
        <item x="12995"/>
        <item x="12996"/>
        <item x="12997"/>
        <item x="12998"/>
        <item x="12999"/>
        <item x="13000"/>
        <item x="13001"/>
        <item x="13002"/>
        <item x="12785"/>
        <item x="13004"/>
        <item x="13005"/>
        <item x="13006"/>
        <item x="13007"/>
        <item x="13008"/>
        <item x="13009"/>
        <item x="13010"/>
        <item x="13011"/>
        <item x="13012"/>
        <item x="13013"/>
        <item x="13014"/>
        <item x="13015"/>
        <item x="13016"/>
        <item x="12800"/>
        <item x="13018"/>
        <item x="13019"/>
        <item x="13020"/>
        <item x="13021"/>
        <item x="13022"/>
        <item x="13023"/>
        <item x="13024"/>
        <item x="13025"/>
        <item x="13026"/>
        <item x="13027"/>
        <item x="13028"/>
        <item x="13029"/>
        <item x="13030"/>
        <item x="13031"/>
        <item x="12814"/>
        <item x="13033"/>
        <item x="13034"/>
        <item x="13035"/>
        <item x="13036"/>
        <item x="13037"/>
        <item x="13038"/>
        <item x="13039"/>
        <item x="13040"/>
        <item x="13041"/>
        <item x="13042"/>
        <item x="13043"/>
        <item x="13044"/>
        <item x="13045"/>
        <item x="12597"/>
        <item x="12815"/>
        <item x="12816"/>
        <item x="12817"/>
        <item x="12818"/>
        <item x="12819"/>
        <item x="12820"/>
        <item x="12821"/>
        <item x="12822"/>
        <item x="12823"/>
        <item x="12824"/>
        <item x="12825"/>
        <item x="12826"/>
        <item x="12827"/>
        <item x="12828"/>
        <item x="12611"/>
        <item x="12830"/>
        <item x="12831"/>
        <item x="12832"/>
        <item x="12833"/>
        <item x="12834"/>
        <item x="12835"/>
        <item x="12836"/>
        <item x="12837"/>
        <item x="12838"/>
        <item x="12839"/>
        <item x="12840"/>
        <item x="12841"/>
        <item x="12842"/>
        <item x="12626"/>
        <item x="12844"/>
        <item x="12845"/>
        <item x="12846"/>
        <item x="12847"/>
        <item x="12848"/>
        <item x="12849"/>
        <item x="12850"/>
        <item x="12851"/>
        <item x="12852"/>
        <item x="12853"/>
        <item x="12854"/>
        <item x="12855"/>
        <item x="12856"/>
        <item x="12857"/>
        <item x="12640"/>
        <item x="12859"/>
        <item x="12860"/>
        <item x="12861"/>
        <item x="12862"/>
        <item x="12863"/>
        <item x="12864"/>
        <item x="12865"/>
        <item x="12866"/>
        <item x="12867"/>
        <item x="12868"/>
        <item x="12869"/>
        <item x="12870"/>
        <item x="12871"/>
        <item x="12655"/>
        <item x="12873"/>
        <item x="12874"/>
        <item x="12875"/>
        <item x="12876"/>
        <item x="12877"/>
        <item x="12878"/>
        <item x="12879"/>
        <item x="12880"/>
        <item x="12881"/>
        <item x="12882"/>
        <item x="12883"/>
        <item x="12884"/>
        <item x="12885"/>
        <item x="12886"/>
        <item x="12669"/>
        <item x="12888"/>
        <item x="12889"/>
        <item x="12890"/>
        <item x="12891"/>
        <item x="12892"/>
        <item x="12893"/>
        <item x="12894"/>
        <item x="12895"/>
        <item x="12896"/>
        <item x="12897"/>
        <item x="12898"/>
        <item x="12899"/>
        <item x="12900"/>
        <item x="12684"/>
        <item x="12902"/>
        <item x="12903"/>
        <item x="12904"/>
        <item x="12905"/>
        <item x="12906"/>
        <item x="12907"/>
        <item x="12908"/>
        <item x="12909"/>
        <item x="12910"/>
        <item x="12911"/>
        <item x="12912"/>
        <item x="12913"/>
        <item x="12914"/>
        <item x="12915"/>
        <item x="12698"/>
        <item x="12917"/>
        <item x="12918"/>
        <item x="12919"/>
        <item x="12920"/>
        <item x="12921"/>
        <item x="12922"/>
        <item x="12923"/>
        <item x="12924"/>
        <item x="12925"/>
        <item x="12926"/>
        <item x="12927"/>
        <item x="12928"/>
        <item x="12929"/>
        <item x="12713"/>
        <item x="12931"/>
        <item x="12932"/>
        <item x="12933"/>
        <item x="12934"/>
        <item x="12935"/>
        <item x="12936"/>
        <item x="12937"/>
        <item x="12938"/>
        <item x="12939"/>
        <item x="12940"/>
        <item x="12941"/>
        <item x="12942"/>
        <item x="12943"/>
        <item x="12944"/>
        <item x="12718"/>
        <item x="12719"/>
        <item x="12720"/>
        <item x="12721"/>
        <item x="12722"/>
        <item x="12723"/>
        <item x="12724"/>
        <item x="12725"/>
        <item x="12726"/>
        <item x="12727"/>
        <item x="12946"/>
        <item x="12947"/>
        <item x="12948"/>
        <item x="12949"/>
        <item x="12733"/>
        <item x="12734"/>
        <item x="12735"/>
        <item x="12736"/>
        <item x="12737"/>
        <item x="12738"/>
        <item x="12739"/>
        <item x="12740"/>
        <item x="12741"/>
        <item x="12742"/>
        <item x="12960"/>
        <item x="12961"/>
        <item x="12962"/>
        <item x="12963"/>
        <item x="12964"/>
        <item x="12988"/>
        <item x="13207"/>
        <item x="13208"/>
        <item x="13209"/>
        <item x="13210"/>
        <item x="13211"/>
        <item x="13212"/>
        <item x="13213"/>
        <item x="13214"/>
        <item x="13215"/>
        <item x="13216"/>
        <item x="13217"/>
        <item x="13218"/>
        <item x="13219"/>
        <item x="13003"/>
        <item x="13221"/>
        <item x="13222"/>
        <item x="13223"/>
        <item x="13224"/>
        <item x="13225"/>
        <item x="13226"/>
        <item x="13227"/>
        <item x="13228"/>
        <item x="13229"/>
        <item x="13230"/>
        <item x="13231"/>
        <item x="13232"/>
        <item x="13233"/>
        <item x="13234"/>
        <item x="13017"/>
        <item x="13236"/>
        <item x="13237"/>
        <item x="13238"/>
        <item x="13239"/>
        <item x="13240"/>
        <item x="13241"/>
        <item x="13242"/>
        <item x="13243"/>
        <item x="13244"/>
        <item x="13245"/>
        <item x="13246"/>
        <item x="13247"/>
        <item x="13248"/>
        <item x="13032"/>
        <item x="13250"/>
        <item x="13251"/>
        <item x="13252"/>
        <item x="13253"/>
        <item x="13254"/>
        <item x="13255"/>
        <item x="13256"/>
        <item x="13257"/>
        <item x="13258"/>
        <item x="13259"/>
        <item x="13260"/>
        <item x="13261"/>
        <item x="13262"/>
        <item x="13263"/>
        <item x="13046"/>
        <item x="13265"/>
        <item x="13266"/>
        <item x="13267"/>
        <item x="13268"/>
        <item x="13269"/>
        <item x="13270"/>
        <item x="13271"/>
        <item x="13272"/>
        <item x="13273"/>
        <item x="13274"/>
        <item x="13275"/>
        <item x="13276"/>
        <item x="13277"/>
        <item x="12829"/>
        <item x="13047"/>
        <item x="13048"/>
        <item x="13049"/>
        <item x="13050"/>
        <item x="13051"/>
        <item x="13052"/>
        <item x="13053"/>
        <item x="13054"/>
        <item x="13055"/>
        <item x="13056"/>
        <item x="13057"/>
        <item x="13058"/>
        <item x="13059"/>
        <item x="13060"/>
        <item x="12843"/>
        <item x="13062"/>
        <item x="13063"/>
        <item x="13064"/>
        <item x="13065"/>
        <item x="13066"/>
        <item x="13067"/>
        <item x="13068"/>
        <item x="13069"/>
        <item x="13070"/>
        <item x="13071"/>
        <item x="13072"/>
        <item x="13073"/>
        <item x="13074"/>
        <item x="12858"/>
        <item x="13076"/>
        <item x="13077"/>
        <item x="13078"/>
        <item x="13079"/>
        <item x="13080"/>
        <item x="13081"/>
        <item x="13082"/>
        <item x="13083"/>
        <item x="13084"/>
        <item x="13085"/>
        <item x="13086"/>
        <item x="13087"/>
        <item x="13088"/>
        <item x="13089"/>
        <item x="12872"/>
        <item x="13091"/>
        <item x="13092"/>
        <item x="13093"/>
        <item x="13094"/>
        <item x="13095"/>
        <item x="13096"/>
        <item x="13097"/>
        <item x="13098"/>
        <item x="13099"/>
        <item x="13100"/>
        <item x="13101"/>
        <item x="13102"/>
        <item x="13103"/>
        <item x="12887"/>
        <item x="13105"/>
        <item x="13106"/>
        <item x="13107"/>
        <item x="13108"/>
        <item x="13109"/>
        <item x="13110"/>
        <item x="13111"/>
        <item x="13112"/>
        <item x="13113"/>
        <item x="13114"/>
        <item x="13115"/>
        <item x="13116"/>
        <item x="13117"/>
        <item x="13118"/>
        <item x="12901"/>
        <item x="13120"/>
        <item x="13121"/>
        <item x="13122"/>
        <item x="13123"/>
        <item x="13124"/>
        <item x="13125"/>
        <item x="13126"/>
        <item x="13127"/>
        <item x="13128"/>
        <item x="13129"/>
        <item x="13130"/>
        <item x="13131"/>
        <item x="13132"/>
        <item x="12916"/>
        <item x="13134"/>
        <item x="13135"/>
        <item x="13136"/>
        <item x="13137"/>
        <item x="13138"/>
        <item x="13139"/>
        <item x="13140"/>
        <item x="13141"/>
        <item x="13142"/>
        <item x="13143"/>
        <item x="13144"/>
        <item x="13145"/>
        <item x="13146"/>
        <item x="13147"/>
        <item x="12930"/>
        <item x="13149"/>
        <item x="13150"/>
        <item x="13151"/>
        <item x="13152"/>
        <item x="13153"/>
        <item x="13154"/>
        <item x="13155"/>
        <item x="13156"/>
        <item x="13157"/>
        <item x="13158"/>
        <item x="13159"/>
        <item x="13160"/>
        <item x="13161"/>
        <item x="12945"/>
        <item x="13163"/>
        <item x="13164"/>
        <item x="13165"/>
        <item x="13166"/>
        <item x="13167"/>
        <item x="13168"/>
        <item x="13169"/>
        <item x="13170"/>
        <item x="13171"/>
        <item x="13172"/>
        <item x="13173"/>
        <item x="13174"/>
        <item x="13175"/>
        <item x="13176"/>
        <item x="12950"/>
        <item x="12951"/>
        <item x="12952"/>
        <item x="12953"/>
        <item x="12954"/>
        <item x="12955"/>
        <item x="12956"/>
        <item x="12957"/>
        <item x="12958"/>
        <item x="12959"/>
        <item x="13178"/>
        <item x="13179"/>
        <item x="13180"/>
        <item x="13181"/>
        <item x="12965"/>
        <item x="12966"/>
        <item x="12967"/>
        <item x="12968"/>
        <item x="12969"/>
        <item x="12970"/>
        <item x="12971"/>
        <item x="12972"/>
        <item x="12973"/>
        <item x="12974"/>
        <item x="13192"/>
        <item x="13193"/>
        <item x="13194"/>
        <item x="13195"/>
        <item x="13196"/>
        <item x="13220"/>
        <item x="13439"/>
        <item x="13440"/>
        <item x="13441"/>
        <item x="13442"/>
        <item x="13443"/>
        <item x="13444"/>
        <item x="13445"/>
        <item x="13446"/>
        <item x="13447"/>
        <item x="13448"/>
        <item x="13449"/>
        <item x="13450"/>
        <item x="13451"/>
        <item x="13235"/>
        <item x="13453"/>
        <item x="13454"/>
        <item x="13455"/>
        <item x="13456"/>
        <item x="13457"/>
        <item x="13458"/>
        <item x="13459"/>
        <item x="13460"/>
        <item x="13461"/>
        <item x="13462"/>
        <item x="13463"/>
        <item x="13464"/>
        <item x="13465"/>
        <item x="13466"/>
        <item x="13249"/>
        <item x="13468"/>
        <item x="13469"/>
        <item x="13470"/>
        <item x="13471"/>
        <item x="13472"/>
        <item x="13473"/>
        <item x="13474"/>
        <item x="13475"/>
        <item x="13476"/>
        <item x="13477"/>
        <item x="13478"/>
        <item x="13479"/>
        <item x="13480"/>
        <item x="13264"/>
        <item x="13482"/>
        <item x="13483"/>
        <item x="13484"/>
        <item x="13485"/>
        <item x="13486"/>
        <item x="13487"/>
        <item x="13488"/>
        <item x="13489"/>
        <item x="13490"/>
        <item x="13491"/>
        <item x="13492"/>
        <item x="13493"/>
        <item x="13494"/>
        <item x="13495"/>
        <item x="13278"/>
        <item x="13497"/>
        <item x="13498"/>
        <item x="13499"/>
        <item x="13500"/>
        <item x="13501"/>
        <item x="13502"/>
        <item x="13503"/>
        <item x="13504"/>
        <item x="13505"/>
        <item x="13506"/>
        <item x="13507"/>
        <item x="13508"/>
        <item x="13509"/>
        <item x="13061"/>
        <item x="13279"/>
        <item x="13280"/>
        <item x="13281"/>
        <item x="13282"/>
        <item x="13283"/>
        <item x="13284"/>
        <item x="13285"/>
        <item x="13286"/>
        <item x="13287"/>
        <item x="13288"/>
        <item x="13289"/>
        <item x="13290"/>
        <item x="13291"/>
        <item x="13292"/>
        <item x="13075"/>
        <item x="13294"/>
        <item x="13295"/>
        <item x="13296"/>
        <item x="13297"/>
        <item x="13298"/>
        <item x="13299"/>
        <item x="13300"/>
        <item x="13301"/>
        <item x="13302"/>
        <item x="13303"/>
        <item x="13304"/>
        <item x="13305"/>
        <item x="13306"/>
        <item x="13090"/>
        <item x="13308"/>
        <item x="13309"/>
        <item x="13310"/>
        <item x="13311"/>
        <item x="13312"/>
        <item x="13313"/>
        <item x="13314"/>
        <item x="13315"/>
        <item x="13316"/>
        <item x="13317"/>
        <item x="13318"/>
        <item x="13319"/>
        <item x="13320"/>
        <item x="13321"/>
        <item x="13104"/>
        <item x="13323"/>
        <item x="13324"/>
        <item x="13325"/>
        <item x="13326"/>
        <item x="13327"/>
        <item x="13328"/>
        <item x="13329"/>
        <item x="13330"/>
        <item x="13331"/>
        <item x="13332"/>
        <item x="13333"/>
        <item x="13334"/>
        <item x="13335"/>
        <item x="13119"/>
        <item x="13337"/>
        <item x="13338"/>
        <item x="13339"/>
        <item x="13340"/>
        <item x="13341"/>
        <item x="13342"/>
        <item x="13343"/>
        <item x="13344"/>
        <item x="13345"/>
        <item x="13346"/>
        <item x="13347"/>
        <item x="13348"/>
        <item x="13349"/>
        <item x="13350"/>
        <item x="13133"/>
        <item x="13352"/>
        <item x="13353"/>
        <item x="13354"/>
        <item x="13355"/>
        <item x="13356"/>
        <item x="13357"/>
        <item x="13358"/>
        <item x="13359"/>
        <item x="13360"/>
        <item x="13361"/>
        <item x="13362"/>
        <item x="13363"/>
        <item x="13364"/>
        <item x="13148"/>
        <item x="13366"/>
        <item x="13367"/>
        <item x="13368"/>
        <item x="13369"/>
        <item x="13370"/>
        <item x="13371"/>
        <item x="13372"/>
        <item x="13373"/>
        <item x="13374"/>
        <item x="13375"/>
        <item x="13376"/>
        <item x="13377"/>
        <item x="13378"/>
        <item x="13379"/>
        <item x="13162"/>
        <item x="13381"/>
        <item x="13382"/>
        <item x="13383"/>
        <item x="13384"/>
        <item x="13385"/>
        <item x="13386"/>
        <item x="13387"/>
        <item x="13388"/>
        <item x="13389"/>
        <item x="13390"/>
        <item x="13391"/>
        <item x="13392"/>
        <item x="13393"/>
        <item x="13177"/>
        <item x="13395"/>
        <item x="13396"/>
        <item x="13397"/>
        <item x="13398"/>
        <item x="13399"/>
        <item x="13400"/>
        <item x="13401"/>
        <item x="13402"/>
        <item x="13403"/>
        <item x="13404"/>
        <item x="13405"/>
        <item x="13406"/>
        <item x="13407"/>
        <item x="13408"/>
        <item x="13182"/>
        <item x="13183"/>
        <item x="13184"/>
        <item x="13185"/>
        <item x="13186"/>
        <item x="13187"/>
        <item x="13188"/>
        <item x="13189"/>
        <item x="13190"/>
        <item x="13191"/>
        <item x="13410"/>
        <item x="13411"/>
        <item x="13412"/>
        <item x="13413"/>
        <item x="13197"/>
        <item x="13198"/>
        <item x="13199"/>
        <item x="13200"/>
        <item x="13201"/>
        <item x="13202"/>
        <item x="13203"/>
        <item x="13204"/>
        <item x="13205"/>
        <item x="13206"/>
        <item x="13424"/>
        <item x="13425"/>
        <item x="13426"/>
        <item x="13427"/>
        <item x="13428"/>
        <item x="13452"/>
        <item x="13671"/>
        <item x="13672"/>
        <item x="13673"/>
        <item x="13674"/>
        <item x="13675"/>
        <item x="13676"/>
        <item x="13677"/>
        <item x="13678"/>
        <item x="13679"/>
        <item x="13680"/>
        <item x="13681"/>
        <item x="13682"/>
        <item x="13683"/>
        <item x="13467"/>
        <item x="13685"/>
        <item x="13686"/>
        <item x="13687"/>
        <item x="13688"/>
        <item x="13689"/>
        <item x="13690"/>
        <item x="13691"/>
        <item x="13692"/>
        <item x="13693"/>
        <item x="13694"/>
        <item x="13695"/>
        <item x="13696"/>
        <item x="13697"/>
        <item x="13698"/>
        <item x="13481"/>
        <item x="13700"/>
        <item x="13701"/>
        <item x="13702"/>
        <item x="13703"/>
        <item x="13704"/>
        <item x="13705"/>
        <item x="13706"/>
        <item x="13707"/>
        <item x="13708"/>
        <item x="13709"/>
        <item x="13710"/>
        <item x="13711"/>
        <item x="13712"/>
        <item x="13496"/>
        <item x="13714"/>
        <item x="13715"/>
        <item x="13716"/>
        <item x="13717"/>
        <item x="13718"/>
        <item x="13719"/>
        <item x="13720"/>
        <item x="13721"/>
        <item x="13722"/>
        <item x="13723"/>
        <item x="13724"/>
        <item x="13725"/>
        <item x="13726"/>
        <item x="13727"/>
        <item x="13510"/>
        <item x="13729"/>
        <item x="13730"/>
        <item x="13731"/>
        <item x="13732"/>
        <item x="13733"/>
        <item x="13734"/>
        <item x="13735"/>
        <item x="13736"/>
        <item x="13737"/>
        <item x="13738"/>
        <item x="13739"/>
        <item x="13740"/>
        <item x="13741"/>
        <item x="13293"/>
        <item x="13511"/>
        <item x="13512"/>
        <item x="13513"/>
        <item x="13514"/>
        <item x="13515"/>
        <item x="13516"/>
        <item x="13517"/>
        <item x="13518"/>
        <item x="13519"/>
        <item x="13520"/>
        <item x="13521"/>
        <item x="13522"/>
        <item x="13523"/>
        <item x="13524"/>
        <item x="13307"/>
        <item x="13526"/>
        <item x="13527"/>
        <item x="13528"/>
        <item x="13529"/>
        <item x="13530"/>
        <item x="13531"/>
        <item x="13532"/>
        <item x="13533"/>
        <item x="13534"/>
        <item x="13535"/>
        <item x="13536"/>
        <item x="13537"/>
        <item x="13538"/>
        <item x="13322"/>
        <item x="13540"/>
        <item x="13541"/>
        <item x="13542"/>
        <item x="13543"/>
        <item x="13544"/>
        <item x="13545"/>
        <item x="13546"/>
        <item x="13547"/>
        <item x="13548"/>
        <item x="13549"/>
        <item x="13550"/>
        <item x="13551"/>
        <item x="13552"/>
        <item x="13553"/>
        <item x="13336"/>
        <item x="13555"/>
        <item x="13556"/>
        <item x="13557"/>
        <item x="13558"/>
        <item x="13559"/>
        <item x="13560"/>
        <item x="13561"/>
        <item x="13562"/>
        <item x="13563"/>
        <item x="13564"/>
        <item x="13565"/>
        <item x="13566"/>
        <item x="13567"/>
        <item x="13351"/>
        <item x="13569"/>
        <item x="13570"/>
        <item x="13571"/>
        <item x="13572"/>
        <item x="13573"/>
        <item x="13574"/>
        <item x="13575"/>
        <item x="13576"/>
        <item x="13577"/>
        <item x="13578"/>
        <item x="13579"/>
        <item x="13580"/>
        <item x="13581"/>
        <item x="13582"/>
        <item x="13365"/>
        <item x="13584"/>
        <item x="13585"/>
        <item x="13586"/>
        <item x="13587"/>
        <item x="13588"/>
        <item x="13589"/>
        <item x="13590"/>
        <item x="13591"/>
        <item x="13592"/>
        <item x="13593"/>
        <item x="13594"/>
        <item x="13595"/>
        <item x="13596"/>
        <item x="13380"/>
        <item x="13598"/>
        <item x="13599"/>
        <item x="13600"/>
        <item x="13601"/>
        <item x="13602"/>
        <item x="13603"/>
        <item x="13604"/>
        <item x="13605"/>
        <item x="13606"/>
        <item x="13607"/>
        <item x="13608"/>
        <item x="13609"/>
        <item x="13610"/>
        <item x="13611"/>
        <item x="13394"/>
        <item x="13613"/>
        <item x="13614"/>
        <item x="13615"/>
        <item x="13616"/>
        <item x="13617"/>
        <item x="13618"/>
        <item x="13619"/>
        <item x="13620"/>
        <item x="13621"/>
        <item x="13622"/>
        <item x="13623"/>
        <item x="13624"/>
        <item x="13625"/>
        <item x="13409"/>
        <item x="13627"/>
        <item x="13628"/>
        <item x="13629"/>
        <item x="13630"/>
        <item x="13631"/>
        <item x="13632"/>
        <item x="13633"/>
        <item x="13634"/>
        <item x="13635"/>
        <item x="13636"/>
        <item x="13637"/>
        <item x="13638"/>
        <item x="13639"/>
        <item x="13640"/>
        <item x="13414"/>
        <item x="13415"/>
        <item x="13416"/>
        <item x="13417"/>
        <item x="13418"/>
        <item x="13419"/>
        <item x="13420"/>
        <item x="13421"/>
        <item x="13422"/>
        <item x="13423"/>
        <item x="13642"/>
        <item x="13643"/>
        <item x="13644"/>
        <item x="13645"/>
        <item x="13429"/>
        <item x="13430"/>
        <item x="13431"/>
        <item x="13432"/>
        <item x="13433"/>
        <item x="13434"/>
        <item x="13435"/>
        <item x="13436"/>
        <item x="13437"/>
        <item x="13438"/>
        <item x="13656"/>
        <item x="13657"/>
        <item x="13658"/>
        <item x="13659"/>
        <item x="13660"/>
        <item x="13684"/>
        <item x="13882"/>
        <item x="13883"/>
        <item x="13884"/>
        <item x="13885"/>
        <item x="13886"/>
        <item x="13887"/>
        <item x="13888"/>
        <item x="13889"/>
        <item x="13890"/>
        <item x="13891"/>
        <item x="13892"/>
        <item x="13893"/>
        <item x="13894"/>
        <item x="13699"/>
        <item x="13896"/>
        <item x="13897"/>
        <item x="13898"/>
        <item x="13899"/>
        <item x="13900"/>
        <item x="13901"/>
        <item x="13902"/>
        <item x="13903"/>
        <item x="13904"/>
        <item x="13905"/>
        <item x="13906"/>
        <item x="13907"/>
        <item x="13908"/>
        <item x="13909"/>
        <item x="13713"/>
        <item x="13911"/>
        <item x="13912"/>
        <item x="13913"/>
        <item x="13914"/>
        <item x="13915"/>
        <item x="13916"/>
        <item x="13917"/>
        <item x="13918"/>
        <item x="13919"/>
        <item x="13920"/>
        <item x="13921"/>
        <item x="13922"/>
        <item x="13923"/>
        <item x="13728"/>
        <item x="13925"/>
        <item x="13926"/>
        <item x="13927"/>
        <item x="13928"/>
        <item x="13929"/>
        <item x="13930"/>
        <item x="13931"/>
        <item x="13932"/>
        <item x="13933"/>
        <item x="13934"/>
        <item x="13935"/>
        <item x="13936"/>
        <item x="13937"/>
        <item x="13938"/>
        <item x="13742"/>
        <item x="13940"/>
        <item x="13941"/>
        <item x="13942"/>
        <item x="13943"/>
        <item x="13944"/>
        <item x="13945"/>
        <item x="13946"/>
        <item x="13947"/>
        <item x="13948"/>
        <item x="13949"/>
        <item x="13950"/>
        <item x="13951"/>
        <item x="13952"/>
        <item x="13525"/>
        <item x="13743"/>
        <item x="13744"/>
        <item x="13745"/>
        <item x="13746"/>
        <item x="13747"/>
        <item x="13748"/>
        <item x="13749"/>
        <item x="13750"/>
        <item x="13751"/>
        <item x="13752"/>
        <item x="13753"/>
        <item x="13754"/>
        <item x="13755"/>
        <item x="13756"/>
        <item x="13539"/>
        <item x="13758"/>
        <item x="13759"/>
        <item x="13760"/>
        <item x="13761"/>
        <item x="13762"/>
        <item x="13763"/>
        <item x="13764"/>
        <item x="13765"/>
        <item x="13766"/>
        <item x="13767"/>
        <item x="13768"/>
        <item x="13769"/>
        <item x="13770"/>
        <item x="13554"/>
        <item x="13772"/>
        <item x="13773"/>
        <item x="13774"/>
        <item x="13775"/>
        <item x="13776"/>
        <item x="13777"/>
        <item x="13778"/>
        <item x="13779"/>
        <item x="13780"/>
        <item x="13781"/>
        <item x="13782"/>
        <item x="13783"/>
        <item x="13784"/>
        <item x="13785"/>
        <item x="13568"/>
        <item x="13787"/>
        <item x="13788"/>
        <item x="13789"/>
        <item x="13790"/>
        <item x="13791"/>
        <item x="13792"/>
        <item x="13793"/>
        <item x="13794"/>
        <item x="13795"/>
        <item x="13796"/>
        <item x="13797"/>
        <item x="13798"/>
        <item x="13799"/>
        <item x="13583"/>
        <item x="13801"/>
        <item x="13802"/>
        <item x="13803"/>
        <item x="13804"/>
        <item x="13805"/>
        <item x="13806"/>
        <item x="13807"/>
        <item x="13808"/>
        <item x="13809"/>
        <item x="13810"/>
        <item x="13811"/>
        <item x="13812"/>
        <item x="13813"/>
        <item x="13814"/>
        <item x="13597"/>
        <item x="13816"/>
        <item x="13817"/>
        <item x="13818"/>
        <item x="13819"/>
        <item x="13820"/>
        <item x="13821"/>
        <item x="13822"/>
        <item x="13823"/>
        <item x="13824"/>
        <item x="13825"/>
        <item x="13826"/>
        <item x="13827"/>
        <item x="13828"/>
        <item x="13612"/>
        <item x="13830"/>
        <item x="13831"/>
        <item x="13832"/>
        <item x="13833"/>
        <item x="13834"/>
        <item x="13835"/>
        <item x="13836"/>
        <item x="13837"/>
        <item x="13838"/>
        <item x="13839"/>
        <item x="13840"/>
        <item x="13841"/>
        <item x="13842"/>
        <item x="13843"/>
        <item x="13626"/>
        <item x="13845"/>
        <item x="13846"/>
        <item x="13847"/>
        <item x="13848"/>
        <item x="13849"/>
        <item x="13850"/>
        <item x="13851"/>
        <item x="13852"/>
        <item x="13853"/>
        <item x="13854"/>
        <item x="13855"/>
        <item x="13856"/>
        <item x="13857"/>
        <item x="13641"/>
        <item x="13859"/>
        <item x="13860"/>
        <item x="13861"/>
        <item x="13862"/>
        <item x="13863"/>
        <item x="13864"/>
        <item x="13865"/>
        <item x="13866"/>
        <item x="13867"/>
        <item x="13868"/>
        <item x="13869"/>
        <item x="13870"/>
        <item x="13871"/>
        <item x="13872"/>
        <item x="13646"/>
        <item x="13647"/>
        <item x="13648"/>
        <item x="13649"/>
        <item x="13650"/>
        <item x="13651"/>
        <item x="13652"/>
        <item x="13653"/>
        <item x="13654"/>
        <item x="13655"/>
        <item x="13873"/>
        <item x="13874"/>
        <item x="13875"/>
        <item x="13876"/>
        <item x="13661"/>
        <item x="13662"/>
        <item x="13663"/>
        <item x="13664"/>
        <item x="13665"/>
        <item x="13666"/>
        <item x="13667"/>
        <item x="13668"/>
        <item x="13669"/>
        <item x="13670"/>
        <item x="13877"/>
        <item x="13878"/>
        <item x="13879"/>
        <item x="13880"/>
        <item x="13881"/>
        <item x="13895"/>
        <item x="14092"/>
        <item x="14093"/>
        <item x="14094"/>
        <item x="14095"/>
        <item x="14096"/>
        <item x="14097"/>
        <item x="14098"/>
        <item x="14099"/>
        <item x="14100"/>
        <item x="14101"/>
        <item x="14102"/>
        <item x="14103"/>
        <item x="14104"/>
        <item x="13910"/>
        <item x="14105"/>
        <item x="14106"/>
        <item x="14107"/>
        <item x="14108"/>
        <item x="14109"/>
        <item x="14110"/>
        <item x="14111"/>
        <item x="14112"/>
        <item x="14113"/>
        <item x="14114"/>
        <item x="14115"/>
        <item x="14116"/>
        <item x="14117"/>
        <item x="14118"/>
        <item x="13924"/>
        <item x="14119"/>
        <item x="14120"/>
        <item x="14121"/>
        <item x="14122"/>
        <item x="14123"/>
        <item x="14124"/>
        <item x="14125"/>
        <item x="14126"/>
        <item x="14127"/>
        <item x="14128"/>
        <item x="14129"/>
        <item x="14130"/>
        <item x="14131"/>
        <item x="13939"/>
        <item x="14132"/>
        <item x="14133"/>
        <item x="14134"/>
        <item x="14135"/>
        <item x="14136"/>
        <item x="14137"/>
        <item x="14138"/>
        <item x="14139"/>
        <item x="14140"/>
        <item x="14141"/>
        <item x="14142"/>
        <item x="14143"/>
        <item x="14144"/>
        <item x="14145"/>
        <item x="13953"/>
        <item x="14146"/>
        <item x="14147"/>
        <item x="14148"/>
        <item x="14149"/>
        <item x="14150"/>
        <item x="14151"/>
        <item x="14152"/>
        <item x="14153"/>
        <item x="14154"/>
        <item x="14155"/>
        <item x="14156"/>
        <item x="14157"/>
        <item x="14158"/>
        <item x="13757"/>
        <item x="13954"/>
        <item x="13955"/>
        <item x="13956"/>
        <item x="13957"/>
        <item x="13958"/>
        <item x="13959"/>
        <item x="13960"/>
        <item x="13961"/>
        <item x="13962"/>
        <item x="13963"/>
        <item x="13964"/>
        <item x="13965"/>
        <item x="13966"/>
        <item x="13967"/>
        <item x="13771"/>
        <item x="13969"/>
        <item x="13970"/>
        <item x="13971"/>
        <item x="13972"/>
        <item x="13973"/>
        <item x="13974"/>
        <item x="13975"/>
        <item x="13976"/>
        <item x="13977"/>
        <item x="13978"/>
        <item x="13979"/>
        <item x="13980"/>
        <item x="13981"/>
        <item x="13786"/>
        <item x="13983"/>
        <item x="13984"/>
        <item x="13985"/>
        <item x="13986"/>
        <item x="13987"/>
        <item x="13988"/>
        <item x="13989"/>
        <item x="13990"/>
        <item x="13991"/>
        <item x="13992"/>
        <item x="13993"/>
        <item x="13994"/>
        <item x="13995"/>
        <item x="13996"/>
        <item x="13800"/>
        <item x="13998"/>
        <item x="13999"/>
        <item x="14000"/>
        <item x="14001"/>
        <item x="14002"/>
        <item x="14003"/>
        <item x="14004"/>
        <item x="14005"/>
        <item x="14006"/>
        <item x="14007"/>
        <item x="14008"/>
        <item x="14009"/>
        <item x="14010"/>
        <item x="13815"/>
        <item x="14012"/>
        <item x="14013"/>
        <item x="14014"/>
        <item x="14015"/>
        <item x="14016"/>
        <item x="14017"/>
        <item x="14018"/>
        <item x="14019"/>
        <item x="14020"/>
        <item x="14021"/>
        <item x="14022"/>
        <item x="14023"/>
        <item x="14024"/>
        <item x="14025"/>
        <item x="13829"/>
        <item x="14027"/>
        <item x="14028"/>
        <item x="14029"/>
        <item x="14030"/>
        <item x="14031"/>
        <item x="14032"/>
        <item x="14033"/>
        <item x="14034"/>
        <item x="14035"/>
        <item x="14036"/>
        <item x="14037"/>
        <item x="14038"/>
        <item x="14039"/>
        <item x="13844"/>
        <item x="14041"/>
        <item x="14042"/>
        <item x="14043"/>
        <item x="14044"/>
        <item x="14045"/>
        <item x="14046"/>
        <item x="14047"/>
        <item x="14048"/>
        <item x="14049"/>
        <item x="14050"/>
        <item x="14051"/>
        <item x="14052"/>
        <item x="14053"/>
        <item x="14054"/>
        <item x="13858"/>
        <item x="14056"/>
        <item x="14057"/>
        <item x="14058"/>
        <item x="14059"/>
        <item x="14060"/>
        <item x="50"/>
        <item x="51"/>
        <item x="52"/>
        <item x="53"/>
        <item x="54"/>
        <item x="55"/>
        <item x="56"/>
        <item x="57"/>
        <item x="67"/>
        <item x="68"/>
        <item x="69"/>
        <item x="70"/>
        <item x="71"/>
        <item x="72"/>
        <item m="1" x="15079"/>
        <item m="1" x="15086"/>
        <item m="1" x="15059"/>
        <item m="1" x="15065"/>
        <item m="1" x="15072"/>
        <item m="1" x="15082"/>
        <item m="1" x="15038"/>
        <item m="1" x="15044"/>
        <item m="1" x="15048"/>
        <item m="1" x="15054"/>
        <item m="1" x="15062"/>
        <item m="1" x="15033"/>
        <item m="1" x="15036"/>
        <item m="1" x="15040"/>
        <item m="1" x="15043"/>
        <item m="1" x="15075"/>
        <item m="1" x="15080"/>
        <item m="1" x="15084"/>
        <item m="1" x="15087"/>
        <item m="1" x="15052"/>
        <item m="1" x="15056"/>
        <item m="1" x="15060"/>
        <item m="1" x="15063"/>
        <item m="1" x="15066"/>
        <item m="1" x="15069"/>
        <item m="1" x="15073"/>
        <item m="1" x="15077"/>
        <item m="1" x="15083"/>
        <item m="1" x="15032"/>
        <item m="1" x="15035"/>
        <item m="1" x="15039"/>
        <item m="1" x="15042"/>
        <item m="1" x="15045"/>
        <item m="1" x="15046"/>
        <item m="1" x="15049"/>
        <item m="1" x="15051"/>
        <item m="1" x="15055"/>
        <item m="1" x="15058"/>
        <item m="1" x="15034"/>
        <item m="1" x="15037"/>
        <item m="1" x="15041"/>
        <item m="1" x="15068"/>
        <item m="1" x="15071"/>
        <item m="1" x="15076"/>
        <item m="1" x="15081"/>
        <item m="1" x="15085"/>
        <item m="1" x="15088"/>
        <item m="1" x="15047"/>
        <item m="1" x="15050"/>
        <item m="1" x="15053"/>
        <item m="1" x="15057"/>
        <item m="1" x="15061"/>
        <item m="1" x="15064"/>
        <item m="1" x="15067"/>
        <item m="1" x="15070"/>
        <item m="1" x="15074"/>
        <item m="1" x="15078"/>
        <item t="default"/>
      </items>
    </pivotField>
    <pivotField showAll="0" sortType="ascending"/>
    <pivotField showAll="0">
      <items count="11">
        <item x="2"/>
        <item x="3"/>
        <item x="0"/>
        <item x="1"/>
        <item m="1" x="9"/>
        <item m="1" x="4"/>
        <item m="1" x="5"/>
        <item m="1" x="6"/>
        <item m="1" x="7"/>
        <item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 fld="14" subtotal="average" baseField="8" baseItem="50" numFmtId="164"/>
    <dataField name="Average of PREDICTEDTR" fld="15" subtotal="average" baseField="8" baseItem="50" numFmtId="164"/>
    <dataField name="Average of ERRORTR" fld="16"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8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74" firstHeaderRow="0" firstDataRow="1" firstDataCol="1"/>
  <pivotFields count="20">
    <pivotField showAll="0">
      <items count="313">
        <item h="1" m="1" x="303"/>
        <item h="1" m="1" x="272"/>
        <item h="1" m="1" x="136"/>
        <item h="1" m="1" x="42"/>
        <item h="1" m="1" x="114"/>
        <item h="1" m="1" x="279"/>
        <item h="1" m="1" x="304"/>
        <item h="1" m="1" x="26"/>
        <item h="1" m="1" x="268"/>
        <item h="1" m="1" x="88"/>
        <item h="1" m="1" x="225"/>
        <item h="1" m="1" x="141"/>
        <item h="1" x="4"/>
        <item h="1" m="1" x="84"/>
        <item h="1" x="1"/>
        <item h="1" m="1" x="299"/>
        <item h="1" m="1" x="124"/>
        <item h="1" m="1" x="31"/>
        <item h="1" m="1" x="234"/>
        <item h="1" m="1" x="115"/>
        <item h="1" m="1" x="172"/>
        <item h="1" m="1" x="226"/>
        <item h="1" m="1" x="147"/>
        <item h="1" x="10"/>
        <item h="1" m="1" x="93"/>
        <item h="1" m="1" x="237"/>
        <item h="1" m="1" x="273"/>
        <item h="1" m="1" x="153"/>
        <item h="1" m="1" x="195"/>
        <item h="1" m="1" x="125"/>
        <item h="1" m="1" x="235"/>
        <item h="1" m="1" x="21"/>
        <item h="1" m="1" x="67"/>
        <item h="1" m="1" x="94"/>
        <item h="1" m="1" x="264"/>
        <item h="1" m="1" x="305"/>
        <item h="1" m="1" x="101"/>
        <item h="1" m="1" x="27"/>
        <item h="1" m="1" x="296"/>
        <item h="1" m="1" x="95"/>
        <item h="1" m="1" x="148"/>
        <item h="1" m="1" x="107"/>
        <item h="1" m="1" x="160"/>
        <item h="1" m="1" x="168"/>
        <item h="1" m="1" x="79"/>
        <item h="1" m="1" x="126"/>
        <item h="1" m="1" x="48"/>
        <item h="1" m="1" x="258"/>
        <item h="1" x="7"/>
        <item h="1" m="1" x="64"/>
        <item h="1" m="1" x="68"/>
        <item h="1" m="1" x="242"/>
        <item h="1" m="1" x="173"/>
        <item h="1" m="1" x="116"/>
        <item h="1" m="1" x="212"/>
        <item h="1" m="1" x="306"/>
        <item h="1" m="1" x="243"/>
        <item h="1" m="1" x="174"/>
        <item h="1" m="1" x="280"/>
        <item h="1" m="1" x="214"/>
        <item h="1" m="1" x="137"/>
        <item h="1" m="1" x="85"/>
        <item h="1" m="1" x="32"/>
        <item h="1" m="1" x="46"/>
        <item h="1" m="1" x="215"/>
        <item h="1" m="1" x="161"/>
        <item h="1" m="1" x="185"/>
        <item h="1" m="1" x="108"/>
        <item h="1" m="1" x="300"/>
        <item h="1" m="1" x="162"/>
        <item h="1" m="1" x="244"/>
        <item h="1" m="1" x="247"/>
        <item h="1" m="1" x="189"/>
        <item h="1" m="1" x="142"/>
        <item h="1" m="1" x="163"/>
        <item h="1" m="1" x="154"/>
        <item h="1" m="1" x="61"/>
        <item h="1" m="1" x="307"/>
        <item h="1" m="1" x="122"/>
        <item h="1" x="3"/>
        <item h="1" m="1" x="190"/>
        <item h="1" m="1" x="297"/>
        <item h="1" m="1" x="28"/>
        <item h="1" m="1" x="213"/>
        <item h="1" m="1" x="23"/>
        <item h="1" m="1" x="179"/>
        <item h="1" m="1" x="308"/>
        <item h="1" m="1" x="43"/>
        <item h="1" m="1" x="155"/>
        <item h="1" m="1" x="196"/>
        <item h="1" m="1" x="24"/>
        <item h="1" m="1" x="285"/>
        <item h="1" m="1" x="149"/>
        <item h="1" m="1" x="253"/>
        <item h="1" m="1" x="127"/>
        <item h="1" m="1" x="249"/>
        <item h="1" m="1" x="238"/>
        <item h="1" m="1" x="255"/>
        <item h="1" x="2"/>
        <item h="1" m="1" x="164"/>
        <item h="1" x="11"/>
        <item h="1" m="1" x="123"/>
        <item h="1" m="1" x="256"/>
        <item h="1" m="1" x="236"/>
        <item h="1" m="1" x="80"/>
        <item h="1" m="1" x="269"/>
        <item h="1" m="1" x="287"/>
        <item h="1" m="1" x="49"/>
        <item h="1" m="1" x="201"/>
        <item h="1" m="1" x="218"/>
        <item h="1" m="1" x="230"/>
        <item h="1" m="1" x="259"/>
        <item h="1" m="1" x="281"/>
        <item h="1" m="1" x="63"/>
        <item h="1" m="1" x="265"/>
        <item h="1" m="1" x="180"/>
        <item h="1" m="1" x="309"/>
        <item h="1" m="1" x="219"/>
        <item h="1" m="1" x="274"/>
        <item h="1" m="1" x="96"/>
        <item h="1" m="1" x="69"/>
        <item h="1" m="1" x="128"/>
        <item h="1" m="1" x="44"/>
        <item h="1" m="1" x="181"/>
        <item h="1" m="1" x="260"/>
        <item h="1" m="1" x="175"/>
        <item h="1" m="1" x="81"/>
        <item h="1" m="1" x="248"/>
        <item h="1" m="1" x="130"/>
        <item h="1" m="1" x="70"/>
        <item h="1" m="1" x="165"/>
        <item h="1" m="1" x="250"/>
        <item h="1" m="1" x="131"/>
        <item h="1" m="1" x="120"/>
        <item h="1" m="1" x="288"/>
        <item h="1" m="1" x="310"/>
        <item h="1" m="1" x="15"/>
        <item h="1" m="1" x="282"/>
        <item h="1" m="1" x="117"/>
        <item h="1" m="1" x="311"/>
        <item h="1" m="1" x="220"/>
        <item h="1" m="1" x="227"/>
        <item h="1" m="1" x="231"/>
        <item h="1" x="5"/>
        <item h="1" m="1" x="55"/>
        <item h="1" m="1" x="261"/>
        <item h="1" m="1" x="223"/>
        <item h="1" m="1" x="89"/>
        <item h="1" m="1" x="132"/>
        <item h="1" m="1" x="239"/>
        <item h="1" m="1" x="197"/>
        <item h="1" m="1" x="71"/>
        <item h="1" m="1" x="216"/>
        <item x="9"/>
        <item h="1" m="1" x="109"/>
        <item h="1" m="1" x="156"/>
        <item h="1" m="1" x="138"/>
        <item h="1" m="1" x="90"/>
        <item h="1" m="1" x="36"/>
        <item h="1" m="1" x="157"/>
        <item h="1" m="1" x="198"/>
        <item h="1" m="1" x="110"/>
        <item h="1" m="1" x="262"/>
        <item h="1" m="1" x="150"/>
        <item h="1" m="1" x="133"/>
        <item h="1" m="1" x="158"/>
        <item h="1" m="1" x="102"/>
        <item h="1" m="1" x="245"/>
        <item h="1" m="1" x="166"/>
        <item h="1" m="1" x="86"/>
        <item h="1" m="1" x="56"/>
        <item h="1" m="1" x="111"/>
        <item h="1" m="1" x="16"/>
        <item h="1" m="1" x="65"/>
        <item h="1" m="1" x="47"/>
        <item h="1" m="1" x="25"/>
        <item h="1" m="1" x="221"/>
        <item h="1" m="1" x="275"/>
        <item h="1" m="1" x="50"/>
        <item h="1" m="1" x="207"/>
        <item h="1" m="1" x="151"/>
        <item h="1" m="1" x="91"/>
        <item h="1" m="1" x="59"/>
        <item h="1" m="1" x="118"/>
        <item h="1" x="12"/>
        <item h="1" m="1" x="72"/>
        <item h="1" m="1" x="217"/>
        <item h="1" m="1" x="270"/>
        <item h="1" m="1" x="103"/>
        <item h="1" m="1" x="57"/>
        <item h="1" m="1" x="112"/>
        <item h="1" m="1" x="208"/>
        <item h="1" m="1" x="33"/>
        <item h="1" m="1" x="224"/>
        <item h="1" m="1" x="283"/>
        <item h="1" m="1" x="191"/>
        <item h="1" m="1" x="17"/>
        <item h="1" m="1" x="251"/>
        <item h="1" m="1" x="82"/>
        <item h="1" m="1" x="74"/>
        <item h="1" m="1" x="40"/>
        <item h="1" m="1" x="34"/>
        <item h="1" m="1" x="176"/>
        <item h="1" m="1" x="134"/>
        <item h="1" m="1" x="135"/>
        <item h="1" m="1" x="73"/>
        <item h="1" m="1" x="139"/>
        <item h="1" m="1" x="38"/>
        <item h="1" m="1" x="289"/>
        <item h="1" m="1" x="292"/>
        <item h="1" m="1" x="186"/>
        <item h="1" m="1" x="45"/>
        <item h="1" m="1" x="58"/>
        <item h="1" m="1" x="240"/>
        <item h="1" m="1" x="97"/>
        <item h="1" m="1" x="51"/>
        <item h="1" m="1" x="182"/>
        <item h="1" m="1" x="246"/>
        <item h="1" m="1" x="202"/>
        <item h="1" m="1" x="75"/>
        <item h="1" m="1" x="293"/>
        <item h="1" m="1" x="18"/>
        <item h="1" m="1" x="192"/>
        <item h="1" m="1" x="98"/>
        <item h="1" m="1" x="290"/>
        <item h="1" m="1" x="203"/>
        <item h="1" m="1" x="29"/>
        <item h="1" m="1" x="276"/>
        <item h="1" m="1" x="41"/>
        <item h="1" m="1" x="87"/>
        <item h="1" m="1" x="169"/>
        <item h="1" m="1" x="129"/>
        <item h="1" m="1" x="209"/>
        <item h="1" m="1" x="263"/>
        <item h="1" m="1" x="177"/>
        <item h="1" m="1" x="193"/>
        <item h="1" m="1" x="99"/>
        <item h="1" m="1" x="252"/>
        <item h="1" m="1" x="199"/>
        <item h="1" m="1" x="39"/>
        <item h="1" m="1" x="104"/>
        <item h="1" m="1" x="37"/>
        <item h="1" m="1" x="83"/>
        <item h="1" x="13"/>
        <item h="1" m="1" x="100"/>
        <item h="1" m="1" x="119"/>
        <item h="1" m="1" x="271"/>
        <item h="1" m="1" x="52"/>
        <item h="1" m="1" x="183"/>
        <item h="1" m="1" x="204"/>
        <item h="1" m="1" x="76"/>
        <item h="1" m="1" x="222"/>
        <item h="1" m="1" x="210"/>
        <item h="1" m="1" x="159"/>
        <item h="1" x="0"/>
        <item h="1" m="1" x="140"/>
        <item h="1" m="1" x="167"/>
        <item h="1" m="1" x="53"/>
        <item h="1" m="1" x="105"/>
        <item h="1" m="1" x="143"/>
        <item h="1" m="1" x="277"/>
        <item h="1" m="1" x="170"/>
        <item h="1" x="14"/>
        <item h="1" m="1" x="22"/>
        <item h="1" m="1" x="66"/>
        <item h="1" m="1" x="241"/>
        <item h="1" m="1" x="301"/>
        <item h="1" m="1" x="121"/>
        <item h="1" m="1" x="200"/>
        <item h="1" m="1" x="228"/>
        <item h="1" m="1" x="54"/>
        <item h="1" m="1" x="144"/>
        <item h="1" m="1" x="278"/>
        <item h="1" m="1" x="171"/>
        <item h="1" m="1" x="232"/>
        <item h="1" m="1" x="187"/>
        <item h="1" x="8"/>
        <item h="1" m="1" x="211"/>
        <item h="1" m="1" x="60"/>
        <item h="1" m="1" x="194"/>
        <item h="1" m="1" x="205"/>
        <item h="1" m="1" x="145"/>
        <item h="1" m="1" x="294"/>
        <item h="1" m="1" x="284"/>
        <item h="1" m="1" x="206"/>
        <item h="1" m="1" x="30"/>
        <item h="1" m="1" x="233"/>
        <item h="1" m="1" x="295"/>
        <item h="1" m="1" x="106"/>
        <item h="1" m="1" x="19"/>
        <item h="1" m="1" x="298"/>
        <item h="1" m="1" x="62"/>
        <item h="1" m="1" x="229"/>
        <item h="1" m="1" x="113"/>
        <item h="1" m="1" x="35"/>
        <item h="1" m="1" x="178"/>
        <item h="1" m="1" x="266"/>
        <item h="1" m="1" x="254"/>
        <item h="1" m="1" x="286"/>
        <item h="1" m="1" x="20"/>
        <item h="1" x="6"/>
        <item h="1" m="1" x="92"/>
        <item h="1" m="1" x="257"/>
        <item h="1" m="1" x="77"/>
        <item h="1" m="1" x="78"/>
        <item h="1" m="1" x="152"/>
        <item h="1" m="1" x="302"/>
        <item h="1" m="1" x="291"/>
        <item h="1" m="1" x="184"/>
        <item h="1" m="1" x="146"/>
        <item h="1" m="1" x="188"/>
        <item h="1" m="1" x="267"/>
        <item t="default"/>
      </items>
    </pivotField>
    <pivotField showAll="0">
      <items count="671">
        <item m="1" x="486"/>
        <item m="1" x="72"/>
        <item m="1" x="212"/>
        <item m="1" x="57"/>
        <item m="1" x="535"/>
        <item m="1" x="501"/>
        <item m="1" x="77"/>
        <item m="1" x="377"/>
        <item m="1" x="271"/>
        <item m="1" x="522"/>
        <item m="1" x="358"/>
        <item m="1" x="235"/>
        <item m="1" x="398"/>
        <item m="1" x="567"/>
        <item m="1" x="419"/>
        <item m="1" x="84"/>
        <item m="1" x="275"/>
        <item m="1" x="294"/>
        <item m="1" x="547"/>
        <item m="1" x="218"/>
        <item m="1" x="645"/>
        <item m="1" x="119"/>
        <item m="1" x="246"/>
        <item m="1" x="611"/>
        <item m="1" x="137"/>
        <item m="1" x="483"/>
        <item m="1" x="625"/>
        <item m="1" x="42"/>
        <item m="1" x="187"/>
        <item m="1" x="229"/>
        <item m="1" x="497"/>
        <item m="1" x="653"/>
        <item m="1" x="374"/>
        <item m="1" x="457"/>
        <item m="1" x="620"/>
        <item m="1" x="641"/>
        <item m="1" x="184"/>
        <item m="1" x="513"/>
        <item m="1" x="540"/>
        <item m="1" x="110"/>
        <item m="1" x="183"/>
        <item m="1" x="197"/>
        <item m="1" x="243"/>
        <item m="1" x="284"/>
        <item m="1" x="293"/>
        <item m="1" x="496"/>
        <item m="1" x="573"/>
        <item m="1" x="659"/>
        <item m="1" x="22"/>
        <item m="1" x="64"/>
        <item m="1" x="144"/>
        <item m="1" x="213"/>
        <item m="1" x="237"/>
        <item m="1" x="291"/>
        <item m="1" x="442"/>
        <item m="1" x="524"/>
        <item m="1" x="89"/>
        <item m="1" x="155"/>
        <item m="1" x="224"/>
        <item m="1" x="282"/>
        <item m="1" x="455"/>
        <item m="1" x="476"/>
        <item x="7"/>
        <item m="1" x="636"/>
        <item m="1" x="39"/>
        <item m="1" x="61"/>
        <item m="1" x="180"/>
        <item m="1" x="194"/>
        <item m="1" x="222"/>
        <item m="1" x="559"/>
        <item m="1" x="569"/>
        <item m="1" x="74"/>
        <item m="1" x="99"/>
        <item m="1" x="193"/>
        <item m="1" x="220"/>
        <item m="1" x="537"/>
        <item m="1" x="616"/>
        <item x="12"/>
        <item m="1" x="153"/>
        <item m="1" x="164"/>
        <item m="1" x="179"/>
        <item m="1" x="249"/>
        <item m="1" x="384"/>
        <item m="1" x="472"/>
        <item m="1" x="519"/>
        <item m="1" x="628"/>
        <item m="1" x="142"/>
        <item m="1" x="278"/>
        <item m="1" x="314"/>
        <item m="1" x="357"/>
        <item m="1" x="503"/>
        <item m="1" x="548"/>
        <item m="1" x="568"/>
        <item m="1" x="591"/>
        <item m="1" x="87"/>
        <item m="1" x="141"/>
        <item m="1" x="323"/>
        <item m="1" x="332"/>
        <item m="1" x="397"/>
        <item m="1" x="86"/>
        <item m="1" x="406"/>
        <item m="1" x="108"/>
        <item m="1" x="439"/>
        <item m="1" x="127"/>
        <item m="1" x="276"/>
        <item x="9"/>
        <item m="1" x="346"/>
        <item m="1" x="369"/>
        <item m="1" x="382"/>
        <item m="1" x="122"/>
        <item m="1" x="438"/>
        <item m="1" x="234"/>
        <item m="1" x="600"/>
        <item m="1" x="647"/>
        <item m="1" x="657"/>
        <item m="1" x="36"/>
        <item m="1" x="368"/>
        <item m="1" x="85"/>
        <item m="1" x="404"/>
        <item m="1" x="140"/>
        <item m="1" x="488"/>
        <item m="1" x="533"/>
        <item m="1" x="288"/>
        <item m="1" x="69"/>
        <item m="1" x="403"/>
        <item m="1" x="437"/>
        <item m="1" x="532"/>
        <item m="1" x="202"/>
        <item m="1" x="209"/>
        <item x="0"/>
        <item m="1" x="106"/>
        <item m="1" x="121"/>
        <item m="1" x="190"/>
        <item m="1" x="665"/>
        <item m="1" x="19"/>
        <item m="1" x="336"/>
        <item m="1" x="33"/>
        <item m="1" x="436"/>
        <item m="1" x="139"/>
        <item m="1" x="500"/>
        <item m="1" x="557"/>
        <item m="1" x="232"/>
        <item m="1" x="579"/>
        <item m="1" x="241"/>
        <item m="1" x="311"/>
        <item m="1" x="18"/>
        <item m="1" x="96"/>
        <item m="1" x="105"/>
        <item m="1" x="461"/>
        <item m="1" x="247"/>
        <item m="1" x="274"/>
        <item m="1" x="634"/>
        <item m="1" x="301"/>
        <item m="1" x="335"/>
        <item m="1" x="44"/>
        <item m="1" x="435"/>
        <item m="1" x="152"/>
        <item m="1" x="161"/>
        <item m="1" x="499"/>
        <item m="1" x="168"/>
        <item m="1" x="544"/>
        <item m="1" x="217"/>
        <item m="1" x="565"/>
        <item m="1" x="589"/>
        <item m="1" x="260"/>
        <item m="1" x="643"/>
        <item m="1" x="353"/>
        <item m="1" x="54"/>
        <item m="1" x="95"/>
        <item m="1" x="410"/>
        <item m="1" x="434"/>
        <item m="1" x="447"/>
        <item m="1" x="508"/>
        <item m="1" x="543"/>
        <item m="1" x="633"/>
        <item m="1" x="344"/>
        <item m="1" x="68"/>
        <item m="1" x="94"/>
        <item m="1" x="424"/>
        <item m="1" x="484"/>
        <item x="5"/>
        <item m="1" x="239"/>
        <item m="1" x="258"/>
        <item m="1" x="626"/>
        <item m="1" x="654"/>
        <item m="1" x="16"/>
        <item m="1" x="25"/>
        <item m="1" x="378"/>
        <item m="1" x="402"/>
        <item m="1" x="409"/>
        <item m="1" x="446"/>
        <item m="1" x="459"/>
        <item m="1" x="467"/>
        <item m="1" x="188"/>
        <item m="1" x="542"/>
        <item m="1" x="553"/>
        <item m="1" x="256"/>
        <item x="3"/>
        <item m="1" x="423"/>
        <item m="1" x="158"/>
        <item m="1" x="199"/>
        <item m="1" x="244"/>
        <item m="1" x="309"/>
        <item m="1" x="662"/>
        <item m="1" x="93"/>
        <item m="1" x="417"/>
        <item m="1" x="157"/>
        <item m="1" x="515"/>
        <item m="1" x="186"/>
        <item m="1" x="551"/>
        <item m="1" x="216"/>
        <item m="1" x="227"/>
        <item m="1" x="622"/>
        <item m="1" x="30"/>
        <item m="1" x="390"/>
        <item m="1" x="174"/>
        <item m="1" x="205"/>
        <item m="1" x="214"/>
        <item m="1" x="576"/>
        <item m="1" x="286"/>
        <item m="1" x="298"/>
        <item m="1" x="40"/>
        <item m="1" x="389"/>
        <item m="1" x="92"/>
        <item m="1" x="407"/>
        <item m="1" x="445"/>
        <item m="1" x="128"/>
        <item m="1" x="527"/>
        <item m="1" x="575"/>
        <item m="1" x="586"/>
        <item m="1" x="285"/>
        <item m="1" x="29"/>
        <item m="1" x="362"/>
        <item m="1" x="91"/>
        <item m="1" x="432"/>
        <item m="1" x="479"/>
        <item m="1" x="198"/>
        <item m="1" x="574"/>
        <item m="1" x="350"/>
        <item m="1" x="558"/>
        <item m="1" x="388"/>
        <item m="1" x="401"/>
        <item m="1" x="581"/>
        <item m="1" x="602"/>
        <item m="1" x="262"/>
        <item m="1" x="277"/>
        <item m="1" x="444"/>
        <item m="1" x="649"/>
        <item m="1" x="303"/>
        <item m="1" x="313"/>
        <item m="1" x="156"/>
        <item m="1" x="20"/>
        <item m="1" x="337"/>
        <item m="1" x="356"/>
        <item m="1" x="539"/>
        <item m="1" x="550"/>
        <item m="1" x="78"/>
        <item m="1" x="396"/>
        <item m="1" x="115"/>
        <item m="1" x="270"/>
        <item m="1" x="639"/>
        <item m="1" x="465"/>
        <item m="1" x="660"/>
        <item m="1" x="318"/>
        <item m="1" x="191"/>
        <item m="1" x="65"/>
        <item m="1" x="566"/>
        <item m="1" x="400"/>
        <item m="1" x="601"/>
        <item m="1" x="289"/>
        <item m="1" x="443"/>
        <item m="1" x="648"/>
        <item m="1" x="146"/>
        <item m="1" x="345"/>
        <item m="1" x="196"/>
        <item m="1" x="355"/>
        <item m="1" x="56"/>
        <item m="1" x="395"/>
        <item x="6"/>
        <item m="1" x="405"/>
        <item m="1" x="254"/>
        <item m="1" x="418"/>
        <item m="1" x="607"/>
        <item m="1" x="638"/>
        <item m="1" x="464"/>
        <item m="1" x="652"/>
        <item m="1" x="502"/>
        <item m="1" x="361"/>
        <item m="1" x="210"/>
        <item m="1" x="373"/>
        <item m="1" x="219"/>
        <item m="1" x="102"/>
        <item m="1" x="599"/>
        <item m="1" x="614"/>
        <item m="1" x="133"/>
        <item m="1" x="145"/>
        <item m="1" x="478"/>
        <item m="1" x="35"/>
        <item m="1" x="381"/>
        <item m="1" x="561"/>
        <item m="1" x="226"/>
        <item m="1" x="411"/>
        <item m="1" x="253"/>
        <item m="1" x="631"/>
        <item m="1" x="292"/>
        <item m="1" x="637"/>
        <item m="1" x="651"/>
        <item m="1" x="329"/>
        <item m="1" x="28"/>
        <item m="1" x="360"/>
        <item m="1" x="233"/>
        <item m="1" x="580"/>
        <item m="1" x="90"/>
        <item m="1" x="590"/>
        <item m="1" x="416"/>
        <item m="1" x="287"/>
        <item x="1"/>
        <item m="1" x="322"/>
        <item m="1" x="495"/>
        <item m="1" x="182"/>
        <item m="1" x="525"/>
        <item m="1" x="47"/>
        <item m="1" x="55"/>
        <item m="1" x="560"/>
        <item m="1" x="585"/>
        <item m="1" x="107"/>
        <item m="1" x="252"/>
        <item m="1" x="269"/>
        <item m="1" x="630"/>
        <item m="1" x="450"/>
        <item m="1" x="463"/>
        <item m="1" x="469"/>
        <item m="1" x="51"/>
        <item m="1" x="201"/>
        <item m="1" x="359"/>
        <item m="1" x="63"/>
        <item m="1" x="372"/>
        <item m="1" x="399"/>
        <item m="1" x="598"/>
        <item m="1" x="261"/>
        <item m="1" x="422"/>
        <item m="1" x="613"/>
        <item m="1" x="431"/>
        <item m="1" x="627"/>
        <item m="1" x="126"/>
        <item m="1" x="466"/>
        <item m="1" x="312"/>
        <item m="1" x="666"/>
        <item m="1" x="321"/>
        <item m="1" x="166"/>
        <item m="1" x="26"/>
        <item m="1" x="173"/>
        <item m="1" x="34"/>
        <item m="1" x="181"/>
        <item m="1" x="195"/>
        <item m="1" x="225"/>
        <item m="1" x="394"/>
        <item m="1" x="572"/>
        <item m="1" x="242"/>
        <item m="1" x="619"/>
        <item m="1" x="120"/>
        <item m="1" x="283"/>
        <item m="1" x="297"/>
        <item m="1" x="462"/>
        <item m="1" x="307"/>
        <item m="1" x="468"/>
        <item m="1" x="669"/>
        <item m="1" x="328"/>
        <item m="1" x="341"/>
        <item m="1" x="50"/>
        <item m="1" x="76"/>
        <item m="1" x="101"/>
        <item m="1" x="597"/>
        <item m="1" x="646"/>
        <item m="1" x="656"/>
        <item m="1" x="477"/>
        <item x="14"/>
        <item m="1" x="494"/>
        <item m="1" x="46"/>
        <item m="1" x="393"/>
        <item m="1" x="83"/>
        <item m="1" x="584"/>
        <item m="1" x="606"/>
        <item m="1" x="114"/>
        <item m="1" x="268"/>
        <item m="1" x="427"/>
        <item m="1" x="290"/>
        <item m="1" x="138"/>
        <item m="1" x="306"/>
        <item m="1" x="487"/>
        <item m="1" x="162"/>
        <item m="1" x="327"/>
        <item m="1" x="509"/>
        <item m="1" x="178"/>
        <item m="1" x="517"/>
        <item m="1" x="546"/>
        <item m="1" x="62"/>
        <item m="1" x="208"/>
        <item m="1" x="556"/>
        <item m="1" x="75"/>
        <item m="1" x="387"/>
        <item m="1" x="231"/>
        <item m="1" x="248"/>
        <item m="1" x="415"/>
        <item m="1" x="596"/>
        <item m="1" x="612"/>
        <item m="1" x="302"/>
        <item m="1" x="154"/>
        <item m="1" x="493"/>
        <item m="1" x="331"/>
        <item m="1" x="512"/>
        <item m="1" x="32"/>
        <item m="1" x="523"/>
        <item m="1" x="45"/>
        <item m="1" x="354"/>
        <item m="1" x="549"/>
        <item m="1" x="223"/>
        <item m="1" x="392"/>
        <item m="1" x="571"/>
        <item m="1" x="605"/>
        <item m="1" x="113"/>
        <item m="1" x="267"/>
        <item m="1" x="426"/>
        <item m="1" x="618"/>
        <item m="1" x="118"/>
        <item m="1" x="449"/>
        <item m="1" x="130"/>
        <item m="1" x="305"/>
        <item m="1" x="668"/>
        <item m="1" x="169"/>
        <item m="1" x="177"/>
        <item m="1" x="200"/>
        <item m="1" x="545"/>
        <item x="11"/>
        <item x="2"/>
        <item m="1" x="240"/>
        <item m="1" x="100"/>
        <item m="1" x="245"/>
        <item m="1" x="414"/>
        <item m="1" x="595"/>
        <item m="1" x="441"/>
        <item m="1" x="644"/>
        <item m="1" x="475"/>
        <item m="1" x="17"/>
        <item m="1" x="165"/>
        <item m="1" x="43"/>
        <item m="1" x="204"/>
        <item m="1" x="367"/>
        <item m="1" x="380"/>
        <item m="1" x="570"/>
        <item m="1" x="236"/>
        <item m="1" x="583"/>
        <item m="1" x="251"/>
        <item m="1" x="425"/>
        <item m="1" x="281"/>
        <item m="1" x="448"/>
        <item m="1" x="296"/>
        <item m="1" x="460"/>
        <item m="1" x="151"/>
        <item m="1" x="333"/>
        <item m="1" x="176"/>
        <item m="1" x="340"/>
        <item m="1" x="516"/>
        <item m="1" x="349"/>
        <item m="1" x="49"/>
        <item m="1" x="555"/>
        <item m="1" x="386"/>
        <item m="1" x="564"/>
        <item m="1" x="80"/>
        <item m="1" x="230"/>
        <item m="1" x="109"/>
        <item m="1" x="273"/>
        <item m="1" x="125"/>
        <item m="1" x="440"/>
        <item m="1" x="454"/>
        <item m="1" x="300"/>
        <item m="1" x="655"/>
        <item m="1" x="143"/>
        <item m="1" x="310"/>
        <item m="1" x="474"/>
        <item m="1" x="172"/>
        <item m="1" x="538"/>
        <item m="1" x="53"/>
        <item m="1" x="366"/>
        <item m="1" x="221"/>
        <item m="1" x="391"/>
        <item m="1" x="82"/>
        <item m="1" x="593"/>
        <item m="1" x="112"/>
        <item m="1" x="266"/>
        <item m="1" x="433"/>
        <item x="13"/>
        <item m="1" x="295"/>
        <item m="1" x="136"/>
        <item m="1" x="485"/>
        <item m="1" x="667"/>
        <item m="1" x="175"/>
        <item m="1" x="348"/>
        <item m="1" x="207"/>
        <item m="1" x="73"/>
        <item m="1" x="578"/>
        <item m="1" x="413"/>
        <item m="1" x="259"/>
        <item m="1" x="421"/>
        <item m="1" x="124"/>
        <item m="1" x="453"/>
        <item m="1" x="642"/>
        <item m="1" x="473"/>
        <item m="1" x="664"/>
        <item m="1" x="320"/>
        <item m="1" x="492"/>
        <item m="1" x="506"/>
        <item m="1" x="343"/>
        <item m="1" x="521"/>
        <item m="1" x="192"/>
        <item m="1" x="379"/>
        <item m="1" x="104"/>
        <item m="1" x="250"/>
        <item m="1" x="604"/>
        <item m="1" x="617"/>
        <item m="1" x="117"/>
        <item m="1" x="280"/>
        <item m="1" x="150"/>
        <item m="1" x="317"/>
        <item m="1" x="482"/>
        <item m="1" x="160"/>
        <item m="1" x="498"/>
        <item m="1" x="21"/>
        <item m="1" x="189"/>
        <item m="1" x="531"/>
        <item m="1" x="48"/>
        <item m="1" x="60"/>
        <item m="1" x="206"/>
        <item m="1" x="371"/>
        <item m="1" x="554"/>
        <item m="1" x="563"/>
        <item m="1" x="588"/>
        <item m="1" x="594"/>
        <item m="1" x="257"/>
        <item m="1" x="610"/>
        <item m="1" x="632"/>
        <item m="1" x="452"/>
        <item m="1" x="132"/>
        <item m="1" x="491"/>
        <item m="1" x="505"/>
        <item m="1" x="24"/>
        <item m="1" x="171"/>
        <item m="1" x="520"/>
        <item m="1" x="41"/>
        <item m="1" x="352"/>
        <item m="1" x="365"/>
        <item m="1" x="67"/>
        <item m="1" x="103"/>
        <item m="1" x="265"/>
        <item m="1" x="635"/>
        <item m="1" x="458"/>
        <item m="1" x="149"/>
        <item m="1" x="316"/>
        <item m="1" x="159"/>
        <item m="1" x="167"/>
        <item m="1" x="507"/>
        <item m="1" x="530"/>
        <item m="1" x="541"/>
        <item m="1" x="59"/>
        <item m="1" x="370"/>
        <item m="1" x="552"/>
        <item m="1" x="71"/>
        <item m="1" x="385"/>
        <item m="1" x="562"/>
        <item m="1" x="577"/>
        <item m="1" x="238"/>
        <item m="1" x="98"/>
        <item m="1" x="609"/>
        <item m="1" x="116"/>
        <item m="1" x="272"/>
        <item m="1" x="430"/>
        <item m="1" x="624"/>
        <item m="1" x="131"/>
        <item m="1" x="299"/>
        <item m="1" x="663"/>
        <item m="1" x="319"/>
        <item m="1" x="490"/>
        <item x="4"/>
        <item m="1" x="170"/>
        <item m="1" x="31"/>
        <item m="1" x="211"/>
        <item m="1" x="376"/>
        <item m="1" x="81"/>
        <item m="1" x="408"/>
        <item m="1" x="615"/>
        <item m="1" x="629"/>
        <item m="1" x="129"/>
        <item m="1" x="326"/>
        <item m="1" x="339"/>
        <item m="1" x="38"/>
        <item m="1" x="347"/>
        <item m="1" x="529"/>
        <item m="1" x="58"/>
        <item m="1" x="228"/>
        <item m="1" x="97"/>
        <item m="1" x="412"/>
        <item m="1" x="255"/>
        <item m="1" x="608"/>
        <item m="1" x="623"/>
        <item m="1" x="451"/>
        <item m="1" x="504"/>
        <item m="1" x="536"/>
        <item m="1" x="52"/>
        <item m="1" x="66"/>
        <item m="1" x="375"/>
        <item m="1" x="603"/>
        <item m="1" x="111"/>
        <item m="1" x="264"/>
        <item m="1" x="279"/>
        <item m="1" x="135"/>
        <item m="1" x="658"/>
        <item m="1" x="148"/>
        <item m="1" x="315"/>
        <item m="1" x="481"/>
        <item m="1" x="325"/>
        <item m="1" x="27"/>
        <item m="1" x="514"/>
        <item m="1" x="215"/>
        <item m="1" x="79"/>
        <item m="1" x="88"/>
        <item m="1" x="587"/>
        <item m="1" x="429"/>
        <item m="1" x="621"/>
        <item m="1" x="308"/>
        <item m="1" x="471"/>
        <item m="1" x="163"/>
        <item m="1" x="334"/>
        <item m="1" x="511"/>
        <item m="1" x="342"/>
        <item m="1" x="364"/>
        <item m="1" x="592"/>
        <item m="1" x="263"/>
        <item m="1" x="304"/>
        <item m="1" x="480"/>
        <item m="1" x="324"/>
        <item m="1" x="338"/>
        <item m="1" x="37"/>
        <item m="1" x="185"/>
        <item m="1" x="528"/>
        <item m="1" x="70"/>
        <item m="1" x="383"/>
        <item x="10"/>
        <item m="1" x="661"/>
        <item m="1" x="15"/>
        <item m="1" x="330"/>
        <item m="1" x="23"/>
        <item m="1" x="510"/>
        <item m="1" x="518"/>
        <item m="1" x="351"/>
        <item m="1" x="534"/>
        <item m="1" x="203"/>
        <item m="1" x="363"/>
        <item m="1" x="582"/>
        <item x="8"/>
        <item m="1" x="456"/>
        <item m="1" x="650"/>
        <item m="1" x="134"/>
        <item m="1" x="147"/>
        <item m="1" x="526"/>
        <item m="1" x="420"/>
        <item m="1" x="428"/>
        <item m="1" x="123"/>
        <item m="1" x="640"/>
        <item m="1" x="470"/>
        <item m="1" x="489"/>
        <item t="default"/>
      </items>
    </pivotField>
    <pivotField showAll="0" defaultSubtotal="0">
      <items count="25">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539">
        <item m="1" x="71"/>
        <item m="1" x="232"/>
        <item m="1" x="536"/>
        <item m="1" x="481"/>
        <item m="1" x="309"/>
        <item m="1" x="422"/>
        <item m="1" x="115"/>
        <item m="1" x="104"/>
        <item m="1" x="149"/>
        <item m="1" x="165"/>
        <item m="1" x="184"/>
        <item m="1" x="262"/>
        <item m="1" x="228"/>
        <item m="1" x="417"/>
        <item m="1" x="146"/>
        <item m="1" x="212"/>
        <item m="1" x="63"/>
        <item m="1" x="408"/>
        <item m="1" x="83"/>
        <item m="1" x="284"/>
        <item m="1" x="482"/>
        <item m="1" x="98"/>
        <item m="1" x="502"/>
        <item m="1" x="474"/>
        <item x="6"/>
        <item m="1" x="166"/>
        <item m="1" x="430"/>
        <item m="1" x="491"/>
        <item m="1" x="18"/>
        <item m="1" x="274"/>
        <item m="1" x="158"/>
        <item m="1" x="245"/>
        <item m="1" x="344"/>
        <item m="1" x="102"/>
        <item m="1" x="107"/>
        <item m="1" x="227"/>
        <item m="1" x="196"/>
        <item m="1" x="255"/>
        <item x="5"/>
        <item x="3"/>
        <item m="1" x="253"/>
        <item m="1" x="312"/>
        <item m="1" x="296"/>
        <item m="1" x="192"/>
        <item m="1" x="280"/>
        <item x="9"/>
        <item m="1" x="461"/>
        <item x="8"/>
        <item m="1" x="278"/>
        <item m="1" x="133"/>
        <item m="1" x="276"/>
        <item m="1" x="116"/>
        <item m="1" x="272"/>
        <item m="1" x="440"/>
        <item m="1" x="338"/>
        <item m="1" x="483"/>
        <item m="1" x="402"/>
        <item m="1" x="295"/>
        <item m="1" x="234"/>
        <item m="1" x="88"/>
        <item m="1" x="238"/>
        <item m="1" x="289"/>
        <item m="1" x="476"/>
        <item m="1" x="458"/>
        <item m="1" x="438"/>
        <item m="1" x="140"/>
        <item m="1" x="225"/>
        <item m="1" x="318"/>
        <item m="1" x="226"/>
        <item m="1" x="60"/>
        <item m="1" x="535"/>
        <item m="1" x="390"/>
        <item m="1" x="169"/>
        <item m="1" x="493"/>
        <item x="7"/>
        <item m="1" x="72"/>
        <item m="1" x="462"/>
        <item x="0"/>
        <item m="1" x="431"/>
        <item m="1" x="168"/>
        <item m="1" x="297"/>
        <item m="1" x="113"/>
        <item m="1" x="273"/>
        <item m="1" x="148"/>
        <item m="1" x="125"/>
        <item m="1" x="454"/>
        <item m="1" x="445"/>
        <item m="1" x="229"/>
        <item m="1" x="250"/>
        <item m="1" x="509"/>
        <item m="1" x="117"/>
        <item m="1" x="132"/>
        <item m="1" x="68"/>
        <item m="1" x="421"/>
        <item m="1" x="485"/>
        <item m="1" x="195"/>
        <item m="1" x="182"/>
        <item m="1" x="268"/>
        <item m="1" x="537"/>
        <item m="1" x="514"/>
        <item m="1" x="271"/>
        <item m="1" x="46"/>
        <item m="1" x="135"/>
        <item m="1" x="205"/>
        <item m="1" x="240"/>
        <item m="1" x="366"/>
        <item m="1" x="425"/>
        <item m="1" x="413"/>
        <item m="1" x="303"/>
        <item m="1" x="490"/>
        <item m="1" x="48"/>
        <item m="1" x="498"/>
        <item x="4"/>
        <item m="1" x="256"/>
        <item m="1" x="264"/>
        <item m="1" x="208"/>
        <item m="1" x="349"/>
        <item m="1" x="341"/>
        <item m="1" x="324"/>
        <item m="1" x="39"/>
        <item m="1" x="469"/>
        <item m="1" x="488"/>
        <item m="1" x="197"/>
        <item m="1" x="345"/>
        <item m="1" x="391"/>
        <item m="1" x="93"/>
        <item m="1" x="76"/>
        <item m="1" x="26"/>
        <item m="1" x="528"/>
        <item m="1" x="54"/>
        <item m="1" x="407"/>
        <item m="1" x="519"/>
        <item m="1" x="81"/>
        <item m="1" x="368"/>
        <item m="1" x="32"/>
        <item m="1" x="183"/>
        <item m="1" x="12"/>
        <item m="1" x="58"/>
        <item m="1" x="194"/>
        <item m="1" x="251"/>
        <item m="1" x="310"/>
        <item m="1" x="371"/>
        <item m="1" x="50"/>
        <item m="1" x="209"/>
        <item m="1" x="410"/>
        <item m="1" x="49"/>
        <item m="1" x="363"/>
        <item m="1" x="67"/>
        <item m="1" x="210"/>
        <item m="1" x="269"/>
        <item m="1" x="343"/>
        <item m="1" x="465"/>
        <item m="1" x="475"/>
        <item m="1" x="293"/>
        <item m="1" x="175"/>
        <item m="1" x="392"/>
        <item m="1" x="28"/>
        <item m="1" x="190"/>
        <item m="1" x="441"/>
        <item m="1" x="66"/>
        <item m="1" x="335"/>
        <item m="1" x="420"/>
        <item m="1" x="423"/>
        <item m="1" x="494"/>
        <item m="1" x="243"/>
        <item m="1" x="77"/>
        <item m="1" x="428"/>
        <item m="1" x="10"/>
        <item m="1" x="381"/>
        <item m="1" x="377"/>
        <item m="1" x="386"/>
        <item m="1" x="101"/>
        <item m="1" x="222"/>
        <item m="1" x="330"/>
        <item m="1" x="62"/>
        <item m="1" x="91"/>
        <item m="1" x="387"/>
        <item m="1" x="484"/>
        <item m="1" x="266"/>
        <item m="1" x="249"/>
        <item m="1" x="415"/>
        <item m="1" x="263"/>
        <item m="1" x="57"/>
        <item m="1" x="118"/>
        <item m="1" x="393"/>
        <item m="1" x="127"/>
        <item m="1" x="124"/>
        <item m="1" x="442"/>
        <item m="1" x="418"/>
        <item m="1" x="473"/>
        <item m="1" x="75"/>
        <item m="1" x="328"/>
        <item m="1" x="164"/>
        <item m="1" x="206"/>
        <item m="1" x="44"/>
        <item m="1" x="298"/>
        <item m="1" x="281"/>
        <item m="1" x="406"/>
        <item m="1" x="112"/>
        <item m="1" x="30"/>
        <item m="1" x="380"/>
        <item m="1" x="161"/>
        <item m="1" x="20"/>
        <item m="1" x="139"/>
        <item m="1" x="179"/>
        <item m="1" x="448"/>
        <item m="1" x="171"/>
        <item m="1" x="207"/>
        <item m="1" x="452"/>
        <item m="1" x="329"/>
        <item m="1" x="522"/>
        <item m="1" x="84"/>
        <item m="1" x="69"/>
        <item m="1" x="287"/>
        <item m="1" x="459"/>
        <item m="1" x="82"/>
        <item m="1" x="191"/>
        <item m="1" x="16"/>
        <item m="1" x="503"/>
        <item m="1" x="511"/>
        <item m="1" x="59"/>
        <item m="1" x="383"/>
        <item m="1" x="176"/>
        <item m="1" x="19"/>
        <item m="1" x="373"/>
        <item m="1" x="74"/>
        <item m="1" x="314"/>
        <item m="1" x="323"/>
        <item m="1" x="90"/>
        <item m="1" x="342"/>
        <item m="1" x="218"/>
        <item m="1" x="515"/>
        <item m="1" x="65"/>
        <item m="1" x="96"/>
        <item m="1" x="230"/>
        <item m="1" x="516"/>
        <item m="1" x="23"/>
        <item m="1" x="472"/>
        <item m="1" x="339"/>
        <item m="1" x="351"/>
        <item m="1" x="286"/>
        <item m="1" x="53"/>
        <item m="1" x="79"/>
        <item m="1" x="242"/>
        <item m="1" x="95"/>
        <item m="1" x="501"/>
        <item m="1" x="492"/>
        <item m="1" x="121"/>
        <item m="1" x="451"/>
        <item m="1" x="105"/>
        <item m="1" x="419"/>
        <item m="1" x="36"/>
        <item m="1" x="429"/>
        <item m="1" x="119"/>
        <item m="1" x="213"/>
        <item m="1" x="21"/>
        <item m="1" x="86"/>
        <item m="1" x="497"/>
        <item m="1" x="435"/>
        <item m="1" x="307"/>
        <item m="1" x="109"/>
        <item m="1" x="486"/>
        <item m="1" x="258"/>
        <item m="1" x="524"/>
        <item m="1" x="246"/>
        <item m="1" x="376"/>
        <item m="1" x="399"/>
        <item m="1" x="304"/>
        <item m="1" x="136"/>
        <item m="1" x="499"/>
        <item m="1" x="496"/>
        <item m="1" x="394"/>
        <item m="1" x="33"/>
        <item m="1" x="290"/>
        <item m="1" x="123"/>
        <item m="1" x="506"/>
        <item m="1" x="147"/>
        <item m="1" x="24"/>
        <item m="1" x="416"/>
        <item m="1" x="504"/>
        <item m="1" x="110"/>
        <item m="1" x="512"/>
        <item m="1" x="294"/>
        <item m="1" x="156"/>
        <item m="1" x="99"/>
        <item m="1" x="513"/>
        <item m="1" x="247"/>
        <item m="1" x="379"/>
        <item m="1" x="70"/>
        <item m="1" x="241"/>
        <item m="1" x="231"/>
        <item m="1" x="437"/>
        <item m="1" x="80"/>
        <item m="1" x="279"/>
        <item m="1" x="89"/>
        <item m="1" x="401"/>
        <item m="1" x="128"/>
        <item m="1" x="31"/>
        <item m="1" x="432"/>
        <item m="1" x="450"/>
        <item m="1" x="444"/>
        <item m="1" x="340"/>
        <item m="1" x="433"/>
        <item m="1" x="385"/>
        <item m="1" x="369"/>
        <item m="1" x="55"/>
        <item m="1" x="42"/>
        <item m="1" x="434"/>
        <item m="1" x="275"/>
        <item m="1" x="311"/>
        <item m="1" x="97"/>
        <item m="1" x="43"/>
        <item m="1" x="257"/>
        <item m="1" x="518"/>
        <item m="1" x="203"/>
        <item m="1" x="478"/>
        <item m="1" x="375"/>
        <item m="1" x="198"/>
        <item m="1" x="517"/>
        <item m="1" x="495"/>
        <item m="1" x="470"/>
        <item m="1" x="398"/>
        <item m="1" x="38"/>
        <item m="1" x="510"/>
        <item m="1" x="180"/>
        <item m="1" x="267"/>
        <item m="1" x="453"/>
        <item m="1" x="126"/>
        <item m="1" x="219"/>
        <item m="1" x="254"/>
        <item m="1" x="288"/>
        <item m="1" x="360"/>
        <item m="1" x="374"/>
        <item m="1" x="439"/>
        <item m="1" x="25"/>
        <item m="1" x="359"/>
        <item m="1" x="378"/>
        <item m="1" x="321"/>
        <item m="1" x="365"/>
        <item m="1" x="456"/>
        <item m="1" x="73"/>
        <item m="1" x="395"/>
        <item m="1" x="447"/>
        <item m="1" x="252"/>
        <item m="1" x="134"/>
        <item m="1" x="334"/>
        <item m="1" x="404"/>
        <item m="1" x="154"/>
        <item m="1" x="220"/>
        <item m="1" x="236"/>
        <item m="1" x="51"/>
        <item m="1" x="216"/>
        <item m="1" x="64"/>
        <item m="1" x="384"/>
        <item m="1" x="362"/>
        <item m="1" x="400"/>
        <item m="1" x="159"/>
        <item m="1" x="489"/>
        <item m="1" x="405"/>
        <item m="1" x="352"/>
        <item m="1" x="357"/>
        <item m="1" x="460"/>
        <item m="1" x="152"/>
        <item m="1" x="221"/>
        <item m="1" x="320"/>
        <item m="1" x="137"/>
        <item m="1" x="261"/>
        <item m="1" x="41"/>
        <item m="1" x="389"/>
        <item m="1" x="411"/>
        <item m="1" x="244"/>
        <item m="1" x="455"/>
        <item m="1" x="174"/>
        <item m="1" x="526"/>
        <item m="1" x="346"/>
        <item m="1" x="111"/>
        <item m="1" x="94"/>
        <item m="1" x="523"/>
        <item m="1" x="235"/>
        <item m="1" x="248"/>
        <item m="1" x="237"/>
        <item m="1" x="224"/>
        <item m="1" x="505"/>
        <item m="1" x="529"/>
        <item m="1" x="204"/>
        <item m="1" x="531"/>
        <item m="1" x="285"/>
        <item m="1" x="291"/>
        <item m="1" x="370"/>
        <item m="1" x="34"/>
        <item m="1" x="61"/>
        <item m="1" x="322"/>
        <item m="1" x="14"/>
        <item m="1" x="45"/>
        <item m="1" x="449"/>
        <item m="1" x="214"/>
        <item m="1" x="533"/>
        <item m="1" x="56"/>
        <item m="1" x="443"/>
        <item m="1" x="396"/>
        <item m="1" x="52"/>
        <item m="1" x="319"/>
        <item m="1" x="299"/>
        <item m="1" x="163"/>
        <item m="1" x="193"/>
        <item m="1" x="527"/>
        <item m="1" x="466"/>
        <item m="1" x="120"/>
        <item m="1" x="129"/>
        <item m="1" x="414"/>
        <item m="1" x="100"/>
        <item m="1" x="403"/>
        <item m="1" x="409"/>
        <item m="1" x="35"/>
        <item m="1" x="239"/>
        <item m="1" x="332"/>
        <item m="1" x="15"/>
        <item m="1" x="189"/>
        <item m="1" x="457"/>
        <item m="1" x="92"/>
        <item m="1" x="130"/>
        <item m="1" x="520"/>
        <item m="1" x="525"/>
        <item m="1" x="223"/>
        <item m="1" x="372"/>
        <item m="1" x="167"/>
        <item m="1" x="412"/>
        <item m="1" x="103"/>
        <item m="1" x="467"/>
        <item m="1" x="424"/>
        <item m="1" x="215"/>
        <item m="1" x="131"/>
        <item m="1" x="532"/>
        <item m="1" x="270"/>
        <item m="1" x="40"/>
        <item m="1" x="13"/>
        <item m="1" x="29"/>
        <item m="1" x="138"/>
        <item m="1" x="479"/>
        <item m="1" x="534"/>
        <item m="1" x="426"/>
        <item m="1" x="446"/>
        <item m="1" x="85"/>
        <item m="1" x="530"/>
        <item m="1" x="211"/>
        <item m="1" x="22"/>
        <item m="1" x="464"/>
        <item m="1" x="388"/>
        <item m="1" x="507"/>
        <item m="1" x="217"/>
        <item m="1" x="259"/>
        <item m="1" x="142"/>
        <item m="1" x="265"/>
        <item m="1" x="480"/>
        <item m="1" x="477"/>
        <item m="1" x="436"/>
        <item m="1" x="308"/>
        <item m="1" x="170"/>
        <item m="1" x="463"/>
        <item m="1" x="37"/>
        <item m="1" x="361"/>
        <item m="1" x="333"/>
        <item m="1" x="78"/>
        <item m="1" x="233"/>
        <item m="1" x="87"/>
        <item m="1" x="47"/>
        <item m="1" x="508"/>
        <item m="1" x="277"/>
        <item m="1" x="260"/>
        <item m="1" x="500"/>
        <item m="1" x="181"/>
        <item m="1" x="11"/>
        <item m="1" x="114"/>
        <item m="1" x="487"/>
        <item m="1" x="173"/>
        <item m="1" x="471"/>
        <item m="1" x="27"/>
        <item m="1" x="521"/>
        <item m="1" x="188"/>
        <item m="1" x="283"/>
        <item m="1" x="382"/>
        <item m="1" x="427"/>
        <item m="1" x="122"/>
        <item m="1" x="108"/>
        <item x="1"/>
        <item x="2"/>
        <item m="1" x="397"/>
        <item m="1" x="106"/>
        <item m="1" x="468"/>
        <item m="1" x="17"/>
        <item m="1" x="348"/>
        <item m="1" x="313"/>
        <item m="1" x="336"/>
        <item m="1" x="325"/>
        <item m="1" x="300"/>
        <item m="1" x="326"/>
        <item m="1" x="301"/>
        <item m="1" x="350"/>
        <item m="1" x="302"/>
        <item m="1" x="327"/>
        <item m="1" x="315"/>
        <item m="1" x="353"/>
        <item m="1" x="282"/>
        <item m="1" x="354"/>
        <item m="1" x="316"/>
        <item m="1" x="364"/>
        <item m="1" x="355"/>
        <item m="1" x="292"/>
        <item m="1" x="356"/>
        <item m="1" x="317"/>
        <item m="1" x="305"/>
        <item m="1" x="306"/>
        <item m="1" x="331"/>
        <item m="1" x="358"/>
        <item m="1" x="367"/>
        <item m="1" x="347"/>
        <item m="1" x="337"/>
        <item m="1" x="185"/>
        <item m="1" x="157"/>
        <item m="1" x="150"/>
        <item m="1" x="199"/>
        <item m="1" x="186"/>
        <item m="1" x="200"/>
        <item m="1" x="177"/>
        <item m="1" x="141"/>
        <item m="1" x="201"/>
        <item m="1" x="187"/>
        <item m="1" x="160"/>
        <item m="1" x="151"/>
        <item m="1" x="143"/>
        <item m="1" x="202"/>
        <item m="1" x="178"/>
        <item m="1" x="162"/>
        <item m="1" x="144"/>
        <item m="1" x="153"/>
        <item m="1" x="145"/>
        <item m="1" x="155"/>
        <item m="1" x="172"/>
        <item t="default"/>
      </items>
    </pivotField>
    <pivotField axis="axisRow" showAll="0" sortType="ascending" defaultSubtotal="0">
      <items count="15089">
        <item sd="0" x="78"/>
        <item sd="0" x="79"/>
        <item sd="0" x="80"/>
        <item sd="0" x="81"/>
        <item sd="0" x="82"/>
        <item sd="0" x="83"/>
        <item sd="0" x="84"/>
        <item sd="0" x="85"/>
        <item sd="0" x="22"/>
        <item sd="0" x="23"/>
        <item sd="0" x="24"/>
        <item sd="0" x="25"/>
        <item sd="0" x="26"/>
        <item sd="0" x="27"/>
        <item sd="0" x="28"/>
        <item sd="0" x="29"/>
        <item sd="0" x="30"/>
        <item sd="0" x="31"/>
        <item sd="0" x="32"/>
        <item sd="0" x="11"/>
        <item sd="0" x="12"/>
        <item sd="0" x="13"/>
        <item sd="0" x="14"/>
        <item sd="0" x="15"/>
        <item sd="0" x="16"/>
        <item sd="0" x="17"/>
        <item sd="0" x="18"/>
        <item sd="0" x="19"/>
        <item sd="0" x="20"/>
        <item sd="0" x="21"/>
        <item sd="0" x="1"/>
        <item sd="0" x="2"/>
        <item sd="0" x="3"/>
        <item x="4"/>
        <item sd="0" x="5"/>
        <item sd="0" x="6"/>
        <item x="7"/>
        <item sd="0" x="8"/>
        <item x="9"/>
        <item sd="0" x="10"/>
        <item x="33"/>
        <item sd="0" x="34"/>
        <item x="35"/>
        <item sd="0" x="36"/>
        <item x="37"/>
        <item sd="0" x="38"/>
        <item sd="0" x="39"/>
        <item x="40"/>
        <item sd="0" x="41"/>
        <item x="42"/>
        <item sd="0" x="43"/>
        <item x="44"/>
        <item sd="0" x="45"/>
        <item x="46"/>
        <item sd="0" x="47"/>
        <item x="48"/>
        <item sd="0" x="49"/>
        <item sd="0" x="58"/>
        <item x="59"/>
        <item sd="0" x="60"/>
        <item x="61"/>
        <item sd="0" x="62"/>
        <item x="63"/>
        <item sd="0" x="64"/>
        <item x="65"/>
        <item sd="0" x="66"/>
        <item sd="0" x="73"/>
        <item x="74"/>
        <item x="75"/>
        <item sd="0" x="76"/>
        <item sd="0" x="77"/>
        <item x="0"/>
        <item sd="0" x="86"/>
        <item sd="0" x="87"/>
        <item x="88"/>
        <item x="89"/>
        <item sd="0" x="90"/>
        <item sd="0" x="91"/>
        <item x="92"/>
        <item x="173"/>
        <item sd="0" x="174"/>
        <item sd="0" x="175"/>
        <item x="176"/>
        <item sd="0" x="177"/>
        <item sd="0" x="178"/>
        <item x="93"/>
        <item x="94"/>
        <item sd="0" x="95"/>
        <item sd="0" x="96"/>
        <item x="97"/>
        <item x="98"/>
        <item sd="0" x="99"/>
        <item sd="0" x="100"/>
        <item x="101"/>
        <item sd="0" x="179"/>
        <item sd="0" x="180"/>
        <item x="181"/>
        <item x="182"/>
        <item sd="0" x="183"/>
        <item sd="0" x="184"/>
        <item x="102"/>
        <item x="103"/>
        <item sd="0" x="104"/>
        <item sd="0" x="105"/>
        <item x="106"/>
        <item sd="0" x="107"/>
        <item sd="0" x="108"/>
        <item x="109"/>
        <item x="110"/>
        <item sd="0" x="185"/>
        <item sd="0" x="186"/>
        <item x="187"/>
        <item x="188"/>
        <item sd="0" x="189"/>
        <item sd="0" x="111"/>
        <item x="112"/>
        <item sd="0" x="113"/>
        <item sd="0" x="114"/>
        <item x="115"/>
        <item x="116"/>
        <item sd="0" x="117"/>
        <item sd="0" x="118"/>
        <item x="119"/>
        <item x="190"/>
        <item sd="0" x="191"/>
        <item sd="0" x="192"/>
        <item x="193"/>
        <item sd="0" x="194"/>
        <item sd="0" x="195"/>
        <item sd="0" x="120"/>
        <item x="121"/>
        <item x="122"/>
        <item x="123"/>
        <item x="124"/>
        <item sd="0" x="125"/>
        <item sd="0" x="126"/>
        <item sd="0" x="127"/>
        <item x="196"/>
        <item x="197"/>
        <item x="198"/>
        <item x="199"/>
        <item sd="0" x="200"/>
        <item sd="0" x="201"/>
        <item sd="0" x="128"/>
        <item sd="0" x="129"/>
        <item x="130"/>
        <item x="131"/>
        <item x="132"/>
        <item sd="0" x="133"/>
        <item sd="0" x="134"/>
        <item sd="0" x="135"/>
        <item sd="0" x="202"/>
        <item x="203"/>
        <item x="204"/>
        <item x="205"/>
        <item x="206"/>
        <item sd="0" x="207"/>
        <item sd="0" x="208"/>
        <item sd="0" x="136"/>
        <item x="137"/>
        <item x="138"/>
        <item x="139"/>
        <item x="140"/>
        <item sd="0" x="141"/>
        <item sd="0" x="142"/>
        <item sd="0" x="143"/>
        <item sd="0" x="209"/>
        <item x="210"/>
        <item x="211"/>
        <item x="212"/>
        <item sd="0" x="213"/>
        <item sd="0" x="214"/>
        <item sd="0" x="215"/>
        <item sd="0" x="144"/>
        <item x="145"/>
        <item x="146"/>
        <item x="147"/>
        <item x="148"/>
        <item sd="0" x="149"/>
        <item sd="0" x="150"/>
        <item sd="0" x="151"/>
        <item x="152"/>
        <item x="153"/>
        <item x="154"/>
        <item x="155"/>
        <item sd="0" x="156"/>
        <item sd="0" x="157"/>
        <item sd="0" x="158"/>
        <item sd="0" x="159"/>
        <item x="160"/>
        <item x="161"/>
        <item x="162"/>
        <item sd="0" x="163"/>
        <item sd="0" x="164"/>
        <item sd="0" x="165"/>
        <item sd="0" x="166"/>
        <item x="167"/>
        <item x="168"/>
        <item x="169"/>
        <item x="170"/>
        <item sd="0" x="171"/>
        <item sd="0" x="172"/>
        <item x="216"/>
        <item x="217"/>
        <item x="218"/>
        <item x="219"/>
        <item x="220"/>
        <item sd="0" x="221"/>
        <item sd="0" x="222"/>
        <item x="238"/>
        <item x="239"/>
        <item x="240"/>
        <item x="241"/>
        <item x="242"/>
        <item sd="0" x="243"/>
        <item sd="0" x="244"/>
        <item sd="0" x="245"/>
        <item x="223"/>
        <item x="224"/>
        <item x="225"/>
        <item x="226"/>
        <item x="227"/>
        <item sd="0" x="228"/>
        <item sd="0" x="229"/>
        <item x="246"/>
        <item x="247"/>
        <item x="248"/>
        <item x="249"/>
        <item x="250"/>
        <item sd="0" x="251"/>
        <item sd="0" x="252"/>
        <item x="230"/>
        <item x="231"/>
        <item x="232"/>
        <item x="233"/>
        <item x="234"/>
        <item sd="0" x="235"/>
        <item sd="0" x="236"/>
        <item sd="0" x="237"/>
        <item x="253"/>
        <item x="254"/>
        <item x="255"/>
        <item x="256"/>
        <item x="257"/>
        <item sd="0" x="258"/>
        <item sd="0" x="259"/>
        <item x="3293"/>
        <item x="3294"/>
        <item x="3295"/>
        <item x="3296"/>
        <item x="3297"/>
        <item sd="0" x="3298"/>
        <item sd="0" x="3299"/>
        <item x="3300"/>
        <item x="3301"/>
        <item x="3302"/>
        <item x="3303"/>
        <item x="3304"/>
        <item x="3305"/>
        <item x="3306"/>
        <item sd="0" x="3307"/>
        <item sd="0" x="3308"/>
        <item sd="0" x="3309"/>
        <item sd="0" x="3310"/>
        <item sd="0" x="3311"/>
        <item x="3312"/>
        <item x="3313"/>
        <item x="3314"/>
        <item x="3315"/>
        <item x="3316"/>
        <item x="3317"/>
        <item x="3318"/>
        <item x="3319"/>
        <item x="3320"/>
        <item x="3321"/>
        <item sd="0" x="3087"/>
        <item sd="0" x="3088"/>
        <item sd="0" x="3089"/>
        <item sd="0" x="3090"/>
        <item sd="0" x="3091"/>
        <item x="3092"/>
        <item x="3093"/>
        <item x="3094"/>
        <item x="3095"/>
        <item x="3096"/>
        <item x="3097"/>
        <item x="3098"/>
        <item x="3099"/>
        <item x="3100"/>
        <item x="3101"/>
        <item sd="0" x="3102"/>
        <item sd="0" x="3103"/>
        <item sd="0" x="3104"/>
        <item sd="0" x="3105"/>
        <item x="3106"/>
        <item x="3107"/>
        <item x="3108"/>
        <item x="3109"/>
        <item x="3110"/>
        <item x="3111"/>
        <item x="3112"/>
        <item x="3113"/>
        <item x="3114"/>
        <item x="3115"/>
        <item sd="0" x="3116"/>
        <item sd="0" x="3118"/>
        <item sd="0" x="3119"/>
        <item sd="0" x="3120"/>
        <item sd="0" x="3121"/>
        <item x="3122"/>
        <item x="3123"/>
        <item x="3124"/>
        <item x="3125"/>
        <item x="3126"/>
        <item x="3127"/>
        <item x="3128"/>
        <item x="3129"/>
        <item x="3130"/>
        <item x="3131"/>
        <item sd="0" x="3132"/>
        <item sd="0" x="3133"/>
        <item sd="0" x="3134"/>
        <item sd="0" x="3135"/>
        <item sd="0" x="3136"/>
        <item x="3137"/>
        <item x="3138"/>
        <item x="3139"/>
        <item x="3140"/>
        <item x="3141"/>
        <item x="3142"/>
        <item x="3143"/>
        <item x="3144"/>
        <item x="3145"/>
        <item x="3146"/>
        <item sd="0" x="3147"/>
        <item sd="0" x="3148"/>
        <item sd="0" x="3149"/>
        <item sd="0" x="3150"/>
        <item x="3151"/>
        <item x="3152"/>
        <item x="3153"/>
        <item x="3154"/>
        <item x="3155"/>
        <item x="3156"/>
        <item x="3157"/>
        <item x="3158"/>
        <item x="3159"/>
        <item x="3160"/>
        <item sd="0" x="3161"/>
        <item sd="0" x="3162"/>
        <item sd="0" x="3163"/>
        <item sd="0" x="3164"/>
        <item sd="0" x="3165"/>
        <item x="3166"/>
        <item x="3167"/>
        <item x="3168"/>
        <item x="3169"/>
        <item x="3170"/>
        <item x="3171"/>
        <item x="3172"/>
        <item x="3173"/>
        <item x="3174"/>
        <item x="3175"/>
        <item sd="0" x="3176"/>
        <item sd="0" x="3177"/>
        <item sd="0" x="3178"/>
        <item sd="0" x="3179"/>
        <item sd="0" x="3180"/>
        <item x="3181"/>
        <item x="3182"/>
        <item x="3183"/>
        <item x="3184"/>
        <item x="3185"/>
        <item x="3186"/>
        <item x="3187"/>
        <item x="3188"/>
        <item x="3189"/>
        <item x="3409"/>
        <item sd="0" x="3191"/>
        <item sd="0" x="3192"/>
        <item sd="0" x="3193"/>
        <item sd="0" x="3194"/>
        <item x="3195"/>
        <item x="3196"/>
        <item x="3197"/>
        <item x="3198"/>
        <item x="3199"/>
        <item x="3200"/>
        <item x="3201"/>
        <item x="3202"/>
        <item x="3203"/>
        <item x="3204"/>
        <item sd="0" x="3205"/>
        <item sd="0" x="3206"/>
        <item sd="0" x="3207"/>
        <item sd="0" x="3208"/>
        <item sd="0" x="3209"/>
        <item x="3210"/>
        <item x="3211"/>
        <item x="3212"/>
        <item x="3213"/>
        <item x="3214"/>
        <item x="3215"/>
        <item x="3216"/>
        <item x="3217"/>
        <item x="3218"/>
        <item x="3219"/>
        <item sd="0" x="3220"/>
        <item sd="0" x="3221"/>
        <item sd="0" x="3222"/>
        <item sd="0" x="3223"/>
        <item sd="0" x="3224"/>
        <item x="3225"/>
        <item x="3226"/>
        <item x="3227"/>
        <item x="3228"/>
        <item x="3229"/>
        <item x="3230"/>
        <item x="3231"/>
        <item x="3232"/>
        <item x="3233"/>
        <item x="3452"/>
        <item sd="0" x="3236"/>
        <item sd="0" x="3237"/>
        <item sd="0" x="3238"/>
        <item sd="0" x="3239"/>
        <item x="3240"/>
        <item x="3241"/>
        <item x="3242"/>
        <item x="3243"/>
        <item x="3244"/>
        <item x="3245"/>
        <item x="3246"/>
        <item x="3247"/>
        <item x="3248"/>
        <item x="3249"/>
        <item sd="0" x="3467"/>
        <item sd="0" x="3482"/>
        <item sd="0" x="3483"/>
        <item sd="0" x="3484"/>
        <item sd="0" x="3485"/>
        <item x="3486"/>
        <item x="3487"/>
        <item x="3488"/>
        <item x="3489"/>
        <item x="3490"/>
        <item x="3491"/>
        <item x="3492"/>
        <item x="3493"/>
        <item x="3494"/>
        <item x="3495"/>
        <item sd="0" x="3496"/>
        <item sd="0" x="3497"/>
        <item sd="0" x="3498"/>
        <item sd="0" x="3499"/>
        <item sd="0" x="3500"/>
        <item x="3501"/>
        <item x="3502"/>
        <item x="3503"/>
        <item x="3504"/>
        <item x="3505"/>
        <item x="3506"/>
        <item x="3507"/>
        <item x="3508"/>
        <item x="3509"/>
        <item x="3510"/>
        <item sd="0" x="3512"/>
        <item sd="0" x="3513"/>
        <item sd="0" x="3514"/>
        <item sd="0" x="3515"/>
        <item x="3516"/>
        <item x="3517"/>
        <item x="3518"/>
        <item x="3519"/>
        <item x="3520"/>
        <item x="3521"/>
        <item x="3522"/>
        <item x="3523"/>
        <item x="3524"/>
        <item x="3525"/>
        <item sd="0" x="3526"/>
        <item sd="0" x="3527"/>
        <item sd="0" x="3528"/>
        <item sd="0" x="3529"/>
        <item sd="0" x="3530"/>
        <item x="3531"/>
        <item x="3532"/>
        <item x="3533"/>
        <item x="3534"/>
        <item x="3535"/>
        <item x="3536"/>
        <item x="3537"/>
        <item x="3538"/>
        <item x="3539"/>
        <item x="3540"/>
        <item sd="0" x="3541"/>
        <item sd="0" x="3542"/>
        <item sd="0" x="3543"/>
        <item sd="0" x="3544"/>
        <item sd="0" x="3545"/>
        <item x="3546"/>
        <item x="3547"/>
        <item x="3548"/>
        <item x="3549"/>
        <item x="3550"/>
        <item x="3551"/>
        <item x="3552"/>
        <item x="3553"/>
        <item x="3554"/>
        <item x="3322"/>
        <item sd="0" x="3323"/>
        <item sd="0" x="3324"/>
        <item sd="0" x="3325"/>
        <item sd="0" x="3326"/>
        <item sd="0" x="3327"/>
        <item sd="0" x="3328"/>
        <item x="3329"/>
        <item x="3330"/>
        <item x="3331"/>
        <item x="3332"/>
        <item x="3333"/>
        <item x="3334"/>
        <item x="3335"/>
        <item x="3336"/>
        <item x="3337"/>
        <item x="3338"/>
        <item x="3339"/>
        <item x="3340"/>
        <item x="3341"/>
        <item x="3342"/>
        <item x="3343"/>
        <item x="3344"/>
        <item x="3345"/>
        <item x="3346"/>
        <item x="3347"/>
        <item x="3348"/>
        <item sd="0" x="3349"/>
        <item sd="0" x="3350"/>
        <item sd="0" x="3351"/>
        <item sd="0" x="3352"/>
        <item sd="0" x="3353"/>
        <item sd="0" x="3354"/>
        <item sd="0" x="3355"/>
        <item sd="0" x="3356"/>
        <item sd="0" x="3357"/>
        <item x="3358"/>
        <item x="3359"/>
        <item x="3360"/>
        <item x="3361"/>
        <item x="3362"/>
        <item x="3363"/>
        <item x="3364"/>
        <item x="3365"/>
        <item x="3366"/>
        <item x="3367"/>
        <item x="3368"/>
        <item x="3369"/>
        <item x="3370"/>
        <item x="3371"/>
        <item x="3372"/>
        <item x="3373"/>
        <item x="3374"/>
        <item x="3375"/>
        <item x="3376"/>
        <item x="3377"/>
        <item sd="0" x="3378"/>
        <item sd="0" x="3379"/>
        <item sd="0" x="3380"/>
        <item sd="0" x="3381"/>
        <item sd="0" x="3382"/>
        <item sd="0" x="3383"/>
        <item sd="0" x="3384"/>
        <item sd="0" x="3385"/>
        <item sd="0" x="3386"/>
        <item sd="0" x="3387"/>
        <item x="3388"/>
        <item x="3389"/>
        <item x="3390"/>
        <item x="3391"/>
        <item x="3392"/>
        <item x="3393"/>
        <item x="3394"/>
        <item x="3613"/>
        <item x="3395"/>
        <item x="3396"/>
        <item x="3397"/>
        <item x="3398"/>
        <item x="3399"/>
        <item x="3400"/>
        <item x="3401"/>
        <item x="3402"/>
        <item x="3403"/>
        <item x="3404"/>
        <item x="3405"/>
        <item x="3406"/>
        <item sd="0" x="3407"/>
        <item sd="0" x="3408"/>
        <item sd="0" x="3410"/>
        <item sd="0" x="3411"/>
        <item sd="0" x="3412"/>
        <item sd="0" x="3413"/>
        <item sd="0" x="3414"/>
        <item sd="0" x="3415"/>
        <item sd="0" x="3416"/>
        <item x="3417"/>
        <item x="3418"/>
        <item x="3419"/>
        <item x="3420"/>
        <item x="3421"/>
        <item x="3422"/>
        <item x="3423"/>
        <item x="3643"/>
        <item x="3424"/>
        <item x="3425"/>
        <item x="3426"/>
        <item x="3427"/>
        <item x="3428"/>
        <item x="3429"/>
        <item x="3430"/>
        <item x="3431"/>
        <item x="3432"/>
        <item x="3433"/>
        <item x="3434"/>
        <item x="3435"/>
        <item sd="0" x="3436"/>
        <item sd="0" x="3437"/>
        <item sd="0" x="3658"/>
        <item sd="0" x="3438"/>
        <item sd="0" x="3439"/>
        <item sd="0" x="3440"/>
        <item sd="0" x="3441"/>
        <item sd="0" x="3442"/>
        <item sd="0" x="3443"/>
        <item x="3444"/>
        <item x="3445"/>
        <item x="3446"/>
        <item x="3447"/>
        <item x="3448"/>
        <item x="3449"/>
        <item x="3450"/>
        <item x="3451"/>
        <item x="3453"/>
        <item x="3454"/>
        <item x="3455"/>
        <item x="3456"/>
        <item x="3457"/>
        <item x="3458"/>
        <item x="3459"/>
        <item x="3460"/>
        <item x="3461"/>
        <item x="3462"/>
        <item x="3463"/>
        <item x="3464"/>
        <item sd="0" x="3465"/>
        <item sd="0" x="3466"/>
        <item sd="0" x="3688"/>
        <item sd="0" x="3468"/>
        <item sd="0" x="3469"/>
        <item sd="0" x="3470"/>
        <item sd="0" x="3471"/>
        <item sd="0" x="3472"/>
        <item sd="0" x="3473"/>
        <item sd="0" x="3474"/>
        <item x="3475"/>
        <item x="3476"/>
        <item x="3477"/>
        <item x="3478"/>
        <item x="3479"/>
        <item x="3480"/>
        <item x="3481"/>
        <item x="3703"/>
        <item x="3719"/>
        <item x="3720"/>
        <item x="3721"/>
        <item x="3722"/>
        <item x="3723"/>
        <item x="3724"/>
        <item x="3725"/>
        <item x="3726"/>
        <item x="3727"/>
        <item x="3728"/>
        <item x="3729"/>
        <item x="3730"/>
        <item sd="0" x="3731"/>
        <item sd="0" x="3732"/>
        <item sd="0" x="3733"/>
        <item sd="0" x="3734"/>
        <item sd="0" x="3735"/>
        <item sd="0" x="3736"/>
        <item sd="0" x="3737"/>
        <item sd="0" x="3738"/>
        <item sd="0" x="3739"/>
        <item x="3740"/>
        <item x="3741"/>
        <item x="3742"/>
        <item x="3743"/>
        <item x="3744"/>
        <item x="3745"/>
        <item x="3746"/>
        <item x="3747"/>
        <item x="3748"/>
        <item x="3749"/>
        <item x="3750"/>
        <item x="3751"/>
        <item x="3752"/>
        <item x="3753"/>
        <item x="3754"/>
        <item x="3755"/>
        <item x="3756"/>
        <item x="3757"/>
        <item x="3758"/>
        <item x="3759"/>
        <item sd="0" x="3760"/>
        <item sd="0" x="3761"/>
        <item sd="0" x="3762"/>
        <item sd="0" x="3763"/>
        <item sd="0" x="3764"/>
        <item sd="0" x="3765"/>
        <item sd="0" x="3766"/>
        <item sd="0" x="3767"/>
        <item sd="0" x="3768"/>
        <item x="3769"/>
        <item x="3770"/>
        <item x="3771"/>
        <item x="3772"/>
        <item x="3773"/>
        <item x="3774"/>
        <item x="3775"/>
        <item x="3776"/>
        <item x="3777"/>
        <item x="3778"/>
        <item x="3779"/>
        <item x="3780"/>
        <item x="3781"/>
        <item x="3782"/>
        <item x="3783"/>
        <item x="3784"/>
        <item x="3785"/>
        <item x="3786"/>
        <item x="3787"/>
        <item x="3788"/>
        <item x="3789"/>
        <item sd="0" x="3790"/>
        <item sd="0" x="3791"/>
        <item sd="0" x="3555"/>
        <item sd="0" x="3556"/>
        <item sd="0" x="3557"/>
        <item sd="0" x="3558"/>
        <item sd="0" x="3559"/>
        <item sd="0" x="3560"/>
        <item sd="0" x="3561"/>
        <item x="3562"/>
        <item x="3563"/>
        <item x="3564"/>
        <item x="3565"/>
        <item x="3566"/>
        <item x="3567"/>
        <item x="3568"/>
        <item x="3569"/>
        <item x="3570"/>
        <item x="3571"/>
        <item x="3572"/>
        <item x="3573"/>
        <item x="3574"/>
        <item x="3575"/>
        <item x="3576"/>
        <item x="3577"/>
        <item x="3578"/>
        <item x="3579"/>
        <item x="3580"/>
        <item x="3581"/>
        <item sd="0" x="3582"/>
        <item sd="0" x="3583"/>
        <item sd="0" x="3584"/>
        <item sd="0" x="3585"/>
        <item sd="0" x="3586"/>
        <item sd="0" x="3587"/>
        <item sd="0" x="3588"/>
        <item sd="0" x="3589"/>
        <item sd="0" x="3590"/>
        <item x="3591"/>
        <item x="3592"/>
        <item x="3593"/>
        <item x="3594"/>
        <item x="3595"/>
        <item x="3596"/>
        <item x="3597"/>
        <item x="3598"/>
        <item x="3599"/>
        <item x="3600"/>
        <item x="3601"/>
        <item x="3602"/>
        <item x="3603"/>
        <item x="3604"/>
        <item x="3605"/>
        <item x="3606"/>
        <item x="3607"/>
        <item x="3608"/>
        <item x="3609"/>
        <item x="3610"/>
        <item sd="0" x="3611"/>
        <item sd="0" x="3612"/>
        <item sd="0" x="3614"/>
        <item sd="0" x="3615"/>
        <item sd="0" x="3616"/>
        <item sd="0" x="3617"/>
        <item sd="0" x="3618"/>
        <item sd="0" x="3619"/>
        <item sd="0" x="3620"/>
        <item x="3621"/>
        <item x="3622"/>
        <item x="3623"/>
        <item x="3624"/>
        <item x="3625"/>
        <item x="3626"/>
        <item x="3627"/>
        <item x="3628"/>
        <item x="3629"/>
        <item x="3630"/>
        <item x="3631"/>
        <item x="3632"/>
        <item x="3633"/>
        <item x="3634"/>
        <item x="3635"/>
        <item x="3636"/>
        <item x="3637"/>
        <item x="3638"/>
        <item x="3639"/>
        <item x="3640"/>
        <item x="3641"/>
        <item sd="0" x="3642"/>
        <item sd="0" x="3644"/>
        <item sd="0" x="3645"/>
        <item sd="0" x="3646"/>
        <item sd="0" x="3647"/>
        <item sd="0" x="3648"/>
        <item sd="0" x="3649"/>
        <item sd="0" x="3650"/>
        <item sd="0" x="3651"/>
        <item x="3652"/>
        <item x="3653"/>
        <item x="3654"/>
        <item x="3655"/>
        <item x="3656"/>
        <item x="3657"/>
        <item x="3659"/>
        <item x="3660"/>
        <item x="3661"/>
        <item x="3662"/>
        <item x="3663"/>
        <item x="3664"/>
        <item x="3665"/>
        <item x="3666"/>
        <item x="3667"/>
        <item x="3668"/>
        <item x="3669"/>
        <item x="3670"/>
        <item x="3671"/>
        <item x="3672"/>
        <item sd="0" x="3673"/>
        <item sd="0" x="3674"/>
        <item sd="0" x="3675"/>
        <item sd="0" x="3676"/>
        <item sd="0" x="3677"/>
        <item sd="0" x="3678"/>
        <item sd="0" x="3679"/>
        <item sd="0" x="3680"/>
        <item sd="0" x="3681"/>
        <item x="3682"/>
        <item x="3683"/>
        <item x="3684"/>
        <item x="3685"/>
        <item x="3686"/>
        <item x="3687"/>
        <item x="3896"/>
        <item x="3689"/>
        <item x="3690"/>
        <item x="3691"/>
        <item x="3692"/>
        <item x="3693"/>
        <item x="3694"/>
        <item x="3695"/>
        <item x="3696"/>
        <item x="3697"/>
        <item x="3698"/>
        <item x="3699"/>
        <item x="3700"/>
        <item x="3701"/>
        <item sd="0" x="3702"/>
        <item sd="0" x="3704"/>
        <item sd="0" x="3705"/>
        <item sd="0" x="3706"/>
        <item sd="0" x="3707"/>
        <item sd="0" x="3708"/>
        <item sd="0" x="3709"/>
        <item sd="0" x="3710"/>
        <item sd="0" x="3711"/>
        <item x="3712"/>
        <item x="3713"/>
        <item x="3714"/>
        <item x="3715"/>
        <item x="3716"/>
        <item x="3717"/>
        <item x="3718"/>
        <item x="3923"/>
        <item x="3936"/>
        <item x="3937"/>
        <item x="3938"/>
        <item x="3939"/>
        <item x="3940"/>
        <item x="3941"/>
        <item x="3942"/>
        <item x="3943"/>
        <item x="3944"/>
        <item x="3945"/>
        <item x="3946"/>
        <item x="3947"/>
        <item x="3948"/>
        <item sd="0" x="453"/>
        <item sd="0" x="3949"/>
        <item sd="0" x="3950"/>
        <item sd="0" x="3951"/>
        <item sd="0" x="3952"/>
        <item sd="0" x="3953"/>
        <item sd="0" x="3954"/>
        <item sd="0" x="3955"/>
        <item sd="0" x="3956"/>
        <item x="3957"/>
        <item x="3958"/>
        <item x="3959"/>
        <item x="3960"/>
        <item x="3961"/>
        <item x="468"/>
        <item x="469"/>
        <item x="3962"/>
        <item x="3963"/>
        <item x="3964"/>
        <item x="3965"/>
        <item x="3966"/>
        <item x="3967"/>
        <item x="3968"/>
        <item x="3969"/>
        <item x="3970"/>
        <item x="3971"/>
        <item x="3972"/>
        <item x="3973"/>
        <item x="3974"/>
        <item sd="0" x="485"/>
        <item sd="0" x="3975"/>
        <item sd="0" x="3976"/>
        <item sd="0" x="3977"/>
        <item sd="0" x="3978"/>
        <item sd="0" x="3979"/>
        <item sd="0" x="3980"/>
        <item sd="0" x="3981"/>
        <item sd="0" x="3982"/>
        <item x="3983"/>
        <item x="3984"/>
        <item x="3985"/>
        <item x="3986"/>
        <item x="3987"/>
        <item x="3988"/>
        <item x="501"/>
        <item x="3989"/>
        <item x="3990"/>
        <item x="3991"/>
        <item x="3992"/>
        <item x="3993"/>
        <item x="3994"/>
        <item x="3995"/>
        <item x="3996"/>
        <item x="3997"/>
        <item x="3998"/>
        <item x="3999"/>
        <item x="4000"/>
        <item x="4001"/>
        <item sd="0" x="260"/>
        <item sd="0" x="261"/>
        <item sd="0" x="3792"/>
        <item sd="0" x="3793"/>
        <item sd="0" x="3794"/>
        <item sd="0" x="3795"/>
        <item sd="0" x="3796"/>
        <item sd="0" x="3797"/>
        <item sd="0" x="3798"/>
        <item x="3799"/>
        <item x="3800"/>
        <item x="3801"/>
        <item x="3802"/>
        <item x="3803"/>
        <item x="3804"/>
        <item x="277"/>
        <item x="3805"/>
        <item x="3806"/>
        <item x="3807"/>
        <item x="3808"/>
        <item x="3809"/>
        <item x="3810"/>
        <item x="3811"/>
        <item x="3812"/>
        <item x="3813"/>
        <item x="3814"/>
        <item x="3815"/>
        <item x="3816"/>
        <item x="3817"/>
        <item x="3818"/>
        <item sd="0" x="292"/>
        <item x="3819"/>
        <item x="3820"/>
        <item sd="0" x="3821"/>
        <item sd="0" x="3822"/>
        <item sd="0" x="3823"/>
        <item sd="0" x="3824"/>
        <item x="3825"/>
        <item sd="0" x="3826"/>
        <item x="3827"/>
        <item x="3828"/>
        <item x="3829"/>
        <item x="3830"/>
        <item x="3831"/>
        <item x="308"/>
        <item x="309"/>
        <item x="3832"/>
        <item x="3833"/>
        <item x="3834"/>
        <item x="3835"/>
        <item x="3836"/>
        <item x="3837"/>
        <item x="3838"/>
        <item x="3839"/>
        <item x="3840"/>
        <item x="3841"/>
        <item x="3842"/>
        <item x="3843"/>
        <item x="3844"/>
        <item x="324"/>
        <item x="3845"/>
        <item x="3846"/>
        <item x="3847"/>
        <item x="3848"/>
        <item x="3849"/>
        <item x="3850"/>
        <item x="3851"/>
        <item x="3852"/>
        <item x="3853"/>
        <item x="3854"/>
        <item sd="0" x="3855"/>
        <item sd="0" x="3856"/>
        <item sd="0" x="3857"/>
        <item sd="0" x="340"/>
        <item sd="0" x="341"/>
        <item sd="0" x="3858"/>
        <item sd="0" x="3859"/>
        <item sd="0" x="3860"/>
        <item sd="0" x="3861"/>
        <item x="3862"/>
        <item x="3863"/>
        <item sd="0" x="3864"/>
        <item sd="0" x="3865"/>
        <item sd="0" x="3866"/>
        <item sd="0" x="3867"/>
        <item sd="0" x="3868"/>
        <item sd="0" x="3869"/>
        <item sd="0" x="3870"/>
        <item x="356"/>
        <item x="3871"/>
        <item x="3872"/>
        <item x="3873"/>
        <item x="3874"/>
        <item x="3875"/>
        <item x="3876"/>
        <item x="3877"/>
        <item x="3878"/>
        <item x="3879"/>
        <item x="3880"/>
        <item x="3881"/>
        <item x="3882"/>
        <item x="3883"/>
        <item x="372"/>
        <item x="373"/>
        <item x="3884"/>
        <item x="3885"/>
        <item x="3886"/>
        <item x="3887"/>
        <item x="3888"/>
        <item x="3889"/>
        <item x="3890"/>
        <item x="3891"/>
        <item x="3892"/>
        <item x="3893"/>
        <item x="3894"/>
        <item x="3895"/>
        <item x="388"/>
        <item x="389"/>
        <item x="3897"/>
        <item x="3898"/>
        <item x="3899"/>
        <item x="3900"/>
        <item x="3901"/>
        <item x="3902"/>
        <item x="3903"/>
        <item x="3904"/>
        <item x="3905"/>
        <item x="3906"/>
        <item sd="0" x="3907"/>
        <item sd="0" x="3908"/>
        <item sd="0" x="3909"/>
        <item sd="0" x="404"/>
        <item x="405"/>
        <item x="3910"/>
        <item x="3911"/>
        <item sd="0" x="3912"/>
        <item sd="0" x="3913"/>
        <item sd="0" x="3914"/>
        <item sd="0" x="3915"/>
        <item sd="0" x="3916"/>
        <item sd="0" x="3917"/>
        <item sd="0" x="3918"/>
        <item sd="0" x="3919"/>
        <item x="3920"/>
        <item x="3921"/>
        <item x="3922"/>
        <item x="420"/>
        <item x="421"/>
        <item x="3924"/>
        <item x="3925"/>
        <item x="3926"/>
        <item x="3927"/>
        <item x="3928"/>
        <item x="3929"/>
        <item x="3930"/>
        <item x="3931"/>
        <item x="3932"/>
        <item x="3933"/>
        <item x="3934"/>
        <item x="3935"/>
        <item x="437"/>
        <item x="438"/>
        <item x="454"/>
        <item x="455"/>
        <item x="456"/>
        <item x="457"/>
        <item x="458"/>
        <item x="459"/>
        <item x="460"/>
        <item x="461"/>
        <item x="462"/>
        <item x="463"/>
        <item x="464"/>
        <item x="465"/>
        <item x="466"/>
        <item x="467"/>
        <item x="470"/>
        <item x="471"/>
        <item x="472"/>
        <item x="473"/>
        <item x="474"/>
        <item x="475"/>
        <item x="476"/>
        <item x="477"/>
        <item x="478"/>
        <item x="479"/>
        <item x="480"/>
        <item x="481"/>
        <item x="482"/>
        <item sd="0" x="483"/>
        <item sd="0" x="484"/>
        <item sd="0" x="486"/>
        <item sd="0" x="487"/>
        <item sd="0" x="488"/>
        <item sd="0" x="489"/>
        <item sd="0" x="490"/>
        <item sd="0" x="491"/>
        <item x="492"/>
        <item x="493"/>
        <item sd="0" x="494"/>
        <item sd="0" x="495"/>
        <item sd="0" x="496"/>
        <item sd="0" x="497"/>
        <item sd="0" x="498"/>
        <item sd="0" x="499"/>
        <item x="500"/>
        <item x="502"/>
        <item x="503"/>
        <item x="504"/>
        <item x="505"/>
        <item x="506"/>
        <item x="507"/>
        <item x="508"/>
        <item x="509"/>
        <item x="510"/>
        <item x="511"/>
        <item x="512"/>
        <item x="513"/>
        <item x="514"/>
        <item x="515"/>
        <item x="262"/>
        <item x="263"/>
        <item x="264"/>
        <item x="265"/>
        <item x="266"/>
        <item x="267"/>
        <item x="268"/>
        <item x="269"/>
        <item x="270"/>
        <item x="271"/>
        <item x="272"/>
        <item x="273"/>
        <item x="274"/>
        <item x="275"/>
        <item x="276"/>
        <item x="278"/>
        <item x="279"/>
        <item x="280"/>
        <item x="281"/>
        <item x="282"/>
        <item x="283"/>
        <item x="284"/>
        <item x="285"/>
        <item x="286"/>
        <item x="287"/>
        <item sd="0" x="288"/>
        <item sd="0" x="289"/>
        <item sd="0" x="290"/>
        <item sd="0" x="291"/>
        <item sd="0" x="293"/>
        <item sd="0" x="294"/>
        <item x="295"/>
        <item x="296"/>
        <item sd="0" x="297"/>
        <item sd="0" x="298"/>
        <item sd="0" x="299"/>
        <item sd="0" x="300"/>
        <item sd="0" x="301"/>
        <item sd="0" x="302"/>
        <item sd="0" x="303"/>
        <item sd="0" x="304"/>
        <item x="305"/>
        <item x="306"/>
        <item x="307"/>
        <item x="310"/>
        <item x="311"/>
        <item x="312"/>
        <item x="313"/>
        <item x="314"/>
        <item x="315"/>
        <item x="316"/>
        <item x="317"/>
        <item x="318"/>
        <item x="319"/>
        <item x="320"/>
        <item x="321"/>
        <item x="322"/>
        <item x="323"/>
        <item x="325"/>
        <item x="326"/>
        <item x="327"/>
        <item x="328"/>
        <item x="329"/>
        <item x="330"/>
        <item x="331"/>
        <item x="332"/>
        <item x="333"/>
        <item x="334"/>
        <item x="335"/>
        <item x="336"/>
        <item x="337"/>
        <item x="338"/>
        <item x="339"/>
        <item x="342"/>
        <item x="343"/>
        <item x="344"/>
        <item x="345"/>
        <item x="346"/>
        <item x="347"/>
        <item x="348"/>
        <item x="349"/>
        <item x="350"/>
        <item x="351"/>
        <item x="352"/>
        <item x="353"/>
        <item x="354"/>
        <item x="355"/>
        <item sd="0" x="357"/>
        <item sd="0" x="358"/>
        <item sd="0" x="359"/>
        <item sd="0" x="360"/>
        <item sd="0" x="361"/>
        <item sd="0" x="362"/>
        <item sd="0" x="363"/>
        <item sd="0" x="364"/>
        <item x="365"/>
        <item x="366"/>
        <item sd="0" x="367"/>
        <item sd="0" x="368"/>
        <item sd="0" x="369"/>
        <item sd="0" x="370"/>
        <item sd="0" x="371"/>
        <item sd="0" x="374"/>
        <item x="375"/>
        <item x="376"/>
        <item x="377"/>
        <item x="378"/>
        <item x="379"/>
        <item x="380"/>
        <item x="381"/>
        <item x="382"/>
        <item x="383"/>
        <item x="384"/>
        <item x="385"/>
        <item x="386"/>
        <item x="387"/>
        <item x="390"/>
        <item x="391"/>
        <item x="392"/>
        <item x="393"/>
        <item x="394"/>
        <item x="395"/>
        <item x="396"/>
        <item x="397"/>
        <item x="398"/>
        <item x="399"/>
        <item x="400"/>
        <item x="401"/>
        <item x="402"/>
        <item x="403"/>
        <item x="632"/>
        <item x="406"/>
        <item x="407"/>
        <item x="408"/>
        <item x="409"/>
        <item x="410"/>
        <item x="411"/>
        <item x="412"/>
        <item x="413"/>
        <item x="414"/>
        <item x="415"/>
        <item x="416"/>
        <item x="417"/>
        <item sd="0" x="418"/>
        <item sd="0" x="419"/>
        <item sd="0" x="422"/>
        <item sd="0" x="423"/>
        <item sd="0" x="424"/>
        <item sd="0" x="425"/>
        <item x="426"/>
        <item x="427"/>
        <item sd="0" x="428"/>
        <item sd="0" x="429"/>
        <item sd="0" x="430"/>
        <item sd="0" x="431"/>
        <item sd="0" x="432"/>
        <item sd="0" x="433"/>
        <item sd="0" x="434"/>
        <item sd="0" x="435"/>
        <item sd="0" x="436"/>
        <item x="439"/>
        <item x="440"/>
        <item x="441"/>
        <item x="442"/>
        <item x="443"/>
        <item x="444"/>
        <item x="445"/>
        <item x="446"/>
        <item x="447"/>
        <item x="448"/>
        <item x="449"/>
        <item x="450"/>
        <item x="451"/>
        <item x="452"/>
        <item x="4412"/>
        <item x="676"/>
        <item x="677"/>
        <item x="678"/>
        <item x="679"/>
        <item x="680"/>
        <item x="681"/>
        <item x="682"/>
        <item x="683"/>
        <item x="684"/>
        <item x="685"/>
        <item x="686"/>
        <item x="687"/>
        <item x="688"/>
        <item x="689"/>
        <item x="690"/>
        <item x="691"/>
        <item x="692"/>
        <item x="693"/>
        <item x="694"/>
        <item x="695"/>
        <item x="696"/>
        <item x="697"/>
        <item x="698"/>
        <item x="699"/>
        <item x="700"/>
        <item x="701"/>
        <item sd="0" x="702"/>
        <item sd="0" x="703"/>
        <item x="704"/>
        <item x="705"/>
        <item sd="0" x="706"/>
        <item sd="0" x="707"/>
        <item sd="0" x="708"/>
        <item sd="0" x="709"/>
        <item sd="0" x="710"/>
        <item sd="0" x="711"/>
        <item sd="0" x="712"/>
        <item sd="0" x="713"/>
        <item x="714"/>
        <item x="715"/>
        <item x="716"/>
        <item sd="0" x="717"/>
        <item sd="0" x="718"/>
        <item sd="0" x="719"/>
        <item sd="0"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516"/>
        <item x="517"/>
        <item x="518"/>
        <item x="519"/>
        <item x="520"/>
        <item x="521"/>
        <item x="522"/>
        <item x="523"/>
        <item x="524"/>
        <item x="525"/>
        <item x="526"/>
        <item x="527"/>
        <item sd="0" x="528"/>
        <item sd="0" x="529"/>
        <item sd="0" x="530"/>
        <item sd="0" x="531"/>
        <item sd="0" x="532"/>
        <item sd="0" x="533"/>
        <item sd="0" x="534"/>
        <item x="535"/>
        <item x="536"/>
        <item sd="0" x="537"/>
        <item sd="0" x="538"/>
        <item sd="0" x="539"/>
        <item sd="0" x="540"/>
        <item sd="0" x="541"/>
        <item sd="0" x="542"/>
        <item sd="0" x="543"/>
        <item sd="0" x="544"/>
        <item sd="0"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sd="0" x="587"/>
        <item sd="0" x="588"/>
        <item x="589"/>
        <item x="590"/>
        <item sd="0" x="591"/>
        <item sd="0" x="592"/>
        <item sd="0" x="593"/>
        <item sd="0" x="594"/>
        <item sd="0" x="595"/>
        <item sd="0" x="596"/>
        <item sd="0" x="597"/>
        <item sd="0" x="598"/>
        <item x="599"/>
        <item x="600"/>
        <item x="601"/>
        <item sd="0" x="602"/>
        <item sd="0" x="603"/>
        <item sd="0"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3"/>
        <item x="634"/>
        <item x="635"/>
        <item x="636"/>
        <item x="637"/>
        <item x="638"/>
        <item x="639"/>
        <item x="640"/>
        <item x="641"/>
        <item x="642"/>
        <item x="643"/>
        <item x="644"/>
        <item x="645"/>
        <item x="646"/>
        <item sd="0" x="647"/>
        <item sd="0" x="648"/>
        <item sd="0" x="649"/>
        <item sd="0" x="650"/>
        <item sd="0" x="651"/>
        <item sd="0" x="652"/>
        <item sd="0" x="653"/>
        <item x="654"/>
        <item x="655"/>
        <item x="656"/>
        <item sd="0" x="657"/>
        <item sd="0" x="658"/>
        <item sd="0" x="659"/>
        <item sd="0" x="660"/>
        <item sd="0" x="661"/>
        <item sd="0" x="880"/>
        <item sd="0" x="662"/>
        <item sd="0" x="663"/>
        <item x="664"/>
        <item x="665"/>
        <item x="666"/>
        <item x="667"/>
        <item x="668"/>
        <item x="669"/>
        <item x="670"/>
        <item x="671"/>
        <item x="672"/>
        <item x="673"/>
        <item x="674"/>
        <item x="675"/>
        <item x="895"/>
        <item x="910"/>
        <item x="911"/>
        <item x="912"/>
        <item x="913"/>
        <item x="914"/>
        <item x="915"/>
        <item x="916"/>
        <item x="917"/>
        <item x="918"/>
        <item x="919"/>
        <item x="920"/>
        <item x="921"/>
        <item x="922"/>
        <item x="923"/>
        <item x="924"/>
        <item x="925"/>
        <item x="926"/>
        <item x="927"/>
        <item x="928"/>
        <item x="929"/>
        <item x="930"/>
        <item x="931"/>
        <item x="932"/>
        <item x="933"/>
        <item x="934"/>
        <item x="935"/>
        <item x="936"/>
        <item sd="0" x="937"/>
        <item sd="0" x="938"/>
        <item sd="0" x="939"/>
        <item x="940"/>
        <item x="941"/>
        <item sd="0" x="942"/>
        <item sd="0" x="943"/>
        <item sd="0" x="944"/>
        <item sd="0" x="945"/>
        <item sd="0" x="946"/>
        <item sd="0" x="947"/>
        <item sd="0" x="948"/>
        <item sd="0" x="949"/>
        <item sd="0" x="950"/>
        <item x="951"/>
        <item x="952"/>
        <item sd="0" x="953"/>
        <item sd="0" x="954"/>
        <item sd="0" x="955"/>
        <item x="956"/>
        <item x="957"/>
        <item x="958"/>
        <item x="959"/>
        <item x="960"/>
        <item x="961"/>
        <item x="962"/>
        <item x="963"/>
        <item x="964"/>
        <item x="965"/>
        <item x="966"/>
        <item x="967"/>
        <item x="968"/>
        <item x="969"/>
        <item x="970"/>
        <item x="971"/>
        <item x="972"/>
        <item x="973"/>
        <item x="974"/>
        <item x="975"/>
        <item x="976"/>
        <item x="977"/>
        <item x="978"/>
        <item x="979"/>
        <item x="980"/>
        <item x="981"/>
        <item x="749"/>
        <item x="750"/>
        <item x="751"/>
        <item x="752"/>
        <item x="753"/>
        <item x="754"/>
        <item x="755"/>
        <item x="756"/>
        <item x="757"/>
        <item x="758"/>
        <item x="759"/>
        <item x="760"/>
        <item x="761"/>
        <item x="762"/>
        <item sd="0" x="763"/>
        <item sd="0" x="764"/>
        <item sd="0" x="765"/>
        <item sd="0" x="766"/>
        <item sd="0" x="767"/>
        <item sd="0" x="768"/>
        <item sd="0" x="769"/>
        <item sd="0" x="770"/>
        <item x="771"/>
        <item x="772"/>
        <item x="773"/>
        <item sd="0" x="774"/>
        <item sd="0" x="775"/>
        <item sd="0" x="776"/>
        <item sd="0" x="777"/>
        <item sd="0" x="778"/>
        <item sd="0" x="779"/>
        <item sd="0"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sd="0" x="822"/>
        <item sd="0" x="823"/>
        <item sd="0" x="824"/>
        <item x="825"/>
        <item x="826"/>
        <item sd="0" x="827"/>
        <item sd="0" x="828"/>
        <item sd="0" x="829"/>
        <item sd="0" x="830"/>
        <item sd="0" x="831"/>
        <item sd="0" x="832"/>
        <item sd="0" x="833"/>
        <item sd="0" x="834"/>
        <item sd="0" x="835"/>
        <item x="836"/>
        <item x="837"/>
        <item sd="0" x="838"/>
        <item sd="0"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1098"/>
        <item sd="0" x="881"/>
        <item sd="0" x="882"/>
        <item sd="0" x="883"/>
        <item sd="0" x="884"/>
        <item sd="0" x="885"/>
        <item sd="0" x="886"/>
        <item sd="0" x="887"/>
        <item sd="0" x="888"/>
        <item sd="0" x="889"/>
        <item x="890"/>
        <item x="891"/>
        <item sd="0" x="892"/>
        <item sd="0" x="893"/>
        <item sd="0" x="894"/>
        <item sd="0" x="896"/>
        <item sd="0" x="897"/>
        <item sd="0" x="898"/>
        <item sd="0" x="899"/>
        <item x="900"/>
        <item x="901"/>
        <item x="902"/>
        <item x="903"/>
        <item x="904"/>
        <item x="905"/>
        <item x="906"/>
        <item x="907"/>
        <item x="908"/>
        <item x="909"/>
        <item x="1127"/>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sd="0" x="1172"/>
        <item sd="0" x="1173"/>
        <item sd="0" x="1174"/>
        <item sd="0" x="1175"/>
        <item x="1176"/>
        <item x="1177"/>
        <item x="1178"/>
        <item sd="0" x="1179"/>
        <item sd="0" x="1180"/>
        <item sd="0" x="1181"/>
        <item sd="0" x="1182"/>
        <item sd="0" x="1183"/>
        <item sd="0" x="1184"/>
        <item sd="0" x="1185"/>
        <item sd="0" x="1186"/>
        <item x="1187"/>
        <item x="1188"/>
        <item sd="0"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982"/>
        <item x="983"/>
        <item x="984"/>
        <item x="985"/>
        <item x="986"/>
        <item x="987"/>
        <item x="988"/>
        <item x="989"/>
        <item x="990"/>
        <item x="991"/>
        <item x="992"/>
        <item x="993"/>
        <item x="994"/>
        <item x="995"/>
        <item x="996"/>
        <item x="997"/>
        <item sd="0" x="998"/>
        <item sd="0" x="999"/>
        <item sd="0" x="1000"/>
        <item sd="0" x="1001"/>
        <item sd="0" x="1002"/>
        <item sd="0" x="1003"/>
        <item sd="0" x="1004"/>
        <item sd="0" x="1005"/>
        <item sd="0" x="1006"/>
        <item x="1007"/>
        <item x="1008"/>
        <item sd="0" x="1009"/>
        <item sd="0" x="1010"/>
        <item sd="0" x="1011"/>
        <item sd="0" x="1012"/>
        <item sd="0" x="1013"/>
        <item sd="0"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sd="0" x="1055"/>
        <item sd="0" x="1056"/>
        <item sd="0" x="1057"/>
        <item sd="0" x="1058"/>
        <item sd="0" x="1059"/>
        <item x="1060"/>
        <item x="1061"/>
        <item x="1062"/>
        <item sd="0" x="1063"/>
        <item sd="0" x="1064"/>
        <item sd="0" x="1065"/>
        <item sd="0" x="1066"/>
        <item sd="0" x="1067"/>
        <item sd="0" x="1068"/>
        <item sd="0" x="1069"/>
        <item sd="0"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9"/>
        <item x="1100"/>
        <item x="1101"/>
        <item x="1102"/>
        <item x="1103"/>
        <item x="1104"/>
        <item x="1105"/>
        <item x="1106"/>
        <item x="1107"/>
        <item x="1108"/>
        <item x="1109"/>
        <item x="1110"/>
        <item x="1111"/>
        <item x="1112"/>
        <item x="1332"/>
        <item x="1113"/>
        <item x="1114"/>
        <item x="1115"/>
        <item x="1116"/>
        <item sd="0" x="1117"/>
        <item sd="0" x="1118"/>
        <item sd="0" x="1119"/>
        <item sd="0" x="1120"/>
        <item sd="0" x="1121"/>
        <item sd="0" x="1122"/>
        <item sd="0" x="1123"/>
        <item sd="0" x="1124"/>
        <item sd="0" x="1125"/>
        <item sd="0" x="1126"/>
        <item sd="0" x="1128"/>
        <item sd="0" x="1129"/>
        <item sd="0" x="1130"/>
        <item x="1131"/>
        <item x="1132"/>
        <item x="1133"/>
        <item x="1134"/>
        <item x="1135"/>
        <item sd="0" x="1136"/>
        <item sd="0" x="1137"/>
        <item sd="0" x="1138"/>
        <item sd="0" x="1139"/>
        <item sd="0" x="1140"/>
        <item sd="0" x="1141"/>
        <item sd="0" x="1142"/>
        <item sd="0" x="1361"/>
        <item sd="0" x="1376"/>
        <item sd="0"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216"/>
        <item x="1217"/>
        <item x="1218"/>
        <item x="1219"/>
        <item x="1220"/>
        <item x="1221"/>
        <item x="1222"/>
        <item x="1223"/>
        <item x="1224"/>
        <item x="1225"/>
        <item sd="0" x="1226"/>
        <item sd="0" x="1227"/>
        <item sd="0" x="1228"/>
        <item sd="0" x="1229"/>
        <item sd="0" x="1230"/>
        <item sd="0" x="1231"/>
        <item sd="0" x="1232"/>
        <item sd="0" x="1233"/>
        <item sd="0" x="1234"/>
        <item sd="0" x="1235"/>
        <item sd="0" x="1236"/>
        <item sd="0" x="1237"/>
        <item x="1238"/>
        <item x="1239"/>
        <item x="1240"/>
        <item x="1241"/>
        <item x="1242"/>
        <item sd="0" x="1243"/>
        <item sd="0" x="1244"/>
        <item sd="0" x="1245"/>
        <item sd="0" x="1246"/>
        <item sd="0" x="1247"/>
        <item sd="0" x="1248"/>
        <item sd="0" x="1249"/>
        <item sd="0" x="1250"/>
        <item sd="0" x="1251"/>
        <item sd="0" x="1252"/>
        <item sd="0" x="1253"/>
        <item sd="0" x="1254"/>
        <item sd="0" x="1255"/>
        <item sd="0" x="1256"/>
        <item sd="0" x="1257"/>
        <item sd="0"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3"/>
        <item x="1334"/>
        <item x="1335"/>
        <item x="1336"/>
        <item x="1337"/>
        <item x="1338"/>
        <item x="1339"/>
        <item x="1340"/>
        <item x="1341"/>
        <item x="1342"/>
        <item x="1343"/>
        <item sd="0" x="1344"/>
        <item sd="0" x="1345"/>
        <item x="1346"/>
        <item x="1566"/>
        <item x="1347"/>
        <item x="1348"/>
        <item x="1349"/>
        <item sd="0" x="1350"/>
        <item sd="0" x="1351"/>
        <item sd="0" x="1352"/>
        <item sd="0" x="1353"/>
        <item sd="0" x="1354"/>
        <item sd="0" x="1355"/>
        <item sd="0" x="1356"/>
        <item sd="0" x="1357"/>
        <item sd="0" x="1358"/>
        <item sd="0" x="1359"/>
        <item sd="0" x="1360"/>
        <item sd="0" x="1581"/>
        <item sd="0" x="1362"/>
        <item sd="0" x="1363"/>
        <item sd="0" x="1364"/>
        <item sd="0" x="1365"/>
        <item sd="0" x="1366"/>
        <item x="1367"/>
        <item x="1368"/>
        <item x="1369"/>
        <item x="1370"/>
        <item x="1371"/>
        <item sd="0" x="1372"/>
        <item sd="0" x="1373"/>
        <item sd="0" x="1374"/>
        <item sd="0" x="1375"/>
        <item sd="0" x="1596"/>
        <item sd="0" x="1611"/>
        <item sd="0" x="1612"/>
        <item sd="0"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449"/>
        <item x="1450"/>
        <item x="1451"/>
        <item x="1452"/>
        <item x="1453"/>
        <item x="1454"/>
        <item x="1455"/>
        <item x="1456"/>
        <item x="1457"/>
        <item x="1458"/>
        <item x="1459"/>
        <item x="1460"/>
        <item sd="0" x="1461"/>
        <item sd="0" x="1462"/>
        <item sd="0" x="1463"/>
        <item sd="0" x="1464"/>
        <item sd="0" x="1465"/>
        <item sd="0" x="1466"/>
        <item x="1467"/>
        <item sd="0" x="1468"/>
        <item sd="0" x="1469"/>
        <item sd="0" x="1470"/>
        <item sd="0" x="1471"/>
        <item sd="0" x="1472"/>
        <item sd="0" x="1473"/>
        <item x="1474"/>
        <item x="1475"/>
        <item x="1476"/>
        <item x="1477"/>
        <item x="1478"/>
        <item sd="0" x="1479"/>
        <item sd="0" x="1480"/>
        <item sd="0" x="1481"/>
        <item sd="0" x="1482"/>
        <item sd="0" x="1483"/>
        <item sd="0" x="1484"/>
        <item sd="0" x="1485"/>
        <item sd="0" x="1486"/>
        <item sd="0" x="1487"/>
        <item sd="0" x="1488"/>
        <item sd="0" x="1489"/>
        <item sd="0" x="1490"/>
        <item sd="0" x="1491"/>
        <item sd="0" x="1492"/>
        <item sd="0" x="1493"/>
        <item sd="0" x="1494"/>
        <item sd="0"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7"/>
        <item x="1568"/>
        <item x="1569"/>
        <item x="1570"/>
        <item x="1571"/>
        <item x="1572"/>
        <item x="1573"/>
        <item x="1574"/>
        <item x="1575"/>
        <item x="1576"/>
        <item x="1577"/>
        <item x="1578"/>
        <item sd="0" x="1579"/>
        <item sd="0" x="1580"/>
        <item sd="0" x="1800"/>
        <item sd="0" x="1582"/>
        <item x="1583"/>
        <item x="1584"/>
        <item x="1585"/>
        <item x="1586"/>
        <item sd="0" x="1587"/>
        <item sd="0" x="1588"/>
        <item sd="0" x="1589"/>
        <item sd="0" x="1590"/>
        <item sd="0" x="1591"/>
        <item sd="0" x="1592"/>
        <item sd="0" x="1593"/>
        <item sd="0" x="1594"/>
        <item sd="0" x="1595"/>
        <item sd="0" x="1597"/>
        <item sd="0" x="1598"/>
        <item x="1599"/>
        <item sd="0" x="1600"/>
        <item sd="0" x="1601"/>
        <item sd="0" x="1602"/>
        <item sd="0" x="1603"/>
        <item sd="0" x="1604"/>
        <item x="1605"/>
        <item x="1606"/>
        <item x="1607"/>
        <item x="1608"/>
        <item x="1609"/>
        <item sd="0" x="1610"/>
        <item sd="0" x="1829"/>
        <item sd="0" x="1844"/>
        <item sd="0" x="1845"/>
        <item sd="0" x="1846"/>
        <item sd="0" x="1847"/>
        <item sd="0"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683"/>
        <item x="1684"/>
        <item x="1685"/>
        <item x="1686"/>
        <item x="1687"/>
        <item x="1688"/>
        <item x="1689"/>
        <item x="1690"/>
        <item x="1691"/>
        <item x="1692"/>
        <item x="1693"/>
        <item x="1694"/>
        <item x="1695"/>
        <item sd="0" x="1696"/>
        <item sd="0" x="1697"/>
        <item sd="0" x="1698"/>
        <item sd="0" x="1699"/>
        <item sd="0" x="1700"/>
        <item sd="0" x="1701"/>
        <item sd="0" x="1702"/>
        <item sd="0" x="1703"/>
        <item sd="0" x="1704"/>
        <item sd="0" x="1705"/>
        <item sd="0" x="1706"/>
        <item sd="0" x="1707"/>
        <item sd="0" x="1708"/>
        <item sd="0" x="1709"/>
        <item sd="0" x="1710"/>
        <item sd="0" x="1711"/>
        <item x="1712"/>
        <item x="1713"/>
        <item x="1714"/>
        <item x="1715"/>
        <item sd="0" x="1716"/>
        <item sd="0" x="1717"/>
        <item sd="0" x="1718"/>
        <item sd="0" x="1719"/>
        <item sd="0" x="1720"/>
        <item sd="0" x="1721"/>
        <item sd="0" x="1722"/>
        <item sd="0" x="1723"/>
        <item sd="0" x="1724"/>
        <item sd="0" x="1725"/>
        <item sd="0" x="1726"/>
        <item sd="0" x="1727"/>
        <item sd="0" x="1728"/>
        <item sd="0" x="1729"/>
        <item sd="0" x="1730"/>
        <item sd="0" x="1731"/>
        <item sd="0"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2018"/>
        <item x="1801"/>
        <item x="1802"/>
        <item x="1803"/>
        <item x="1804"/>
        <item x="1805"/>
        <item x="1806"/>
        <item x="1807"/>
        <item x="1808"/>
        <item x="1809"/>
        <item x="1810"/>
        <item x="1811"/>
        <item x="1812"/>
        <item x="1813"/>
        <item sd="0" x="1814"/>
        <item sd="0" x="1815"/>
        <item sd="0" x="1816"/>
        <item sd="0" x="1817"/>
        <item sd="0" x="1818"/>
        <item x="1819"/>
        <item x="1820"/>
        <item x="1821"/>
        <item x="1822"/>
        <item x="1823"/>
        <item sd="0" x="1824"/>
        <item sd="0" x="1825"/>
        <item sd="0" x="1826"/>
        <item sd="0" x="1827"/>
        <item sd="0" x="1828"/>
        <item sd="0" x="2047"/>
        <item sd="0" x="1830"/>
        <item sd="0" x="1831"/>
        <item sd="0" x="1832"/>
        <item sd="0" x="1833"/>
        <item sd="0" x="1834"/>
        <item sd="0" x="1835"/>
        <item sd="0" x="1836"/>
        <item sd="0" x="1837"/>
        <item sd="0" x="1838"/>
        <item sd="0" x="1839"/>
        <item sd="0" x="1840"/>
        <item x="1841"/>
        <item x="1842"/>
        <item x="1843"/>
        <item x="2062"/>
        <item sd="0" x="2077"/>
        <item sd="0" x="2078"/>
        <item sd="0" x="2079"/>
        <item sd="0" x="2080"/>
        <item sd="0" x="2081"/>
        <item sd="0"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33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1916"/>
        <item x="1917"/>
        <item x="1918"/>
        <item x="1919"/>
        <item x="1920"/>
        <item x="1921"/>
        <item x="1922"/>
        <item x="1923"/>
        <item x="1924"/>
        <item x="1925"/>
        <item x="1926"/>
        <item x="1927"/>
        <item x="1928"/>
        <item sd="0" x="1929"/>
        <item sd="0" x="1930"/>
        <item sd="0" x="1931"/>
        <item sd="0" x="1932"/>
        <item sd="0" x="1933"/>
        <item sd="0" x="1934"/>
        <item sd="0" x="1935"/>
        <item sd="0" x="1936"/>
        <item sd="0" x="1937"/>
        <item sd="0" x="1938"/>
        <item sd="0" x="1939"/>
        <item sd="0" x="1940"/>
        <item sd="0" x="1941"/>
        <item sd="0" x="1942"/>
        <item sd="0" x="1943"/>
        <item sd="0" x="1944"/>
        <item sd="0" x="1945"/>
        <item x="1946"/>
        <item x="1947"/>
        <item x="1948"/>
        <item x="1949"/>
        <item x="1950"/>
        <item sd="0" x="1951"/>
        <item sd="0" x="1952"/>
        <item sd="0" x="1953"/>
        <item sd="0" x="1954"/>
        <item sd="0" x="1955"/>
        <item sd="0" x="1956"/>
        <item sd="0" x="1957"/>
        <item sd="0" x="1958"/>
        <item sd="0" x="1959"/>
        <item sd="0" x="1960"/>
        <item sd="0" x="1961"/>
        <item sd="0" x="1962"/>
        <item sd="0" x="1963"/>
        <item sd="0" x="1964"/>
        <item sd="0"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237"/>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sd="0" x="2046"/>
        <item sd="0" x="2266"/>
        <item sd="0" x="2048"/>
        <item sd="0" x="2049"/>
        <item sd="0" x="2050"/>
        <item sd="0" x="2051"/>
        <item sd="0" x="2052"/>
        <item sd="0" x="2053"/>
        <item x="2054"/>
        <item x="2055"/>
        <item x="2056"/>
        <item x="2057"/>
        <item sd="0" x="2058"/>
        <item sd="0" x="2059"/>
        <item sd="0" x="2060"/>
        <item sd="0" x="2061"/>
        <item sd="0" x="2063"/>
        <item sd="0" x="2064"/>
        <item sd="0" x="2065"/>
        <item sd="0" x="2066"/>
        <item sd="0" x="2067"/>
        <item sd="0" x="2068"/>
        <item sd="0" x="2069"/>
        <item sd="0" x="2070"/>
        <item sd="0" x="2071"/>
        <item sd="0" x="2072"/>
        <item sd="0" x="2073"/>
        <item sd="0" x="2074"/>
        <item sd="0" x="2075"/>
        <item x="2076"/>
        <item x="2295"/>
        <item x="2296"/>
        <item x="2311"/>
        <item x="2312"/>
        <item sd="0" x="2313"/>
        <item sd="0" x="2314"/>
        <item sd="0" x="2315"/>
        <item x="2316"/>
        <item x="2317"/>
        <item x="2318"/>
        <item x="2319"/>
        <item x="2320"/>
        <item x="2321"/>
        <item x="2322"/>
        <item x="2323"/>
        <item x="2324"/>
        <item x="2325"/>
        <item x="2326"/>
        <item x="2327"/>
        <item x="2328"/>
        <item x="2329"/>
        <item x="2330"/>
        <item x="2331"/>
        <item x="2332"/>
        <item x="2333"/>
        <item x="2334"/>
        <item x="2335"/>
        <item x="2336"/>
        <item x="2337"/>
        <item x="2338"/>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149"/>
        <item x="2150"/>
        <item x="2151"/>
        <item x="2152"/>
        <item x="2153"/>
        <item x="2154"/>
        <item x="2155"/>
        <item x="2156"/>
        <item x="2157"/>
        <item x="2158"/>
        <item x="2159"/>
        <item x="2160"/>
        <item x="2161"/>
        <item x="2162"/>
        <item x="2163"/>
        <item x="2164"/>
        <item sd="0" x="2165"/>
        <item sd="0" x="2166"/>
        <item sd="0" x="2167"/>
        <item sd="0" x="2168"/>
        <item sd="0" x="2169"/>
        <item sd="0" x="2170"/>
        <item sd="0" x="2171"/>
        <item sd="0" x="2172"/>
        <item sd="0" x="2173"/>
        <item sd="0" x="2174"/>
        <item sd="0" x="2175"/>
        <item sd="0" x="2176"/>
        <item sd="0" x="2177"/>
        <item sd="0" x="2178"/>
        <item sd="0" x="2179"/>
        <item sd="0" x="2180"/>
        <item x="2181"/>
        <item x="2182"/>
        <item x="2183"/>
        <item x="2184"/>
        <item x="2185"/>
        <item sd="0" x="2186"/>
        <item sd="0" x="2187"/>
        <item sd="0" x="2188"/>
        <item sd="0" x="2189"/>
        <item sd="0" x="2190"/>
        <item sd="0" x="2191"/>
        <item sd="0" x="2192"/>
        <item sd="0" x="2193"/>
        <item sd="0" x="2194"/>
        <item sd="0" x="2195"/>
        <item sd="0" x="2196"/>
        <item sd="0" x="2197"/>
        <item sd="0" x="2198"/>
        <item sd="0"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486"/>
        <item x="2267"/>
        <item x="2268"/>
        <item x="2269"/>
        <item x="2270"/>
        <item x="2271"/>
        <item x="2272"/>
        <item x="2273"/>
        <item x="2274"/>
        <item x="2275"/>
        <item x="2276"/>
        <item x="2277"/>
        <item x="2278"/>
        <item x="2279"/>
        <item x="2280"/>
        <item sd="0" x="2501"/>
        <item sd="0" x="2281"/>
        <item sd="0" x="2282"/>
        <item sd="0" x="2283"/>
        <item sd="0" x="2284"/>
        <item sd="0" x="2285"/>
        <item sd="0" x="2286"/>
        <item sd="0" x="2287"/>
        <item sd="0" x="2288"/>
        <item x="2289"/>
        <item x="2290"/>
        <item x="2291"/>
        <item x="2292"/>
        <item x="2293"/>
        <item sd="0" x="2294"/>
        <item sd="0" x="2297"/>
        <item sd="0" x="2298"/>
        <item sd="0" x="2299"/>
        <item sd="0" x="2300"/>
        <item sd="0" x="2301"/>
        <item sd="0" x="2302"/>
        <item sd="0" x="2303"/>
        <item sd="0" x="2304"/>
        <item sd="0" x="2305"/>
        <item sd="0" x="2306"/>
        <item sd="0" x="2307"/>
        <item sd="0" x="2308"/>
        <item sd="0" x="2309"/>
        <item sd="0" x="2310"/>
        <item sd="0" x="2530"/>
        <item x="2531"/>
        <item x="2546"/>
        <item x="2547"/>
        <item x="2548"/>
        <item x="2549"/>
        <item sd="0" x="2550"/>
        <item sd="0"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384"/>
        <item x="2385"/>
        <item x="2386"/>
        <item x="2387"/>
        <item x="2388"/>
        <item x="2389"/>
        <item x="2390"/>
        <item x="2391"/>
        <item x="2392"/>
        <item x="2393"/>
        <item x="2394"/>
        <item x="2395"/>
        <item x="2396"/>
        <item x="2397"/>
        <item x="2398"/>
        <item x="2399"/>
        <item x="2400"/>
        <item x="2401"/>
        <item sd="0" x="2402"/>
        <item sd="0" x="2403"/>
        <item sd="0" x="2404"/>
        <item sd="0" x="2405"/>
        <item sd="0" x="2406"/>
        <item sd="0" x="2407"/>
        <item sd="0" x="2408"/>
        <item sd="0" x="2409"/>
        <item sd="0" x="2410"/>
        <item sd="0" x="2411"/>
        <item sd="0" x="2412"/>
        <item sd="0" x="2413"/>
        <item sd="0" x="2414"/>
        <item sd="0" x="2415"/>
        <item sd="0" x="2416"/>
        <item sd="0" x="2417"/>
        <item sd="0" x="2418"/>
        <item x="2419"/>
        <item x="2420"/>
        <item x="2421"/>
        <item x="2422"/>
        <item x="2423"/>
        <item sd="0" x="2424"/>
        <item sd="0" x="2425"/>
        <item sd="0" x="2426"/>
        <item sd="0" x="2427"/>
        <item sd="0" x="2428"/>
        <item sd="0" x="2429"/>
        <item sd="0" x="2430"/>
        <item sd="0" x="2431"/>
        <item sd="0" x="2432"/>
        <item sd="0" x="2433"/>
        <item sd="0"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7"/>
        <item x="2488"/>
        <item x="2489"/>
        <item x="2490"/>
        <item x="2491"/>
        <item x="2492"/>
        <item x="2493"/>
        <item x="2494"/>
        <item x="2495"/>
        <item x="2496"/>
        <item x="2497"/>
        <item x="2498"/>
        <item x="2499"/>
        <item x="2500"/>
        <item x="2721"/>
        <item x="2502"/>
        <item x="2503"/>
        <item x="2504"/>
        <item x="2505"/>
        <item x="2506"/>
        <item x="2507"/>
        <item x="2508"/>
        <item x="2509"/>
        <item x="2510"/>
        <item x="2511"/>
        <item x="2512"/>
        <item x="2513"/>
        <item x="2514"/>
        <item x="2515"/>
        <item x="2516"/>
        <item sd="0" x="2517"/>
        <item sd="0" x="2518"/>
        <item sd="0" x="2519"/>
        <item sd="0" x="2520"/>
        <item sd="0" x="2521"/>
        <item sd="0" x="2522"/>
        <item sd="0" x="2523"/>
        <item sd="0" x="2524"/>
        <item sd="0" x="2525"/>
        <item sd="0" x="2526"/>
        <item x="2527"/>
        <item x="2528"/>
        <item x="2529"/>
        <item x="2750"/>
        <item x="2532"/>
        <item sd="0" x="2533"/>
        <item sd="0" x="2534"/>
        <item sd="0" x="2535"/>
        <item sd="0" x="2536"/>
        <item sd="0" x="2537"/>
        <item sd="0" x="2538"/>
        <item sd="0" x="2539"/>
        <item sd="0" x="2540"/>
        <item sd="0" x="2541"/>
        <item sd="0" x="2542"/>
        <item sd="0" x="2543"/>
        <item sd="0" x="2544"/>
        <item sd="0" x="2545"/>
        <item sd="0" x="2765"/>
        <item sd="0" x="2780"/>
        <item sd="0" x="2781"/>
        <item sd="0"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3043"/>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618"/>
        <item x="2619"/>
        <item x="2620"/>
        <item x="2621"/>
        <item x="2622"/>
        <item x="2623"/>
        <item x="2624"/>
        <item x="2625"/>
        <item x="2626"/>
        <item x="2627"/>
        <item x="2628"/>
        <item x="2629"/>
        <item x="2630"/>
        <item x="2631"/>
        <item x="2632"/>
        <item sd="0" x="2633"/>
        <item x="2634"/>
        <item x="2635"/>
        <item x="2636"/>
        <item x="2637"/>
        <item x="2638"/>
        <item sd="0" x="2639"/>
        <item sd="0" x="2640"/>
        <item sd="0" x="2641"/>
        <item sd="0" x="2642"/>
        <item sd="0" x="2643"/>
        <item sd="0" x="2644"/>
        <item sd="0" x="2645"/>
        <item sd="0" x="2646"/>
        <item sd="0" x="2647"/>
        <item sd="0" x="2648"/>
        <item sd="0" x="2649"/>
        <item sd="0" x="2650"/>
        <item sd="0" x="2651"/>
        <item sd="0" x="2652"/>
        <item sd="0" x="2653"/>
        <item sd="0" x="2654"/>
        <item x="2655"/>
        <item x="2656"/>
        <item x="2657"/>
        <item x="2658"/>
        <item x="2659"/>
        <item sd="0" x="2660"/>
        <item sd="0" x="2661"/>
        <item sd="0" x="2662"/>
        <item sd="0" x="2663"/>
        <item sd="0" x="2664"/>
        <item sd="0" x="2665"/>
        <item sd="0" x="2666"/>
        <item sd="0" x="2667"/>
        <item sd="0" x="2668"/>
        <item sd="0"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2"/>
        <item x="2723"/>
        <item x="2724"/>
        <item x="2725"/>
        <item x="2726"/>
        <item x="2727"/>
        <item x="2728"/>
        <item x="2729"/>
        <item x="2730"/>
        <item x="2731"/>
        <item x="2732"/>
        <item x="2733"/>
        <item x="2734"/>
        <item x="2735"/>
        <item x="2954"/>
        <item x="2736"/>
        <item x="2737"/>
        <item x="2738"/>
        <item x="2739"/>
        <item x="2740"/>
        <item x="2741"/>
        <item x="2742"/>
        <item x="2743"/>
        <item x="2744"/>
        <item x="2745"/>
        <item x="2746"/>
        <item x="2747"/>
        <item x="2748"/>
        <item x="2749"/>
        <item x="2751"/>
        <item sd="0" x="2752"/>
        <item sd="0" x="2753"/>
        <item sd="0" x="2754"/>
        <item sd="0" x="2755"/>
        <item sd="0" x="2756"/>
        <item sd="0" x="2757"/>
        <item sd="0" x="2758"/>
        <item sd="0" x="2759"/>
        <item sd="0" x="2760"/>
        <item sd="0" x="2761"/>
        <item sd="0" x="2762"/>
        <item sd="0" x="2763"/>
        <item x="2764"/>
        <item x="2983"/>
        <item x="2766"/>
        <item x="2767"/>
        <item sd="0" x="2768"/>
        <item sd="0" x="2769"/>
        <item sd="0" x="2770"/>
        <item sd="0" x="2771"/>
        <item sd="0" x="2772"/>
        <item sd="0" x="2773"/>
        <item sd="0" x="2774"/>
        <item sd="0" x="2775"/>
        <item sd="0" x="2776"/>
        <item sd="0" x="2777"/>
        <item sd="0" x="2778"/>
        <item sd="0" x="2779"/>
        <item sd="0" x="2999"/>
        <item sd="0" x="3014"/>
        <item sd="0" x="3015"/>
        <item sd="0" x="3016"/>
        <item sd="0"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2852"/>
        <item x="2853"/>
        <item x="2854"/>
        <item x="2855"/>
        <item x="2856"/>
        <item x="2857"/>
        <item x="2858"/>
        <item x="2859"/>
        <item x="2860"/>
        <item x="2861"/>
        <item x="2862"/>
        <item x="2863"/>
        <item x="2864"/>
        <item x="2865"/>
        <item x="2866"/>
        <item x="2867"/>
        <item sd="0" x="2868"/>
        <item sd="0" x="2869"/>
        <item x="2870"/>
        <item x="2871"/>
        <item x="2872"/>
        <item x="2873"/>
        <item x="2874"/>
        <item sd="0" x="2875"/>
        <item sd="0" x="2876"/>
        <item sd="0" x="2877"/>
        <item sd="0" x="2878"/>
        <item sd="0" x="2879"/>
        <item sd="0" x="2880"/>
        <item sd="0" x="2881"/>
        <item sd="0" x="2882"/>
        <item sd="0" x="2883"/>
        <item sd="0" x="2884"/>
        <item sd="0" x="2885"/>
        <item sd="0" x="2886"/>
        <item sd="0" x="2887"/>
        <item sd="0" x="2888"/>
        <item sd="0" x="2889"/>
        <item sd="0" x="2890"/>
        <item sd="0" x="2891"/>
        <item x="2892"/>
        <item x="2893"/>
        <item x="2894"/>
        <item x="2895"/>
        <item sd="0" x="3117"/>
        <item sd="0" x="2896"/>
        <item sd="0" x="2897"/>
        <item sd="0" x="2898"/>
        <item sd="0" x="2899"/>
        <item sd="0" x="2900"/>
        <item sd="0" x="2901"/>
        <item sd="0" x="2902"/>
        <item sd="0"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5"/>
        <item x="2956"/>
        <item x="2957"/>
        <item x="2958"/>
        <item x="2959"/>
        <item x="2960"/>
        <item x="2961"/>
        <item x="2962"/>
        <item x="2963"/>
        <item x="2964"/>
        <item x="2965"/>
        <item x="2966"/>
        <item x="2967"/>
        <item x="2968"/>
        <item x="3190"/>
        <item x="2969"/>
        <item x="2970"/>
        <item x="2971"/>
        <item x="2972"/>
        <item x="2973"/>
        <item x="2974"/>
        <item x="2975"/>
        <item x="2976"/>
        <item x="2977"/>
        <item x="2978"/>
        <item x="2979"/>
        <item x="2980"/>
        <item x="2981"/>
        <item x="2982"/>
        <item x="2984"/>
        <item sd="0" x="2985"/>
        <item sd="0" x="2986"/>
        <item sd="0" x="2987"/>
        <item sd="0" x="2988"/>
        <item sd="0" x="2989"/>
        <item sd="0" x="2990"/>
        <item sd="0" x="2991"/>
        <item sd="0" x="2992"/>
        <item sd="0" x="2993"/>
        <item sd="0" x="2994"/>
        <item sd="0" x="2995"/>
        <item sd="0" x="2996"/>
        <item sd="0" x="2997"/>
        <item sd="0" x="2998"/>
        <item x="3000"/>
        <item x="3001"/>
        <item x="3002"/>
        <item x="3003"/>
        <item x="3004"/>
        <item sd="0" x="3005"/>
        <item sd="0" x="3006"/>
        <item sd="0" x="3007"/>
        <item sd="0" x="3008"/>
        <item sd="0" x="3009"/>
        <item sd="0" x="3010"/>
        <item sd="0" x="3011"/>
        <item sd="0" x="3012"/>
        <item sd="0" x="3013"/>
        <item sd="0" x="3234"/>
        <item sd="0" x="3235"/>
        <item sd="0" x="3250"/>
        <item sd="0" x="3251"/>
        <item sd="0" x="3252"/>
        <item sd="0" x="3253"/>
        <item sd="0" x="3254"/>
        <item sd="0"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511"/>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6821"/>
        <item x="6822"/>
        <item x="6823"/>
        <item x="6824"/>
        <item x="6825"/>
        <item x="6826"/>
        <item x="6827"/>
        <item x="6828"/>
        <item x="6829"/>
        <item x="6830"/>
        <item x="6831"/>
        <item x="6832"/>
        <item x="6833"/>
        <item x="6834"/>
        <item x="6835"/>
        <item x="6836"/>
        <item sd="0" x="6837"/>
        <item sd="0" x="6838"/>
        <item sd="0" x="6839"/>
        <item sd="0" x="6840"/>
        <item x="6841"/>
        <item x="6842"/>
        <item x="6843"/>
        <item x="6844"/>
        <item sd="0" x="6845"/>
        <item sd="0" x="6846"/>
        <item sd="0" x="6847"/>
        <item sd="0" x="6848"/>
        <item sd="0" x="6849"/>
        <item sd="0" x="6850"/>
        <item sd="0" x="6851"/>
        <item sd="0" x="6852"/>
        <item sd="0" x="6853"/>
        <item sd="0" x="6854"/>
        <item sd="0" x="6855"/>
        <item sd="0" x="6856"/>
        <item sd="0" x="6857"/>
        <item sd="0" x="6858"/>
        <item sd="0" x="6859"/>
        <item sd="0" x="6860"/>
        <item sd="0" x="6861"/>
        <item x="6862"/>
        <item x="6863"/>
        <item x="6864"/>
        <item x="6865"/>
        <item x="6866"/>
        <item sd="0" x="6867"/>
        <item sd="0" x="6868"/>
        <item sd="0" x="6869"/>
        <item sd="0" x="6870"/>
        <item sd="0" x="6871"/>
        <item sd="0" x="6872"/>
        <item sd="0"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sd="0" x="7241"/>
        <item sd="0" x="7242"/>
        <item sd="0" x="7243"/>
        <item sd="0" x="7464"/>
        <item sd="0" x="7245"/>
        <item sd="0" x="7246"/>
        <item sd="0" x="7247"/>
        <item sd="0" x="7248"/>
        <item sd="0" x="7249"/>
        <item sd="0" x="7250"/>
        <item sd="0" x="7251"/>
        <item sd="0" x="7252"/>
        <item sd="0" x="7253"/>
        <item sd="0" x="7254"/>
        <item sd="0" x="7255"/>
        <item sd="0" x="7256"/>
        <item sd="0" x="7257"/>
        <item sd="0" x="7258"/>
        <item sd="0" x="7259"/>
        <item sd="0" x="7260"/>
        <item sd="0" x="7261"/>
        <item sd="0" x="7262"/>
        <item sd="0" x="7263"/>
        <item sd="0" x="7264"/>
        <item sd="0" x="7265"/>
        <item sd="0" x="7266"/>
        <item sd="0" x="7267"/>
        <item sd="0" x="7268"/>
        <item sd="0" x="7269"/>
        <item sd="0" x="7270"/>
        <item sd="0" x="7271"/>
        <item x="7272"/>
        <item x="7273"/>
        <item x="7274"/>
        <item x="7275"/>
        <item x="7276"/>
        <item x="7277"/>
        <item x="7278"/>
        <item x="7279"/>
        <item x="7280"/>
        <item x="7281"/>
        <item sd="0" x="7282"/>
        <item sd="0" x="7283"/>
        <item sd="0" x="7284"/>
        <item sd="0" x="7285"/>
        <item sd="0" x="7286"/>
        <item sd="0" x="7287"/>
        <item sd="0" x="7288"/>
        <item sd="0" x="7053"/>
        <item sd="0" x="7054"/>
        <item sd="0" x="7055"/>
        <item sd="0" x="7056"/>
        <item sd="0" x="7057"/>
        <item sd="0" x="7058"/>
        <item sd="0" x="7059"/>
        <item sd="0" x="7060"/>
        <item sd="0" x="7061"/>
        <item sd="0" x="7062"/>
        <item sd="0" x="7063"/>
        <item sd="0" x="7064"/>
        <item sd="0" x="7065"/>
        <item sd="0" x="7066"/>
        <item sd="0" x="7067"/>
        <item sd="0" x="7068"/>
        <item sd="0" x="7069"/>
        <item sd="0" x="7070"/>
        <item sd="0" x="7071"/>
        <item sd="0" x="7072"/>
        <item sd="0" x="7073"/>
        <item sd="0" x="7074"/>
        <item sd="0" x="7075"/>
        <item sd="0" x="7076"/>
        <item sd="0" x="7077"/>
        <item sd="0"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451"/>
        <item x="7452"/>
        <item x="7453"/>
        <item x="7454"/>
        <item x="7455"/>
        <item x="7456"/>
        <item x="7457"/>
        <item x="7458"/>
        <item x="7459"/>
        <item x="7460"/>
        <item x="7461"/>
        <item x="7462"/>
        <item x="7463"/>
        <item x="7675"/>
        <item x="7465"/>
        <item x="7466"/>
        <item x="7467"/>
        <item x="7468"/>
        <item x="7469"/>
        <item x="7470"/>
        <item x="7471"/>
        <item x="7472"/>
        <item x="7473"/>
        <item x="7474"/>
        <item x="7475"/>
        <item sd="0" x="7476"/>
        <item sd="0" x="7477"/>
        <item sd="0" x="7478"/>
        <item sd="0" x="7479"/>
        <item sd="0" x="7480"/>
        <item sd="0" x="7481"/>
        <item sd="0" x="7482"/>
        <item sd="0" x="7483"/>
        <item sd="0" x="7484"/>
        <item sd="0" x="7485"/>
        <item sd="0" x="7486"/>
        <item x="7487"/>
        <item x="7488"/>
        <item x="7489"/>
        <item x="7490"/>
        <item x="7491"/>
        <item x="7492"/>
        <item x="7493"/>
        <item x="7494"/>
        <item x="7495"/>
        <item x="7496"/>
        <item sd="0" x="7497"/>
        <item sd="0" x="7498"/>
        <item sd="0" x="7499"/>
        <item sd="0" x="7500"/>
        <item sd="0" x="7501"/>
        <item sd="0" x="7502"/>
        <item sd="0" x="7503"/>
        <item sd="0" x="7504"/>
        <item sd="0" x="7505"/>
        <item sd="0" x="7506"/>
        <item sd="0" x="7507"/>
        <item sd="0" x="7508"/>
        <item sd="0" x="7509"/>
        <item sd="0" x="7510"/>
        <item sd="0" x="7511"/>
        <item sd="0" x="7512"/>
        <item sd="0" x="7513"/>
        <item sd="0" x="7514"/>
        <item sd="0" x="7515"/>
        <item sd="0" x="7516"/>
        <item sd="0" x="7517"/>
        <item sd="0" x="7518"/>
        <item sd="0" x="7519"/>
        <item sd="0" x="7520"/>
        <item sd="0" x="7521"/>
        <item sd="0" x="7522"/>
        <item sd="0" x="7289"/>
        <item sd="0" x="7290"/>
        <item sd="0" x="7291"/>
        <item sd="0" x="7292"/>
        <item sd="0" x="7293"/>
        <item sd="0" x="7294"/>
        <item sd="0" x="7295"/>
        <item x="7296"/>
        <item x="7297"/>
        <item x="7298"/>
        <item x="7299"/>
        <item x="7300"/>
        <item x="7301"/>
        <item x="7302"/>
        <item x="7303"/>
        <item x="7304"/>
        <item x="7305"/>
        <item sd="0" x="7306"/>
        <item sd="0" x="7307"/>
        <item sd="0" x="7308"/>
        <item sd="0" x="7309"/>
        <item sd="0" x="7310"/>
        <item sd="0" x="7311"/>
        <item sd="0" x="7312"/>
        <item sd="0" x="7313"/>
        <item sd="0" x="7314"/>
        <item sd="0"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676"/>
        <item x="7677"/>
        <item x="7678"/>
        <item x="7679"/>
        <item x="7680"/>
        <item x="7681"/>
        <item x="7682"/>
        <item x="7683"/>
        <item x="7684"/>
        <item x="7685"/>
        <item x="7686"/>
        <item x="7687"/>
        <item x="4187"/>
        <item x="4188"/>
        <item x="7688"/>
        <item x="7689"/>
        <item x="7690"/>
        <item x="7691"/>
        <item x="7692"/>
        <item x="7693"/>
        <item x="7694"/>
        <item x="7695"/>
        <item x="7696"/>
        <item x="7697"/>
        <item x="7698"/>
        <item x="7699"/>
        <item x="7700"/>
        <item sd="0" x="4203"/>
        <item sd="0" x="4204"/>
        <item sd="0" x="7701"/>
        <item sd="0" x="7702"/>
        <item sd="0" x="7703"/>
        <item sd="0" x="7704"/>
        <item sd="0" x="7705"/>
        <item sd="0" x="7706"/>
        <item sd="0" x="7707"/>
        <item sd="0" x="7708"/>
        <item sd="0" x="7709"/>
        <item sd="0" x="7710"/>
        <item sd="0" x="7711"/>
        <item sd="0" x="7712"/>
        <item sd="0" x="7713"/>
        <item sd="0" x="4219"/>
        <item sd="0" x="7714"/>
        <item sd="0" x="7715"/>
        <item sd="0" x="7716"/>
        <item sd="0" x="7717"/>
        <item sd="0" x="7718"/>
        <item sd="0" x="7719"/>
        <item sd="0" x="7720"/>
        <item sd="0" x="7721"/>
        <item sd="0" x="7722"/>
        <item sd="0" x="7723"/>
        <item sd="0" x="7724"/>
        <item sd="0" x="7725"/>
        <item sd="0" x="7726"/>
        <item sd="0" x="7727"/>
        <item sd="0" x="4235"/>
        <item sd="0" x="7728"/>
        <item sd="0" x="7729"/>
        <item x="7730"/>
        <item x="7731"/>
        <item x="7732"/>
        <item x="7733"/>
        <item x="7734"/>
        <item x="7735"/>
        <item x="7736"/>
        <item x="7737"/>
        <item x="7738"/>
        <item x="7739"/>
        <item sd="0" x="7740"/>
        <item sd="0" x="4002"/>
        <item sd="0" x="7523"/>
        <item sd="0" x="7524"/>
        <item sd="0" x="7525"/>
        <item sd="0" x="7526"/>
        <item sd="0" x="7527"/>
        <item sd="0" x="7528"/>
        <item sd="0" x="7529"/>
        <item sd="0" x="7530"/>
        <item sd="0" x="7531"/>
        <item sd="0" x="7532"/>
        <item sd="0" x="7533"/>
        <item x="7534"/>
        <item sd="0" x="7535"/>
        <item sd="0" x="7536"/>
        <item sd="0" x="4018"/>
        <item sd="0" x="7537"/>
        <item sd="0" x="7538"/>
        <item sd="0" x="7539"/>
        <item sd="0" x="7540"/>
        <item sd="0" x="7541"/>
        <item sd="0" x="7542"/>
        <item sd="0" x="7543"/>
        <item sd="0" x="7544"/>
        <item sd="0" x="7545"/>
        <item sd="0" x="7546"/>
        <item sd="0" x="7547"/>
        <item sd="0" x="7548"/>
        <item sd="0" x="7549"/>
        <item x="7550"/>
        <item x="4034"/>
        <item x="7551"/>
        <item x="7552"/>
        <item x="7553"/>
        <item x="7554"/>
        <item x="7555"/>
        <item x="7556"/>
        <item x="7557"/>
        <item x="7558"/>
        <item x="7559"/>
        <item x="7560"/>
        <item x="7561"/>
        <item x="7562"/>
        <item x="7563"/>
        <item x="4049"/>
        <item x="7564"/>
        <item x="7565"/>
        <item x="7566"/>
        <item x="7567"/>
        <item x="7568"/>
        <item x="7569"/>
        <item x="7570"/>
        <item x="7571"/>
        <item x="7572"/>
        <item x="7573"/>
        <item x="7574"/>
        <item x="7575"/>
        <item x="7576"/>
        <item x="7577"/>
        <item x="4065"/>
        <item x="7578"/>
        <item x="7579"/>
        <item x="7580"/>
        <item x="7581"/>
        <item x="7582"/>
        <item x="7583"/>
        <item x="7584"/>
        <item x="7585"/>
        <item x="7586"/>
        <item x="7587"/>
        <item x="7588"/>
        <item x="7589"/>
        <item x="7590"/>
        <item x="4080"/>
        <item x="7591"/>
        <item x="7592"/>
        <item x="7593"/>
        <item x="7594"/>
        <item x="7595"/>
        <item x="7596"/>
        <item x="7597"/>
        <item x="7598"/>
        <item x="7599"/>
        <item x="7600"/>
        <item x="7601"/>
        <item x="7602"/>
        <item x="7603"/>
        <item x="7604"/>
        <item x="4096"/>
        <item x="7605"/>
        <item x="7606"/>
        <item x="7607"/>
        <item x="7608"/>
        <item x="7609"/>
        <item x="7610"/>
        <item x="7611"/>
        <item x="7612"/>
        <item x="7613"/>
        <item x="7614"/>
        <item x="7615"/>
        <item x="7616"/>
        <item x="7617"/>
        <item x="7618"/>
        <item x="4112"/>
        <item x="7619"/>
        <item x="7620"/>
        <item x="7621"/>
        <item x="7622"/>
        <item x="7623"/>
        <item x="7624"/>
        <item x="7625"/>
        <item x="7626"/>
        <item x="7627"/>
        <item x="7628"/>
        <item x="7629"/>
        <item x="7630"/>
        <item x="7631"/>
        <item x="4127"/>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4189"/>
        <item x="4190"/>
        <item x="4191"/>
        <item x="4192"/>
        <item x="4193"/>
        <item x="4194"/>
        <item x="4195"/>
        <item x="4196"/>
        <item x="4197"/>
        <item x="4198"/>
        <item x="4199"/>
        <item x="4200"/>
        <item x="4201"/>
        <item x="4202"/>
        <item x="4426"/>
        <item x="4205"/>
        <item x="4206"/>
        <item x="4207"/>
        <item x="4208"/>
        <item x="4209"/>
        <item x="4210"/>
        <item x="4211"/>
        <item x="4212"/>
        <item x="4213"/>
        <item x="4214"/>
        <item x="4215"/>
        <item x="4216"/>
        <item x="4217"/>
        <item x="4218"/>
        <item sd="0" x="4220"/>
        <item sd="0" x="4221"/>
        <item sd="0" x="4222"/>
        <item sd="0" x="4223"/>
        <item sd="0" x="4224"/>
        <item sd="0" x="4225"/>
        <item sd="0" x="4226"/>
        <item sd="0" x="4227"/>
        <item sd="0" x="4228"/>
        <item sd="0" x="4229"/>
        <item sd="0" x="4230"/>
        <item sd="0" x="4231"/>
        <item sd="0" x="4232"/>
        <item sd="0" x="4233"/>
        <item x="4234"/>
        <item x="4236"/>
        <item x="4237"/>
        <item x="4238"/>
        <item x="4239"/>
        <item x="4240"/>
        <item x="4241"/>
        <item x="4242"/>
        <item x="4243"/>
        <item x="4244"/>
        <item sd="0" x="4245"/>
        <item sd="0" x="4246"/>
        <item sd="0" x="4247"/>
        <item sd="0" x="4248"/>
        <item sd="0" x="4249"/>
        <item sd="0" x="4003"/>
        <item sd="0" x="4004"/>
        <item sd="0" x="4005"/>
        <item sd="0" x="4006"/>
        <item sd="0" x="4007"/>
        <item sd="0" x="4008"/>
        <item sd="0" x="4009"/>
        <item sd="0" x="4010"/>
        <item sd="0" x="4011"/>
        <item sd="0" x="4012"/>
        <item sd="0" x="4013"/>
        <item sd="0" x="4014"/>
        <item sd="0" x="4015"/>
        <item sd="0" x="4016"/>
        <item sd="0" x="4017"/>
        <item sd="0" x="4019"/>
        <item sd="0" x="4020"/>
        <item sd="0" x="4021"/>
        <item sd="0" x="4022"/>
        <item sd="0" x="4023"/>
        <item sd="0" x="4024"/>
        <item sd="0" x="4025"/>
        <item sd="0" x="4026"/>
        <item sd="0" x="4027"/>
        <item sd="0" x="4028"/>
        <item sd="0" x="4029"/>
        <item sd="0" x="4030"/>
        <item sd="0" x="4031"/>
        <item x="4032"/>
        <item x="4033"/>
        <item x="4035"/>
        <item x="4036"/>
        <item x="4037"/>
        <item x="4038"/>
        <item x="4039"/>
        <item x="4040"/>
        <item x="4041"/>
        <item x="4042"/>
        <item sd="0" x="4043"/>
        <item sd="0" x="4044"/>
        <item sd="0" x="4045"/>
        <item sd="0" x="4046"/>
        <item sd="0" x="4047"/>
        <item sd="0" x="4048"/>
        <item x="4050"/>
        <item x="4051"/>
        <item x="4052"/>
        <item x="4053"/>
        <item x="4054"/>
        <item x="4055"/>
        <item x="4056"/>
        <item x="4057"/>
        <item x="4058"/>
        <item x="4059"/>
        <item x="4060"/>
        <item x="4061"/>
        <item x="4062"/>
        <item x="4063"/>
        <item x="4064"/>
        <item x="4066"/>
        <item x="4067"/>
        <item x="4068"/>
        <item x="4069"/>
        <item x="4070"/>
        <item x="4071"/>
        <item x="4072"/>
        <item x="4073"/>
        <item x="4074"/>
        <item x="4075"/>
        <item x="4076"/>
        <item x="4077"/>
        <item x="4078"/>
        <item x="4079"/>
        <item x="4081"/>
        <item x="4082"/>
        <item x="4083"/>
        <item x="4084"/>
        <item x="4085"/>
        <item x="4086"/>
        <item x="4087"/>
        <item x="4088"/>
        <item x="4089"/>
        <item x="4090"/>
        <item x="4091"/>
        <item x="4092"/>
        <item x="4093"/>
        <item x="4094"/>
        <item x="4095"/>
        <item x="4097"/>
        <item x="4098"/>
        <item x="4099"/>
        <item x="4100"/>
        <item x="4101"/>
        <item x="4102"/>
        <item x="4103"/>
        <item x="4104"/>
        <item x="4105"/>
        <item x="4106"/>
        <item x="4107"/>
        <item x="4108"/>
        <item x="4109"/>
        <item x="4110"/>
        <item x="4111"/>
        <item x="4113"/>
        <item x="4114"/>
        <item x="4115"/>
        <item x="4116"/>
        <item x="4117"/>
        <item x="4118"/>
        <item x="4119"/>
        <item x="4120"/>
        <item x="4121"/>
        <item x="4122"/>
        <item x="4123"/>
        <item x="4124"/>
        <item x="4125"/>
        <item x="4126"/>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413"/>
        <item x="4414"/>
        <item x="4415"/>
        <item x="4416"/>
        <item x="4417"/>
        <item x="4418"/>
        <item x="4419"/>
        <item x="4420"/>
        <item x="4421"/>
        <item x="4422"/>
        <item x="4423"/>
        <item x="4424"/>
        <item x="4425"/>
        <item x="4646"/>
        <item x="4427"/>
        <item x="4428"/>
        <item x="4429"/>
        <item x="4430"/>
        <item x="4431"/>
        <item x="4432"/>
        <item x="4433"/>
        <item x="4434"/>
        <item x="4435"/>
        <item x="4436"/>
        <item x="4437"/>
        <item x="4438"/>
        <item x="4439"/>
        <item x="4440"/>
        <item x="4441"/>
        <item x="4442"/>
        <item x="4443"/>
        <item x="4444"/>
        <item x="4445"/>
        <item x="4446"/>
        <item x="4447"/>
        <item sd="0" x="4448"/>
        <item sd="0" x="4449"/>
        <item sd="0" x="4450"/>
        <item sd="0" x="4451"/>
        <item x="4452"/>
        <item x="4453"/>
        <item x="4454"/>
        <item x="4455"/>
        <item sd="0" x="4456"/>
        <item sd="0" x="4457"/>
        <item sd="0" x="4458"/>
        <item sd="0" x="4459"/>
        <item x="4460"/>
        <item x="4461"/>
        <item x="4462"/>
        <item x="4463"/>
        <item sd="0" x="4464"/>
        <item sd="0" x="4465"/>
        <item sd="0" x="4466"/>
        <item sd="0" x="4467"/>
        <item x="4468"/>
        <item x="4469"/>
        <item x="4470"/>
        <item x="4471"/>
        <item sd="0" x="4472"/>
        <item sd="0" x="4473"/>
        <item sd="0" x="4474"/>
        <item sd="0" x="4475"/>
        <item x="4476"/>
        <item x="4477"/>
        <item x="4478"/>
        <item x="4479"/>
        <item x="4480"/>
        <item x="4481"/>
        <item x="4482"/>
        <item x="4483"/>
        <item x="4484"/>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647"/>
        <item x="4648"/>
        <item x="4649"/>
        <item x="4650"/>
        <item x="4651"/>
        <item x="4652"/>
        <item x="4653"/>
        <item x="4654"/>
        <item x="4655"/>
        <item x="4656"/>
        <item x="4657"/>
        <item x="4658"/>
        <item x="4659"/>
        <item x="4879"/>
        <item x="4660"/>
        <item x="4661"/>
        <item x="4662"/>
        <item x="4663"/>
        <item x="4664"/>
        <item x="4665"/>
        <item x="4666"/>
        <item x="4667"/>
        <item x="4668"/>
        <item x="4669"/>
        <item x="4670"/>
        <item x="4671"/>
        <item x="4672"/>
        <item x="4673"/>
        <item x="4674"/>
        <item x="4675"/>
        <item sd="0" x="4676"/>
        <item sd="0" x="4677"/>
        <item sd="0" x="4678"/>
        <item sd="0" x="4679"/>
        <item x="4680"/>
        <item x="4681"/>
        <item x="4682"/>
        <item sd="0" x="4683"/>
        <item sd="0" x="4684"/>
        <item sd="0" x="4685"/>
        <item sd="0" x="4686"/>
        <item sd="0" x="4687"/>
        <item x="4908"/>
        <item x="4688"/>
        <item x="4689"/>
        <item sd="0" x="4690"/>
        <item sd="0" x="4691"/>
        <item sd="0" x="4692"/>
        <item x="4693"/>
        <item x="4694"/>
        <item x="4695"/>
        <item x="4696"/>
        <item x="4697"/>
        <item x="4698"/>
        <item x="4699"/>
        <item x="4700"/>
        <item x="4701"/>
        <item sd="0" x="4702"/>
        <item x="4703"/>
        <item x="4704"/>
        <item x="4705"/>
        <item sd="0" x="4706"/>
        <item sd="0" x="4707"/>
        <item sd="0" x="4708"/>
        <item sd="0" x="4709"/>
        <item x="4710"/>
        <item x="4711"/>
        <item x="4712"/>
        <item x="4713"/>
        <item x="4714"/>
        <item x="4715"/>
        <item x="4716"/>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5127"/>
        <item x="4909"/>
        <item x="4910"/>
        <item x="4911"/>
        <item x="4912"/>
        <item x="4913"/>
        <item x="4914"/>
        <item x="4915"/>
        <item x="4916"/>
        <item x="4917"/>
        <item x="4918"/>
        <item x="4919"/>
        <item x="4920"/>
        <item sd="0" x="4921"/>
        <item sd="0" x="4922"/>
        <item sd="0" x="4923"/>
        <item sd="0" x="4924"/>
        <item x="4925"/>
        <item x="4926"/>
        <item x="4927"/>
        <item x="4928"/>
        <item sd="0" x="4929"/>
        <item sd="0" x="4930"/>
        <item sd="0" x="4931"/>
        <item sd="0" x="4932"/>
        <item x="4933"/>
        <item x="4934"/>
        <item x="4935"/>
        <item x="4936"/>
        <item sd="0" x="4937"/>
        <item sd="0" x="4938"/>
        <item sd="0" x="4939"/>
        <item sd="0" x="4940"/>
        <item x="4941"/>
        <item x="4942"/>
        <item x="4943"/>
        <item sd="0" x="4944"/>
        <item sd="0" x="4945"/>
        <item sd="0" x="4946"/>
        <item x="4947"/>
        <item x="4948"/>
        <item x="4949"/>
        <item x="4950"/>
        <item x="4951"/>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5114"/>
        <item x="5115"/>
        <item x="5116"/>
        <item x="5117"/>
        <item x="5118"/>
        <item x="5119"/>
        <item x="5120"/>
        <item x="5121"/>
        <item x="5122"/>
        <item x="5123"/>
        <item x="5124"/>
        <item x="5125"/>
        <item x="5126"/>
        <item x="5128"/>
        <item x="5129"/>
        <item x="5130"/>
        <item x="5131"/>
        <item x="5132"/>
        <item x="5133"/>
        <item x="5134"/>
        <item x="5135"/>
        <item x="5136"/>
        <item x="5137"/>
        <item x="5138"/>
        <item x="5139"/>
        <item x="5140"/>
        <item x="5141"/>
        <item x="5142"/>
        <item x="5143"/>
        <item x="5144"/>
        <item x="5145"/>
        <item x="5146"/>
        <item x="5147"/>
        <item x="5148"/>
        <item x="5149"/>
        <item sd="0" x="5150"/>
        <item sd="0" x="5151"/>
        <item sd="0" x="5152"/>
        <item sd="0" x="5153"/>
        <item sd="0" x="5154"/>
        <item x="5155"/>
        <item x="5156"/>
        <item x="5375"/>
        <item sd="0" x="5157"/>
        <item sd="0" x="5158"/>
        <item sd="0" x="5159"/>
        <item sd="0" x="5160"/>
        <item sd="0" x="5161"/>
        <item x="5162"/>
        <item x="5163"/>
        <item x="5164"/>
        <item sd="0" x="5165"/>
        <item sd="0" x="5166"/>
        <item sd="0" x="5167"/>
        <item x="5168"/>
        <item x="5169"/>
        <item x="5170"/>
        <item x="5171"/>
        <item x="5172"/>
        <item x="5173"/>
        <item x="5174"/>
        <item x="5175"/>
        <item x="5176"/>
        <item x="5177"/>
        <item x="5178"/>
        <item x="5179"/>
        <item x="5180"/>
        <item sd="0" x="5181"/>
        <item x="5182"/>
        <item x="5183"/>
        <item x="5184"/>
        <item x="5185"/>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594"/>
        <item x="5376"/>
        <item x="5377"/>
        <item x="5378"/>
        <item x="5379"/>
        <item x="5380"/>
        <item sd="0" x="5381"/>
        <item x="5382"/>
        <item x="5383"/>
        <item x="5384"/>
        <item x="5385"/>
        <item x="5386"/>
        <item x="5387"/>
        <item x="5388"/>
        <item x="5389"/>
        <item x="5390"/>
        <item x="5391"/>
        <item x="5392"/>
        <item x="5393"/>
        <item sd="0" x="5394"/>
        <item sd="0" x="5395"/>
        <item sd="0" x="5396"/>
        <item sd="0" x="5397"/>
        <item x="5398"/>
        <item x="5399"/>
        <item x="5400"/>
        <item sd="0" x="5401"/>
        <item sd="0" x="5402"/>
        <item sd="0" x="5403"/>
        <item sd="0" x="5404"/>
        <item sd="0" x="5405"/>
        <item x="5406"/>
        <item x="5407"/>
        <item x="5408"/>
        <item sd="0" x="5409"/>
        <item sd="0" x="5410"/>
        <item sd="0" x="5411"/>
        <item sd="0" x="5412"/>
        <item sd="0" x="5413"/>
        <item x="5414"/>
        <item x="5415"/>
        <item x="5416"/>
        <item x="5417"/>
        <item x="5418"/>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580"/>
        <item x="5581"/>
        <item x="5582"/>
        <item x="5583"/>
        <item x="5584"/>
        <item x="5585"/>
        <item x="5586"/>
        <item x="5587"/>
        <item x="5588"/>
        <item x="5589"/>
        <item x="5590"/>
        <item x="5591"/>
        <item x="5592"/>
        <item x="5593"/>
        <item x="5595"/>
        <item x="5596"/>
        <item x="5597"/>
        <item x="5598"/>
        <item x="5599"/>
        <item x="5600"/>
        <item x="5601"/>
        <item x="5602"/>
        <item x="5603"/>
        <item x="5604"/>
        <item x="5605"/>
        <item x="5606"/>
        <item x="5607"/>
        <item x="5608"/>
        <item x="5609"/>
        <item x="5610"/>
        <item x="5611"/>
        <item x="5612"/>
        <item x="5613"/>
        <item x="5614"/>
        <item x="5615"/>
        <item sd="0" x="5616"/>
        <item sd="0" x="5617"/>
        <item sd="0" x="5618"/>
        <item x="5619"/>
        <item x="5620"/>
        <item x="5621"/>
        <item sd="0" x="5622"/>
        <item sd="0" x="5841"/>
        <item sd="0" x="5623"/>
        <item sd="0" x="5624"/>
        <item x="5625"/>
        <item x="5626"/>
        <item x="5627"/>
        <item x="5628"/>
        <item sd="0" x="5629"/>
        <item sd="0" x="5630"/>
        <item sd="0" x="5631"/>
        <item sd="0" x="5632"/>
        <item x="5633"/>
        <item x="5634"/>
        <item x="5635"/>
        <item x="5636"/>
        <item sd="0" x="5637"/>
        <item sd="0" x="5638"/>
        <item x="5639"/>
        <item x="5640"/>
        <item x="5641"/>
        <item x="5642"/>
        <item x="5643"/>
        <item x="5644"/>
        <item x="5645"/>
        <item x="5646"/>
        <item x="5647"/>
        <item x="5648"/>
        <item x="5649"/>
        <item x="5650"/>
        <item x="5651"/>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6059"/>
        <item x="5842"/>
        <item x="5843"/>
        <item x="5844"/>
        <item x="5845"/>
        <item x="5846"/>
        <item x="5847"/>
        <item x="5848"/>
        <item x="5849"/>
        <item sd="0" x="5850"/>
        <item sd="0" x="5851"/>
        <item sd="0" x="5852"/>
        <item sd="0" x="5853"/>
        <item x="5854"/>
        <item x="5855"/>
        <item x="6074"/>
        <item x="5856"/>
        <item x="5857"/>
        <item x="5858"/>
        <item x="5859"/>
        <item x="5860"/>
        <item x="5861"/>
        <item x="5862"/>
        <item x="5863"/>
        <item sd="0" x="5864"/>
        <item sd="0" x="5865"/>
        <item sd="0" x="5866"/>
        <item sd="0" x="5867"/>
        <item sd="0" x="5868"/>
        <item x="5869"/>
        <item x="5870"/>
        <item x="5871"/>
        <item sd="0" x="5872"/>
        <item sd="0" x="5873"/>
        <item sd="0" x="5874"/>
        <item sd="0" x="5875"/>
        <item sd="0" x="5876"/>
        <item x="5877"/>
        <item x="5878"/>
        <item x="5879"/>
        <item sd="0" x="5880"/>
        <item sd="0" x="5881"/>
        <item sd="0" x="5882"/>
        <item sd="0" x="5883"/>
        <item x="5884"/>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6045"/>
        <item x="6046"/>
        <item x="6047"/>
        <item x="6048"/>
        <item x="6049"/>
        <item x="6050"/>
        <item x="6051"/>
        <item x="6052"/>
        <item x="6053"/>
        <item x="6054"/>
        <item x="6055"/>
        <item x="6056"/>
        <item x="6057"/>
        <item x="6058"/>
        <item x="6060"/>
        <item x="6061"/>
        <item x="6062"/>
        <item x="6063"/>
        <item x="6064"/>
        <item x="6065"/>
        <item x="6066"/>
        <item x="6067"/>
        <item x="6068"/>
        <item x="6069"/>
        <item x="6070"/>
        <item x="6071"/>
        <item x="6072"/>
        <item x="6073"/>
        <item x="6295"/>
        <item x="6075"/>
        <item x="6076"/>
        <item x="6077"/>
        <item x="6078"/>
        <item x="6079"/>
        <item x="6080"/>
        <item x="6081"/>
        <item x="6082"/>
        <item x="6083"/>
        <item x="6084"/>
        <item sd="0" x="6085"/>
        <item sd="0" x="6086"/>
        <item sd="0" x="6087"/>
        <item sd="0" x="6088"/>
        <item x="6089"/>
        <item x="6090"/>
        <item x="6091"/>
        <item x="6092"/>
        <item sd="0" x="6093"/>
        <item sd="0" x="6094"/>
        <item sd="0" x="6095"/>
        <item sd="0" x="6096"/>
        <item x="6097"/>
        <item x="6098"/>
        <item x="6099"/>
        <item x="6100"/>
        <item sd="0" x="6101"/>
        <item sd="0" x="6102"/>
        <item sd="0" x="6103"/>
        <item sd="0" x="6104"/>
        <item x="6105"/>
        <item x="6106"/>
        <item x="6107"/>
        <item x="6108"/>
        <item sd="0" x="6109"/>
        <item sd="0" x="6110"/>
        <item x="6111"/>
        <item x="6112"/>
        <item x="6113"/>
        <item x="6114"/>
        <item x="6115"/>
        <item x="6116"/>
        <item x="6117"/>
        <item x="6118"/>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281"/>
        <item x="6282"/>
        <item x="6283"/>
        <item x="6284"/>
        <item x="6285"/>
        <item x="6286"/>
        <item x="6287"/>
        <item x="6288"/>
        <item x="6289"/>
        <item x="6290"/>
        <item x="6291"/>
        <item x="6292"/>
        <item x="6293"/>
        <item x="6294"/>
        <item x="6296"/>
        <item x="6297"/>
        <item x="6298"/>
        <item x="6299"/>
        <item x="6300"/>
        <item x="6301"/>
        <item x="6302"/>
        <item x="6303"/>
        <item x="6304"/>
        <item x="6305"/>
        <item x="6306"/>
        <item x="6307"/>
        <item x="6308"/>
        <item x="6309"/>
        <item x="6528"/>
        <item x="6310"/>
        <item x="6311"/>
        <item x="6312"/>
        <item x="6313"/>
        <item x="6314"/>
        <item x="6315"/>
        <item x="6316"/>
        <item x="6317"/>
        <item x="6318"/>
        <item x="6319"/>
        <item x="6320"/>
        <item x="6321"/>
        <item x="6322"/>
        <item sd="0" x="6323"/>
        <item sd="0" x="6324"/>
        <item sd="0" x="6325"/>
        <item sd="0" x="6326"/>
        <item sd="0" x="6327"/>
        <item x="6328"/>
        <item x="6329"/>
        <item x="6330"/>
        <item x="6331"/>
        <item x="6332"/>
        <item x="6333"/>
        <item x="6334"/>
        <item x="6335"/>
        <item x="6336"/>
        <item x="6337"/>
        <item x="6338"/>
        <item sd="0" x="6339"/>
        <item sd="0" x="6340"/>
        <item sd="0" x="6341"/>
        <item sd="0" x="6342"/>
        <item x="6343"/>
        <item x="6344"/>
        <item x="6345"/>
        <item x="6346"/>
        <item sd="0" x="6347"/>
        <item sd="0" x="6348"/>
        <item sd="0" x="6349"/>
        <item sd="0" x="6350"/>
        <item x="6351"/>
        <item x="6352"/>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515"/>
        <item x="6516"/>
        <item x="6517"/>
        <item x="6518"/>
        <item x="6519"/>
        <item x="6520"/>
        <item x="6521"/>
        <item x="6522"/>
        <item x="6523"/>
        <item x="6524"/>
        <item x="6525"/>
        <item x="6526"/>
        <item x="6527"/>
        <item x="6748"/>
        <item x="6529"/>
        <item x="6530"/>
        <item x="6531"/>
        <item x="6532"/>
        <item x="6533"/>
        <item x="6534"/>
        <item x="6535"/>
        <item x="6536"/>
        <item x="6537"/>
        <item x="6538"/>
        <item x="6539"/>
        <item x="6540"/>
        <item x="6541"/>
        <item x="6542"/>
        <item x="6762"/>
        <item x="6543"/>
        <item x="6544"/>
        <item x="6545"/>
        <item x="6546"/>
        <item x="6547"/>
        <item x="6548"/>
        <item x="6549"/>
        <item x="6550"/>
        <item x="6551"/>
        <item x="6552"/>
        <item x="6553"/>
        <item sd="0" x="6554"/>
        <item x="6555"/>
        <item x="6556"/>
        <item x="6557"/>
        <item x="6558"/>
        <item sd="0" x="6559"/>
        <item sd="0" x="6560"/>
        <item sd="0" x="6561"/>
        <item sd="0" x="6562"/>
        <item x="6563"/>
        <item x="6564"/>
        <item x="6565"/>
        <item x="6566"/>
        <item sd="0" x="6567"/>
        <item sd="0" x="6568"/>
        <item sd="0" x="6569"/>
        <item sd="0" x="6570"/>
        <item x="6571"/>
        <item x="6572"/>
        <item x="6573"/>
        <item sd="0" x="6574"/>
        <item sd="0" x="6575"/>
        <item sd="0" x="6576"/>
        <item sd="0" x="6577"/>
        <item sd="0" x="6578"/>
        <item x="6579"/>
        <item x="6580"/>
        <item x="6581"/>
        <item sd="0" x="6582"/>
        <item sd="0" x="6583"/>
        <item sd="0" x="6584"/>
        <item x="6585"/>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749"/>
        <item x="6750"/>
        <item x="6751"/>
        <item x="6752"/>
        <item x="6753"/>
        <item x="6754"/>
        <item x="6755"/>
        <item x="6756"/>
        <item x="6757"/>
        <item x="6758"/>
        <item x="6759"/>
        <item x="6760"/>
        <item x="6761"/>
        <item x="698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sd="0" x="6790"/>
        <item sd="0" x="6791"/>
        <item x="6792"/>
        <item x="6793"/>
        <item x="6794"/>
        <item x="6795"/>
        <item sd="0" x="6796"/>
        <item sd="0" x="6797"/>
        <item sd="0" x="6798"/>
        <item sd="0" x="6799"/>
        <item x="6800"/>
        <item x="6801"/>
        <item x="6802"/>
        <item x="6803"/>
        <item x="6804"/>
        <item x="6805"/>
        <item x="6806"/>
        <item x="6807"/>
        <item x="6808"/>
        <item x="6809"/>
        <item x="6810"/>
        <item x="6811"/>
        <item sd="0" x="6812"/>
        <item sd="0" x="6813"/>
        <item sd="0" x="6814"/>
        <item sd="0" x="6815"/>
        <item x="6816"/>
        <item x="6817"/>
        <item x="6818"/>
        <item x="6819"/>
        <item sd="0" x="6820"/>
        <item sd="0" x="6586"/>
        <item sd="0" x="6587"/>
        <item sd="0"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983"/>
        <item x="6984"/>
        <item x="6985"/>
        <item x="6986"/>
        <item x="6987"/>
        <item x="6988"/>
        <item x="6989"/>
        <item x="6990"/>
        <item x="6991"/>
        <item x="6992"/>
        <item x="6993"/>
        <item x="6994"/>
        <item x="6995"/>
        <item x="721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sd="0" x="7024"/>
        <item sd="0" x="7244"/>
        <item sd="0" x="10759"/>
        <item sd="0" x="10760"/>
        <item x="10761"/>
        <item x="10762"/>
        <item x="10763"/>
        <item sd="0" x="10764"/>
        <item sd="0" x="10765"/>
        <item sd="0" x="10766"/>
        <item sd="0" x="10767"/>
        <item sd="0" x="10768"/>
        <item x="10769"/>
        <item x="10770"/>
        <item x="10771"/>
        <item sd="0" x="10772"/>
        <item sd="0" x="10552"/>
        <item sd="0" x="10774"/>
        <item sd="0" x="10775"/>
        <item sd="0" x="10776"/>
        <item x="10777"/>
        <item x="10778"/>
        <item x="10779"/>
        <item sd="0" x="10780"/>
        <item sd="0" x="10781"/>
        <item sd="0" x="10782"/>
        <item sd="0" x="10783"/>
        <item sd="0" x="10784"/>
        <item x="10785"/>
        <item x="10786"/>
        <item x="10336"/>
        <item sd="0" x="10553"/>
        <item sd="0" x="10554"/>
        <item sd="0" x="10555"/>
        <item x="10556"/>
        <item x="10557"/>
        <item x="10558"/>
        <item x="10559"/>
        <item x="10560"/>
        <item x="10561"/>
        <item x="10562"/>
        <item x="10563"/>
        <item x="10564"/>
        <item x="10565"/>
        <item x="10566"/>
        <item x="10350"/>
        <item x="10568"/>
        <item x="10569"/>
        <item x="10570"/>
        <item x="10571"/>
        <item x="10572"/>
        <item x="10573"/>
        <item x="10574"/>
        <item x="10575"/>
        <item x="10576"/>
        <item x="10577"/>
        <item x="10578"/>
        <item x="10579"/>
        <item x="10580"/>
        <item x="10581"/>
        <item x="10365"/>
        <item x="10583"/>
        <item x="10584"/>
        <item x="10585"/>
        <item x="10586"/>
        <item x="10587"/>
        <item x="10588"/>
        <item x="10589"/>
        <item x="10590"/>
        <item x="10591"/>
        <item x="10592"/>
        <item x="10593"/>
        <item x="10594"/>
        <item x="10595"/>
        <item x="10379"/>
        <item x="10597"/>
        <item x="10598"/>
        <item x="10599"/>
        <item x="10600"/>
        <item x="10601"/>
        <item x="10602"/>
        <item x="10603"/>
        <item x="10604"/>
        <item x="10605"/>
        <item x="10606"/>
        <item x="10607"/>
        <item x="10608"/>
        <item x="10609"/>
        <item x="10610"/>
        <item x="10394"/>
        <item x="10612"/>
        <item x="10613"/>
        <item x="10614"/>
        <item x="10615"/>
        <item x="10616"/>
        <item x="10617"/>
        <item x="10618"/>
        <item x="10619"/>
        <item x="10620"/>
        <item x="10621"/>
        <item x="10622"/>
        <item x="10623"/>
        <item x="10624"/>
        <item x="10408"/>
        <item x="10626"/>
        <item x="10627"/>
        <item x="10628"/>
        <item x="10629"/>
        <item x="10630"/>
        <item x="10631"/>
        <item x="10632"/>
        <item x="10633"/>
        <item x="10634"/>
        <item x="10635"/>
        <item x="10636"/>
        <item x="10637"/>
        <item x="10638"/>
        <item x="10639"/>
        <item x="10423"/>
        <item x="10641"/>
        <item x="10642"/>
        <item x="10643"/>
        <item x="10644"/>
        <item x="10645"/>
        <item x="10646"/>
        <item x="10647"/>
        <item x="10648"/>
        <item x="10649"/>
        <item x="10650"/>
        <item x="10651"/>
        <item x="10652"/>
        <item x="10653"/>
        <item x="10654"/>
        <item x="10656"/>
        <item x="10657"/>
        <item x="10658"/>
        <item x="10659"/>
        <item x="10660"/>
        <item x="10661"/>
        <item x="10662"/>
        <item x="10663"/>
        <item x="10664"/>
        <item x="10665"/>
        <item x="10666"/>
        <item x="10667"/>
        <item x="10668"/>
        <item x="10669"/>
        <item x="10452"/>
        <item x="10670"/>
        <item x="10671"/>
        <item x="10672"/>
        <item x="10673"/>
        <item x="10674"/>
        <item x="10675"/>
        <item x="10676"/>
        <item x="10677"/>
        <item x="10678"/>
        <item x="10679"/>
        <item x="10680"/>
        <item x="10681"/>
        <item x="10682"/>
        <item x="10683"/>
        <item x="10466"/>
        <item x="10685"/>
        <item x="10686"/>
        <item x="10687"/>
        <item x="10688"/>
        <item x="10689"/>
        <item x="10690"/>
        <item x="10691"/>
        <item x="10692"/>
        <item x="10693"/>
        <item x="10694"/>
        <item x="10695"/>
        <item x="10696"/>
        <item x="10697"/>
        <item x="10481"/>
        <item x="10699"/>
        <item x="10700"/>
        <item x="10701"/>
        <item x="10702"/>
        <item x="10703"/>
        <item x="10704"/>
        <item x="10705"/>
        <item x="10706"/>
        <item x="10707"/>
        <item x="10708"/>
        <item x="10709"/>
        <item x="10710"/>
        <item x="10711"/>
        <item x="10712"/>
        <item x="10713"/>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758"/>
        <item x="10978"/>
        <item x="10979"/>
        <item x="10980"/>
        <item x="10981"/>
        <item x="10982"/>
        <item x="10983"/>
        <item x="10984"/>
        <item x="10985"/>
        <item x="10986"/>
        <item x="10987"/>
        <item x="10988"/>
        <item x="10989"/>
        <item x="10990"/>
        <item x="10991"/>
        <item x="10773"/>
        <item sd="0" x="10993"/>
        <item sd="0" x="10994"/>
        <item sd="0" x="10995"/>
        <item sd="0" x="10996"/>
        <item x="10997"/>
        <item x="10998"/>
        <item x="10999"/>
        <item x="11000"/>
        <item sd="0" x="11001"/>
        <item sd="0" x="11002"/>
        <item sd="0" x="11003"/>
        <item sd="0" x="11004"/>
        <item x="11005"/>
        <item x="10787"/>
        <item x="11007"/>
        <item x="11008"/>
        <item x="11009"/>
        <item x="11010"/>
        <item x="11011"/>
        <item x="11012"/>
        <item x="11013"/>
        <item x="11014"/>
        <item x="11015"/>
        <item sd="0" x="11016"/>
        <item sd="0" x="11017"/>
        <item sd="0" x="11018"/>
        <item sd="0" x="11019"/>
        <item sd="0" x="11020"/>
        <item x="10567"/>
        <item x="10788"/>
        <item x="10789"/>
        <item sd="0" x="10790"/>
        <item sd="0" x="10791"/>
        <item x="10792"/>
        <item x="10793"/>
        <item x="10794"/>
        <item x="10795"/>
        <item x="10796"/>
        <item x="10797"/>
        <item x="10798"/>
        <item x="10799"/>
        <item x="10800"/>
        <item x="10582"/>
        <item x="10802"/>
        <item x="10803"/>
        <item x="10804"/>
        <item x="10805"/>
        <item x="10806"/>
        <item x="10807"/>
        <item x="10808"/>
        <item x="10809"/>
        <item x="10810"/>
        <item x="10811"/>
        <item x="10812"/>
        <item x="10813"/>
        <item x="10814"/>
        <item x="10815"/>
        <item x="10596"/>
        <item x="10817"/>
        <item x="10818"/>
        <item x="10819"/>
        <item x="10820"/>
        <item x="10821"/>
        <item x="10822"/>
        <item x="10823"/>
        <item x="10824"/>
        <item x="10825"/>
        <item x="10826"/>
        <item x="10827"/>
        <item x="10828"/>
        <item x="10829"/>
        <item x="10830"/>
        <item x="10611"/>
        <item x="10832"/>
        <item x="10833"/>
        <item x="10834"/>
        <item x="10835"/>
        <item x="10836"/>
        <item x="10837"/>
        <item x="10838"/>
        <item x="10839"/>
        <item x="10840"/>
        <item x="10841"/>
        <item x="10842"/>
        <item x="10843"/>
        <item x="10844"/>
        <item x="10845"/>
        <item x="10625"/>
        <item x="10847"/>
        <item x="10848"/>
        <item x="10849"/>
        <item x="10850"/>
        <item x="10851"/>
        <item x="10852"/>
        <item x="10853"/>
        <item x="10854"/>
        <item x="10855"/>
        <item x="10856"/>
        <item x="10857"/>
        <item x="10858"/>
        <item x="10859"/>
        <item x="10640"/>
        <item x="10861"/>
        <item x="10862"/>
        <item x="10863"/>
        <item x="10864"/>
        <item x="10865"/>
        <item x="10866"/>
        <item x="10867"/>
        <item x="10868"/>
        <item x="10869"/>
        <item x="10870"/>
        <item x="10871"/>
        <item x="10872"/>
        <item x="10873"/>
        <item x="10874"/>
        <item x="10655"/>
        <item x="10876"/>
        <item x="10877"/>
        <item x="10878"/>
        <item x="10879"/>
        <item x="10880"/>
        <item x="10881"/>
        <item x="10882"/>
        <item x="10883"/>
        <item x="10884"/>
        <item x="10885"/>
        <item x="10886"/>
        <item x="10887"/>
        <item x="10888"/>
        <item x="10889"/>
        <item x="10891"/>
        <item x="10892"/>
        <item x="10893"/>
        <item x="10894"/>
        <item x="10895"/>
        <item x="10896"/>
        <item x="10897"/>
        <item x="10898"/>
        <item x="10899"/>
        <item x="10900"/>
        <item x="10901"/>
        <item x="10902"/>
        <item x="10903"/>
        <item x="10904"/>
        <item x="10684"/>
        <item x="10905"/>
        <item x="10906"/>
        <item x="10907"/>
        <item x="10908"/>
        <item x="10909"/>
        <item x="10910"/>
        <item x="10911"/>
        <item x="10912"/>
        <item x="10913"/>
        <item x="10914"/>
        <item x="10915"/>
        <item x="10916"/>
        <item x="10917"/>
        <item x="10918"/>
        <item x="10698"/>
        <item x="10920"/>
        <item x="10921"/>
        <item x="10922"/>
        <item x="10923"/>
        <item x="10924"/>
        <item x="10925"/>
        <item x="10926"/>
        <item x="10927"/>
        <item x="10928"/>
        <item x="10929"/>
        <item x="10930"/>
        <item x="10931"/>
        <item x="10932"/>
        <item x="10714"/>
        <item x="10934"/>
        <item x="10935"/>
        <item x="10936"/>
        <item x="10937"/>
        <item x="10938"/>
        <item x="10939"/>
        <item x="10940"/>
        <item x="10941"/>
        <item x="10942"/>
        <item x="10943"/>
        <item x="10944"/>
        <item x="10945"/>
        <item x="10946"/>
        <item x="10947"/>
        <item x="10948"/>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0992"/>
        <item x="11210"/>
        <item x="11211"/>
        <item x="11212"/>
        <item x="11213"/>
        <item x="11214"/>
        <item x="11215"/>
        <item x="11216"/>
        <item x="11217"/>
        <item x="11218"/>
        <item x="11219"/>
        <item x="11220"/>
        <item x="11221"/>
        <item x="11222"/>
        <item x="11223"/>
        <item x="11006"/>
        <item x="11225"/>
        <item x="11226"/>
        <item x="11227"/>
        <item x="11228"/>
        <item x="11229"/>
        <item x="11230"/>
        <item x="11231"/>
        <item x="11232"/>
        <item x="11233"/>
        <item sd="0" x="11234"/>
        <item sd="0" x="11235"/>
        <item sd="0" x="11236"/>
        <item sd="0" x="11237"/>
        <item sd="0" x="11021"/>
        <item sd="0" x="11238"/>
        <item sd="0" x="11239"/>
        <item x="11240"/>
        <item x="11241"/>
        <item x="11242"/>
        <item x="11243"/>
        <item x="11244"/>
        <item x="11245"/>
        <item x="11246"/>
        <item sd="0" x="11247"/>
        <item sd="0" x="11248"/>
        <item sd="0" x="11249"/>
        <item sd="0" x="11250"/>
        <item sd="0" x="11251"/>
        <item sd="0" x="10801"/>
        <item sd="0" x="11022"/>
        <item sd="0" x="11023"/>
        <item x="11024"/>
        <item x="11025"/>
        <item x="11026"/>
        <item x="11027"/>
        <item x="11028"/>
        <item x="11029"/>
        <item x="11030"/>
        <item sd="0" x="11031"/>
        <item sd="0" x="11032"/>
        <item sd="0" x="11033"/>
        <item sd="0" x="11034"/>
        <item sd="0" x="11035"/>
        <item sd="0" x="10816"/>
        <item sd="0" x="11036"/>
        <item sd="0" x="11037"/>
        <item sd="0" x="11038"/>
        <item x="11039"/>
        <item x="11040"/>
        <item x="11041"/>
        <item x="11042"/>
        <item x="11043"/>
        <item x="11044"/>
        <item x="11045"/>
        <item sd="0" x="11046"/>
        <item sd="0" x="11047"/>
        <item sd="0" x="11048"/>
        <item sd="0" x="10831"/>
        <item sd="0" x="11049"/>
        <item sd="0" x="11050"/>
        <item sd="0" x="11051"/>
        <item sd="0" x="11052"/>
        <item sd="0" x="11053"/>
        <item x="11054"/>
        <item x="11055"/>
        <item x="11056"/>
        <item x="11057"/>
        <item x="11058"/>
        <item x="11059"/>
        <item x="11060"/>
        <item x="11061"/>
        <item x="11062"/>
        <item x="10846"/>
        <item x="11064"/>
        <item x="11065"/>
        <item x="11066"/>
        <item x="11067"/>
        <item x="11068"/>
        <item x="11069"/>
        <item x="11070"/>
        <item x="11071"/>
        <item x="11072"/>
        <item x="11073"/>
        <item x="11074"/>
        <item x="11075"/>
        <item x="11076"/>
        <item x="10860"/>
        <item x="11078"/>
        <item x="11079"/>
        <item x="11080"/>
        <item x="11081"/>
        <item x="11082"/>
        <item x="11083"/>
        <item x="11084"/>
        <item x="11085"/>
        <item x="11086"/>
        <item x="11087"/>
        <item x="11088"/>
        <item x="11089"/>
        <item x="11090"/>
        <item x="11091"/>
        <item x="10875"/>
        <item x="11093"/>
        <item x="11094"/>
        <item x="11095"/>
        <item x="11096"/>
        <item x="11097"/>
        <item x="11098"/>
        <item x="11099"/>
        <item x="11100"/>
        <item x="11101"/>
        <item x="11102"/>
        <item x="11103"/>
        <item x="11104"/>
        <item x="11105"/>
        <item x="10890"/>
        <item x="11107"/>
        <item x="11108"/>
        <item x="11109"/>
        <item x="11110"/>
        <item x="11111"/>
        <item x="11112"/>
        <item x="11113"/>
        <item x="11114"/>
        <item x="11115"/>
        <item x="11116"/>
        <item x="11117"/>
        <item x="11118"/>
        <item x="11119"/>
        <item x="11120"/>
        <item x="11121"/>
        <item x="11123"/>
        <item x="11124"/>
        <item x="11125"/>
        <item x="11126"/>
        <item x="11127"/>
        <item x="11128"/>
        <item x="11129"/>
        <item x="11130"/>
        <item x="11131"/>
        <item x="11132"/>
        <item x="11133"/>
        <item x="11134"/>
        <item x="11135"/>
        <item x="11136"/>
        <item x="10919"/>
        <item x="11137"/>
        <item x="11138"/>
        <item x="11139"/>
        <item x="11140"/>
        <item x="11141"/>
        <item x="11142"/>
        <item x="11143"/>
        <item x="11144"/>
        <item x="11145"/>
        <item x="11146"/>
        <item x="11147"/>
        <item x="11148"/>
        <item x="11149"/>
        <item x="10933"/>
        <item x="11151"/>
        <item x="11152"/>
        <item x="11153"/>
        <item x="11154"/>
        <item x="11155"/>
        <item x="11156"/>
        <item x="11157"/>
        <item x="11158"/>
        <item x="11159"/>
        <item x="11160"/>
        <item x="11161"/>
        <item x="11162"/>
        <item x="11163"/>
        <item x="11164"/>
        <item x="10949"/>
        <item x="11166"/>
        <item x="11167"/>
        <item x="11168"/>
        <item x="11169"/>
        <item x="11170"/>
        <item x="11171"/>
        <item x="11172"/>
        <item x="11173"/>
        <item x="11174"/>
        <item x="11175"/>
        <item x="11176"/>
        <item x="11177"/>
        <item x="11178"/>
        <item x="11179"/>
        <item x="11180"/>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224"/>
        <item x="11403"/>
        <item x="11404"/>
        <item x="11405"/>
        <item x="11406"/>
        <item x="11407"/>
        <item x="11408"/>
        <item x="11409"/>
        <item x="11410"/>
        <item x="11411"/>
        <item x="11412"/>
        <item x="11413"/>
        <item x="11414"/>
        <item x="11415"/>
        <item x="11416"/>
        <item x="11063"/>
        <item x="11252"/>
        <item x="11253"/>
        <item x="11254"/>
        <item x="11255"/>
        <item x="11256"/>
        <item x="11257"/>
        <item x="11258"/>
        <item x="11259"/>
        <item x="11260"/>
        <item x="11261"/>
        <item x="11262"/>
        <item x="11263"/>
        <item x="11264"/>
        <item x="11077"/>
        <item x="11265"/>
        <item x="11266"/>
        <item x="11267"/>
        <item x="11268"/>
        <item x="11269"/>
        <item x="11270"/>
        <item x="11271"/>
        <item x="11272"/>
        <item x="11273"/>
        <item x="11274"/>
        <item x="11275"/>
        <item x="11276"/>
        <item x="11277"/>
        <item x="11278"/>
        <item x="11092"/>
        <item x="11279"/>
        <item x="11280"/>
        <item x="11281"/>
        <item x="11282"/>
        <item x="11283"/>
        <item x="11284"/>
        <item x="11285"/>
        <item x="11286"/>
        <item x="11287"/>
        <item x="11288"/>
        <item x="11289"/>
        <item x="11290"/>
        <item x="11291"/>
        <item x="11106"/>
        <item x="11292"/>
        <item x="11293"/>
        <item x="11294"/>
        <item x="11295"/>
        <item x="11296"/>
        <item x="11297"/>
        <item x="11298"/>
        <item x="11299"/>
        <item x="11300"/>
        <item x="11301"/>
        <item x="11302"/>
        <item x="11303"/>
        <item x="11304"/>
        <item x="11305"/>
        <item x="11122"/>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150"/>
        <item x="11334"/>
        <item x="11335"/>
        <item x="11336"/>
        <item x="11337"/>
        <item x="11338"/>
        <item x="11339"/>
        <item x="11340"/>
        <item x="11341"/>
        <item x="11342"/>
        <item x="11343"/>
        <item x="11344"/>
        <item x="11345"/>
        <item x="11346"/>
        <item x="11347"/>
        <item x="11165"/>
        <item x="11348"/>
        <item x="11349"/>
        <item x="11350"/>
        <item x="11351"/>
        <item x="11352"/>
        <item x="11353"/>
        <item x="11354"/>
        <item x="11355"/>
        <item x="11356"/>
        <item x="11357"/>
        <item x="11358"/>
        <item x="11359"/>
        <item x="11360"/>
        <item x="11181"/>
        <item x="11361"/>
        <item x="11362"/>
        <item x="11363"/>
        <item x="11364"/>
        <item x="11365"/>
        <item x="11366"/>
        <item x="11367"/>
        <item x="11368"/>
        <item x="11369"/>
        <item x="11370"/>
        <item x="11371"/>
        <item x="11372"/>
        <item x="11373"/>
        <item x="11374"/>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6"/>
        <item x="7977"/>
        <item x="7978"/>
        <item x="7979"/>
        <item x="7980"/>
        <item x="7981"/>
        <item x="7982"/>
        <item x="7983"/>
        <item x="7984"/>
        <item x="7985"/>
        <item x="7986"/>
        <item x="7987"/>
        <item x="7988"/>
        <item x="7989"/>
        <item x="7741"/>
        <item x="7742"/>
        <item x="7743"/>
        <item x="7744"/>
        <item x="7745"/>
        <item x="7746"/>
        <item x="7747"/>
        <item x="7748"/>
        <item x="7749"/>
        <item x="7750"/>
        <item x="7751"/>
        <item x="7752"/>
        <item x="7753"/>
        <item x="7754"/>
        <item x="7755"/>
        <item x="7757"/>
        <item x="7758"/>
        <item x="7759"/>
        <item x="7760"/>
        <item x="7761"/>
        <item x="7762"/>
        <item x="7763"/>
        <item x="7764"/>
        <item x="7765"/>
        <item x="7766"/>
        <item x="7767"/>
        <item x="7768"/>
        <item x="7769"/>
        <item x="7770"/>
        <item x="7771"/>
        <item x="7774"/>
        <item x="7775"/>
        <item x="7776"/>
        <item x="7777"/>
        <item x="7778"/>
        <item x="7779"/>
        <item x="7780"/>
        <item x="7781"/>
        <item x="7782"/>
        <item x="7783"/>
        <item x="7784"/>
        <item x="7785"/>
        <item x="7786"/>
        <item x="7787"/>
        <item x="7788"/>
        <item x="7790"/>
        <item x="7791"/>
        <item sd="0" x="7792"/>
        <item sd="0" x="7793"/>
        <item sd="0" x="7794"/>
        <item x="7795"/>
        <item x="7796"/>
        <item x="7797"/>
        <item x="7798"/>
        <item x="7799"/>
        <item x="7800"/>
        <item x="7801"/>
        <item sd="0" x="7802"/>
        <item sd="0" x="7803"/>
        <item sd="0" x="7805"/>
        <item sd="0" x="7806"/>
        <item sd="0" x="7807"/>
        <item sd="0" x="7808"/>
        <item sd="0" x="7809"/>
        <item sd="0" x="7810"/>
        <item x="7811"/>
        <item x="7812"/>
        <item x="7813"/>
        <item x="7814"/>
        <item x="7815"/>
        <item x="7816"/>
        <item x="7817"/>
        <item sd="0" x="7818"/>
        <item sd="0" x="7819"/>
        <item sd="0" x="7821"/>
        <item sd="0" x="7822"/>
        <item sd="0" x="7823"/>
        <item sd="0" x="7824"/>
        <item sd="0" x="7825"/>
        <item sd="0" x="7826"/>
        <item sd="0" x="7827"/>
        <item x="7828"/>
        <item x="7829"/>
        <item x="7830"/>
        <item x="7831"/>
        <item x="7832"/>
        <item x="7833"/>
        <item x="7834"/>
        <item x="7835"/>
        <item x="7837"/>
        <item x="7838"/>
        <item x="7839"/>
        <item x="7840"/>
        <item x="7841"/>
        <item x="7842"/>
        <item x="7843"/>
        <item x="7844"/>
        <item x="7845"/>
        <item x="7846"/>
        <item x="7847"/>
        <item x="7848"/>
        <item x="7849"/>
        <item x="7850"/>
        <item x="7852"/>
        <item sd="0" x="7853"/>
        <item sd="0" x="7854"/>
        <item sd="0" x="7855"/>
        <item sd="0" x="7856"/>
        <item sd="0" x="7857"/>
        <item sd="0" x="7858"/>
        <item sd="0" x="7859"/>
        <item sd="0" x="7860"/>
        <item sd="0" x="7861"/>
        <item x="7862"/>
        <item x="7863"/>
        <item x="7864"/>
        <item x="7865"/>
        <item x="7866"/>
        <item x="7868"/>
        <item x="7869"/>
        <item x="7870"/>
        <item x="7871"/>
        <item x="7872"/>
        <item x="7873"/>
        <item x="7874"/>
        <item x="7875"/>
        <item x="7876"/>
        <item x="7877"/>
        <item x="7878"/>
        <item x="7879"/>
        <item x="7880"/>
        <item x="7881"/>
        <item x="7883"/>
        <item x="7884"/>
        <item x="7885"/>
        <item x="7886"/>
        <item x="7887"/>
        <item x="7888"/>
        <item x="7889"/>
        <item x="7890"/>
        <item x="7891"/>
        <item x="7892"/>
        <item x="7893"/>
        <item x="7894"/>
        <item x="7895"/>
        <item x="7896"/>
        <item x="7897"/>
        <item x="7899"/>
        <item x="7900"/>
        <item x="7901"/>
        <item x="7902"/>
        <item x="7903"/>
        <item x="7904"/>
        <item x="7905"/>
        <item x="7906"/>
        <item x="7907"/>
        <item x="7908"/>
        <item x="7909"/>
        <item x="7910"/>
        <item x="7911"/>
        <item x="7912"/>
        <item x="7913"/>
        <item x="7915"/>
        <item x="7916"/>
        <item x="7917"/>
        <item x="7918"/>
        <item x="7919"/>
        <item x="7920"/>
        <item x="7921"/>
        <item x="7922"/>
        <item x="7923"/>
        <item x="7924"/>
        <item x="7925"/>
        <item x="7926"/>
        <item x="7927"/>
        <item x="7928"/>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7975"/>
        <item x="8194"/>
        <item x="8195"/>
        <item x="8196"/>
        <item x="8197"/>
        <item x="8198"/>
        <item x="8199"/>
        <item x="8200"/>
        <item x="8201"/>
        <item x="8202"/>
        <item x="8203"/>
        <item x="8204"/>
        <item x="8205"/>
        <item x="8206"/>
        <item x="8207"/>
        <item x="7990"/>
        <item x="8209"/>
        <item x="8210"/>
        <item x="8211"/>
        <item x="8212"/>
        <item x="8213"/>
        <item x="8214"/>
        <item x="8215"/>
        <item x="8216"/>
        <item x="8217"/>
        <item x="8218"/>
        <item x="8219"/>
        <item x="8220"/>
        <item x="8221"/>
        <item x="8222"/>
        <item x="7756"/>
        <item x="7991"/>
        <item x="7992"/>
        <item x="7993"/>
        <item x="7994"/>
        <item x="7995"/>
        <item x="7996"/>
        <item x="7997"/>
        <item x="7998"/>
        <item x="7999"/>
        <item x="8000"/>
        <item x="8001"/>
        <item x="8002"/>
        <item x="8003"/>
        <item x="7772"/>
        <item x="7773"/>
        <item x="8005"/>
        <item x="8006"/>
        <item x="8007"/>
        <item x="8008"/>
        <item x="8009"/>
        <item x="8010"/>
        <item x="8011"/>
        <item x="8012"/>
        <item x="8013"/>
        <item x="8014"/>
        <item x="8015"/>
        <item x="8016"/>
        <item x="8017"/>
        <item x="7789"/>
        <item x="8019"/>
        <item x="8020"/>
        <item x="8021"/>
        <item x="8022"/>
        <item x="8023"/>
        <item x="8024"/>
        <item x="8025"/>
        <item x="8026"/>
        <item x="8027"/>
        <item x="8028"/>
        <item x="8029"/>
        <item x="8030"/>
        <item x="8031"/>
        <item x="8032"/>
        <item x="7804"/>
        <item x="8034"/>
        <item x="8035"/>
        <item x="8036"/>
        <item x="8037"/>
        <item x="8038"/>
        <item x="8039"/>
        <item x="8040"/>
        <item x="8041"/>
        <item x="8042"/>
        <item x="8043"/>
        <item x="8044"/>
        <item x="8045"/>
        <item x="8046"/>
        <item x="7820"/>
        <item x="8048"/>
        <item x="8049"/>
        <item x="8050"/>
        <item x="8051"/>
        <item x="8052"/>
        <item x="8053"/>
        <item x="8054"/>
        <item x="8055"/>
        <item x="8056"/>
        <item x="8057"/>
        <item x="8058"/>
        <item x="8059"/>
        <item x="8060"/>
        <item x="8061"/>
        <item x="7836"/>
        <item x="8063"/>
        <item x="8064"/>
        <item x="8065"/>
        <item x="8066"/>
        <item x="8067"/>
        <item x="8068"/>
        <item x="8069"/>
        <item x="8070"/>
        <item x="8071"/>
        <item x="8072"/>
        <item x="8073"/>
        <item x="8074"/>
        <item x="8075"/>
        <item x="8076"/>
        <item x="7851"/>
        <item x="8078"/>
        <item x="8079"/>
        <item x="8080"/>
        <item x="8081"/>
        <item x="8082"/>
        <item x="8083"/>
        <item x="8084"/>
        <item x="8085"/>
        <item x="8086"/>
        <item x="8087"/>
        <item x="8088"/>
        <item x="8089"/>
        <item x="8090"/>
        <item x="7867"/>
        <item x="8092"/>
        <item x="8093"/>
        <item x="8094"/>
        <item x="8095"/>
        <item x="8096"/>
        <item x="8097"/>
        <item x="8098"/>
        <item x="8099"/>
        <item x="8100"/>
        <item x="8101"/>
        <item x="8102"/>
        <item x="8103"/>
        <item x="8104"/>
        <item x="8105"/>
        <item x="7882"/>
        <item x="8107"/>
        <item x="8108"/>
        <item x="8109"/>
        <item x="8110"/>
        <item x="8111"/>
        <item x="8112"/>
        <item x="8113"/>
        <item x="8114"/>
        <item x="8115"/>
        <item x="8116"/>
        <item x="8117"/>
        <item x="8118"/>
        <item x="8119"/>
        <item x="8120"/>
        <item x="7898"/>
        <item x="8122"/>
        <item x="8123"/>
        <item x="8124"/>
        <item x="8125"/>
        <item x="8126"/>
        <item x="8127"/>
        <item x="8128"/>
        <item x="8129"/>
        <item x="8130"/>
        <item x="8131"/>
        <item x="8132"/>
        <item x="8133"/>
        <item x="8134"/>
        <item x="7914"/>
        <item x="8136"/>
        <item x="8137"/>
        <item x="8138"/>
        <item x="8139"/>
        <item x="8140"/>
        <item x="8141"/>
        <item x="8142"/>
        <item x="8143"/>
        <item x="8144"/>
        <item x="8145"/>
        <item x="8146"/>
        <item x="8147"/>
        <item x="8148"/>
        <item x="8149"/>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208"/>
        <item x="8430"/>
        <item x="8431"/>
        <item x="8432"/>
        <item x="8433"/>
        <item x="8434"/>
        <item x="8435"/>
        <item x="8436"/>
        <item x="8437"/>
        <item x="8438"/>
        <item x="8439"/>
        <item x="8440"/>
        <item x="8441"/>
        <item x="8442"/>
        <item x="8223"/>
        <item x="8444"/>
        <item x="8445"/>
        <item x="8446"/>
        <item x="8447"/>
        <item x="8448"/>
        <item x="8449"/>
        <item x="8450"/>
        <item x="8451"/>
        <item x="8452"/>
        <item x="8453"/>
        <item x="8454"/>
        <item x="8455"/>
        <item x="8456"/>
        <item x="8457"/>
        <item x="8004"/>
        <item x="8224"/>
        <item x="8225"/>
        <item x="8226"/>
        <item x="8227"/>
        <item x="8228"/>
        <item x="8229"/>
        <item x="8230"/>
        <item x="8231"/>
        <item x="8232"/>
        <item x="8233"/>
        <item x="8234"/>
        <item x="8235"/>
        <item x="8236"/>
        <item x="8237"/>
        <item x="8018"/>
        <item x="8239"/>
        <item x="8240"/>
        <item x="8241"/>
        <item x="8242"/>
        <item x="8243"/>
        <item x="8244"/>
        <item x="8245"/>
        <item x="8246"/>
        <item x="8247"/>
        <item x="8248"/>
        <item x="8249"/>
        <item x="8250"/>
        <item x="8251"/>
        <item x="8033"/>
        <item x="8253"/>
        <item x="8254"/>
        <item x="8255"/>
        <item x="8256"/>
        <item x="8257"/>
        <item x="8258"/>
        <item x="8259"/>
        <item x="8260"/>
        <item x="8261"/>
        <item x="8262"/>
        <item x="8263"/>
        <item x="8264"/>
        <item x="8265"/>
        <item x="8266"/>
        <item x="8047"/>
        <item x="8268"/>
        <item x="8269"/>
        <item x="8270"/>
        <item sd="0" x="8271"/>
        <item sd="0" x="8272"/>
        <item sd="0" x="8273"/>
        <item sd="0" x="8274"/>
        <item sd="0" x="8275"/>
        <item sd="0" x="8276"/>
        <item sd="0" x="8277"/>
        <item x="8278"/>
        <item x="8279"/>
        <item x="8280"/>
        <item x="8062"/>
        <item x="8282"/>
        <item x="8283"/>
        <item x="8284"/>
        <item sd="0" x="8285"/>
        <item sd="0" x="8286"/>
        <item sd="0" x="8287"/>
        <item sd="0" x="8288"/>
        <item sd="0" x="8289"/>
        <item sd="0" x="8290"/>
        <item sd="0" x="8291"/>
        <item sd="0" x="8292"/>
        <item sd="0" x="8293"/>
        <item x="8294"/>
        <item x="8295"/>
        <item x="8077"/>
        <item x="8297"/>
        <item x="8298"/>
        <item x="8299"/>
        <item x="8300"/>
        <item sd="0" x="8301"/>
        <item sd="0" x="8302"/>
        <item sd="0" x="8303"/>
        <item sd="0" x="8304"/>
        <item sd="0" x="8305"/>
        <item sd="0" x="8306"/>
        <item sd="0" x="8307"/>
        <item sd="0" x="8308"/>
        <item sd="0" x="8309"/>
        <item x="8310"/>
        <item x="8091"/>
        <item x="8312"/>
        <item x="8313"/>
        <item x="8314"/>
        <item x="8315"/>
        <item x="8316"/>
        <item sd="0" x="8317"/>
        <item sd="0" x="8318"/>
        <item sd="0" x="8319"/>
        <item sd="0" x="8320"/>
        <item sd="0" x="8321"/>
        <item sd="0" x="8322"/>
        <item sd="0" x="8323"/>
        <item sd="0" x="8324"/>
        <item x="8106"/>
        <item x="8326"/>
        <item x="8327"/>
        <item x="8328"/>
        <item x="8329"/>
        <item x="8330"/>
        <item x="8331"/>
        <item x="8332"/>
        <item x="8333"/>
        <item x="8334"/>
        <item x="8335"/>
        <item x="8336"/>
        <item x="8337"/>
        <item x="8338"/>
        <item x="8339"/>
        <item x="8121"/>
        <item x="8341"/>
        <item x="8342"/>
        <item x="8343"/>
        <item x="8344"/>
        <item x="8345"/>
        <item x="8346"/>
        <item x="8347"/>
        <item x="8348"/>
        <item x="8349"/>
        <item x="8350"/>
        <item x="8351"/>
        <item x="8352"/>
        <item x="8353"/>
        <item x="8354"/>
        <item x="8135"/>
        <item x="8356"/>
        <item x="8357"/>
        <item x="8358"/>
        <item x="8359"/>
        <item x="8360"/>
        <item x="8361"/>
        <item x="8362"/>
        <item x="8363"/>
        <item x="8364"/>
        <item x="8365"/>
        <item x="8366"/>
        <item x="8367"/>
        <item x="8368"/>
        <item x="8369"/>
        <item x="8150"/>
        <item x="8371"/>
        <item x="8372"/>
        <item x="8373"/>
        <item x="8374"/>
        <item x="8375"/>
        <item x="8376"/>
        <item x="8377"/>
        <item x="8378"/>
        <item x="8379"/>
        <item x="8380"/>
        <item x="8381"/>
        <item x="8382"/>
        <item x="8383"/>
        <item x="8384"/>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443"/>
        <item x="8665"/>
        <item x="8666"/>
        <item x="8667"/>
        <item x="8668"/>
        <item x="8669"/>
        <item x="8670"/>
        <item x="8671"/>
        <item x="8672"/>
        <item x="8673"/>
        <item x="8674"/>
        <item x="8675"/>
        <item x="8676"/>
        <item x="8677"/>
        <item x="8678"/>
        <item x="8458"/>
        <item x="8680"/>
        <item x="8681"/>
        <item x="8682"/>
        <item x="8683"/>
        <item x="8684"/>
        <item x="8685"/>
        <item x="8686"/>
        <item x="8687"/>
        <item x="8688"/>
        <item x="8689"/>
        <item x="8690"/>
        <item x="8691"/>
        <item x="8692"/>
        <item x="8238"/>
        <item x="8459"/>
        <item x="8460"/>
        <item x="8461"/>
        <item x="8462"/>
        <item x="8463"/>
        <item x="8464"/>
        <item x="8465"/>
        <item x="8466"/>
        <item x="8467"/>
        <item x="8468"/>
        <item x="8469"/>
        <item x="8470"/>
        <item x="8471"/>
        <item x="8472"/>
        <item x="8252"/>
        <item x="8474"/>
        <item x="8475"/>
        <item x="8476"/>
        <item x="8477"/>
        <item x="8478"/>
        <item x="8479"/>
        <item x="8480"/>
        <item x="8481"/>
        <item x="8482"/>
        <item x="8483"/>
        <item x="8484"/>
        <item x="8485"/>
        <item x="8486"/>
        <item x="8487"/>
        <item x="8267"/>
        <item x="8489"/>
        <item x="8490"/>
        <item x="8491"/>
        <item x="8492"/>
        <item x="8493"/>
        <item x="8494"/>
        <item x="8495"/>
        <item x="8496"/>
        <item x="8497"/>
        <item x="8498"/>
        <item x="8499"/>
        <item x="8500"/>
        <item x="8501"/>
        <item x="8281"/>
        <item x="8503"/>
        <item x="8504"/>
        <item x="8505"/>
        <item x="8506"/>
        <item x="8507"/>
        <item x="8508"/>
        <item x="8509"/>
        <item x="8510"/>
        <item x="8511"/>
        <item x="8512"/>
        <item x="8513"/>
        <item x="8514"/>
        <item x="8515"/>
        <item x="8516"/>
        <item x="8296"/>
        <item x="8518"/>
        <item x="8519"/>
        <item x="8520"/>
        <item x="8521"/>
        <item x="8522"/>
        <item x="8523"/>
        <item x="8524"/>
        <item x="8525"/>
        <item x="8526"/>
        <item x="8527"/>
        <item x="8528"/>
        <item x="8529"/>
        <item x="8530"/>
        <item x="8531"/>
        <item x="8311"/>
        <item x="8533"/>
        <item x="8534"/>
        <item x="8535"/>
        <item x="8536"/>
        <item x="8537"/>
        <item x="8538"/>
        <item x="8539"/>
        <item x="8540"/>
        <item x="8541"/>
        <item x="8542"/>
        <item x="8543"/>
        <item x="8544"/>
        <item x="8545"/>
        <item x="8325"/>
        <item x="8547"/>
        <item x="8548"/>
        <item x="8549"/>
        <item x="8550"/>
        <item x="8551"/>
        <item x="8552"/>
        <item x="8553"/>
        <item x="8554"/>
        <item x="8555"/>
        <item x="8556"/>
        <item x="8557"/>
        <item x="8558"/>
        <item x="8559"/>
        <item x="8560"/>
        <item x="8340"/>
        <item x="8562"/>
        <item x="8563"/>
        <item x="8564"/>
        <item x="8565"/>
        <item x="8566"/>
        <item x="8567"/>
        <item x="8568"/>
        <item x="8569"/>
        <item x="8570"/>
        <item x="8571"/>
        <item x="8572"/>
        <item x="8573"/>
        <item x="8574"/>
        <item x="8355"/>
        <item x="8576"/>
        <item x="8577"/>
        <item x="8578"/>
        <item x="8579"/>
        <item x="8580"/>
        <item x="8581"/>
        <item x="8582"/>
        <item x="8583"/>
        <item x="8584"/>
        <item x="8585"/>
        <item x="8586"/>
        <item x="8587"/>
        <item x="8588"/>
        <item x="8589"/>
        <item x="8370"/>
        <item x="8591"/>
        <item x="8592"/>
        <item x="8593"/>
        <item x="8594"/>
        <item x="8595"/>
        <item x="8596"/>
        <item x="8597"/>
        <item x="8598"/>
        <item x="8599"/>
        <item x="8600"/>
        <item x="8601"/>
        <item x="8602"/>
        <item x="8603"/>
        <item x="8604"/>
        <item x="8385"/>
        <item x="8606"/>
        <item x="8607"/>
        <item x="8608"/>
        <item x="8609"/>
        <item x="8610"/>
        <item x="8611"/>
        <item x="8612"/>
        <item x="8613"/>
        <item x="8614"/>
        <item x="8615"/>
        <item x="8616"/>
        <item x="8617"/>
        <item x="8618"/>
        <item x="8619"/>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664"/>
        <item x="8885"/>
        <item x="8886"/>
        <item x="8887"/>
        <item x="8888"/>
        <item x="8889"/>
        <item x="8890"/>
        <item x="8891"/>
        <item x="8892"/>
        <item x="8893"/>
        <item x="8894"/>
        <item x="8895"/>
        <item x="8896"/>
        <item x="8897"/>
        <item x="8679"/>
        <item x="8899"/>
        <item x="8900"/>
        <item x="8901"/>
        <item x="8902"/>
        <item x="8903"/>
        <item x="8904"/>
        <item x="8905"/>
        <item x="8906"/>
        <item x="8907"/>
        <item x="8908"/>
        <item x="8909"/>
        <item x="8910"/>
        <item x="8911"/>
        <item x="8912"/>
        <item x="8693"/>
        <item x="8914"/>
        <item x="8915"/>
        <item x="8916"/>
        <item x="8917"/>
        <item x="8918"/>
        <item x="8919"/>
        <item x="8920"/>
        <item x="8921"/>
        <item x="8922"/>
        <item x="8923"/>
        <item x="8924"/>
        <item x="8925"/>
        <item x="8926"/>
        <item x="8473"/>
        <item x="8694"/>
        <item x="8695"/>
        <item x="8696"/>
        <item x="8697"/>
        <item x="8698"/>
        <item x="8699"/>
        <item x="8700"/>
        <item x="8701"/>
        <item x="8702"/>
        <item x="8703"/>
        <item x="8704"/>
        <item x="8705"/>
        <item x="8706"/>
        <item x="8707"/>
        <item x="8488"/>
        <item x="8709"/>
        <item x="8710"/>
        <item x="8711"/>
        <item x="8712"/>
        <item x="8713"/>
        <item x="8714"/>
        <item x="8715"/>
        <item x="8716"/>
        <item x="8717"/>
        <item x="8718"/>
        <item x="8719"/>
        <item x="8720"/>
        <item x="8721"/>
        <item x="8722"/>
        <item x="8502"/>
        <item x="8724"/>
        <item x="8725"/>
        <item x="8726"/>
        <item x="8727"/>
        <item sd="0" x="8728"/>
        <item sd="0" x="8729"/>
        <item sd="0" x="8730"/>
        <item sd="0" x="8731"/>
        <item sd="0" x="8732"/>
        <item sd="0" x="8733"/>
        <item sd="0" x="8734"/>
        <item sd="0" x="8735"/>
        <item sd="0" x="8736"/>
        <item x="8517"/>
        <item x="8738"/>
        <item x="8739"/>
        <item x="8740"/>
        <item x="8741"/>
        <item x="8742"/>
        <item x="8743"/>
        <item sd="0" x="8744"/>
        <item sd="0" x="8745"/>
        <item sd="0" x="8746"/>
        <item sd="0" x="8747"/>
        <item sd="0" x="8748"/>
        <item sd="0" x="8749"/>
        <item sd="0" x="8750"/>
        <item sd="0" x="8751"/>
        <item sd="0" x="8532"/>
        <item x="8753"/>
        <item x="8754"/>
        <item x="8755"/>
        <item x="8756"/>
        <item x="8757"/>
        <item x="8758"/>
        <item x="8759"/>
        <item sd="0" x="8760"/>
        <item sd="0" x="8761"/>
        <item sd="0" x="8762"/>
        <item sd="0" x="8763"/>
        <item sd="0" x="8764"/>
        <item sd="0" x="8765"/>
        <item sd="0" x="8766"/>
        <item sd="0" x="8546"/>
        <item sd="0" x="8768"/>
        <item x="8769"/>
        <item x="8770"/>
        <item x="8771"/>
        <item x="8772"/>
        <item x="8773"/>
        <item x="8774"/>
        <item x="8775"/>
        <item x="8776"/>
        <item x="8777"/>
        <item x="8778"/>
        <item x="8779"/>
        <item x="8780"/>
        <item x="8561"/>
        <item x="8782"/>
        <item x="8783"/>
        <item x="8784"/>
        <item x="8785"/>
        <item x="8786"/>
        <item x="8787"/>
        <item x="8788"/>
        <item x="8789"/>
        <item x="8790"/>
        <item sd="0" x="8791"/>
        <item sd="0" x="8792"/>
        <item sd="0" x="8793"/>
        <item sd="0" x="8794"/>
        <item sd="0" x="8795"/>
        <item sd="0" x="8575"/>
        <item sd="0" x="8797"/>
        <item x="8798"/>
        <item x="8799"/>
        <item x="8800"/>
        <item x="8801"/>
        <item x="8802"/>
        <item x="8803"/>
        <item x="8804"/>
        <item x="8805"/>
        <item x="8806"/>
        <item x="8807"/>
        <item x="8808"/>
        <item x="8809"/>
        <item x="8810"/>
        <item x="8590"/>
        <item x="8812"/>
        <item x="8813"/>
        <item x="8814"/>
        <item x="8815"/>
        <item x="8816"/>
        <item x="8817"/>
        <item x="8818"/>
        <item x="8819"/>
        <item x="8820"/>
        <item x="8821"/>
        <item x="8822"/>
        <item x="8823"/>
        <item x="8824"/>
        <item x="8605"/>
        <item x="8826"/>
        <item x="8827"/>
        <item x="8828"/>
        <item x="8829"/>
        <item x="8830"/>
        <item x="8831"/>
        <item x="8832"/>
        <item x="8833"/>
        <item x="8834"/>
        <item x="8835"/>
        <item x="8836"/>
        <item x="8837"/>
        <item x="8838"/>
        <item x="8839"/>
        <item x="8620"/>
        <item x="8841"/>
        <item x="8842"/>
        <item x="8843"/>
        <item x="8844"/>
        <item x="8845"/>
        <item x="8846"/>
        <item x="8847"/>
        <item x="8848"/>
        <item x="8849"/>
        <item x="8850"/>
        <item x="8851"/>
        <item x="8852"/>
        <item x="8853"/>
        <item x="8854"/>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8898"/>
        <item x="9118"/>
        <item x="9119"/>
        <item x="9120"/>
        <item x="9121"/>
        <item x="9122"/>
        <item x="9123"/>
        <item x="9124"/>
        <item x="9125"/>
        <item x="9126"/>
        <item x="9127"/>
        <item x="9128"/>
        <item x="9129"/>
        <item x="9130"/>
        <item x="9131"/>
        <item x="8913"/>
        <item x="9133"/>
        <item x="9134"/>
        <item x="9135"/>
        <item x="9136"/>
        <item x="9137"/>
        <item x="9138"/>
        <item x="9139"/>
        <item x="9140"/>
        <item x="9141"/>
        <item x="9142"/>
        <item x="9143"/>
        <item x="9144"/>
        <item x="9145"/>
        <item x="8927"/>
        <item x="9147"/>
        <item x="9148"/>
        <item x="9149"/>
        <item x="9150"/>
        <item x="9151"/>
        <item x="9152"/>
        <item x="9153"/>
        <item x="9154"/>
        <item x="9155"/>
        <item x="9156"/>
        <item x="9157"/>
        <item x="9158"/>
        <item x="9159"/>
        <item x="9160"/>
        <item x="8708"/>
        <item x="8928"/>
        <item x="8929"/>
        <item x="8930"/>
        <item x="8931"/>
        <item x="8932"/>
        <item x="8933"/>
        <item x="8934"/>
        <item x="8935"/>
        <item x="8936"/>
        <item x="8937"/>
        <item x="8938"/>
        <item x="8939"/>
        <item x="8940"/>
        <item x="8941"/>
        <item x="8723"/>
        <item x="8943"/>
        <item x="8944"/>
        <item x="8945"/>
        <item x="8946"/>
        <item x="8947"/>
        <item x="8948"/>
        <item x="8949"/>
        <item x="8950"/>
        <item x="8951"/>
        <item x="8952"/>
        <item x="8953"/>
        <item x="8954"/>
        <item x="8955"/>
        <item x="8737"/>
        <item x="8957"/>
        <item x="8958"/>
        <item x="8959"/>
        <item x="8960"/>
        <item x="8961"/>
        <item x="8962"/>
        <item x="8963"/>
        <item x="8964"/>
        <item x="8965"/>
        <item x="8966"/>
        <item x="8967"/>
        <item x="8968"/>
        <item x="8969"/>
        <item x="8970"/>
        <item x="8752"/>
        <item x="8972"/>
        <item x="8973"/>
        <item x="8974"/>
        <item x="8975"/>
        <item x="8976"/>
        <item x="8977"/>
        <item x="8978"/>
        <item x="8979"/>
        <item x="8980"/>
        <item x="8981"/>
        <item x="8982"/>
        <item x="8983"/>
        <item x="8984"/>
        <item x="8767"/>
        <item x="8986"/>
        <item x="8987"/>
        <item x="8988"/>
        <item x="8989"/>
        <item x="8990"/>
        <item x="8991"/>
        <item x="8992"/>
        <item x="8993"/>
        <item x="8994"/>
        <item x="8995"/>
        <item x="8996"/>
        <item x="8997"/>
        <item x="8998"/>
        <item x="8999"/>
        <item x="8781"/>
        <item x="9001"/>
        <item x="9002"/>
        <item x="9003"/>
        <item x="9004"/>
        <item x="9005"/>
        <item x="9006"/>
        <item x="9007"/>
        <item x="9008"/>
        <item x="9009"/>
        <item x="9010"/>
        <item x="9011"/>
        <item x="9012"/>
        <item x="9013"/>
        <item x="9014"/>
        <item x="8796"/>
        <item x="9016"/>
        <item x="9017"/>
        <item x="9018"/>
        <item x="9019"/>
        <item x="9020"/>
        <item x="9021"/>
        <item x="9022"/>
        <item x="9023"/>
        <item x="9024"/>
        <item x="9025"/>
        <item x="9026"/>
        <item x="9027"/>
        <item x="9028"/>
        <item x="9029"/>
        <item x="8811"/>
        <item x="9031"/>
        <item x="9032"/>
        <item x="9033"/>
        <item x="9034"/>
        <item x="9035"/>
        <item x="9036"/>
        <item x="9037"/>
        <item x="9038"/>
        <item x="9039"/>
        <item x="9040"/>
        <item x="9041"/>
        <item x="9042"/>
        <item x="9043"/>
        <item x="8825"/>
        <item x="9044"/>
        <item x="9045"/>
        <item x="9046"/>
        <item x="9047"/>
        <item x="9048"/>
        <item x="9049"/>
        <item x="9050"/>
        <item x="9051"/>
        <item x="9052"/>
        <item x="9053"/>
        <item x="9054"/>
        <item x="9055"/>
        <item x="9056"/>
        <item x="9057"/>
        <item x="8840"/>
        <item x="9059"/>
        <item x="9060"/>
        <item x="9061"/>
        <item x="9062"/>
        <item x="9063"/>
        <item x="9064"/>
        <item x="9065"/>
        <item x="9066"/>
        <item x="9067"/>
        <item x="9068"/>
        <item x="9069"/>
        <item x="9070"/>
        <item x="9071"/>
        <item x="9072"/>
        <item x="8855"/>
        <item x="9074"/>
        <item x="9075"/>
        <item x="9076"/>
        <item x="9077"/>
        <item x="9078"/>
        <item x="9079"/>
        <item x="9080"/>
        <item x="9081"/>
        <item x="9082"/>
        <item x="9083"/>
        <item x="9084"/>
        <item x="9085"/>
        <item x="9086"/>
        <item x="9087"/>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132"/>
        <item x="9351"/>
        <item x="9352"/>
        <item x="9353"/>
        <item x="9354"/>
        <item x="9355"/>
        <item x="9356"/>
        <item x="9357"/>
        <item x="9358"/>
        <item x="9359"/>
        <item x="9360"/>
        <item x="9361"/>
        <item x="9362"/>
        <item x="9363"/>
        <item x="9146"/>
        <item x="9365"/>
        <item x="9366"/>
        <item x="9367"/>
        <item x="9368"/>
        <item x="9369"/>
        <item x="9370"/>
        <item x="9371"/>
        <item x="9372"/>
        <item x="9373"/>
        <item x="9374"/>
        <item x="9375"/>
        <item x="9376"/>
        <item x="9377"/>
        <item x="9378"/>
        <item x="9161"/>
        <item x="9380"/>
        <item x="9381"/>
        <item x="9382"/>
        <item x="9383"/>
        <item x="9384"/>
        <item x="9385"/>
        <item x="9386"/>
        <item x="9387"/>
        <item x="9388"/>
        <item x="9389"/>
        <item x="9390"/>
        <item x="9391"/>
        <item x="9392"/>
        <item x="8942"/>
        <item x="9162"/>
        <item x="9163"/>
        <item x="9164"/>
        <item x="9165"/>
        <item x="9166"/>
        <item x="9167"/>
        <item x="9168"/>
        <item x="9169"/>
        <item x="9170"/>
        <item x="9171"/>
        <item x="9172"/>
        <item x="9173"/>
        <item x="9174"/>
        <item x="9175"/>
        <item x="8956"/>
        <item x="9177"/>
        <item x="9178"/>
        <item x="9179"/>
        <item x="9180"/>
        <item x="9181"/>
        <item x="9182"/>
        <item x="9183"/>
        <item x="9184"/>
        <item x="9185"/>
        <item x="9186"/>
        <item x="9187"/>
        <item x="9188"/>
        <item x="9189"/>
        <item x="8971"/>
        <item x="9191"/>
        <item x="9192"/>
        <item x="9193"/>
        <item x="9194"/>
        <item x="9195"/>
        <item x="9196"/>
        <item x="9197"/>
        <item x="9198"/>
        <item x="9199"/>
        <item x="9200"/>
        <item x="9201"/>
        <item x="9202"/>
        <item x="9203"/>
        <item x="9204"/>
        <item x="8985"/>
        <item x="9206"/>
        <item x="9207"/>
        <item x="9208"/>
        <item x="9209"/>
        <item x="9210"/>
        <item x="9211"/>
        <item x="9212"/>
        <item x="9213"/>
        <item x="9214"/>
        <item x="9215"/>
        <item x="9216"/>
        <item x="9217"/>
        <item x="9218"/>
        <item x="9000"/>
        <item x="9220"/>
        <item x="9221"/>
        <item x="9222"/>
        <item x="9223"/>
        <item x="9224"/>
        <item x="9225"/>
        <item x="9226"/>
        <item x="9227"/>
        <item x="9228"/>
        <item x="9229"/>
        <item x="9230"/>
        <item x="9231"/>
        <item x="9232"/>
        <item x="9233"/>
        <item x="9015"/>
        <item x="9235"/>
        <item x="9236"/>
        <item x="9237"/>
        <item x="9238"/>
        <item x="9239"/>
        <item x="9240"/>
        <item x="9241"/>
        <item x="9242"/>
        <item x="9243"/>
        <item x="9244"/>
        <item x="9245"/>
        <item x="9246"/>
        <item x="9247"/>
        <item x="9030"/>
        <item x="9249"/>
        <item x="9250"/>
        <item x="9251"/>
        <item x="9252"/>
        <item x="9253"/>
        <item x="9254"/>
        <item x="9255"/>
        <item x="9256"/>
        <item x="9257"/>
        <item x="9258"/>
        <item x="9259"/>
        <item x="9260"/>
        <item x="9261"/>
        <item x="9262"/>
        <item x="9264"/>
        <item x="9265"/>
        <item x="9266"/>
        <item x="9267"/>
        <item x="9268"/>
        <item x="9269"/>
        <item x="9270"/>
        <item x="9271"/>
        <item x="9272"/>
        <item x="9273"/>
        <item x="9274"/>
        <item x="9275"/>
        <item x="9276"/>
        <item x="9277"/>
        <item x="9058"/>
        <item x="9278"/>
        <item x="9279"/>
        <item x="9280"/>
        <item x="9281"/>
        <item x="9282"/>
        <item x="9283"/>
        <item x="9284"/>
        <item x="9285"/>
        <item x="9286"/>
        <item x="9287"/>
        <item x="9288"/>
        <item x="9289"/>
        <item x="9290"/>
        <item x="9291"/>
        <item x="9073"/>
        <item x="9293"/>
        <item x="9294"/>
        <item x="9295"/>
        <item x="9296"/>
        <item x="9297"/>
        <item x="9298"/>
        <item x="9299"/>
        <item x="9300"/>
        <item x="9301"/>
        <item x="9302"/>
        <item x="9303"/>
        <item x="9304"/>
        <item x="9305"/>
        <item x="9088"/>
        <item x="9307"/>
        <item x="9308"/>
        <item x="9309"/>
        <item x="9310"/>
        <item x="9311"/>
        <item x="9312"/>
        <item x="9313"/>
        <item x="9314"/>
        <item x="9315"/>
        <item x="9316"/>
        <item x="9317"/>
        <item x="9318"/>
        <item x="9319"/>
        <item x="9320"/>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364"/>
        <item x="9583"/>
        <item x="9584"/>
        <item x="9585"/>
        <item x="9586"/>
        <item x="9587"/>
        <item x="9588"/>
        <item x="9589"/>
        <item x="9590"/>
        <item x="9591"/>
        <item x="9592"/>
        <item x="9593"/>
        <item x="9594"/>
        <item x="9595"/>
        <item x="9379"/>
        <item x="9597"/>
        <item x="9598"/>
        <item x="9599"/>
        <item x="9600"/>
        <item x="9601"/>
        <item x="9602"/>
        <item x="9603"/>
        <item x="9604"/>
        <item x="9605"/>
        <item x="9606"/>
        <item x="9607"/>
        <item x="9608"/>
        <item x="9609"/>
        <item x="9610"/>
        <item x="9393"/>
        <item x="9612"/>
        <item x="9613"/>
        <item x="9614"/>
        <item x="9615"/>
        <item x="9616"/>
        <item x="9617"/>
        <item x="9618"/>
        <item x="9619"/>
        <item x="9620"/>
        <item x="9621"/>
        <item x="9622"/>
        <item x="9623"/>
        <item x="9624"/>
        <item x="9176"/>
        <item x="9394"/>
        <item x="9395"/>
        <item x="9396"/>
        <item x="9397"/>
        <item x="9398"/>
        <item x="9399"/>
        <item x="9400"/>
        <item x="9401"/>
        <item x="9402"/>
        <item x="9403"/>
        <item x="9404"/>
        <item x="9405"/>
        <item x="9406"/>
        <item x="9407"/>
        <item x="9190"/>
        <item x="9409"/>
        <item x="9410"/>
        <item x="9411"/>
        <item x="9412"/>
        <item x="9413"/>
        <item x="9414"/>
        <item x="9415"/>
        <item x="9416"/>
        <item x="9417"/>
        <item x="9418"/>
        <item x="9419"/>
        <item x="9420"/>
        <item x="9421"/>
        <item x="9205"/>
        <item x="9423"/>
        <item x="9424"/>
        <item x="9425"/>
        <item x="9426"/>
        <item x="9427"/>
        <item x="9428"/>
        <item x="9429"/>
        <item x="9430"/>
        <item x="9431"/>
        <item x="9432"/>
        <item x="9433"/>
        <item x="9434"/>
        <item x="9435"/>
        <item x="9436"/>
        <item x="9219"/>
        <item x="9438"/>
        <item x="9439"/>
        <item x="9440"/>
        <item x="9441"/>
        <item x="9442"/>
        <item x="9443"/>
        <item x="9444"/>
        <item x="9445"/>
        <item x="9446"/>
        <item x="9447"/>
        <item x="9448"/>
        <item x="9449"/>
        <item x="9450"/>
        <item x="9234"/>
        <item x="9452"/>
        <item x="9453"/>
        <item x="9454"/>
        <item x="9455"/>
        <item x="9456"/>
        <item x="9457"/>
        <item x="9458"/>
        <item x="9459"/>
        <item x="9460"/>
        <item x="9461"/>
        <item x="9462"/>
        <item x="9463"/>
        <item x="9464"/>
        <item x="9465"/>
        <item x="9248"/>
        <item x="9467"/>
        <item x="9468"/>
        <item x="9469"/>
        <item x="9470"/>
        <item x="9471"/>
        <item x="9472"/>
        <item x="9473"/>
        <item x="9474"/>
        <item x="9475"/>
        <item x="9476"/>
        <item x="9477"/>
        <item x="9478"/>
        <item x="9479"/>
        <item x="9263"/>
        <item x="9481"/>
        <item x="9482"/>
        <item x="9483"/>
        <item x="9484"/>
        <item x="9485"/>
        <item x="9486"/>
        <item x="9487"/>
        <item x="9488"/>
        <item x="9489"/>
        <item x="9490"/>
        <item x="9491"/>
        <item x="9492"/>
        <item x="9493"/>
        <item x="9494"/>
        <item x="9496"/>
        <item x="9497"/>
        <item x="9498"/>
        <item x="9499"/>
        <item x="9500"/>
        <item x="9501"/>
        <item x="9502"/>
        <item x="9503"/>
        <item x="9504"/>
        <item x="9505"/>
        <item x="9506"/>
        <item x="9507"/>
        <item x="9508"/>
        <item x="9509"/>
        <item x="9292"/>
        <item x="9510"/>
        <item x="9511"/>
        <item x="9512"/>
        <item x="9513"/>
        <item x="9514"/>
        <item x="9515"/>
        <item x="9516"/>
        <item x="9517"/>
        <item x="9518"/>
        <item x="9519"/>
        <item x="9520"/>
        <item x="9521"/>
        <item x="9522"/>
        <item x="9523"/>
        <item x="9306"/>
        <item x="9525"/>
        <item x="9526"/>
        <item x="9527"/>
        <item x="9528"/>
        <item x="9529"/>
        <item x="9530"/>
        <item x="9531"/>
        <item x="9532"/>
        <item x="9533"/>
        <item x="9534"/>
        <item x="9535"/>
        <item x="9536"/>
        <item x="9537"/>
        <item x="9321"/>
        <item x="9539"/>
        <item x="9540"/>
        <item x="9541"/>
        <item x="9542"/>
        <item x="9543"/>
        <item x="9544"/>
        <item x="9545"/>
        <item x="9546"/>
        <item x="9547"/>
        <item x="9548"/>
        <item x="9549"/>
        <item x="9550"/>
        <item x="9551"/>
        <item x="9552"/>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596"/>
        <item x="9815"/>
        <item x="9816"/>
        <item x="9817"/>
        <item x="9818"/>
        <item x="9819"/>
        <item x="9820"/>
        <item x="9821"/>
        <item x="9822"/>
        <item x="9823"/>
        <item x="9824"/>
        <item x="9825"/>
        <item x="9826"/>
        <item x="9827"/>
        <item x="9611"/>
        <item x="9829"/>
        <item x="9830"/>
        <item x="9831"/>
        <item x="9832"/>
        <item x="9833"/>
        <item x="9834"/>
        <item x="9835"/>
        <item x="9836"/>
        <item x="9837"/>
        <item x="9838"/>
        <item x="9839"/>
        <item x="9840"/>
        <item x="9841"/>
        <item x="9842"/>
        <item x="9625"/>
        <item x="9844"/>
        <item x="9845"/>
        <item x="9846"/>
        <item x="9847"/>
        <item x="9848"/>
        <item x="9849"/>
        <item x="9850"/>
        <item x="9851"/>
        <item x="9852"/>
        <item x="9853"/>
        <item x="9854"/>
        <item x="9855"/>
        <item x="9856"/>
        <item x="9408"/>
        <item x="9626"/>
        <item x="9627"/>
        <item x="9628"/>
        <item x="9629"/>
        <item x="9630"/>
        <item x="9631"/>
        <item x="9632"/>
        <item x="9633"/>
        <item x="9634"/>
        <item x="9635"/>
        <item x="9636"/>
        <item x="9637"/>
        <item x="9638"/>
        <item x="9639"/>
        <item x="9422"/>
        <item x="9641"/>
        <item x="9642"/>
        <item x="9643"/>
        <item x="9644"/>
        <item x="9645"/>
        <item x="9646"/>
        <item x="9647"/>
        <item x="9648"/>
        <item x="9649"/>
        <item x="9650"/>
        <item x="9651"/>
        <item x="9652"/>
        <item x="9653"/>
        <item x="9437"/>
        <item x="9655"/>
        <item x="9656"/>
        <item x="9657"/>
        <item x="9658"/>
        <item x="9659"/>
        <item x="9660"/>
        <item x="9661"/>
        <item x="9662"/>
        <item x="9663"/>
        <item x="9664"/>
        <item x="9665"/>
        <item x="9666"/>
        <item x="9667"/>
        <item x="9668"/>
        <item x="9451"/>
        <item x="9670"/>
        <item x="9671"/>
        <item x="9672"/>
        <item x="9673"/>
        <item x="9674"/>
        <item x="9675"/>
        <item x="9676"/>
        <item x="9677"/>
        <item x="9678"/>
        <item x="9679"/>
        <item x="9680"/>
        <item x="9681"/>
        <item x="9682"/>
        <item x="9466"/>
        <item x="9684"/>
        <item x="9685"/>
        <item x="9686"/>
        <item x="9687"/>
        <item x="9688"/>
        <item x="9689"/>
        <item x="9690"/>
        <item x="9691"/>
        <item x="9692"/>
        <item x="9693"/>
        <item x="9694"/>
        <item x="9695"/>
        <item x="9696"/>
        <item x="9697"/>
        <item x="9480"/>
        <item x="9699"/>
        <item x="9700"/>
        <item x="9701"/>
        <item x="9702"/>
        <item x="9703"/>
        <item x="9704"/>
        <item x="9705"/>
        <item x="9706"/>
        <item x="9707"/>
        <item x="9708"/>
        <item x="9709"/>
        <item x="9710"/>
        <item x="9711"/>
        <item x="9495"/>
        <item x="9713"/>
        <item x="9714"/>
        <item x="9715"/>
        <item x="9716"/>
        <item x="9717"/>
        <item x="9718"/>
        <item x="9719"/>
        <item x="9720"/>
        <item x="9721"/>
        <item x="9722"/>
        <item x="9723"/>
        <item x="9724"/>
        <item x="9725"/>
        <item x="9726"/>
        <item x="9728"/>
        <item x="9729"/>
        <item x="9730"/>
        <item x="9731"/>
        <item x="9732"/>
        <item x="9733"/>
        <item x="9734"/>
        <item x="9735"/>
        <item x="9736"/>
        <item x="9737"/>
        <item x="9738"/>
        <item x="9739"/>
        <item x="9740"/>
        <item x="9741"/>
        <item x="9524"/>
        <item x="9742"/>
        <item x="9743"/>
        <item x="9744"/>
        <item x="9745"/>
        <item x="9746"/>
        <item x="9747"/>
        <item x="9748"/>
        <item x="9749"/>
        <item x="9750"/>
        <item x="9751"/>
        <item x="9752"/>
        <item x="9753"/>
        <item x="9754"/>
        <item x="9755"/>
        <item x="9538"/>
        <item x="9757"/>
        <item x="9758"/>
        <item x="9759"/>
        <item x="9760"/>
        <item x="9761"/>
        <item x="9762"/>
        <item x="9763"/>
        <item x="9764"/>
        <item x="9765"/>
        <item x="9766"/>
        <item x="9767"/>
        <item x="9768"/>
        <item x="9769"/>
        <item x="9553"/>
        <item x="9771"/>
        <item x="9772"/>
        <item x="9773"/>
        <item x="9774"/>
        <item x="9775"/>
        <item x="9776"/>
        <item x="9777"/>
        <item x="9778"/>
        <item x="9779"/>
        <item x="9780"/>
        <item x="9781"/>
        <item x="9782"/>
        <item x="9783"/>
        <item x="9784"/>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9828"/>
        <item x="10047"/>
        <item x="10048"/>
        <item x="10049"/>
        <item x="10050"/>
        <item x="10051"/>
        <item x="10052"/>
        <item x="10053"/>
        <item x="10054"/>
        <item x="10055"/>
        <item x="10056"/>
        <item x="10057"/>
        <item x="10058"/>
        <item x="10059"/>
        <item x="9843"/>
        <item x="10061"/>
        <item x="10062"/>
        <item x="10063"/>
        <item x="10064"/>
        <item x="10065"/>
        <item x="10066"/>
        <item x="10067"/>
        <item x="10068"/>
        <item x="10069"/>
        <item x="10070"/>
        <item x="10071"/>
        <item x="10072"/>
        <item x="10073"/>
        <item x="10074"/>
        <item x="9857"/>
        <item x="10076"/>
        <item x="10077"/>
        <item x="10078"/>
        <item x="10079"/>
        <item x="10080"/>
        <item x="10081"/>
        <item x="10082"/>
        <item x="10083"/>
        <item x="10084"/>
        <item x="10085"/>
        <item x="10086"/>
        <item x="10087"/>
        <item x="10088"/>
        <item x="9640"/>
        <item x="9858"/>
        <item x="9859"/>
        <item x="9860"/>
        <item x="9861"/>
        <item x="9862"/>
        <item x="9863"/>
        <item x="9864"/>
        <item x="9865"/>
        <item x="9866"/>
        <item x="9867"/>
        <item x="9868"/>
        <item x="9869"/>
        <item x="9870"/>
        <item x="9871"/>
        <item x="9654"/>
        <item x="9873"/>
        <item x="9874"/>
        <item x="9875"/>
        <item x="9876"/>
        <item x="9877"/>
        <item x="9878"/>
        <item x="9879"/>
        <item x="9880"/>
        <item x="9881"/>
        <item x="9882"/>
        <item x="9883"/>
        <item x="9884"/>
        <item x="9885"/>
        <item x="9669"/>
        <item x="9887"/>
        <item x="9888"/>
        <item x="9889"/>
        <item x="9890"/>
        <item x="9891"/>
        <item x="9892"/>
        <item x="9893"/>
        <item x="9894"/>
        <item x="9895"/>
        <item x="9896"/>
        <item x="9897"/>
        <item x="9898"/>
        <item x="9899"/>
        <item x="9900"/>
        <item x="9683"/>
        <item x="9902"/>
        <item x="9903"/>
        <item x="9904"/>
        <item x="9905"/>
        <item x="9906"/>
        <item x="9907"/>
        <item x="9908"/>
        <item x="9909"/>
        <item x="9910"/>
        <item x="9911"/>
        <item x="9912"/>
        <item x="9913"/>
        <item x="9914"/>
        <item x="9698"/>
        <item x="9916"/>
        <item x="9917"/>
        <item x="9918"/>
        <item x="9919"/>
        <item x="9920"/>
        <item x="9921"/>
        <item x="9922"/>
        <item x="9923"/>
        <item x="9924"/>
        <item x="9925"/>
        <item x="9926"/>
        <item x="9927"/>
        <item x="9928"/>
        <item x="9929"/>
        <item x="9712"/>
        <item x="9931"/>
        <item x="9932"/>
        <item x="9933"/>
        <item x="9934"/>
        <item x="9935"/>
        <item x="9936"/>
        <item x="9937"/>
        <item x="9938"/>
        <item x="9939"/>
        <item x="9940"/>
        <item x="9941"/>
        <item x="9942"/>
        <item x="9943"/>
        <item x="9727"/>
        <item x="9945"/>
        <item x="9946"/>
        <item x="9947"/>
        <item x="9948"/>
        <item x="9949"/>
        <item x="9950"/>
        <item x="9951"/>
        <item x="9952"/>
        <item x="9953"/>
        <item x="9954"/>
        <item x="9955"/>
        <item x="9956"/>
        <item x="9957"/>
        <item x="9958"/>
        <item x="9960"/>
        <item x="9961"/>
        <item x="9962"/>
        <item x="9963"/>
        <item x="9964"/>
        <item x="9965"/>
        <item x="9966"/>
        <item x="9967"/>
        <item x="9968"/>
        <item x="9969"/>
        <item x="9970"/>
        <item x="9971"/>
        <item x="9972"/>
        <item x="9973"/>
        <item x="9756"/>
        <item x="9974"/>
        <item x="9975"/>
        <item x="9976"/>
        <item x="9977"/>
        <item x="9978"/>
        <item x="9979"/>
        <item x="9980"/>
        <item x="9981"/>
        <item x="9982"/>
        <item x="9983"/>
        <item x="9984"/>
        <item x="9985"/>
        <item x="9986"/>
        <item x="9987"/>
        <item x="9770"/>
        <item x="9989"/>
        <item x="9990"/>
        <item x="9991"/>
        <item x="9992"/>
        <item x="9993"/>
        <item x="9994"/>
        <item x="9995"/>
        <item x="9996"/>
        <item x="9997"/>
        <item x="9998"/>
        <item x="9999"/>
        <item x="10000"/>
        <item x="10001"/>
        <item x="9785"/>
        <item x="10003"/>
        <item x="10004"/>
        <item x="10005"/>
        <item x="10006"/>
        <item x="10007"/>
        <item x="10008"/>
        <item x="10009"/>
        <item x="10010"/>
        <item x="10011"/>
        <item x="10012"/>
        <item x="10013"/>
        <item x="10014"/>
        <item x="10015"/>
        <item x="10016"/>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060"/>
        <item x="10279"/>
        <item x="10280"/>
        <item x="10281"/>
        <item x="10282"/>
        <item x="10283"/>
        <item x="10284"/>
        <item x="10285"/>
        <item x="10286"/>
        <item x="10287"/>
        <item x="10288"/>
        <item x="10289"/>
        <item x="10290"/>
        <item x="10291"/>
        <item x="10075"/>
        <item x="10293"/>
        <item x="10294"/>
        <item x="10295"/>
        <item x="10296"/>
        <item x="10297"/>
        <item x="10298"/>
        <item x="10299"/>
        <item x="10300"/>
        <item x="10301"/>
        <item x="10302"/>
        <item x="10303"/>
        <item x="10304"/>
        <item x="10305"/>
        <item x="10306"/>
        <item x="10089"/>
        <item x="10308"/>
        <item x="10309"/>
        <item x="10310"/>
        <item x="10311"/>
        <item x="10312"/>
        <item x="10313"/>
        <item x="10314"/>
        <item x="10315"/>
        <item x="10316"/>
        <item x="10317"/>
        <item x="10318"/>
        <item x="10319"/>
        <item x="10320"/>
        <item x="9872"/>
        <item x="10090"/>
        <item x="10091"/>
        <item x="10092"/>
        <item x="10093"/>
        <item x="10094"/>
        <item x="10095"/>
        <item x="10096"/>
        <item x="10097"/>
        <item x="10098"/>
        <item x="10099"/>
        <item x="10100"/>
        <item x="10101"/>
        <item x="10102"/>
        <item x="10103"/>
        <item x="9886"/>
        <item x="10105"/>
        <item x="10106"/>
        <item x="10107"/>
        <item x="10108"/>
        <item x="10109"/>
        <item x="10110"/>
        <item x="10111"/>
        <item x="10112"/>
        <item x="10113"/>
        <item x="10114"/>
        <item x="10115"/>
        <item x="10116"/>
        <item x="10117"/>
        <item x="9901"/>
        <item x="10119"/>
        <item x="10120"/>
        <item x="10121"/>
        <item x="10122"/>
        <item x="10123"/>
        <item x="10124"/>
        <item x="10125"/>
        <item x="10126"/>
        <item x="10127"/>
        <item x="10128"/>
        <item x="10129"/>
        <item x="10130"/>
        <item x="10131"/>
        <item x="10132"/>
        <item x="9915"/>
        <item x="10134"/>
        <item x="10135"/>
        <item x="10136"/>
        <item x="10137"/>
        <item x="10138"/>
        <item x="10139"/>
        <item x="10140"/>
        <item x="10141"/>
        <item x="10142"/>
        <item x="10143"/>
        <item x="10144"/>
        <item x="10145"/>
        <item x="10146"/>
        <item x="9930"/>
        <item x="10148"/>
        <item x="10149"/>
        <item x="10150"/>
        <item x="10151"/>
        <item x="10152"/>
        <item x="10153"/>
        <item x="10154"/>
        <item x="10155"/>
        <item x="10156"/>
        <item x="10157"/>
        <item x="10158"/>
        <item x="10159"/>
        <item x="10160"/>
        <item x="10161"/>
        <item x="9944"/>
        <item x="10163"/>
        <item x="10164"/>
        <item x="10165"/>
        <item x="10166"/>
        <item x="10167"/>
        <item x="10168"/>
        <item x="10169"/>
        <item x="10170"/>
        <item x="10171"/>
        <item x="10172"/>
        <item x="10173"/>
        <item x="10174"/>
        <item x="10175"/>
        <item x="9959"/>
        <item x="10177"/>
        <item x="10178"/>
        <item x="10179"/>
        <item x="10180"/>
        <item x="10181"/>
        <item x="10182"/>
        <item x="10183"/>
        <item x="10184"/>
        <item x="10185"/>
        <item x="10186"/>
        <item x="10187"/>
        <item x="10188"/>
        <item x="10189"/>
        <item x="10190"/>
        <item x="10192"/>
        <item x="10193"/>
        <item x="10194"/>
        <item x="10195"/>
        <item x="10196"/>
        <item x="10197"/>
        <item x="10198"/>
        <item x="10199"/>
        <item x="10200"/>
        <item x="10201"/>
        <item x="10202"/>
        <item x="10203"/>
        <item x="10204"/>
        <item x="10205"/>
        <item x="9988"/>
        <item x="10206"/>
        <item x="10207"/>
        <item x="10208"/>
        <item x="10209"/>
        <item x="10210"/>
        <item x="10211"/>
        <item x="10212"/>
        <item x="10213"/>
        <item x="10214"/>
        <item x="10215"/>
        <item x="10216"/>
        <item x="10217"/>
        <item x="10218"/>
        <item x="10219"/>
        <item x="10002"/>
        <item x="10221"/>
        <item x="10222"/>
        <item x="10223"/>
        <item x="10224"/>
        <item x="10225"/>
        <item x="10226"/>
        <item x="10227"/>
        <item x="10228"/>
        <item x="10229"/>
        <item x="10230"/>
        <item x="10231"/>
        <item x="10232"/>
        <item x="10233"/>
        <item x="10017"/>
        <item x="10235"/>
        <item x="10236"/>
        <item x="10237"/>
        <item x="10238"/>
        <item x="10239"/>
        <item x="10240"/>
        <item x="10241"/>
        <item x="10242"/>
        <item x="10243"/>
        <item x="10244"/>
        <item x="10245"/>
        <item x="10246"/>
        <item x="10247"/>
        <item x="10248"/>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292"/>
        <item x="10511"/>
        <item x="10512"/>
        <item x="10513"/>
        <item x="10514"/>
        <item x="10515"/>
        <item x="10516"/>
        <item x="10517"/>
        <item x="10518"/>
        <item x="10519"/>
        <item x="10520"/>
        <item x="10521"/>
        <item x="10522"/>
        <item x="10523"/>
        <item x="10307"/>
        <item x="10525"/>
        <item x="10526"/>
        <item x="10527"/>
        <item x="10528"/>
        <item x="10529"/>
        <item x="10530"/>
        <item x="10531"/>
        <item x="10532"/>
        <item x="10533"/>
        <item x="10534"/>
        <item x="10535"/>
        <item x="10536"/>
        <item x="10537"/>
        <item x="10538"/>
        <item x="10321"/>
        <item x="10539"/>
        <item x="10540"/>
        <item x="10541"/>
        <item x="10542"/>
        <item x="10543"/>
        <item x="10544"/>
        <item x="10545"/>
        <item x="10546"/>
        <item x="10547"/>
        <item x="10548"/>
        <item x="10549"/>
        <item x="10550"/>
        <item x="10551"/>
        <item x="10104"/>
        <item x="10322"/>
        <item x="10323"/>
        <item x="10324"/>
        <item x="10325"/>
        <item x="10326"/>
        <item x="10327"/>
        <item x="10328"/>
        <item x="10329"/>
        <item x="10330"/>
        <item x="10331"/>
        <item x="10332"/>
        <item x="10333"/>
        <item x="10334"/>
        <item x="10335"/>
        <item x="10118"/>
        <item x="10337"/>
        <item x="10338"/>
        <item x="10339"/>
        <item x="10340"/>
        <item x="10341"/>
        <item x="10342"/>
        <item x="10343"/>
        <item x="10344"/>
        <item x="10345"/>
        <item x="10346"/>
        <item x="10347"/>
        <item x="10348"/>
        <item x="10349"/>
        <item x="10133"/>
        <item x="10351"/>
        <item x="10352"/>
        <item x="10353"/>
        <item x="10354"/>
        <item x="10355"/>
        <item x="10356"/>
        <item x="10357"/>
        <item x="10358"/>
        <item x="10359"/>
        <item x="10360"/>
        <item x="10361"/>
        <item x="10362"/>
        <item x="10363"/>
        <item x="10364"/>
        <item x="10147"/>
        <item x="10366"/>
        <item x="10367"/>
        <item x="10368"/>
        <item x="10369"/>
        <item x="10370"/>
        <item x="10371"/>
        <item x="10372"/>
        <item x="10373"/>
        <item x="10374"/>
        <item x="10375"/>
        <item x="10376"/>
        <item x="10377"/>
        <item x="10378"/>
        <item x="10162"/>
        <item x="10380"/>
        <item x="10381"/>
        <item x="10382"/>
        <item x="10383"/>
        <item x="10384"/>
        <item x="10385"/>
        <item x="10386"/>
        <item x="10387"/>
        <item x="10388"/>
        <item x="10389"/>
        <item x="10390"/>
        <item x="10391"/>
        <item x="10392"/>
        <item x="10393"/>
        <item x="10176"/>
        <item x="10395"/>
        <item x="10396"/>
        <item x="10397"/>
        <item x="10398"/>
        <item x="10399"/>
        <item x="10400"/>
        <item x="10401"/>
        <item x="10402"/>
        <item x="10403"/>
        <item x="10404"/>
        <item x="10405"/>
        <item x="10406"/>
        <item x="10407"/>
        <item x="10191"/>
        <item x="10409"/>
        <item x="10410"/>
        <item x="10411"/>
        <item x="10412"/>
        <item x="10413"/>
        <item x="10414"/>
        <item x="10415"/>
        <item x="10416"/>
        <item x="10417"/>
        <item x="10418"/>
        <item x="10419"/>
        <item x="10420"/>
        <item x="10421"/>
        <item x="10422"/>
        <item x="10424"/>
        <item x="10425"/>
        <item x="10426"/>
        <item x="10427"/>
        <item x="10428"/>
        <item x="10429"/>
        <item x="10430"/>
        <item x="10431"/>
        <item x="10432"/>
        <item x="10433"/>
        <item x="10434"/>
        <item x="10435"/>
        <item x="10436"/>
        <item x="10437"/>
        <item x="10220"/>
        <item x="10438"/>
        <item x="10439"/>
        <item x="10440"/>
        <item x="10441"/>
        <item x="10442"/>
        <item x="10443"/>
        <item x="10444"/>
        <item x="10445"/>
        <item x="10446"/>
        <item x="10447"/>
        <item x="10448"/>
        <item x="10449"/>
        <item x="10450"/>
        <item x="10451"/>
        <item x="10234"/>
        <item x="10453"/>
        <item x="10454"/>
        <item x="10455"/>
        <item x="10456"/>
        <item x="10457"/>
        <item x="10458"/>
        <item x="10459"/>
        <item x="10460"/>
        <item x="10461"/>
        <item x="10462"/>
        <item x="10463"/>
        <item x="10464"/>
        <item x="10465"/>
        <item x="10249"/>
        <item x="10467"/>
        <item x="10468"/>
        <item x="10469"/>
        <item x="10470"/>
        <item x="10471"/>
        <item x="10472"/>
        <item x="10473"/>
        <item x="10474"/>
        <item x="10475"/>
        <item x="10476"/>
        <item x="10477"/>
        <item x="10478"/>
        <item x="10479"/>
        <item x="10480"/>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524"/>
        <item x="10744"/>
        <item x="10745"/>
        <item x="10746"/>
        <item x="10747"/>
        <item x="10748"/>
        <item x="10749"/>
        <item x="10750"/>
        <item x="10751"/>
        <item x="10752"/>
        <item x="10753"/>
        <item x="10754"/>
        <item x="10755"/>
        <item x="10756"/>
        <item x="10757"/>
        <item x="14323"/>
        <item x="14324"/>
        <item x="14325"/>
        <item x="14326"/>
        <item x="14327"/>
        <item x="14328"/>
        <item x="14329"/>
        <item x="14330"/>
        <item x="14331"/>
        <item x="14332"/>
        <item x="14333"/>
        <item x="14334"/>
        <item x="14335"/>
        <item x="14336"/>
        <item x="14159"/>
        <item x="14338"/>
        <item x="14339"/>
        <item x="14340"/>
        <item x="14341"/>
        <item x="14342"/>
        <item x="14343"/>
        <item x="14344"/>
        <item x="14345"/>
        <item x="14346"/>
        <item x="14347"/>
        <item x="14348"/>
        <item x="14349"/>
        <item x="14350"/>
        <item x="13968"/>
        <item x="14160"/>
        <item x="14161"/>
        <item x="14162"/>
        <item x="14163"/>
        <item x="14164"/>
        <item x="14165"/>
        <item x="14166"/>
        <item x="14167"/>
        <item x="14168"/>
        <item x="14169"/>
        <item x="14170"/>
        <item x="14171"/>
        <item x="14172"/>
        <item x="14173"/>
        <item x="13982"/>
        <item x="14175"/>
        <item x="14176"/>
        <item x="14177"/>
        <item x="14178"/>
        <item x="14179"/>
        <item x="14180"/>
        <item x="14181"/>
        <item x="14182"/>
        <item x="14183"/>
        <item x="14184"/>
        <item x="14185"/>
        <item x="14186"/>
        <item x="14187"/>
        <item x="13997"/>
        <item x="14189"/>
        <item x="14190"/>
        <item x="14191"/>
        <item x="14192"/>
        <item x="14193"/>
        <item x="14194"/>
        <item x="14195"/>
        <item x="14196"/>
        <item x="14197"/>
        <item x="14198"/>
        <item x="14199"/>
        <item x="14200"/>
        <item x="14201"/>
        <item x="14202"/>
        <item x="14011"/>
        <item x="14204"/>
        <item x="14205"/>
        <item x="14206"/>
        <item x="14207"/>
        <item x="14208"/>
        <item x="14209"/>
        <item x="14210"/>
        <item x="14211"/>
        <item x="14212"/>
        <item x="14213"/>
        <item x="14214"/>
        <item x="14215"/>
        <item x="14216"/>
        <item x="14026"/>
        <item x="14218"/>
        <item x="14219"/>
        <item x="14220"/>
        <item x="14221"/>
        <item x="14222"/>
        <item x="14223"/>
        <item x="14224"/>
        <item x="14225"/>
        <item x="14226"/>
        <item x="14227"/>
        <item x="14228"/>
        <item x="14229"/>
        <item x="14230"/>
        <item x="14231"/>
        <item x="14040"/>
        <item x="14233"/>
        <item x="14234"/>
        <item x="14235"/>
        <item x="14236"/>
        <item x="14237"/>
        <item x="14238"/>
        <item x="14239"/>
        <item x="14240"/>
        <item x="14241"/>
        <item x="14242"/>
        <item x="14243"/>
        <item x="14244"/>
        <item x="14245"/>
        <item x="14055"/>
        <item x="14247"/>
        <item x="14248"/>
        <item x="14249"/>
        <item x="14250"/>
        <item x="14251"/>
        <item x="14252"/>
        <item x="14253"/>
        <item x="14254"/>
        <item x="14255"/>
        <item x="14256"/>
        <item x="14257"/>
        <item x="14258"/>
        <item x="14259"/>
        <item x="14260"/>
        <item x="14061"/>
        <item x="14262"/>
        <item x="14263"/>
        <item x="14264"/>
        <item x="14265"/>
        <item x="14266"/>
        <item x="14267"/>
        <item x="14268"/>
        <item x="14269"/>
        <item x="14270"/>
        <item x="14271"/>
        <item x="14272"/>
        <item x="14273"/>
        <item x="14274"/>
        <item x="14062"/>
        <item x="14063"/>
        <item x="14064"/>
        <item x="14065"/>
        <item x="14066"/>
        <item x="14067"/>
        <item x="14068"/>
        <item x="14069"/>
        <item x="14070"/>
        <item x="14071"/>
        <item x="14276"/>
        <item x="14277"/>
        <item x="14278"/>
        <item x="14279"/>
        <item x="14280"/>
        <item x="14072"/>
        <item x="14073"/>
        <item x="14074"/>
        <item x="14075"/>
        <item x="14076"/>
        <item x="14077"/>
        <item x="14078"/>
        <item x="14079"/>
        <item x="14080"/>
        <item x="14081"/>
        <item x="14291"/>
        <item x="14292"/>
        <item x="14293"/>
        <item x="14294"/>
        <item x="14082"/>
        <item x="14083"/>
        <item x="14084"/>
        <item x="14085"/>
        <item x="14086"/>
        <item x="14087"/>
        <item x="14088"/>
        <item x="14089"/>
        <item x="14090"/>
        <item x="14091"/>
        <item x="14305"/>
        <item x="14306"/>
        <item x="14307"/>
        <item x="14308"/>
        <item x="14309"/>
        <item x="14320"/>
        <item x="14512"/>
        <item x="14513"/>
        <item x="14514"/>
        <item x="14515"/>
        <item x="14516"/>
        <item x="14517"/>
        <item x="14518"/>
        <item x="14519"/>
        <item x="14520"/>
        <item x="14521"/>
        <item x="14522"/>
        <item x="14523"/>
        <item x="14524"/>
        <item x="14321"/>
        <item x="14526"/>
        <item x="14527"/>
        <item x="14528"/>
        <item x="14529"/>
        <item x="14530"/>
        <item x="14531"/>
        <item x="14532"/>
        <item x="14533"/>
        <item x="14534"/>
        <item x="14535"/>
        <item x="14536"/>
        <item x="14537"/>
        <item x="14538"/>
        <item x="14539"/>
        <item x="14322"/>
        <item x="14541"/>
        <item x="14542"/>
        <item x="14543"/>
        <item x="14544"/>
        <item x="14545"/>
        <item x="14546"/>
        <item x="14547"/>
        <item x="14548"/>
        <item x="14549"/>
        <item x="14550"/>
        <item x="14551"/>
        <item x="14552"/>
        <item x="14553"/>
        <item x="14337"/>
        <item x="14555"/>
        <item x="14556"/>
        <item x="14557"/>
        <item x="14558"/>
        <item x="14559"/>
        <item x="14560"/>
        <item x="14561"/>
        <item x="14562"/>
        <item x="14563"/>
        <item x="14564"/>
        <item x="14565"/>
        <item x="14566"/>
        <item x="14567"/>
        <item x="14568"/>
        <item x="14351"/>
        <item x="14570"/>
        <item x="14571"/>
        <item x="14572"/>
        <item x="14573"/>
        <item x="14574"/>
        <item x="14575"/>
        <item x="14576"/>
        <item x="14577"/>
        <item x="14578"/>
        <item x="14579"/>
        <item x="14580"/>
        <item x="14581"/>
        <item x="14582"/>
        <item x="14174"/>
        <item x="14352"/>
        <item x="14353"/>
        <item x="14354"/>
        <item x="14355"/>
        <item x="14356"/>
        <item x="14357"/>
        <item x="14358"/>
        <item x="14359"/>
        <item x="14360"/>
        <item x="14361"/>
        <item x="14362"/>
        <item x="14363"/>
        <item x="14364"/>
        <item x="14365"/>
        <item x="14188"/>
        <item x="14367"/>
        <item x="14368"/>
        <item x="14369"/>
        <item x="14370"/>
        <item x="14371"/>
        <item x="14372"/>
        <item x="14373"/>
        <item x="14374"/>
        <item x="14375"/>
        <item x="14376"/>
        <item x="14377"/>
        <item x="14378"/>
        <item x="14379"/>
        <item x="14203"/>
        <item x="14381"/>
        <item x="14382"/>
        <item x="14383"/>
        <item x="14384"/>
        <item x="14385"/>
        <item x="14386"/>
        <item x="14387"/>
        <item x="14388"/>
        <item x="14389"/>
        <item x="14390"/>
        <item x="14391"/>
        <item x="14392"/>
        <item x="14393"/>
        <item x="14394"/>
        <item x="14217"/>
        <item x="14396"/>
        <item x="14397"/>
        <item x="14398"/>
        <item x="14399"/>
        <item x="14400"/>
        <item x="14401"/>
        <item x="14402"/>
        <item x="14403"/>
        <item x="14404"/>
        <item x="14405"/>
        <item x="14406"/>
        <item x="14407"/>
        <item x="14408"/>
        <item x="14232"/>
        <item x="14410"/>
        <item x="14411"/>
        <item x="14412"/>
        <item x="14413"/>
        <item x="14414"/>
        <item x="14415"/>
        <item x="14416"/>
        <item x="14417"/>
        <item x="14418"/>
        <item x="14419"/>
        <item x="14420"/>
        <item x="14421"/>
        <item x="14422"/>
        <item x="14423"/>
        <item x="14246"/>
        <item x="14425"/>
        <item x="14426"/>
        <item x="14427"/>
        <item x="14428"/>
        <item x="14429"/>
        <item x="14430"/>
        <item x="14431"/>
        <item x="14432"/>
        <item x="14433"/>
        <item x="14434"/>
        <item x="14435"/>
        <item x="14436"/>
        <item x="14437"/>
        <item x="14261"/>
        <item x="14439"/>
        <item x="14440"/>
        <item x="14441"/>
        <item x="14442"/>
        <item x="14443"/>
        <item x="14444"/>
        <item x="14445"/>
        <item x="14446"/>
        <item x="14447"/>
        <item x="14448"/>
        <item x="14449"/>
        <item x="14450"/>
        <item x="14451"/>
        <item x="14452"/>
        <item x="14275"/>
        <item x="14454"/>
        <item x="14455"/>
        <item x="14456"/>
        <item x="14457"/>
        <item x="14458"/>
        <item x="14459"/>
        <item x="14460"/>
        <item x="14461"/>
        <item x="14462"/>
        <item x="14463"/>
        <item x="14464"/>
        <item x="14465"/>
        <item x="14466"/>
        <item x="14281"/>
        <item x="14282"/>
        <item x="14283"/>
        <item x="14284"/>
        <item x="14285"/>
        <item x="14286"/>
        <item x="14287"/>
        <item x="14288"/>
        <item x="14289"/>
        <item x="14290"/>
        <item x="14468"/>
        <item x="14469"/>
        <item x="14470"/>
        <item x="14471"/>
        <item x="14472"/>
        <item x="14295"/>
        <item x="14296"/>
        <item x="14297"/>
        <item x="14298"/>
        <item x="14299"/>
        <item x="14300"/>
        <item x="14301"/>
        <item x="14302"/>
        <item x="14303"/>
        <item x="14304"/>
        <item x="14483"/>
        <item x="14484"/>
        <item x="14485"/>
        <item x="14486"/>
        <item x="14310"/>
        <item x="14311"/>
        <item x="14312"/>
        <item x="14313"/>
        <item x="14314"/>
        <item x="14315"/>
        <item x="14316"/>
        <item x="14317"/>
        <item x="14318"/>
        <item x="14319"/>
        <item x="14497"/>
        <item x="14498"/>
        <item x="14499"/>
        <item x="14500"/>
        <item x="14501"/>
        <item x="14525"/>
        <item x="14744"/>
        <item x="14745"/>
        <item x="14746"/>
        <item x="14747"/>
        <item x="14748"/>
        <item x="14749"/>
        <item x="14750"/>
        <item x="14751"/>
        <item x="14752"/>
        <item x="14753"/>
        <item x="14754"/>
        <item x="14755"/>
        <item x="14756"/>
        <item x="14540"/>
        <item x="14758"/>
        <item x="14759"/>
        <item x="14760"/>
        <item x="14761"/>
        <item x="14762"/>
        <item x="14763"/>
        <item x="14764"/>
        <item x="14765"/>
        <item x="14766"/>
        <item x="14767"/>
        <item x="14768"/>
        <item x="14769"/>
        <item x="14770"/>
        <item x="14771"/>
        <item x="14554"/>
        <item x="14773"/>
        <item x="14774"/>
        <item x="14775"/>
        <item x="14776"/>
        <item x="14777"/>
        <item x="14778"/>
        <item x="14779"/>
        <item x="14780"/>
        <item x="14781"/>
        <item x="14782"/>
        <item x="14783"/>
        <item x="14784"/>
        <item x="14785"/>
        <item x="14569"/>
        <item x="14787"/>
        <item x="14788"/>
        <item x="14789"/>
        <item x="14790"/>
        <item x="14791"/>
        <item x="14792"/>
        <item x="14793"/>
        <item x="14794"/>
        <item x="14795"/>
        <item x="14796"/>
        <item x="14797"/>
        <item x="14798"/>
        <item x="14799"/>
        <item x="14800"/>
        <item x="14583"/>
        <item x="14802"/>
        <item x="14803"/>
        <item x="14804"/>
        <item x="14805"/>
        <item x="14806"/>
        <item x="14807"/>
        <item x="14808"/>
        <item x="14809"/>
        <item x="14810"/>
        <item x="14811"/>
        <item x="14812"/>
        <item x="14813"/>
        <item x="14814"/>
        <item x="14366"/>
        <item x="14584"/>
        <item x="14585"/>
        <item x="14586"/>
        <item x="14587"/>
        <item x="14588"/>
        <item x="14589"/>
        <item x="14590"/>
        <item x="14591"/>
        <item x="14592"/>
        <item x="14593"/>
        <item x="14594"/>
        <item x="14595"/>
        <item x="14596"/>
        <item x="14597"/>
        <item x="14380"/>
        <item x="14599"/>
        <item x="14600"/>
        <item x="14601"/>
        <item x="14602"/>
        <item x="14603"/>
        <item x="14604"/>
        <item x="14605"/>
        <item x="14606"/>
        <item x="14607"/>
        <item x="14608"/>
        <item x="14609"/>
        <item x="14610"/>
        <item x="14611"/>
        <item x="14395"/>
        <item x="14613"/>
        <item x="14614"/>
        <item x="14615"/>
        <item x="14616"/>
        <item x="14617"/>
        <item x="14618"/>
        <item x="14619"/>
        <item x="14620"/>
        <item x="14621"/>
        <item x="14622"/>
        <item x="14623"/>
        <item x="14624"/>
        <item x="14625"/>
        <item x="14626"/>
        <item x="14409"/>
        <item x="14628"/>
        <item x="14629"/>
        <item x="14630"/>
        <item x="14631"/>
        <item x="14632"/>
        <item x="14633"/>
        <item x="14634"/>
        <item x="14635"/>
        <item x="14636"/>
        <item x="14637"/>
        <item x="14638"/>
        <item x="14639"/>
        <item x="14640"/>
        <item x="14424"/>
        <item x="14642"/>
        <item x="14643"/>
        <item x="14644"/>
        <item x="14645"/>
        <item x="14646"/>
        <item x="14647"/>
        <item x="14648"/>
        <item x="14649"/>
        <item x="14650"/>
        <item x="14651"/>
        <item x="14652"/>
        <item x="14653"/>
        <item x="14654"/>
        <item x="14655"/>
        <item x="14438"/>
        <item x="14657"/>
        <item x="14658"/>
        <item x="14659"/>
        <item x="14660"/>
        <item x="14661"/>
        <item x="14662"/>
        <item x="14663"/>
        <item x="14664"/>
        <item x="14665"/>
        <item x="14666"/>
        <item x="14667"/>
        <item x="14668"/>
        <item x="14669"/>
        <item x="14453"/>
        <item x="14671"/>
        <item x="14672"/>
        <item x="14673"/>
        <item x="14674"/>
        <item x="14675"/>
        <item x="14676"/>
        <item x="14677"/>
        <item x="14678"/>
        <item x="14679"/>
        <item x="14680"/>
        <item x="14681"/>
        <item x="14682"/>
        <item x="14683"/>
        <item x="14684"/>
        <item x="14467"/>
        <item x="14686"/>
        <item x="14687"/>
        <item x="14688"/>
        <item x="14689"/>
        <item x="14690"/>
        <item x="14691"/>
        <item x="14692"/>
        <item x="14693"/>
        <item x="14694"/>
        <item x="14695"/>
        <item x="14696"/>
        <item x="14697"/>
        <item x="14698"/>
        <item x="14473"/>
        <item x="14474"/>
        <item x="14475"/>
        <item x="14476"/>
        <item x="14477"/>
        <item x="14478"/>
        <item x="14479"/>
        <item x="14480"/>
        <item x="14481"/>
        <item x="14482"/>
        <item x="14700"/>
        <item x="14701"/>
        <item x="14702"/>
        <item x="14703"/>
        <item x="14704"/>
        <item x="14487"/>
        <item x="14488"/>
        <item x="14489"/>
        <item x="14490"/>
        <item x="14491"/>
        <item x="14492"/>
        <item x="14493"/>
        <item x="14494"/>
        <item x="14495"/>
        <item x="14496"/>
        <item x="14715"/>
        <item x="14716"/>
        <item x="14717"/>
        <item x="14718"/>
        <item x="14502"/>
        <item x="14503"/>
        <item x="14504"/>
        <item x="14505"/>
        <item x="14506"/>
        <item x="14507"/>
        <item x="14508"/>
        <item x="14509"/>
        <item x="14510"/>
        <item x="14511"/>
        <item x="14729"/>
        <item x="14730"/>
        <item x="14731"/>
        <item x="14732"/>
        <item x="14733"/>
        <item x="14757"/>
        <item x="14965"/>
        <item x="14966"/>
        <item x="14967"/>
        <item x="14968"/>
        <item x="14969"/>
        <item x="14970"/>
        <item x="14971"/>
        <item x="14972"/>
        <item x="14973"/>
        <item x="14974"/>
        <item x="14975"/>
        <item x="14976"/>
        <item x="14977"/>
        <item x="14772"/>
        <item x="14978"/>
        <item x="14979"/>
        <item x="14980"/>
        <item x="14981"/>
        <item x="14982"/>
        <item x="14983"/>
        <item x="14984"/>
        <item x="14985"/>
        <item x="14986"/>
        <item x="14987"/>
        <item x="14988"/>
        <item x="14989"/>
        <item x="14990"/>
        <item x="14991"/>
        <item x="14786"/>
        <item x="14992"/>
        <item x="14993"/>
        <item x="14994"/>
        <item x="14995"/>
        <item x="14996"/>
        <item x="14997"/>
        <item x="14998"/>
        <item x="14999"/>
        <item x="15000"/>
        <item x="15001"/>
        <item x="15002"/>
        <item x="15003"/>
        <item x="15004"/>
        <item x="14801"/>
        <item x="15005"/>
        <item x="15006"/>
        <item x="15007"/>
        <item x="15008"/>
        <item x="15009"/>
        <item x="15010"/>
        <item x="15011"/>
        <item x="15012"/>
        <item x="15013"/>
        <item x="15014"/>
        <item x="15015"/>
        <item x="15016"/>
        <item x="15017"/>
        <item x="15018"/>
        <item x="14815"/>
        <item x="15019"/>
        <item x="15020"/>
        <item x="15021"/>
        <item x="15022"/>
        <item x="15023"/>
        <item x="15024"/>
        <item x="15025"/>
        <item x="15026"/>
        <item x="15027"/>
        <item x="15028"/>
        <item x="15029"/>
        <item x="15030"/>
        <item x="15031"/>
        <item x="14598"/>
        <item x="14816"/>
        <item x="14817"/>
        <item x="14818"/>
        <item x="14819"/>
        <item x="14820"/>
        <item x="14821"/>
        <item x="14822"/>
        <item x="14823"/>
        <item x="14824"/>
        <item x="14825"/>
        <item x="14826"/>
        <item x="14827"/>
        <item x="14828"/>
        <item x="14829"/>
        <item x="14612"/>
        <item x="14830"/>
        <item x="14831"/>
        <item x="14832"/>
        <item x="14833"/>
        <item x="14834"/>
        <item x="14835"/>
        <item x="14836"/>
        <item x="14837"/>
        <item x="14838"/>
        <item x="14839"/>
        <item x="14840"/>
        <item x="14841"/>
        <item x="14842"/>
        <item x="14627"/>
        <item x="14843"/>
        <item x="14844"/>
        <item x="14845"/>
        <item x="14846"/>
        <item x="14847"/>
        <item x="14848"/>
        <item x="14849"/>
        <item x="14850"/>
        <item x="14851"/>
        <item x="14852"/>
        <item x="14853"/>
        <item x="14854"/>
        <item x="14855"/>
        <item x="14856"/>
        <item x="14641"/>
        <item x="14857"/>
        <item x="14858"/>
        <item x="14859"/>
        <item x="14860"/>
        <item x="14861"/>
        <item x="14862"/>
        <item x="14863"/>
        <item x="14864"/>
        <item x="14865"/>
        <item x="14866"/>
        <item x="14867"/>
        <item x="14868"/>
        <item x="14869"/>
        <item x="14656"/>
        <item x="14870"/>
        <item x="14871"/>
        <item x="14872"/>
        <item x="14873"/>
        <item x="14874"/>
        <item x="14875"/>
        <item x="14876"/>
        <item x="14877"/>
        <item x="14878"/>
        <item x="14879"/>
        <item x="14880"/>
        <item x="14881"/>
        <item x="14882"/>
        <item x="14883"/>
        <item x="14670"/>
        <item x="14884"/>
        <item x="14885"/>
        <item x="14886"/>
        <item x="14887"/>
        <item x="14888"/>
        <item x="14889"/>
        <item x="14890"/>
        <item x="14891"/>
        <item x="14892"/>
        <item x="14893"/>
        <item x="14894"/>
        <item x="14895"/>
        <item x="14896"/>
        <item x="14685"/>
        <item x="14897"/>
        <item x="14898"/>
        <item x="14899"/>
        <item x="14900"/>
        <item x="14901"/>
        <item x="14902"/>
        <item x="14903"/>
        <item x="14904"/>
        <item x="14905"/>
        <item x="14906"/>
        <item x="14907"/>
        <item x="14908"/>
        <item x="14909"/>
        <item x="14910"/>
        <item x="14699"/>
        <item x="14911"/>
        <item x="14912"/>
        <item x="14913"/>
        <item x="14914"/>
        <item x="14915"/>
        <item x="14916"/>
        <item x="14917"/>
        <item x="14918"/>
        <item x="14919"/>
        <item x="14920"/>
        <item x="14921"/>
        <item x="14922"/>
        <item x="14923"/>
        <item x="14705"/>
        <item x="14706"/>
        <item x="14707"/>
        <item x="14708"/>
        <item x="14709"/>
        <item x="14710"/>
        <item x="14711"/>
        <item x="14712"/>
        <item x="14713"/>
        <item x="14714"/>
        <item x="14924"/>
        <item x="14925"/>
        <item x="14926"/>
        <item x="14927"/>
        <item x="14928"/>
        <item x="14719"/>
        <item x="14720"/>
        <item x="14721"/>
        <item x="14722"/>
        <item x="14723"/>
        <item x="14724"/>
        <item x="14725"/>
        <item x="14726"/>
        <item x="14727"/>
        <item x="14728"/>
        <item x="14938"/>
        <item x="14939"/>
        <item x="14940"/>
        <item x="14941"/>
        <item x="14734"/>
        <item x="14735"/>
        <item x="14736"/>
        <item x="14737"/>
        <item x="14738"/>
        <item x="14739"/>
        <item x="14740"/>
        <item x="14741"/>
        <item x="14742"/>
        <item x="14743"/>
        <item x="14951"/>
        <item x="14952"/>
        <item x="14953"/>
        <item x="14954"/>
        <item x="14955"/>
        <item x="11593"/>
        <item x="11594"/>
        <item x="11595"/>
        <item x="11596"/>
        <item x="11597"/>
        <item x="11598"/>
        <item x="11599"/>
        <item x="11600"/>
        <item x="11601"/>
        <item x="11602"/>
        <item x="11603"/>
        <item x="11604"/>
        <item x="11605"/>
        <item x="11606"/>
        <item x="11607"/>
        <item x="11609"/>
        <item x="11610"/>
        <item x="11611"/>
        <item x="11612"/>
        <item x="11613"/>
        <item x="11614"/>
        <item x="11615"/>
        <item x="11616"/>
        <item x="11617"/>
        <item x="11618"/>
        <item x="11619"/>
        <item x="11620"/>
        <item x="11621"/>
        <item x="11622"/>
        <item x="11624"/>
        <item x="11625"/>
        <item x="11626"/>
        <item x="11627"/>
        <item x="11628"/>
        <item x="11629"/>
        <item x="11630"/>
        <item x="11631"/>
        <item x="11632"/>
        <item x="11633"/>
        <item x="11634"/>
        <item x="11635"/>
        <item x="11636"/>
        <item x="11637"/>
        <item x="11638"/>
        <item x="11640"/>
        <item x="11641"/>
        <item x="11642"/>
        <item x="11643"/>
        <item x="11644"/>
        <item x="11645"/>
        <item x="11646"/>
        <item x="11647"/>
        <item x="11648"/>
        <item x="11649"/>
        <item x="11650"/>
        <item x="11651"/>
        <item x="11652"/>
        <item x="11653"/>
        <item x="11417"/>
        <item x="11418"/>
        <item x="11419"/>
        <item x="11420"/>
        <item x="11421"/>
        <item x="11422"/>
        <item x="11423"/>
        <item x="11424"/>
        <item x="11425"/>
        <item x="11426"/>
        <item x="11427"/>
        <item x="11428"/>
        <item x="11429"/>
        <item x="11430"/>
        <item x="11431"/>
        <item x="11433"/>
        <item x="11434"/>
        <item x="11435"/>
        <item x="11436"/>
        <item x="11437"/>
        <item x="11438"/>
        <item x="11439"/>
        <item x="11440"/>
        <item x="11441"/>
        <item x="11442"/>
        <item x="11443"/>
        <item x="11444"/>
        <item x="11445"/>
        <item x="11446"/>
        <item x="11448"/>
        <item x="11449"/>
        <item x="11450"/>
        <item x="11451"/>
        <item x="11452"/>
        <item x="11453"/>
        <item x="11454"/>
        <item x="11455"/>
        <item x="11456"/>
        <item x="11457"/>
        <item x="11458"/>
        <item x="11459"/>
        <item x="11460"/>
        <item x="11461"/>
        <item x="11462"/>
        <item x="11464"/>
        <item x="11465"/>
        <item x="11466"/>
        <item x="11467"/>
        <item x="11468"/>
        <item x="11469"/>
        <item x="11470"/>
        <item x="11471"/>
        <item x="11472"/>
        <item x="11473"/>
        <item x="11474"/>
        <item x="11475"/>
        <item x="11476"/>
        <item x="11477"/>
        <item x="11479"/>
        <item x="11480"/>
        <item x="11481"/>
        <item x="11482"/>
        <item x="11483"/>
        <item x="11484"/>
        <item x="11485"/>
        <item x="11486"/>
        <item x="11487"/>
        <item x="11488"/>
        <item x="11489"/>
        <item x="11490"/>
        <item x="11491"/>
        <item x="11492"/>
        <item x="11493"/>
        <item x="11495"/>
        <item x="11496"/>
        <item x="11497"/>
        <item x="11498"/>
        <item x="11499"/>
        <item x="11500"/>
        <item x="11501"/>
        <item x="11502"/>
        <item x="11503"/>
        <item x="11504"/>
        <item x="11505"/>
        <item x="11506"/>
        <item x="11507"/>
        <item x="11508"/>
        <item x="11510"/>
        <item x="11511"/>
        <item x="11512"/>
        <item x="11513"/>
        <item x="11514"/>
        <item x="11515"/>
        <item x="11516"/>
        <item x="11517"/>
        <item x="11518"/>
        <item x="11519"/>
        <item x="11520"/>
        <item x="11521"/>
        <item x="11522"/>
        <item x="11523"/>
        <item x="11524"/>
        <item x="11526"/>
        <item x="11527"/>
        <item x="11528"/>
        <item x="11529"/>
        <item x="11530"/>
        <item x="11531"/>
        <item x="11532"/>
        <item x="11533"/>
        <item x="11534"/>
        <item x="11535"/>
        <item x="11536"/>
        <item x="11537"/>
        <item x="11538"/>
        <item x="11539"/>
        <item x="11541"/>
        <item x="11542"/>
        <item x="11543"/>
        <item x="11544"/>
        <item x="11545"/>
        <item x="11546"/>
        <item x="11547"/>
        <item x="11548"/>
        <item x="11549"/>
        <item x="11550"/>
        <item x="11551"/>
        <item x="11552"/>
        <item x="11553"/>
        <item x="11554"/>
        <item x="11555"/>
        <item x="14929"/>
        <item x="14930"/>
        <item x="14931"/>
        <item x="14932"/>
        <item x="14933"/>
        <item x="14934"/>
        <item x="14935"/>
        <item x="14936"/>
        <item x="14937"/>
        <item x="11557"/>
        <item x="11558"/>
        <item x="11559"/>
        <item x="11560"/>
        <item x="11561"/>
        <item x="14942"/>
        <item x="14943"/>
        <item x="14944"/>
        <item x="14945"/>
        <item x="14946"/>
        <item x="14947"/>
        <item x="14948"/>
        <item x="14949"/>
        <item x="14950"/>
        <item x="11572"/>
        <item x="11573"/>
        <item x="11574"/>
        <item x="11575"/>
        <item x="11576"/>
        <item x="11577"/>
        <item x="14956"/>
        <item x="14957"/>
        <item x="14958"/>
        <item x="14959"/>
        <item x="14960"/>
        <item x="14961"/>
        <item x="14962"/>
        <item x="14963"/>
        <item x="14964"/>
        <item x="11588"/>
        <item x="11589"/>
        <item x="11590"/>
        <item x="11591"/>
        <item x="11592"/>
        <item x="7929"/>
        <item x="11815"/>
        <item x="11816"/>
        <item x="11817"/>
        <item x="11818"/>
        <item x="11819"/>
        <item x="11820"/>
        <item x="11821"/>
        <item x="11822"/>
        <item x="11823"/>
        <item x="11824"/>
        <item x="11825"/>
        <item x="11826"/>
        <item x="11827"/>
        <item x="11608"/>
        <item x="11829"/>
        <item x="11830"/>
        <item x="11831"/>
        <item x="11832"/>
        <item x="11833"/>
        <item x="11834"/>
        <item x="11835"/>
        <item x="11836"/>
        <item x="11837"/>
        <item x="11838"/>
        <item x="11839"/>
        <item x="11840"/>
        <item x="11841"/>
        <item x="11842"/>
        <item x="11623"/>
        <item x="11844"/>
        <item x="11845"/>
        <item x="11846"/>
        <item x="11847"/>
        <item x="11848"/>
        <item x="11849"/>
        <item x="11850"/>
        <item x="11851"/>
        <item x="11852"/>
        <item x="11853"/>
        <item x="11854"/>
        <item x="11855"/>
        <item x="11856"/>
        <item x="11639"/>
        <item x="11858"/>
        <item x="11859"/>
        <item x="11860"/>
        <item x="11861"/>
        <item x="11862"/>
        <item x="11863"/>
        <item x="11864"/>
        <item x="11865"/>
        <item x="11866"/>
        <item x="11867"/>
        <item x="11868"/>
        <item x="11869"/>
        <item x="11870"/>
        <item x="11871"/>
        <item x="11654"/>
        <item x="11873"/>
        <item x="11874"/>
        <item x="11875"/>
        <item x="11876"/>
        <item x="11877"/>
        <item x="11878"/>
        <item x="11879"/>
        <item x="11880"/>
        <item x="11881"/>
        <item x="11882"/>
        <item x="11883"/>
        <item x="11884"/>
        <item x="11885"/>
        <item x="11432"/>
        <item x="11655"/>
        <item x="11656"/>
        <item x="11657"/>
        <item x="11658"/>
        <item x="11659"/>
        <item x="11660"/>
        <item x="11661"/>
        <item x="11662"/>
        <item x="11663"/>
        <item x="11664"/>
        <item x="11665"/>
        <item x="11666"/>
        <item x="11667"/>
        <item x="11668"/>
        <item x="11447"/>
        <item x="11670"/>
        <item x="11671"/>
        <item x="11672"/>
        <item x="11673"/>
        <item x="11674"/>
        <item x="11675"/>
        <item x="11676"/>
        <item x="11677"/>
        <item x="11678"/>
        <item x="11679"/>
        <item x="11680"/>
        <item x="11681"/>
        <item x="11682"/>
        <item x="11463"/>
        <item x="11684"/>
        <item x="11685"/>
        <item x="11686"/>
        <item x="11687"/>
        <item x="11688"/>
        <item x="11689"/>
        <item x="11690"/>
        <item x="11691"/>
        <item x="11692"/>
        <item x="11693"/>
        <item x="11694"/>
        <item x="11695"/>
        <item x="11696"/>
        <item x="11697"/>
        <item x="11478"/>
        <item x="11699"/>
        <item x="11700"/>
        <item x="11701"/>
        <item x="11702"/>
        <item x="11703"/>
        <item x="11704"/>
        <item x="11705"/>
        <item x="11706"/>
        <item x="11707"/>
        <item x="11708"/>
        <item x="11709"/>
        <item x="11710"/>
        <item x="11711"/>
        <item x="11494"/>
        <item x="11713"/>
        <item x="11714"/>
        <item x="11715"/>
        <item x="11716"/>
        <item x="11717"/>
        <item x="11718"/>
        <item x="11719"/>
        <item x="11720"/>
        <item x="11721"/>
        <item x="11722"/>
        <item x="11723"/>
        <item x="11724"/>
        <item x="11725"/>
        <item x="11726"/>
        <item x="11509"/>
        <item x="11728"/>
        <item x="11729"/>
        <item x="11730"/>
        <item x="11731"/>
        <item x="11732"/>
        <item x="11733"/>
        <item x="11734"/>
        <item x="11735"/>
        <item x="11736"/>
        <item x="11737"/>
        <item x="11738"/>
        <item x="11739"/>
        <item x="11740"/>
        <item x="11525"/>
        <item x="11742"/>
        <item x="11743"/>
        <item x="11744"/>
        <item x="11745"/>
        <item x="11746"/>
        <item x="11747"/>
        <item x="11748"/>
        <item x="11749"/>
        <item x="11750"/>
        <item x="11751"/>
        <item x="11752"/>
        <item x="11753"/>
        <item x="11754"/>
        <item x="11755"/>
        <item x="11540"/>
        <item x="11757"/>
        <item x="11758"/>
        <item x="11759"/>
        <item x="11760"/>
        <item x="11761"/>
        <item x="11762"/>
        <item x="11763"/>
        <item x="11764"/>
        <item x="11765"/>
        <item x="11766"/>
        <item x="11767"/>
        <item x="11768"/>
        <item x="11769"/>
        <item x="11556"/>
        <item x="11771"/>
        <item x="11772"/>
        <item x="11773"/>
        <item x="11774"/>
        <item x="11775"/>
        <item x="11776"/>
        <item x="11777"/>
        <item x="11778"/>
        <item x="11779"/>
        <item x="11780"/>
        <item x="11781"/>
        <item x="11782"/>
        <item x="11783"/>
        <item x="11784"/>
        <item x="11562"/>
        <item x="11563"/>
        <item x="11564"/>
        <item x="11565"/>
        <item x="11566"/>
        <item x="11567"/>
        <item x="11568"/>
        <item x="11569"/>
        <item x="11570"/>
        <item x="11571"/>
        <item x="11786"/>
        <item x="11787"/>
        <item x="11788"/>
        <item x="11789"/>
        <item x="11578"/>
        <item x="11579"/>
        <item x="11580"/>
        <item x="11581"/>
        <item x="11582"/>
        <item x="11583"/>
        <item x="11584"/>
        <item x="11585"/>
        <item x="11586"/>
        <item x="11587"/>
        <item x="11800"/>
        <item x="11801"/>
        <item x="11802"/>
        <item x="11803"/>
        <item x="11804"/>
        <item x="11828"/>
        <item x="12047"/>
        <item x="12048"/>
        <item x="12049"/>
        <item x="12050"/>
        <item x="12051"/>
        <item x="12052"/>
        <item x="12053"/>
        <item x="12054"/>
        <item x="12055"/>
        <item x="12056"/>
        <item x="12057"/>
        <item x="12058"/>
        <item x="12059"/>
        <item x="11843"/>
        <item x="12061"/>
        <item x="12062"/>
        <item x="12063"/>
        <item x="12064"/>
        <item x="12065"/>
        <item x="12066"/>
        <item x="12067"/>
        <item x="12068"/>
        <item x="12069"/>
        <item x="12070"/>
        <item x="12071"/>
        <item x="12072"/>
        <item x="12073"/>
        <item x="12074"/>
        <item x="11857"/>
        <item x="12076"/>
        <item x="12077"/>
        <item x="12078"/>
        <item x="12079"/>
        <item x="12080"/>
        <item x="12081"/>
        <item x="12082"/>
        <item x="12083"/>
        <item x="12084"/>
        <item x="12085"/>
        <item x="12086"/>
        <item x="12087"/>
        <item x="12088"/>
        <item x="11872"/>
        <item x="12090"/>
        <item x="12091"/>
        <item x="12092"/>
        <item x="12093"/>
        <item x="12094"/>
        <item x="12095"/>
        <item x="12096"/>
        <item x="12097"/>
        <item x="12098"/>
        <item x="12099"/>
        <item x="12100"/>
        <item x="12101"/>
        <item x="12102"/>
        <item x="12103"/>
        <item x="11886"/>
        <item x="12105"/>
        <item x="12106"/>
        <item x="12107"/>
        <item x="12108"/>
        <item x="12109"/>
        <item x="12110"/>
        <item x="12111"/>
        <item x="12112"/>
        <item x="12113"/>
        <item x="12114"/>
        <item x="12115"/>
        <item x="12116"/>
        <item x="12117"/>
        <item x="11669"/>
        <item x="11887"/>
        <item x="11888"/>
        <item x="11889"/>
        <item x="11890"/>
        <item x="11891"/>
        <item x="11892"/>
        <item x="11893"/>
        <item x="11894"/>
        <item x="11895"/>
        <item x="11896"/>
        <item x="11897"/>
        <item x="11898"/>
        <item x="11899"/>
        <item x="11900"/>
        <item x="11683"/>
        <item x="11902"/>
        <item x="11903"/>
        <item x="11904"/>
        <item x="11905"/>
        <item x="11906"/>
        <item x="11907"/>
        <item x="11908"/>
        <item x="11909"/>
        <item x="11910"/>
        <item x="11911"/>
        <item x="11912"/>
        <item x="11913"/>
        <item x="11914"/>
        <item x="11698"/>
        <item x="11916"/>
        <item x="11917"/>
        <item x="11918"/>
        <item x="11919"/>
        <item x="11920"/>
        <item x="11921"/>
        <item x="11922"/>
        <item x="11923"/>
        <item x="11924"/>
        <item x="11925"/>
        <item x="11926"/>
        <item x="11927"/>
        <item x="11928"/>
        <item x="11929"/>
        <item x="11712"/>
        <item x="11931"/>
        <item x="11932"/>
        <item x="11933"/>
        <item x="11934"/>
        <item x="11935"/>
        <item x="11936"/>
        <item x="11937"/>
        <item x="11938"/>
        <item x="11939"/>
        <item x="11940"/>
        <item x="11941"/>
        <item x="11942"/>
        <item x="11943"/>
        <item x="11727"/>
        <item x="11945"/>
        <item x="11946"/>
        <item x="11947"/>
        <item x="11948"/>
        <item x="11949"/>
        <item x="11950"/>
        <item x="11951"/>
        <item x="11952"/>
        <item x="11953"/>
        <item x="11954"/>
        <item x="11955"/>
        <item x="11956"/>
        <item x="11957"/>
        <item x="11958"/>
        <item x="11741"/>
        <item x="11960"/>
        <item x="11961"/>
        <item x="11962"/>
        <item x="11963"/>
        <item x="11964"/>
        <item x="11965"/>
        <item x="11966"/>
        <item x="11967"/>
        <item x="11968"/>
        <item x="11969"/>
        <item x="11970"/>
        <item x="11971"/>
        <item x="11972"/>
        <item x="11756"/>
        <item x="11974"/>
        <item x="11975"/>
        <item x="11976"/>
        <item x="11977"/>
        <item x="11978"/>
        <item x="11979"/>
        <item x="11980"/>
        <item x="11981"/>
        <item x="11982"/>
        <item x="11983"/>
        <item x="11984"/>
        <item x="11985"/>
        <item x="11986"/>
        <item x="11987"/>
        <item x="11770"/>
        <item x="11989"/>
        <item x="11990"/>
        <item x="11991"/>
        <item x="11992"/>
        <item x="11993"/>
        <item x="11994"/>
        <item x="11995"/>
        <item x="11996"/>
        <item x="11997"/>
        <item x="11998"/>
        <item x="11999"/>
        <item x="12000"/>
        <item x="12001"/>
        <item x="11785"/>
        <item x="12003"/>
        <item x="12004"/>
        <item x="12005"/>
        <item x="12006"/>
        <item x="12007"/>
        <item x="12008"/>
        <item x="12009"/>
        <item x="12010"/>
        <item x="12011"/>
        <item x="12012"/>
        <item x="12013"/>
        <item x="12014"/>
        <item x="12015"/>
        <item x="12016"/>
        <item x="11790"/>
        <item x="11791"/>
        <item x="11792"/>
        <item x="11793"/>
        <item x="11794"/>
        <item x="11795"/>
        <item x="11796"/>
        <item x="11797"/>
        <item x="11798"/>
        <item x="11799"/>
        <item x="12018"/>
        <item x="12019"/>
        <item x="12020"/>
        <item x="12021"/>
        <item x="11805"/>
        <item x="11806"/>
        <item x="11807"/>
        <item x="11808"/>
        <item x="11809"/>
        <item x="11810"/>
        <item x="11811"/>
        <item x="11812"/>
        <item x="11813"/>
        <item x="11814"/>
        <item x="12032"/>
        <item x="12033"/>
        <item x="12034"/>
        <item x="12035"/>
        <item x="12036"/>
        <item x="12060"/>
        <item x="12279"/>
        <item x="12280"/>
        <item x="12281"/>
        <item x="12282"/>
        <item x="12283"/>
        <item x="12284"/>
        <item x="12285"/>
        <item x="12286"/>
        <item x="12287"/>
        <item x="12288"/>
        <item x="12289"/>
        <item x="12290"/>
        <item x="12291"/>
        <item x="12075"/>
        <item x="12293"/>
        <item x="12294"/>
        <item x="12295"/>
        <item x="12296"/>
        <item x="12297"/>
        <item x="12298"/>
        <item x="12299"/>
        <item x="12300"/>
        <item x="12301"/>
        <item x="12302"/>
        <item x="12303"/>
        <item x="12304"/>
        <item x="12305"/>
        <item x="12306"/>
        <item x="12089"/>
        <item x="12308"/>
        <item x="12309"/>
        <item x="12310"/>
        <item x="12311"/>
        <item x="12312"/>
        <item x="12313"/>
        <item x="12314"/>
        <item x="12315"/>
        <item x="12316"/>
        <item x="12317"/>
        <item x="12318"/>
        <item x="12319"/>
        <item x="12320"/>
        <item x="12104"/>
        <item x="12322"/>
        <item x="12323"/>
        <item x="12324"/>
        <item x="12325"/>
        <item x="12326"/>
        <item x="12327"/>
        <item x="12328"/>
        <item x="12329"/>
        <item x="12330"/>
        <item x="12331"/>
        <item x="12332"/>
        <item x="12333"/>
        <item x="12334"/>
        <item x="12335"/>
        <item x="12118"/>
        <item x="12337"/>
        <item x="12338"/>
        <item x="12339"/>
        <item x="12340"/>
        <item x="12341"/>
        <item x="12342"/>
        <item x="12343"/>
        <item x="12344"/>
        <item x="12345"/>
        <item x="12346"/>
        <item x="12347"/>
        <item x="12348"/>
        <item x="12349"/>
        <item x="11901"/>
        <item x="12119"/>
        <item x="12120"/>
        <item x="12121"/>
        <item x="12122"/>
        <item x="12123"/>
        <item x="12124"/>
        <item x="12125"/>
        <item x="12126"/>
        <item x="12127"/>
        <item x="12128"/>
        <item x="12129"/>
        <item x="12130"/>
        <item x="12131"/>
        <item x="12132"/>
        <item x="11915"/>
        <item x="12134"/>
        <item x="12135"/>
        <item x="12136"/>
        <item x="12137"/>
        <item x="12138"/>
        <item x="12139"/>
        <item x="12140"/>
        <item x="12141"/>
        <item x="12142"/>
        <item x="12143"/>
        <item x="12144"/>
        <item x="12145"/>
        <item x="12146"/>
        <item x="11930"/>
        <item x="12148"/>
        <item x="12149"/>
        <item x="12150"/>
        <item x="12151"/>
        <item x="12152"/>
        <item x="12153"/>
        <item x="12154"/>
        <item x="12155"/>
        <item x="12156"/>
        <item x="12157"/>
        <item x="12158"/>
        <item x="12159"/>
        <item x="12160"/>
        <item x="12161"/>
        <item x="11944"/>
        <item x="12163"/>
        <item x="12164"/>
        <item x="12165"/>
        <item x="12166"/>
        <item x="12167"/>
        <item x="12168"/>
        <item x="12169"/>
        <item x="12170"/>
        <item x="12171"/>
        <item x="12172"/>
        <item x="12173"/>
        <item x="12174"/>
        <item x="12175"/>
        <item x="11959"/>
        <item x="12177"/>
        <item x="12178"/>
        <item x="12179"/>
        <item x="12180"/>
        <item x="12181"/>
        <item x="12182"/>
        <item x="12183"/>
        <item x="12184"/>
        <item x="12185"/>
        <item x="12186"/>
        <item x="12187"/>
        <item x="12188"/>
        <item x="12189"/>
        <item x="12190"/>
        <item x="11973"/>
        <item x="12192"/>
        <item x="12193"/>
        <item x="12194"/>
        <item x="12195"/>
        <item x="12196"/>
        <item x="12197"/>
        <item x="12198"/>
        <item x="12199"/>
        <item x="12200"/>
        <item x="12201"/>
        <item x="12202"/>
        <item x="12203"/>
        <item x="12204"/>
        <item x="11988"/>
        <item x="12206"/>
        <item x="12207"/>
        <item x="12208"/>
        <item x="12209"/>
        <item x="12210"/>
        <item x="12211"/>
        <item x="12212"/>
        <item x="12213"/>
        <item x="12214"/>
        <item x="12215"/>
        <item x="12216"/>
        <item x="12217"/>
        <item x="12218"/>
        <item x="12219"/>
        <item x="12002"/>
        <item x="12221"/>
        <item x="12222"/>
        <item x="12223"/>
        <item x="12224"/>
        <item x="12225"/>
        <item x="12226"/>
        <item x="12227"/>
        <item x="12228"/>
        <item x="12229"/>
        <item x="12230"/>
        <item x="12231"/>
        <item x="12232"/>
        <item x="12233"/>
        <item x="12017"/>
        <item x="12235"/>
        <item x="12236"/>
        <item x="12237"/>
        <item x="12238"/>
        <item x="12239"/>
        <item x="12240"/>
        <item x="12241"/>
        <item x="12242"/>
        <item x="12243"/>
        <item x="12244"/>
        <item x="12245"/>
        <item x="12246"/>
        <item x="12247"/>
        <item x="12248"/>
        <item x="12022"/>
        <item x="12023"/>
        <item x="12024"/>
        <item x="12025"/>
        <item x="12026"/>
        <item x="12027"/>
        <item x="12028"/>
        <item x="12029"/>
        <item x="12030"/>
        <item x="12031"/>
        <item x="12250"/>
        <item x="12251"/>
        <item x="12252"/>
        <item x="12253"/>
        <item x="12037"/>
        <item x="12038"/>
        <item x="12039"/>
        <item x="12040"/>
        <item x="12041"/>
        <item x="12042"/>
        <item x="12043"/>
        <item x="12044"/>
        <item x="12045"/>
        <item x="12046"/>
        <item x="12264"/>
        <item x="12265"/>
        <item x="12266"/>
        <item x="12267"/>
        <item x="12268"/>
        <item x="12292"/>
        <item x="12511"/>
        <item x="12512"/>
        <item x="12513"/>
        <item x="12514"/>
        <item x="12515"/>
        <item x="12516"/>
        <item x="12517"/>
        <item x="12518"/>
        <item x="12519"/>
        <item x="12520"/>
        <item x="12521"/>
        <item x="12522"/>
        <item x="12523"/>
        <item x="12307"/>
        <item x="12525"/>
        <item x="12526"/>
        <item x="12527"/>
        <item x="12528"/>
        <item x="12529"/>
        <item x="12530"/>
        <item x="12531"/>
        <item x="12532"/>
        <item x="12533"/>
        <item x="12534"/>
        <item x="12535"/>
        <item x="12536"/>
        <item x="12537"/>
        <item x="12538"/>
        <item x="12321"/>
        <item x="12540"/>
        <item x="12541"/>
        <item x="12542"/>
        <item x="12543"/>
        <item x="12544"/>
        <item x="12545"/>
        <item x="12546"/>
        <item x="12547"/>
        <item x="12548"/>
        <item x="12549"/>
        <item x="12550"/>
        <item x="12551"/>
        <item x="12552"/>
        <item x="12336"/>
        <item x="12554"/>
        <item x="12555"/>
        <item x="12556"/>
        <item x="12557"/>
        <item x="12558"/>
        <item x="12559"/>
        <item x="12560"/>
        <item x="12561"/>
        <item x="12562"/>
        <item x="12563"/>
        <item x="12564"/>
        <item x="12565"/>
        <item x="12566"/>
        <item x="12567"/>
        <item x="12350"/>
        <item x="12569"/>
        <item x="12570"/>
        <item x="12571"/>
        <item x="12572"/>
        <item x="12573"/>
        <item x="12574"/>
        <item x="12575"/>
        <item x="12576"/>
        <item x="12577"/>
        <item x="12578"/>
        <item x="12579"/>
        <item x="12580"/>
        <item x="12581"/>
        <item x="12133"/>
        <item x="12351"/>
        <item x="12352"/>
        <item x="12353"/>
        <item x="12354"/>
        <item x="12355"/>
        <item x="12356"/>
        <item x="12357"/>
        <item x="12358"/>
        <item x="12359"/>
        <item x="12360"/>
        <item x="12361"/>
        <item x="12362"/>
        <item x="12363"/>
        <item x="12364"/>
        <item x="12147"/>
        <item x="12366"/>
        <item x="12367"/>
        <item x="12368"/>
        <item x="12369"/>
        <item x="12370"/>
        <item x="12371"/>
        <item x="12372"/>
        <item x="12373"/>
        <item x="12374"/>
        <item x="12375"/>
        <item x="12376"/>
        <item x="12377"/>
        <item x="12378"/>
        <item x="12162"/>
        <item x="12380"/>
        <item x="12381"/>
        <item x="12382"/>
        <item x="12383"/>
        <item x="12384"/>
        <item x="12385"/>
        <item x="12386"/>
        <item x="12387"/>
        <item x="12388"/>
        <item x="12389"/>
        <item x="12390"/>
        <item x="12391"/>
        <item x="12392"/>
        <item x="12393"/>
        <item x="12176"/>
        <item x="12395"/>
        <item x="12396"/>
        <item x="12397"/>
        <item x="12398"/>
        <item x="12399"/>
        <item x="12400"/>
        <item x="12401"/>
        <item x="12402"/>
        <item x="12403"/>
        <item x="12404"/>
        <item x="12405"/>
        <item x="12406"/>
        <item x="12407"/>
        <item x="12191"/>
        <item x="12409"/>
        <item x="12410"/>
        <item x="12411"/>
        <item x="12412"/>
        <item x="12413"/>
        <item x="12414"/>
        <item x="12415"/>
        <item x="12416"/>
        <item x="12417"/>
        <item x="12418"/>
        <item x="12419"/>
        <item x="12420"/>
        <item x="12421"/>
        <item x="12422"/>
        <item x="12205"/>
        <item x="12424"/>
        <item x="12425"/>
        <item x="12426"/>
        <item x="12427"/>
        <item x="12428"/>
        <item x="12429"/>
        <item x="12430"/>
        <item x="12431"/>
        <item x="12432"/>
        <item x="12433"/>
        <item x="12434"/>
        <item x="12435"/>
        <item x="12436"/>
        <item x="12220"/>
        <item x="12438"/>
        <item x="12439"/>
        <item x="12440"/>
        <item x="12441"/>
        <item x="12442"/>
        <item x="12443"/>
        <item x="12444"/>
        <item x="12445"/>
        <item x="12446"/>
        <item x="12447"/>
        <item x="12448"/>
        <item x="12449"/>
        <item x="12450"/>
        <item x="12451"/>
        <item x="12234"/>
        <item x="12453"/>
        <item x="12454"/>
        <item x="12455"/>
        <item x="12456"/>
        <item x="12457"/>
        <item x="12458"/>
        <item x="12459"/>
        <item x="12460"/>
        <item x="12461"/>
        <item x="12462"/>
        <item x="12463"/>
        <item x="12464"/>
        <item x="12465"/>
        <item x="12249"/>
        <item x="12467"/>
        <item x="12468"/>
        <item x="12469"/>
        <item x="12470"/>
        <item x="12471"/>
        <item x="12472"/>
        <item x="12473"/>
        <item x="12474"/>
        <item x="12475"/>
        <item x="12476"/>
        <item x="12477"/>
        <item x="12478"/>
        <item x="12479"/>
        <item x="12480"/>
        <item x="12254"/>
        <item x="12255"/>
        <item x="12256"/>
        <item x="12257"/>
        <item x="12258"/>
        <item x="12259"/>
        <item x="12260"/>
        <item x="12261"/>
        <item x="12262"/>
        <item x="12263"/>
        <item x="12482"/>
        <item x="12483"/>
        <item x="12484"/>
        <item x="12485"/>
        <item x="12269"/>
        <item x="12270"/>
        <item x="12271"/>
        <item x="12272"/>
        <item x="12273"/>
        <item x="12274"/>
        <item x="12275"/>
        <item x="12276"/>
        <item x="12277"/>
        <item x="12278"/>
        <item x="12496"/>
        <item x="12497"/>
        <item x="12498"/>
        <item x="12499"/>
        <item x="12500"/>
        <item x="12524"/>
        <item x="12743"/>
        <item x="12744"/>
        <item x="12745"/>
        <item x="12746"/>
        <item x="12747"/>
        <item x="12748"/>
        <item x="12749"/>
        <item x="12750"/>
        <item x="12751"/>
        <item x="12752"/>
        <item x="12753"/>
        <item x="12754"/>
        <item x="12755"/>
        <item x="12539"/>
        <item x="12757"/>
        <item x="12758"/>
        <item x="12759"/>
        <item x="12760"/>
        <item x="12761"/>
        <item x="12762"/>
        <item x="12763"/>
        <item x="12764"/>
        <item x="12765"/>
        <item x="12766"/>
        <item x="12767"/>
        <item x="12768"/>
        <item x="12769"/>
        <item x="12770"/>
        <item x="12553"/>
        <item x="12772"/>
        <item x="12773"/>
        <item x="12774"/>
        <item x="12775"/>
        <item x="12776"/>
        <item x="12777"/>
        <item x="12778"/>
        <item x="12779"/>
        <item x="12780"/>
        <item x="12781"/>
        <item x="12782"/>
        <item x="12783"/>
        <item x="12784"/>
        <item x="12568"/>
        <item x="12786"/>
        <item x="12787"/>
        <item x="12788"/>
        <item x="12789"/>
        <item x="12790"/>
        <item x="12791"/>
        <item x="12792"/>
        <item x="12793"/>
        <item x="12794"/>
        <item x="12795"/>
        <item x="12796"/>
        <item x="12797"/>
        <item x="12798"/>
        <item x="12799"/>
        <item x="12582"/>
        <item x="12801"/>
        <item x="12802"/>
        <item x="12803"/>
        <item x="12804"/>
        <item x="12805"/>
        <item x="12806"/>
        <item x="12807"/>
        <item x="12808"/>
        <item x="12809"/>
        <item x="12810"/>
        <item x="12811"/>
        <item x="12812"/>
        <item x="12813"/>
        <item x="12365"/>
        <item x="12583"/>
        <item x="12584"/>
        <item x="12585"/>
        <item x="12586"/>
        <item x="12587"/>
        <item x="12588"/>
        <item x="12589"/>
        <item x="12590"/>
        <item x="12591"/>
        <item x="12592"/>
        <item x="12593"/>
        <item x="12594"/>
        <item x="12595"/>
        <item x="12596"/>
        <item x="12379"/>
        <item x="12598"/>
        <item x="12599"/>
        <item x="12600"/>
        <item x="12601"/>
        <item x="12602"/>
        <item x="12603"/>
        <item x="12604"/>
        <item x="12605"/>
        <item x="12606"/>
        <item x="12607"/>
        <item x="12608"/>
        <item x="12609"/>
        <item x="12610"/>
        <item x="12394"/>
        <item x="12612"/>
        <item x="12613"/>
        <item x="12614"/>
        <item x="12615"/>
        <item x="12616"/>
        <item x="12617"/>
        <item x="12618"/>
        <item x="12619"/>
        <item x="12620"/>
        <item x="12621"/>
        <item x="12622"/>
        <item x="12623"/>
        <item x="12624"/>
        <item x="12625"/>
        <item x="12408"/>
        <item x="12627"/>
        <item x="12628"/>
        <item x="12629"/>
        <item x="12630"/>
        <item x="12631"/>
        <item x="12632"/>
        <item x="12633"/>
        <item x="12634"/>
        <item x="12635"/>
        <item x="12636"/>
        <item x="12637"/>
        <item x="12638"/>
        <item x="12639"/>
        <item x="12423"/>
        <item x="12641"/>
        <item x="12642"/>
        <item x="12643"/>
        <item x="12644"/>
        <item x="12645"/>
        <item x="12646"/>
        <item x="12647"/>
        <item x="12648"/>
        <item x="12649"/>
        <item x="12650"/>
        <item x="12651"/>
        <item x="12652"/>
        <item x="12653"/>
        <item x="12654"/>
        <item x="12437"/>
        <item x="12656"/>
        <item x="12657"/>
        <item x="12658"/>
        <item x="12659"/>
        <item x="12660"/>
        <item x="12661"/>
        <item x="12662"/>
        <item x="12663"/>
        <item x="12664"/>
        <item x="12665"/>
        <item x="12666"/>
        <item x="12667"/>
        <item x="12668"/>
        <item x="12452"/>
        <item x="12670"/>
        <item x="12671"/>
        <item x="12672"/>
        <item x="12673"/>
        <item x="12674"/>
        <item x="12675"/>
        <item x="12676"/>
        <item x="12677"/>
        <item x="12678"/>
        <item x="12679"/>
        <item x="12680"/>
        <item x="12681"/>
        <item x="12682"/>
        <item x="12683"/>
        <item x="12466"/>
        <item x="12685"/>
        <item x="12686"/>
        <item x="12687"/>
        <item x="12688"/>
        <item x="12689"/>
        <item x="12690"/>
        <item x="12691"/>
        <item x="12692"/>
        <item x="12693"/>
        <item x="12694"/>
        <item x="12695"/>
        <item x="12696"/>
        <item x="12697"/>
        <item x="12481"/>
        <item x="12699"/>
        <item x="12700"/>
        <item x="12701"/>
        <item x="12702"/>
        <item x="12703"/>
        <item x="12704"/>
        <item x="12705"/>
        <item x="12706"/>
        <item x="12707"/>
        <item x="12708"/>
        <item x="12709"/>
        <item x="12710"/>
        <item x="12711"/>
        <item x="12712"/>
        <item x="12486"/>
        <item x="12487"/>
        <item x="12488"/>
        <item x="12489"/>
        <item x="12490"/>
        <item x="12491"/>
        <item x="12492"/>
        <item x="12493"/>
        <item x="12494"/>
        <item x="12495"/>
        <item x="12714"/>
        <item x="12715"/>
        <item x="12716"/>
        <item x="12717"/>
        <item x="12501"/>
        <item x="12502"/>
        <item x="12503"/>
        <item x="12504"/>
        <item x="12505"/>
        <item x="12506"/>
        <item x="12507"/>
        <item x="12508"/>
        <item x="12509"/>
        <item x="12510"/>
        <item x="12728"/>
        <item x="12729"/>
        <item x="12730"/>
        <item x="12731"/>
        <item x="12732"/>
        <item x="12756"/>
        <item x="12975"/>
        <item x="12976"/>
        <item x="12977"/>
        <item x="12978"/>
        <item x="12979"/>
        <item x="12980"/>
        <item x="12981"/>
        <item x="12982"/>
        <item x="12983"/>
        <item x="12984"/>
        <item x="12985"/>
        <item x="12986"/>
        <item x="12987"/>
        <item x="12771"/>
        <item x="12989"/>
        <item x="12990"/>
        <item x="12991"/>
        <item x="12992"/>
        <item x="12993"/>
        <item x="12994"/>
        <item x="12995"/>
        <item x="12996"/>
        <item x="12997"/>
        <item x="12998"/>
        <item x="12999"/>
        <item x="13000"/>
        <item x="13001"/>
        <item x="13002"/>
        <item x="12785"/>
        <item x="13004"/>
        <item x="13005"/>
        <item x="13006"/>
        <item x="13007"/>
        <item x="13008"/>
        <item x="13009"/>
        <item x="13010"/>
        <item x="13011"/>
        <item x="13012"/>
        <item x="13013"/>
        <item x="13014"/>
        <item x="13015"/>
        <item x="13016"/>
        <item x="12800"/>
        <item x="13018"/>
        <item x="13019"/>
        <item x="13020"/>
        <item x="13021"/>
        <item x="13022"/>
        <item x="13023"/>
        <item x="13024"/>
        <item x="13025"/>
        <item x="13026"/>
        <item x="13027"/>
        <item x="13028"/>
        <item x="13029"/>
        <item x="13030"/>
        <item x="13031"/>
        <item x="12814"/>
        <item x="13033"/>
        <item x="13034"/>
        <item x="13035"/>
        <item x="13036"/>
        <item x="13037"/>
        <item x="13038"/>
        <item x="13039"/>
        <item x="13040"/>
        <item x="13041"/>
        <item x="13042"/>
        <item x="13043"/>
        <item x="13044"/>
        <item x="13045"/>
        <item x="12597"/>
        <item x="12815"/>
        <item x="12816"/>
        <item x="12817"/>
        <item x="12818"/>
        <item x="12819"/>
        <item x="12820"/>
        <item x="12821"/>
        <item x="12822"/>
        <item x="12823"/>
        <item x="12824"/>
        <item x="12825"/>
        <item x="12826"/>
        <item x="12827"/>
        <item x="12828"/>
        <item x="12611"/>
        <item x="12830"/>
        <item x="12831"/>
        <item x="12832"/>
        <item x="12833"/>
        <item x="12834"/>
        <item x="12835"/>
        <item x="12836"/>
        <item x="12837"/>
        <item x="12838"/>
        <item x="12839"/>
        <item x="12840"/>
        <item x="12841"/>
        <item x="12842"/>
        <item x="12626"/>
        <item x="12844"/>
        <item x="12845"/>
        <item x="12846"/>
        <item x="12847"/>
        <item x="12848"/>
        <item x="12849"/>
        <item x="12850"/>
        <item x="12851"/>
        <item x="12852"/>
        <item x="12853"/>
        <item x="12854"/>
        <item x="12855"/>
        <item x="12856"/>
        <item x="12857"/>
        <item x="12640"/>
        <item x="12859"/>
        <item x="12860"/>
        <item x="12861"/>
        <item x="12862"/>
        <item x="12863"/>
        <item x="12864"/>
        <item x="12865"/>
        <item x="12866"/>
        <item x="12867"/>
        <item x="12868"/>
        <item x="12869"/>
        <item x="12870"/>
        <item x="12871"/>
        <item x="12655"/>
        <item x="12873"/>
        <item x="12874"/>
        <item x="12875"/>
        <item x="12876"/>
        <item x="12877"/>
        <item x="12878"/>
        <item x="12879"/>
        <item x="12880"/>
        <item x="12881"/>
        <item x="12882"/>
        <item x="12883"/>
        <item x="12884"/>
        <item x="12885"/>
        <item x="12886"/>
        <item x="12669"/>
        <item x="12888"/>
        <item x="12889"/>
        <item x="12890"/>
        <item x="12891"/>
        <item x="12892"/>
        <item x="12893"/>
        <item x="12894"/>
        <item x="12895"/>
        <item x="12896"/>
        <item x="12897"/>
        <item x="12898"/>
        <item x="12899"/>
        <item x="12900"/>
        <item x="12684"/>
        <item x="12902"/>
        <item x="12903"/>
        <item x="12904"/>
        <item x="12905"/>
        <item x="12906"/>
        <item x="12907"/>
        <item x="12908"/>
        <item x="12909"/>
        <item x="12910"/>
        <item x="12911"/>
        <item x="12912"/>
        <item x="12913"/>
        <item x="12914"/>
        <item x="12915"/>
        <item x="12698"/>
        <item x="12917"/>
        <item x="12918"/>
        <item x="12919"/>
        <item x="12920"/>
        <item x="12921"/>
        <item x="12922"/>
        <item x="12923"/>
        <item x="12924"/>
        <item x="12925"/>
        <item x="12926"/>
        <item x="12927"/>
        <item x="12928"/>
        <item x="12929"/>
        <item x="12713"/>
        <item x="12931"/>
        <item x="12932"/>
        <item x="12933"/>
        <item x="12934"/>
        <item x="12935"/>
        <item x="12936"/>
        <item x="12937"/>
        <item x="12938"/>
        <item x="12939"/>
        <item x="12940"/>
        <item x="12941"/>
        <item x="12942"/>
        <item x="12943"/>
        <item x="12944"/>
        <item x="12718"/>
        <item x="12719"/>
        <item x="12720"/>
        <item x="12721"/>
        <item x="12722"/>
        <item x="12723"/>
        <item x="12724"/>
        <item x="12725"/>
        <item x="12726"/>
        <item x="12727"/>
        <item x="12946"/>
        <item x="12947"/>
        <item x="12948"/>
        <item x="12949"/>
        <item x="12733"/>
        <item x="12734"/>
        <item x="12735"/>
        <item x="12736"/>
        <item x="12737"/>
        <item x="12738"/>
        <item x="12739"/>
        <item x="12740"/>
        <item x="12741"/>
        <item x="12742"/>
        <item x="12960"/>
        <item x="12961"/>
        <item x="12962"/>
        <item x="12963"/>
        <item x="12964"/>
        <item x="12988"/>
        <item x="13207"/>
        <item x="13208"/>
        <item x="13209"/>
        <item x="13210"/>
        <item x="13211"/>
        <item x="13212"/>
        <item x="13213"/>
        <item x="13214"/>
        <item x="13215"/>
        <item x="13216"/>
        <item x="13217"/>
        <item x="13218"/>
        <item x="13219"/>
        <item x="13003"/>
        <item x="13221"/>
        <item x="13222"/>
        <item x="13223"/>
        <item x="13224"/>
        <item x="13225"/>
        <item x="13226"/>
        <item x="13227"/>
        <item x="13228"/>
        <item x="13229"/>
        <item x="13230"/>
        <item x="13231"/>
        <item x="13232"/>
        <item x="13233"/>
        <item x="13234"/>
        <item x="13017"/>
        <item x="13236"/>
        <item x="13237"/>
        <item x="13238"/>
        <item x="13239"/>
        <item x="13240"/>
        <item x="13241"/>
        <item x="13242"/>
        <item x="13243"/>
        <item x="13244"/>
        <item x="13245"/>
        <item x="13246"/>
        <item x="13247"/>
        <item x="13248"/>
        <item x="13032"/>
        <item x="13250"/>
        <item x="13251"/>
        <item x="13252"/>
        <item x="13253"/>
        <item x="13254"/>
        <item x="13255"/>
        <item x="13256"/>
        <item x="13257"/>
        <item x="13258"/>
        <item x="13259"/>
        <item x="13260"/>
        <item x="13261"/>
        <item x="13262"/>
        <item x="13263"/>
        <item x="13046"/>
        <item x="13265"/>
        <item x="13266"/>
        <item x="13267"/>
        <item x="13268"/>
        <item x="13269"/>
        <item x="13270"/>
        <item x="13271"/>
        <item x="13272"/>
        <item x="13273"/>
        <item x="13274"/>
        <item x="13275"/>
        <item x="13276"/>
        <item x="13277"/>
        <item x="12829"/>
        <item x="13047"/>
        <item x="13048"/>
        <item x="13049"/>
        <item x="13050"/>
        <item x="13051"/>
        <item x="13052"/>
        <item x="13053"/>
        <item x="13054"/>
        <item x="13055"/>
        <item x="13056"/>
        <item x="13057"/>
        <item x="13058"/>
        <item x="13059"/>
        <item x="13060"/>
        <item x="12843"/>
        <item x="13062"/>
        <item x="13063"/>
        <item x="13064"/>
        <item x="13065"/>
        <item x="13066"/>
        <item x="13067"/>
        <item x="13068"/>
        <item x="13069"/>
        <item x="13070"/>
        <item x="13071"/>
        <item x="13072"/>
        <item x="13073"/>
        <item x="13074"/>
        <item x="12858"/>
        <item x="13076"/>
        <item x="13077"/>
        <item x="13078"/>
        <item x="13079"/>
        <item x="13080"/>
        <item x="13081"/>
        <item x="13082"/>
        <item x="13083"/>
        <item x="13084"/>
        <item x="13085"/>
        <item x="13086"/>
        <item x="13087"/>
        <item x="13088"/>
        <item x="13089"/>
        <item x="12872"/>
        <item x="13091"/>
        <item x="13092"/>
        <item x="13093"/>
        <item x="13094"/>
        <item x="13095"/>
        <item x="13096"/>
        <item x="13097"/>
        <item x="13098"/>
        <item x="13099"/>
        <item x="13100"/>
        <item x="13101"/>
        <item x="13102"/>
        <item x="13103"/>
        <item x="12887"/>
        <item x="13105"/>
        <item x="13106"/>
        <item x="13107"/>
        <item x="13108"/>
        <item x="13109"/>
        <item x="13110"/>
        <item x="13111"/>
        <item x="13112"/>
        <item x="13113"/>
        <item x="13114"/>
        <item x="13115"/>
        <item x="13116"/>
        <item x="13117"/>
        <item x="13118"/>
        <item x="12901"/>
        <item x="13120"/>
        <item x="13121"/>
        <item x="13122"/>
        <item x="13123"/>
        <item x="13124"/>
        <item x="13125"/>
        <item x="13126"/>
        <item x="13127"/>
        <item x="13128"/>
        <item x="13129"/>
        <item x="13130"/>
        <item x="13131"/>
        <item x="13132"/>
        <item x="12916"/>
        <item x="13134"/>
        <item x="13135"/>
        <item x="13136"/>
        <item x="13137"/>
        <item x="13138"/>
        <item x="13139"/>
        <item x="13140"/>
        <item x="13141"/>
        <item x="13142"/>
        <item x="13143"/>
        <item x="13144"/>
        <item x="13145"/>
        <item x="13146"/>
        <item x="13147"/>
        <item x="12930"/>
        <item x="13149"/>
        <item x="13150"/>
        <item x="13151"/>
        <item x="13152"/>
        <item x="13153"/>
        <item x="13154"/>
        <item x="13155"/>
        <item x="13156"/>
        <item x="13157"/>
        <item x="13158"/>
        <item x="13159"/>
        <item x="13160"/>
        <item x="13161"/>
        <item x="12945"/>
        <item x="13163"/>
        <item x="13164"/>
        <item x="13165"/>
        <item x="13166"/>
        <item x="13167"/>
        <item x="13168"/>
        <item x="13169"/>
        <item x="13170"/>
        <item x="13171"/>
        <item x="13172"/>
        <item x="13173"/>
        <item x="13174"/>
        <item x="13175"/>
        <item x="13176"/>
        <item x="12950"/>
        <item x="12951"/>
        <item x="12952"/>
        <item x="12953"/>
        <item x="12954"/>
        <item x="12955"/>
        <item x="12956"/>
        <item x="12957"/>
        <item x="12958"/>
        <item x="12959"/>
        <item x="13178"/>
        <item x="13179"/>
        <item x="13180"/>
        <item x="13181"/>
        <item x="12965"/>
        <item x="12966"/>
        <item x="12967"/>
        <item x="12968"/>
        <item x="12969"/>
        <item x="12970"/>
        <item x="12971"/>
        <item x="12972"/>
        <item x="12973"/>
        <item x="12974"/>
        <item x="13192"/>
        <item x="13193"/>
        <item x="13194"/>
        <item x="13195"/>
        <item x="13196"/>
        <item x="13220"/>
        <item x="13439"/>
        <item x="13440"/>
        <item x="13441"/>
        <item x="13442"/>
        <item x="13443"/>
        <item x="13444"/>
        <item x="13445"/>
        <item x="13446"/>
        <item x="13447"/>
        <item x="13448"/>
        <item x="13449"/>
        <item x="13450"/>
        <item x="13451"/>
        <item x="13235"/>
        <item x="13453"/>
        <item x="13454"/>
        <item x="13455"/>
        <item x="13456"/>
        <item x="13457"/>
        <item x="13458"/>
        <item x="13459"/>
        <item x="13460"/>
        <item x="13461"/>
        <item x="13462"/>
        <item x="13463"/>
        <item x="13464"/>
        <item x="13465"/>
        <item x="13466"/>
        <item x="13249"/>
        <item x="13468"/>
        <item x="13469"/>
        <item x="13470"/>
        <item x="13471"/>
        <item x="13472"/>
        <item x="13473"/>
        <item x="13474"/>
        <item x="13475"/>
        <item x="13476"/>
        <item x="13477"/>
        <item x="13478"/>
        <item x="13479"/>
        <item x="13480"/>
        <item x="13264"/>
        <item x="13482"/>
        <item x="13483"/>
        <item x="13484"/>
        <item x="13485"/>
        <item x="13486"/>
        <item x="13487"/>
        <item x="13488"/>
        <item x="13489"/>
        <item x="13490"/>
        <item x="13491"/>
        <item x="13492"/>
        <item x="13493"/>
        <item x="13494"/>
        <item x="13495"/>
        <item x="13278"/>
        <item x="13497"/>
        <item x="13498"/>
        <item x="13499"/>
        <item x="13500"/>
        <item x="13501"/>
        <item x="13502"/>
        <item x="13503"/>
        <item x="13504"/>
        <item x="13505"/>
        <item x="13506"/>
        <item x="13507"/>
        <item x="13508"/>
        <item x="13509"/>
        <item x="13061"/>
        <item x="13279"/>
        <item x="13280"/>
        <item x="13281"/>
        <item x="13282"/>
        <item x="13283"/>
        <item x="13284"/>
        <item x="13285"/>
        <item x="13286"/>
        <item x="13287"/>
        <item x="13288"/>
        <item x="13289"/>
        <item x="13290"/>
        <item x="13291"/>
        <item x="13292"/>
        <item x="13075"/>
        <item x="13294"/>
        <item x="13295"/>
        <item x="13296"/>
        <item x="13297"/>
        <item x="13298"/>
        <item x="13299"/>
        <item x="13300"/>
        <item x="13301"/>
        <item x="13302"/>
        <item x="13303"/>
        <item x="13304"/>
        <item x="13305"/>
        <item x="13306"/>
        <item x="13090"/>
        <item x="13308"/>
        <item x="13309"/>
        <item x="13310"/>
        <item x="13311"/>
        <item x="13312"/>
        <item x="13313"/>
        <item x="13314"/>
        <item x="13315"/>
        <item x="13316"/>
        <item x="13317"/>
        <item x="13318"/>
        <item x="13319"/>
        <item x="13320"/>
        <item x="13321"/>
        <item x="13104"/>
        <item x="13323"/>
        <item x="13324"/>
        <item x="13325"/>
        <item x="13326"/>
        <item x="13327"/>
        <item x="13328"/>
        <item x="13329"/>
        <item x="13330"/>
        <item x="13331"/>
        <item x="13332"/>
        <item x="13333"/>
        <item x="13334"/>
        <item x="13335"/>
        <item x="13119"/>
        <item x="13337"/>
        <item x="13338"/>
        <item x="13339"/>
        <item x="13340"/>
        <item x="13341"/>
        <item x="13342"/>
        <item x="13343"/>
        <item x="13344"/>
        <item x="13345"/>
        <item x="13346"/>
        <item x="13347"/>
        <item x="13348"/>
        <item x="13349"/>
        <item x="13350"/>
        <item x="13133"/>
        <item x="13352"/>
        <item x="13353"/>
        <item x="13354"/>
        <item x="13355"/>
        <item x="13356"/>
        <item x="13357"/>
        <item x="13358"/>
        <item x="13359"/>
        <item x="13360"/>
        <item x="13361"/>
        <item x="13362"/>
        <item x="13363"/>
        <item x="13364"/>
        <item x="13148"/>
        <item x="13366"/>
        <item x="13367"/>
        <item x="13368"/>
        <item x="13369"/>
        <item x="13370"/>
        <item x="13371"/>
        <item x="13372"/>
        <item x="13373"/>
        <item x="13374"/>
        <item x="13375"/>
        <item x="13376"/>
        <item x="13377"/>
        <item x="13378"/>
        <item x="13379"/>
        <item x="13162"/>
        <item x="13381"/>
        <item x="13382"/>
        <item x="13383"/>
        <item x="13384"/>
        <item x="13385"/>
        <item x="13386"/>
        <item x="13387"/>
        <item x="13388"/>
        <item x="13389"/>
        <item x="13390"/>
        <item x="13391"/>
        <item x="13392"/>
        <item x="13393"/>
        <item x="13177"/>
        <item x="13395"/>
        <item x="13396"/>
        <item x="13397"/>
        <item x="13398"/>
        <item x="13399"/>
        <item x="13400"/>
        <item x="13401"/>
        <item x="13402"/>
        <item x="13403"/>
        <item x="13404"/>
        <item x="13405"/>
        <item x="13406"/>
        <item x="13407"/>
        <item x="13408"/>
        <item x="13182"/>
        <item x="13183"/>
        <item x="13184"/>
        <item x="13185"/>
        <item x="13186"/>
        <item x="13187"/>
        <item x="13188"/>
        <item x="13189"/>
        <item x="13190"/>
        <item x="13191"/>
        <item x="13410"/>
        <item x="13411"/>
        <item x="13412"/>
        <item x="13413"/>
        <item x="13197"/>
        <item x="13198"/>
        <item x="13199"/>
        <item x="13200"/>
        <item x="13201"/>
        <item x="13202"/>
        <item x="13203"/>
        <item x="13204"/>
        <item x="13205"/>
        <item x="13206"/>
        <item x="13424"/>
        <item x="13425"/>
        <item x="13426"/>
        <item x="13427"/>
        <item x="13428"/>
        <item x="13452"/>
        <item x="13671"/>
        <item x="13672"/>
        <item x="13673"/>
        <item x="13674"/>
        <item x="13675"/>
        <item x="13676"/>
        <item x="13677"/>
        <item x="13678"/>
        <item x="13679"/>
        <item x="13680"/>
        <item x="13681"/>
        <item x="13682"/>
        <item x="13683"/>
        <item x="13467"/>
        <item x="13685"/>
        <item x="13686"/>
        <item x="13687"/>
        <item x="13688"/>
        <item x="13689"/>
        <item x="13690"/>
        <item x="13691"/>
        <item x="13692"/>
        <item x="13693"/>
        <item x="13694"/>
        <item x="13695"/>
        <item x="13696"/>
        <item x="13697"/>
        <item x="13698"/>
        <item x="13481"/>
        <item x="13700"/>
        <item x="13701"/>
        <item x="13702"/>
        <item x="13703"/>
        <item x="13704"/>
        <item x="13705"/>
        <item x="13706"/>
        <item x="13707"/>
        <item x="13708"/>
        <item x="13709"/>
        <item x="13710"/>
        <item x="13711"/>
        <item x="13712"/>
        <item x="13496"/>
        <item x="13714"/>
        <item x="13715"/>
        <item x="13716"/>
        <item x="13717"/>
        <item x="13718"/>
        <item x="13719"/>
        <item x="13720"/>
        <item x="13721"/>
        <item x="13722"/>
        <item x="13723"/>
        <item x="13724"/>
        <item x="13725"/>
        <item x="13726"/>
        <item x="13727"/>
        <item x="13510"/>
        <item x="13729"/>
        <item x="13730"/>
        <item x="13731"/>
        <item x="13732"/>
        <item x="13733"/>
        <item x="13734"/>
        <item x="13735"/>
        <item x="13736"/>
        <item x="13737"/>
        <item x="13738"/>
        <item x="13739"/>
        <item x="13740"/>
        <item x="13741"/>
        <item x="13293"/>
        <item x="13511"/>
        <item x="13512"/>
        <item x="13513"/>
        <item x="13514"/>
        <item x="13515"/>
        <item x="13516"/>
        <item x="13517"/>
        <item x="13518"/>
        <item x="13519"/>
        <item x="13520"/>
        <item x="13521"/>
        <item x="13522"/>
        <item x="13523"/>
        <item x="13524"/>
        <item x="13307"/>
        <item x="13526"/>
        <item x="13527"/>
        <item x="13528"/>
        <item x="13529"/>
        <item x="13530"/>
        <item x="13531"/>
        <item x="13532"/>
        <item x="13533"/>
        <item x="13534"/>
        <item x="13535"/>
        <item x="13536"/>
        <item x="13537"/>
        <item x="13538"/>
        <item x="13322"/>
        <item x="13540"/>
        <item x="13541"/>
        <item x="13542"/>
        <item x="13543"/>
        <item x="13544"/>
        <item x="13545"/>
        <item x="13546"/>
        <item x="13547"/>
        <item x="13548"/>
        <item x="13549"/>
        <item x="13550"/>
        <item x="13551"/>
        <item x="13552"/>
        <item x="13553"/>
        <item x="13336"/>
        <item x="13555"/>
        <item x="13556"/>
        <item x="13557"/>
        <item x="13558"/>
        <item x="13559"/>
        <item x="13560"/>
        <item x="13561"/>
        <item x="13562"/>
        <item x="13563"/>
        <item x="13564"/>
        <item x="13565"/>
        <item x="13566"/>
        <item x="13567"/>
        <item x="13351"/>
        <item x="13569"/>
        <item x="13570"/>
        <item x="13571"/>
        <item x="13572"/>
        <item x="13573"/>
        <item x="13574"/>
        <item x="13575"/>
        <item x="13576"/>
        <item x="13577"/>
        <item x="13578"/>
        <item x="13579"/>
        <item x="13580"/>
        <item x="13581"/>
        <item x="13582"/>
        <item x="13365"/>
        <item x="13584"/>
        <item x="13585"/>
        <item x="13586"/>
        <item x="13587"/>
        <item x="13588"/>
        <item x="13589"/>
        <item x="13590"/>
        <item x="13591"/>
        <item x="13592"/>
        <item x="13593"/>
        <item x="13594"/>
        <item x="13595"/>
        <item x="13596"/>
        <item x="13380"/>
        <item x="13598"/>
        <item x="13599"/>
        <item x="13600"/>
        <item x="13601"/>
        <item x="13602"/>
        <item x="13603"/>
        <item x="13604"/>
        <item x="13605"/>
        <item x="13606"/>
        <item x="13607"/>
        <item x="13608"/>
        <item x="13609"/>
        <item x="13610"/>
        <item x="13611"/>
        <item x="13394"/>
        <item x="13613"/>
        <item x="13614"/>
        <item x="13615"/>
        <item x="13616"/>
        <item x="13617"/>
        <item x="13618"/>
        <item x="13619"/>
        <item x="13620"/>
        <item x="13621"/>
        <item x="13622"/>
        <item x="13623"/>
        <item x="13624"/>
        <item x="13625"/>
        <item x="13409"/>
        <item x="13627"/>
        <item x="13628"/>
        <item x="13629"/>
        <item x="13630"/>
        <item x="13631"/>
        <item x="13632"/>
        <item x="13633"/>
        <item x="13634"/>
        <item x="13635"/>
        <item x="13636"/>
        <item x="13637"/>
        <item x="13638"/>
        <item x="13639"/>
        <item x="13640"/>
        <item x="13414"/>
        <item x="13415"/>
        <item x="13416"/>
        <item x="13417"/>
        <item x="13418"/>
        <item x="13419"/>
        <item x="13420"/>
        <item x="13421"/>
        <item x="13422"/>
        <item x="13423"/>
        <item x="13642"/>
        <item x="13643"/>
        <item x="13644"/>
        <item x="13645"/>
        <item x="13429"/>
        <item x="13430"/>
        <item x="13431"/>
        <item x="13432"/>
        <item x="13433"/>
        <item x="13434"/>
        <item x="13435"/>
        <item x="13436"/>
        <item x="13437"/>
        <item x="13438"/>
        <item x="13656"/>
        <item x="13657"/>
        <item x="13658"/>
        <item x="13659"/>
        <item x="13660"/>
        <item x="13684"/>
        <item x="13882"/>
        <item x="13883"/>
        <item x="13884"/>
        <item x="13885"/>
        <item x="13886"/>
        <item x="13887"/>
        <item x="13888"/>
        <item x="13889"/>
        <item x="13890"/>
        <item x="13891"/>
        <item x="13892"/>
        <item x="13893"/>
        <item x="13894"/>
        <item x="13699"/>
        <item x="13896"/>
        <item x="13897"/>
        <item x="13898"/>
        <item x="13899"/>
        <item x="13900"/>
        <item x="13901"/>
        <item x="13902"/>
        <item x="13903"/>
        <item x="13904"/>
        <item x="13905"/>
        <item x="13906"/>
        <item x="13907"/>
        <item x="13908"/>
        <item x="13909"/>
        <item x="13713"/>
        <item x="13911"/>
        <item x="13912"/>
        <item x="13913"/>
        <item x="13914"/>
        <item x="13915"/>
        <item x="13916"/>
        <item x="13917"/>
        <item x="13918"/>
        <item x="13919"/>
        <item x="13920"/>
        <item x="13921"/>
        <item x="13922"/>
        <item x="13923"/>
        <item x="13728"/>
        <item x="13925"/>
        <item x="13926"/>
        <item x="13927"/>
        <item x="13928"/>
        <item x="13929"/>
        <item x="13930"/>
        <item x="13931"/>
        <item x="13932"/>
        <item x="13933"/>
        <item x="13934"/>
        <item x="13935"/>
        <item x="13936"/>
        <item x="13937"/>
        <item x="13938"/>
        <item x="13742"/>
        <item x="13940"/>
        <item x="13941"/>
        <item x="13942"/>
        <item x="13943"/>
        <item x="13944"/>
        <item x="13945"/>
        <item x="13946"/>
        <item x="13947"/>
        <item x="13948"/>
        <item x="13949"/>
        <item x="13950"/>
        <item x="13951"/>
        <item x="13952"/>
        <item x="13525"/>
        <item x="13743"/>
        <item x="13744"/>
        <item x="13745"/>
        <item x="13746"/>
        <item x="13747"/>
        <item x="13748"/>
        <item x="13749"/>
        <item x="13750"/>
        <item x="13751"/>
        <item x="13752"/>
        <item x="13753"/>
        <item x="13754"/>
        <item x="13755"/>
        <item x="13756"/>
        <item x="13539"/>
        <item x="13758"/>
        <item x="13759"/>
        <item x="13760"/>
        <item x="13761"/>
        <item x="13762"/>
        <item x="13763"/>
        <item x="13764"/>
        <item x="13765"/>
        <item x="13766"/>
        <item x="13767"/>
        <item x="13768"/>
        <item x="13769"/>
        <item x="13770"/>
        <item x="13554"/>
        <item x="13772"/>
        <item x="13773"/>
        <item x="13774"/>
        <item x="13775"/>
        <item x="13776"/>
        <item x="13777"/>
        <item x="13778"/>
        <item x="13779"/>
        <item x="13780"/>
        <item x="13781"/>
        <item x="13782"/>
        <item x="13783"/>
        <item x="13784"/>
        <item x="13785"/>
        <item x="13568"/>
        <item x="13787"/>
        <item x="13788"/>
        <item x="13789"/>
        <item x="13790"/>
        <item x="13791"/>
        <item x="13792"/>
        <item x="13793"/>
        <item x="13794"/>
        <item x="13795"/>
        <item x="13796"/>
        <item x="13797"/>
        <item x="13798"/>
        <item x="13799"/>
        <item x="13583"/>
        <item x="13801"/>
        <item x="13802"/>
        <item x="13803"/>
        <item x="13804"/>
        <item x="13805"/>
        <item x="13806"/>
        <item x="13807"/>
        <item x="13808"/>
        <item x="13809"/>
        <item x="13810"/>
        <item x="13811"/>
        <item x="13812"/>
        <item x="13813"/>
        <item x="13814"/>
        <item x="13597"/>
        <item x="13816"/>
        <item x="13817"/>
        <item x="13818"/>
        <item x="13819"/>
        <item x="13820"/>
        <item x="13821"/>
        <item x="13822"/>
        <item x="13823"/>
        <item x="13824"/>
        <item x="13825"/>
        <item x="13826"/>
        <item x="13827"/>
        <item x="13828"/>
        <item x="13612"/>
        <item x="13830"/>
        <item x="13831"/>
        <item x="13832"/>
        <item x="13833"/>
        <item x="13834"/>
        <item x="13835"/>
        <item x="13836"/>
        <item x="13837"/>
        <item x="13838"/>
        <item x="13839"/>
        <item x="13840"/>
        <item x="13841"/>
        <item x="13842"/>
        <item x="13843"/>
        <item x="13626"/>
        <item x="13845"/>
        <item x="13846"/>
        <item x="13847"/>
        <item x="13848"/>
        <item x="13849"/>
        <item x="13850"/>
        <item x="13851"/>
        <item x="13852"/>
        <item x="13853"/>
        <item x="13854"/>
        <item x="13855"/>
        <item x="13856"/>
        <item x="13857"/>
        <item x="13641"/>
        <item x="13859"/>
        <item x="13860"/>
        <item x="13861"/>
        <item x="13862"/>
        <item x="13863"/>
        <item x="13864"/>
        <item x="13865"/>
        <item x="13866"/>
        <item x="13867"/>
        <item x="13868"/>
        <item x="13869"/>
        <item x="13870"/>
        <item x="13871"/>
        <item x="13872"/>
        <item x="13646"/>
        <item x="13647"/>
        <item x="13648"/>
        <item x="13649"/>
        <item x="13650"/>
        <item x="13651"/>
        <item x="13652"/>
        <item x="13653"/>
        <item x="13654"/>
        <item x="13655"/>
        <item x="13873"/>
        <item x="13874"/>
        <item x="13875"/>
        <item x="13876"/>
        <item x="13661"/>
        <item x="13662"/>
        <item x="13663"/>
        <item x="13664"/>
        <item x="13665"/>
        <item x="13666"/>
        <item x="13667"/>
        <item x="13668"/>
        <item x="13669"/>
        <item x="13670"/>
        <item x="13877"/>
        <item x="13878"/>
        <item x="13879"/>
        <item x="13880"/>
        <item x="13881"/>
        <item x="13895"/>
        <item x="14092"/>
        <item x="14093"/>
        <item x="14094"/>
        <item x="14095"/>
        <item x="14096"/>
        <item x="14097"/>
        <item x="14098"/>
        <item x="14099"/>
        <item x="14100"/>
        <item x="14101"/>
        <item x="14102"/>
        <item x="14103"/>
        <item x="14104"/>
        <item x="13910"/>
        <item x="14105"/>
        <item x="14106"/>
        <item x="14107"/>
        <item x="14108"/>
        <item x="14109"/>
        <item x="14110"/>
        <item x="14111"/>
        <item x="14112"/>
        <item x="14113"/>
        <item x="14114"/>
        <item x="14115"/>
        <item x="14116"/>
        <item x="14117"/>
        <item x="14118"/>
        <item x="13924"/>
        <item x="14119"/>
        <item x="14120"/>
        <item x="14121"/>
        <item x="14122"/>
        <item x="14123"/>
        <item x="14124"/>
        <item x="14125"/>
        <item x="14126"/>
        <item x="14127"/>
        <item x="14128"/>
        <item x="14129"/>
        <item x="14130"/>
        <item x="14131"/>
        <item x="13939"/>
        <item x="14132"/>
        <item x="14133"/>
        <item x="14134"/>
        <item x="14135"/>
        <item x="14136"/>
        <item x="14137"/>
        <item x="14138"/>
        <item x="14139"/>
        <item x="14140"/>
        <item x="14141"/>
        <item x="14142"/>
        <item x="14143"/>
        <item x="14144"/>
        <item x="14145"/>
        <item x="13953"/>
        <item x="14146"/>
        <item x="14147"/>
        <item x="14148"/>
        <item x="14149"/>
        <item x="14150"/>
        <item x="14151"/>
        <item x="14152"/>
        <item x="14153"/>
        <item x="14154"/>
        <item x="14155"/>
        <item x="14156"/>
        <item x="14157"/>
        <item x="14158"/>
        <item x="13757"/>
        <item x="13954"/>
        <item x="13955"/>
        <item x="13956"/>
        <item x="13957"/>
        <item x="13958"/>
        <item x="13959"/>
        <item x="13960"/>
        <item x="13961"/>
        <item x="13962"/>
        <item x="13963"/>
        <item x="13964"/>
        <item x="13965"/>
        <item x="13966"/>
        <item x="13967"/>
        <item x="13771"/>
        <item x="13969"/>
        <item x="13970"/>
        <item x="13971"/>
        <item x="13972"/>
        <item x="13973"/>
        <item x="13974"/>
        <item x="13975"/>
        <item x="13976"/>
        <item x="13977"/>
        <item x="13978"/>
        <item x="13979"/>
        <item x="13980"/>
        <item x="13981"/>
        <item x="13786"/>
        <item x="13983"/>
        <item x="13984"/>
        <item x="13985"/>
        <item x="13986"/>
        <item x="13987"/>
        <item x="13988"/>
        <item x="13989"/>
        <item x="13990"/>
        <item x="13991"/>
        <item x="13992"/>
        <item x="13993"/>
        <item x="13994"/>
        <item x="13995"/>
        <item x="13996"/>
        <item x="13800"/>
        <item x="13998"/>
        <item x="13999"/>
        <item x="14000"/>
        <item x="14001"/>
        <item x="14002"/>
        <item x="14003"/>
        <item x="14004"/>
        <item x="14005"/>
        <item x="14006"/>
        <item x="14007"/>
        <item x="14008"/>
        <item x="14009"/>
        <item x="14010"/>
        <item x="13815"/>
        <item x="14012"/>
        <item x="14013"/>
        <item x="14014"/>
        <item x="14015"/>
        <item x="14016"/>
        <item x="14017"/>
        <item x="14018"/>
        <item x="14019"/>
        <item x="14020"/>
        <item x="14021"/>
        <item x="14022"/>
        <item x="14023"/>
        <item x="14024"/>
        <item x="14025"/>
        <item x="13829"/>
        <item x="14027"/>
        <item x="14028"/>
        <item x="14029"/>
        <item x="14030"/>
        <item x="14031"/>
        <item x="14032"/>
        <item x="14033"/>
        <item x="14034"/>
        <item x="14035"/>
        <item x="14036"/>
        <item x="14037"/>
        <item x="14038"/>
        <item x="14039"/>
        <item x="13844"/>
        <item x="14041"/>
        <item x="14042"/>
        <item x="14043"/>
        <item x="14044"/>
        <item x="14045"/>
        <item x="14046"/>
        <item x="14047"/>
        <item x="14048"/>
        <item x="14049"/>
        <item x="14050"/>
        <item x="14051"/>
        <item x="14052"/>
        <item x="14053"/>
        <item x="14054"/>
        <item x="13858"/>
        <item x="14056"/>
        <item x="14057"/>
        <item x="14058"/>
        <item x="14059"/>
        <item x="14060"/>
        <item x="50"/>
        <item x="51"/>
        <item x="52"/>
        <item x="53"/>
        <item x="54"/>
        <item x="55"/>
        <item x="56"/>
        <item x="57"/>
        <item x="67"/>
        <item x="68"/>
        <item x="69"/>
        <item x="70"/>
        <item x="71"/>
        <item x="72"/>
        <item m="1" x="15079"/>
        <item m="1" x="15086"/>
        <item m="1" x="15059"/>
        <item m="1" x="15065"/>
        <item m="1" x="15072"/>
        <item m="1" x="15082"/>
        <item m="1" x="15038"/>
        <item m="1" x="15044"/>
        <item m="1" x="15048"/>
        <item m="1" x="15054"/>
        <item m="1" x="15062"/>
        <item m="1" x="15033"/>
        <item m="1" x="15036"/>
        <item m="1" x="15040"/>
        <item m="1" x="15043"/>
        <item m="1" x="15075"/>
        <item m="1" x="15080"/>
        <item m="1" x="15084"/>
        <item m="1" x="15087"/>
        <item m="1" x="15052"/>
        <item m="1" x="15056"/>
        <item m="1" x="15060"/>
        <item m="1" x="15063"/>
        <item m="1" x="15066"/>
        <item m="1" x="15069"/>
        <item m="1" x="15073"/>
        <item m="1" x="15077"/>
        <item m="1" x="15083"/>
        <item m="1" x="15032"/>
        <item m="1" x="15035"/>
        <item m="1" x="15039"/>
        <item m="1" x="15042"/>
        <item m="1" x="15045"/>
        <item m="1" x="15046"/>
        <item m="1" x="15049"/>
        <item m="1" x="15051"/>
        <item m="1" x="15055"/>
        <item m="1" x="15058"/>
        <item m="1" x="15034"/>
        <item m="1" x="15037"/>
        <item m="1" x="15041"/>
        <item m="1" x="15068"/>
        <item m="1" x="15071"/>
        <item m="1" x="15076"/>
        <item m="1" x="15081"/>
        <item m="1" x="15085"/>
        <item m="1" x="15088"/>
        <item m="1" x="15047"/>
        <item m="1" x="15050"/>
        <item m="1" x="15053"/>
        <item m="1" x="15057"/>
        <item m="1" x="15061"/>
        <item m="1" x="15064"/>
        <item m="1" x="15067"/>
        <item m="1" x="15070"/>
        <item m="1" x="15074"/>
        <item m="1" x="15078"/>
      </items>
    </pivotField>
    <pivotField axis="axisRow" showAll="0" sortType="ascending" defaultSubtotal="0">
      <items count="15237">
        <item sd="0" m="1" x="15170"/>
        <item sd="0" m="1" x="15171"/>
        <item sd="0" m="1" x="15172"/>
        <item sd="0" m="1" x="15173"/>
        <item sd="0" m="1" x="15174"/>
        <item sd="0" m="1" x="15175"/>
        <item sd="0" m="1" x="15201"/>
        <item sd="0" m="1" x="15216"/>
        <item sd="0" m="1" x="15217"/>
        <item sd="0" m="1" x="15202"/>
        <item sd="0" m="1" x="15218"/>
        <item sd="0" m="1" x="15219"/>
        <item sd="0" m="1" x="15220"/>
        <item sd="0" m="1" x="15177"/>
        <item sd="0" m="1" x="15178"/>
        <item sd="0" m="1" x="15179"/>
        <item sd="0" m="1" x="15180"/>
        <item sd="0" m="1" x="15181"/>
        <item sd="0" m="1" x="15182"/>
        <item sd="0" m="1" x="15183"/>
        <item sd="0" m="1" x="15184"/>
        <item sd="0" m="1" x="15185"/>
        <item sd="0" m="1" x="15186"/>
        <item sd="0" m="1" x="15187"/>
        <item sd="0" m="1" x="15188"/>
        <item sd="0" m="1" x="15189"/>
        <item sd="0" m="1" x="15200"/>
        <item sd="0" x="194"/>
        <item sd="0" x="195"/>
        <item sd="0" x="196"/>
        <item sd="0" x="197"/>
        <item sd="0" x="198"/>
        <item sd="0" x="199"/>
        <item sd="0" x="200"/>
        <item sd="0" x="201"/>
        <item sd="0" x="202"/>
        <item sd="0" x="291"/>
        <item sd="0" x="292"/>
        <item sd="0" x="293"/>
        <item sd="0" x="294"/>
        <item sd="0" x="295"/>
        <item sd="0" x="296"/>
        <item sd="0" x="297"/>
        <item sd="0" x="298"/>
        <item sd="0" x="299"/>
        <item sd="0" x="300"/>
        <item sd="0" x="203"/>
        <item sd="0" x="204"/>
        <item sd="0" x="205"/>
        <item sd="0" x="206"/>
        <item sd="0" x="207"/>
        <item sd="0" x="208"/>
        <item sd="0" x="209"/>
        <item sd="0" x="210"/>
        <item sd="0" x="211"/>
        <item sd="0" x="212"/>
        <item sd="0" x="301"/>
        <item sd="0" x="302"/>
        <item sd="0" x="303"/>
        <item sd="0" x="304"/>
        <item sd="0" x="305"/>
        <item sd="0" x="306"/>
        <item sd="0" x="307"/>
        <item sd="0" x="308"/>
        <item sd="0" x="309"/>
        <item sd="0" x="86"/>
        <item sd="0" x="87"/>
        <item sd="0" x="88"/>
        <item sd="0" x="89"/>
        <item sd="0" x="90"/>
        <item sd="0" x="91"/>
        <item sd="0" x="92"/>
        <item sd="0" x="93"/>
        <item sd="0" x="94"/>
        <item sd="0" x="95"/>
        <item sd="0" x="213"/>
        <item sd="0" x="214"/>
        <item sd="0" x="215"/>
        <item sd="0" x="216"/>
        <item sd="0" x="217"/>
        <item sd="0" x="218"/>
        <item sd="0" x="219"/>
        <item sd="0" x="96"/>
        <item sd="0" x="97"/>
        <item sd="0" x="98"/>
        <item sd="0" x="99"/>
        <item sd="0" x="100"/>
        <item sd="0" x="101"/>
        <item sd="0" x="102"/>
        <item sd="0" x="103"/>
        <item sd="0" x="104"/>
        <item sd="0" x="220"/>
        <item sd="0" x="221"/>
        <item sd="0" x="222"/>
        <item sd="0" x="223"/>
        <item sd="0" x="224"/>
        <item sd="0" x="225"/>
        <item sd="0" x="105"/>
        <item sd="0" x="106"/>
        <item sd="0" x="107"/>
        <item sd="0" x="108"/>
        <item sd="0" x="109"/>
        <item sd="0" x="110"/>
        <item sd="0" x="111"/>
        <item sd="0" x="112"/>
        <item sd="0" x="113"/>
        <item sd="0" x="226"/>
        <item sd="0" x="227"/>
        <item sd="0" x="228"/>
        <item sd="0" x="229"/>
        <item sd="0" x="230"/>
        <item sd="0" x="231"/>
        <item sd="0" x="114"/>
        <item sd="0" x="115"/>
        <item sd="0" x="116"/>
        <item sd="0" x="117"/>
        <item sd="0" x="118"/>
        <item sd="0" x="119"/>
        <item sd="0" x="120"/>
        <item sd="0" x="121"/>
        <item sd="0" x="122"/>
        <item sd="0" x="232"/>
        <item sd="0" x="233"/>
        <item sd="0" x="234"/>
        <item sd="0" x="235"/>
        <item sd="0" x="236"/>
        <item sd="0" x="237"/>
        <item sd="0" x="123"/>
        <item sd="0" x="124"/>
        <item sd="0" x="125"/>
        <item sd="0" x="126"/>
        <item sd="0" x="127"/>
        <item sd="0" x="128"/>
        <item sd="0" x="129"/>
        <item sd="0" x="130"/>
        <item sd="0" x="131"/>
        <item sd="0" x="238"/>
        <item sd="0" x="239"/>
        <item sd="0" x="240"/>
        <item sd="0" x="241"/>
        <item sd="0" x="242"/>
        <item sd="0" x="132"/>
        <item sd="0" x="133"/>
        <item sd="0" x="134"/>
        <item sd="0" x="135"/>
        <item sd="0" x="136"/>
        <item sd="0" x="137"/>
        <item sd="0" x="138"/>
        <item sd="0" x="139"/>
        <item sd="0" x="140"/>
        <item sd="0" x="243"/>
        <item sd="0" x="244"/>
        <item sd="0" x="245"/>
        <item sd="0" x="246"/>
        <item sd="0" x="247"/>
        <item sd="0" x="248"/>
        <item sd="0" x="141"/>
        <item sd="0" x="142"/>
        <item sd="0" x="143"/>
        <item sd="0" x="144"/>
        <item sd="0" x="145"/>
        <item sd="0" x="146"/>
        <item sd="0" x="147"/>
        <item sd="0" x="148"/>
        <item sd="0" x="249"/>
        <item sd="0" x="250"/>
        <item sd="0" x="251"/>
        <item sd="0" x="252"/>
        <item sd="0" x="253"/>
        <item sd="0" x="254"/>
        <item sd="0" x="149"/>
        <item sd="0" x="150"/>
        <item sd="0" x="151"/>
        <item sd="0" x="152"/>
        <item sd="0" x="153"/>
        <item sd="0" x="154"/>
        <item sd="0" x="155"/>
        <item sd="0" x="156"/>
        <item sd="0" x="255"/>
        <item sd="0" x="256"/>
        <item sd="0" x="257"/>
        <item sd="0" x="258"/>
        <item sd="0" x="259"/>
        <item sd="0" x="260"/>
        <item sd="0" x="261"/>
        <item sd="0" x="157"/>
        <item sd="0" x="158"/>
        <item sd="0" x="159"/>
        <item sd="0" x="160"/>
        <item sd="0" x="161"/>
        <item sd="0" x="162"/>
        <item sd="0" x="163"/>
        <item sd="0" x="164"/>
        <item sd="0" x="262"/>
        <item sd="0" x="263"/>
        <item sd="0" x="264"/>
        <item sd="0" x="265"/>
        <item sd="0" x="266"/>
        <item sd="0" x="267"/>
        <item sd="0" x="268"/>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269"/>
        <item sd="0" x="270"/>
        <item sd="0" x="271"/>
        <item sd="0" x="272"/>
        <item sd="0" x="273"/>
        <item sd="0" x="274"/>
        <item sd="0" x="275"/>
        <item sd="0" x="310"/>
        <item sd="0" x="311"/>
        <item sd="0" x="312"/>
        <item sd="0" x="313"/>
        <item sd="0" x="314"/>
        <item sd="0" x="315"/>
        <item sd="0" x="316"/>
        <item sd="0" x="317"/>
        <item sd="0" x="276"/>
        <item sd="0" x="277"/>
        <item sd="0" x="278"/>
        <item sd="0" x="279"/>
        <item sd="0" x="280"/>
        <item sd="0" x="281"/>
        <item sd="0" x="282"/>
        <item sd="0" x="318"/>
        <item sd="0" x="319"/>
        <item sd="0" x="320"/>
        <item sd="0" x="321"/>
        <item sd="0" x="322"/>
        <item sd="0" x="323"/>
        <item sd="0" x="324"/>
        <item sd="0" x="283"/>
        <item sd="0" x="284"/>
        <item sd="0" x="285"/>
        <item sd="0" x="286"/>
        <item sd="0" x="287"/>
        <item sd="0" x="288"/>
        <item sd="0" x="289"/>
        <item sd="0" x="290"/>
        <item sd="0" x="325"/>
        <item sd="0" x="326"/>
        <item sd="0" x="327"/>
        <item sd="0" x="328"/>
        <item sd="0" x="329"/>
        <item sd="0" x="330"/>
        <item sd="0" x="331"/>
        <item sd="0" x="3365"/>
        <item sd="0" x="3366"/>
        <item sd="0" x="3367"/>
        <item sd="0" x="3368"/>
        <item sd="0" x="3369"/>
        <item sd="0" x="3370"/>
        <item sd="0" x="3371"/>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481"/>
        <item sd="0" x="3263"/>
        <item sd="0" x="3264"/>
        <item sd="0" x="3265"/>
        <item sd="0" x="3266"/>
        <item sd="0" x="3267"/>
        <item sd="0" x="3268"/>
        <item sd="0" x="3269"/>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524"/>
        <item sd="0" x="3308"/>
        <item sd="0" x="3309"/>
        <item sd="0" x="3310"/>
        <item sd="0" x="3311"/>
        <item sd="0" x="3312"/>
        <item sd="0" x="3313"/>
        <item sd="0" x="3314"/>
        <item sd="0" x="3315"/>
        <item sd="0" x="3316"/>
        <item sd="0" x="3317"/>
        <item sd="0" x="3318"/>
        <item sd="0" x="3319"/>
        <item sd="0" x="3320"/>
        <item sd="0" x="3321"/>
        <item sd="0" x="3539"/>
        <item sd="0" x="3554"/>
        <item sd="0" x="3555"/>
        <item sd="0" x="3556"/>
        <item sd="0" x="3557"/>
        <item sd="0" x="3558"/>
        <item sd="0" x="3559"/>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580"/>
        <item sd="0" x="3581"/>
        <item sd="0" x="3582"/>
        <item sd="0" x="3584"/>
        <item sd="0" x="3585"/>
        <item sd="0" x="3586"/>
        <item sd="0" x="3587"/>
        <item sd="0" x="3588"/>
        <item sd="0" x="3589"/>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394"/>
        <item sd="0" x="3395"/>
        <item sd="0" x="3396"/>
        <item sd="0" x="3397"/>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3428"/>
        <item sd="0" x="3429"/>
        <item sd="0" x="3430"/>
        <item sd="0" x="3431"/>
        <item sd="0" x="3432"/>
        <item sd="0" x="3433"/>
        <item sd="0" x="3434"/>
        <item sd="0" x="3435"/>
        <item sd="0" x="3436"/>
        <item sd="0" m="1" x="15145"/>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456"/>
        <item sd="0" x="3457"/>
        <item sd="0" x="3458"/>
        <item sd="0" x="3459"/>
        <item sd="0" x="3460"/>
        <item sd="0" x="3461"/>
        <item sd="0" x="3462"/>
        <item sd="0" x="3463"/>
        <item sd="0" x="3464"/>
        <item sd="0" x="3465"/>
        <item sd="0" x="3466"/>
        <item sd="0" x="3685"/>
        <item sd="0" x="3467"/>
        <item sd="0" x="3468"/>
        <item sd="0" x="3469"/>
        <item sd="0" x="3470"/>
        <item sd="0" x="3471"/>
        <item sd="0" x="3472"/>
        <item sd="0" x="3473"/>
        <item sd="0" x="3474"/>
        <item sd="0" x="3475"/>
        <item sd="0" x="3476"/>
        <item sd="0" x="3477"/>
        <item sd="0" x="3478"/>
        <item sd="0" x="3479"/>
        <item sd="0" x="3480"/>
        <item sd="0" x="3482"/>
        <item sd="0" x="3483"/>
        <item sd="0" x="3484"/>
        <item sd="0" x="3485"/>
        <item sd="0" x="3486"/>
        <item sd="0" x="3487"/>
        <item sd="0" x="3488"/>
        <item sd="0" x="3489"/>
        <item sd="0" x="3490"/>
        <item sd="0" x="3491"/>
        <item sd="0" x="3492"/>
        <item sd="0" x="3493"/>
        <item sd="0" x="3494"/>
        <item sd="0" x="3495"/>
        <item sd="0" x="3715"/>
        <item sd="0" x="3496"/>
        <item sd="0" x="3497"/>
        <item sd="0" x="3498"/>
        <item sd="0" x="3499"/>
        <item sd="0" x="3500"/>
        <item sd="0" x="3501"/>
        <item sd="0" x="3502"/>
        <item sd="0" x="3503"/>
        <item sd="0" x="3504"/>
        <item sd="0" x="3505"/>
        <item sd="0" x="3506"/>
        <item sd="0" x="3507"/>
        <item sd="0" x="3508"/>
        <item sd="0" x="3509"/>
        <item sd="0" x="3730"/>
        <item sd="0" x="3510"/>
        <item sd="0" x="3511"/>
        <item sd="0" x="3512"/>
        <item sd="0" x="3513"/>
        <item sd="0" x="3514"/>
        <item sd="0" x="3515"/>
        <item sd="0" x="3516"/>
        <item sd="0" x="3517"/>
        <item sd="0" x="3518"/>
        <item sd="0" x="3519"/>
        <item sd="0" x="3520"/>
        <item sd="0" x="3521"/>
        <item sd="0" x="3522"/>
        <item sd="0" x="3523"/>
        <item sd="0" x="3525"/>
        <item sd="0" x="3526"/>
        <item sd="0" x="3527"/>
        <item sd="0" x="3528"/>
        <item sd="0" x="3529"/>
        <item sd="0" x="3530"/>
        <item sd="0" x="3531"/>
        <item sd="0" x="3532"/>
        <item sd="0" x="3533"/>
        <item sd="0" x="3534"/>
        <item sd="0" x="3535"/>
        <item sd="0" x="3536"/>
        <item sd="0" x="3537"/>
        <item sd="0" x="3538"/>
        <item sd="0" x="3760"/>
        <item sd="0" x="3540"/>
        <item sd="0" x="3541"/>
        <item sd="0" x="3542"/>
        <item sd="0" x="3543"/>
        <item sd="0" x="3544"/>
        <item sd="0" x="3545"/>
        <item sd="0" x="3546"/>
        <item sd="0" x="3547"/>
        <item sd="0" x="3548"/>
        <item sd="0" x="3549"/>
        <item sd="0" x="3550"/>
        <item sd="0" x="3551"/>
        <item sd="0" x="3552"/>
        <item sd="0" x="3553"/>
        <item sd="0" x="3775"/>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3826"/>
        <item sd="0" x="3827"/>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627"/>
        <item sd="0" x="3628"/>
        <item sd="0" x="3629"/>
        <item sd="0" x="3630"/>
        <item sd="0" x="3631"/>
        <item sd="0" x="3632"/>
        <item sd="0" x="3633"/>
        <item sd="0" x="3634"/>
        <item sd="0" x="3635"/>
        <item sd="0" x="3636"/>
        <item sd="0" x="3637"/>
        <item sd="0" x="3638"/>
        <item sd="0" x="3639"/>
        <item sd="0" x="3640"/>
        <item sd="0" x="3641"/>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704"/>
        <item sd="0" x="3705"/>
        <item sd="0" x="3706"/>
        <item sd="0" x="3707"/>
        <item sd="0" x="3708"/>
        <item sd="0" x="3709"/>
        <item sd="0" x="3710"/>
        <item sd="0" x="3711"/>
        <item sd="0" x="3712"/>
        <item sd="0" x="3713"/>
        <item sd="0" x="3714"/>
        <item sd="0" x="3716"/>
        <item sd="0" x="3717"/>
        <item sd="0" x="3718"/>
        <item sd="0" x="3719"/>
        <item sd="0" x="3720"/>
        <item sd="0" x="3721"/>
        <item sd="0" x="3722"/>
        <item sd="0" x="3723"/>
        <item sd="0" x="3724"/>
        <item sd="0" x="3725"/>
        <item sd="0" x="3726"/>
        <item sd="0" x="3727"/>
        <item sd="0" x="3728"/>
        <item sd="0" x="3729"/>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968"/>
        <item sd="0" x="3761"/>
        <item sd="0" x="3762"/>
        <item sd="0" x="3763"/>
        <item sd="0" x="3764"/>
        <item sd="0" x="3765"/>
        <item sd="0" x="3766"/>
        <item sd="0" x="3767"/>
        <item sd="0" x="3768"/>
        <item sd="0" x="3769"/>
        <item sd="0" x="3770"/>
        <item sd="0" x="3771"/>
        <item sd="0" x="3772"/>
        <item sd="0" x="3773"/>
        <item sd="0" x="3774"/>
        <item sd="0" x="3776"/>
        <item sd="0" x="3777"/>
        <item sd="0" x="3778"/>
        <item sd="0" x="3779"/>
        <item sd="0" x="3780"/>
        <item sd="0" x="3781"/>
        <item sd="0" x="3782"/>
        <item sd="0" x="3783"/>
        <item sd="0" x="3784"/>
        <item sd="0" x="3785"/>
        <item sd="0" x="3786"/>
        <item sd="0" x="3787"/>
        <item sd="0" x="3788"/>
        <item sd="0" x="3789"/>
        <item sd="0" x="3790"/>
        <item sd="0" x="3995"/>
        <item sd="0" x="4008"/>
        <item sd="0" x="4009"/>
        <item sd="0" x="4010"/>
        <item sd="0" x="4011"/>
        <item sd="0" x="4012"/>
        <item sd="0" x="4013"/>
        <item sd="0" x="4014"/>
        <item sd="0" x="4015"/>
        <item sd="0" x="4016"/>
        <item sd="0" x="4017"/>
        <item sd="0" x="4018"/>
        <item sd="0" x="4019"/>
        <item sd="0" x="4020"/>
        <item sd="0" x="525"/>
        <item sd="0" x="4021"/>
        <item sd="0" x="4022"/>
        <item sd="0" x="4023"/>
        <item sd="0" x="4024"/>
        <item sd="0" x="4025"/>
        <item sd="0" x="4026"/>
        <item sd="0" x="4027"/>
        <item sd="0" x="4028"/>
        <item sd="0" x="4029"/>
        <item sd="0" x="4030"/>
        <item sd="0" x="4031"/>
        <item sd="0" x="4032"/>
        <item sd="0" x="4033"/>
        <item sd="0" x="540"/>
        <item sd="0" x="541"/>
        <item sd="0" x="4034"/>
        <item sd="0" x="4035"/>
        <item sd="0" x="4036"/>
        <item sd="0" x="4037"/>
        <item sd="0" x="4038"/>
        <item sd="0" x="4039"/>
        <item sd="0" x="4040"/>
        <item sd="0" x="4041"/>
        <item sd="0" x="4042"/>
        <item sd="0" x="4043"/>
        <item sd="0" x="4044"/>
        <item sd="0" x="4045"/>
        <item sd="0" x="4046"/>
        <item sd="0" x="557"/>
        <item sd="0" x="4047"/>
        <item sd="0" x="4048"/>
        <item sd="0" x="4049"/>
        <item sd="0" x="4050"/>
        <item sd="0" x="4051"/>
        <item sd="0" x="4052"/>
        <item sd="0" x="4053"/>
        <item sd="0" x="4054"/>
        <item sd="0" x="4055"/>
        <item sd="0" x="4056"/>
        <item sd="0" x="4057"/>
        <item sd="0" x="4058"/>
        <item sd="0" x="4059"/>
        <item sd="0" x="4060"/>
        <item sd="0" x="573"/>
        <item sd="0" x="4061"/>
        <item sd="0" x="4062"/>
        <item sd="0" x="4063"/>
        <item sd="0" x="4064"/>
        <item sd="0" x="4065"/>
        <item sd="0" x="4066"/>
        <item sd="0" x="4067"/>
        <item sd="0" x="4068"/>
        <item sd="0" x="4069"/>
        <item sd="0" x="4070"/>
        <item sd="0" x="4071"/>
        <item sd="0" x="4072"/>
        <item sd="0" x="4073"/>
        <item sd="0" x="332"/>
        <item sd="0" x="333"/>
        <item sd="0" x="3864"/>
        <item sd="0" x="3865"/>
        <item sd="0" x="3866"/>
        <item sd="0" x="3867"/>
        <item sd="0" x="3868"/>
        <item sd="0" x="3869"/>
        <item sd="0" x="3870"/>
        <item sd="0" x="3871"/>
        <item sd="0" x="3872"/>
        <item sd="0" x="3873"/>
        <item sd="0" x="3874"/>
        <item sd="0" x="3875"/>
        <item sd="0" x="3876"/>
        <item sd="0" x="349"/>
        <item sd="0" x="3877"/>
        <item sd="0" x="3878"/>
        <item sd="0" x="3879"/>
        <item sd="0" x="3880"/>
        <item sd="0" x="3881"/>
        <item sd="0" x="3882"/>
        <item sd="0" x="3883"/>
        <item sd="0" x="3884"/>
        <item sd="0" x="3885"/>
        <item sd="0" x="3886"/>
        <item sd="0" x="3887"/>
        <item sd="0" x="3888"/>
        <item sd="0" x="3889"/>
        <item sd="0" x="3890"/>
        <item sd="0" x="364"/>
        <item sd="0" x="3891"/>
        <item sd="0" x="3892"/>
        <item sd="0" x="3893"/>
        <item sd="0" x="3894"/>
        <item sd="0" x="3895"/>
        <item sd="0" x="3896"/>
        <item sd="0" x="3897"/>
        <item sd="0" x="3898"/>
        <item sd="0" x="3899"/>
        <item sd="0" x="3900"/>
        <item sd="0" x="3901"/>
        <item sd="0" x="3902"/>
        <item sd="0" x="3903"/>
        <item sd="0" x="380"/>
        <item sd="0" x="381"/>
        <item sd="0" x="3904"/>
        <item sd="0" x="3905"/>
        <item sd="0" x="3906"/>
        <item sd="0" x="3907"/>
        <item sd="0" x="3908"/>
        <item sd="0" x="3909"/>
        <item sd="0" x="3910"/>
        <item sd="0" x="3911"/>
        <item sd="0" x="3912"/>
        <item sd="0" x="3913"/>
        <item sd="0" x="3914"/>
        <item sd="0" x="3915"/>
        <item sd="0" x="3916"/>
        <item sd="0" x="396"/>
        <item sd="0" x="3917"/>
        <item sd="0" x="3918"/>
        <item sd="0" x="3919"/>
        <item sd="0" x="3920"/>
        <item sd="0" x="3921"/>
        <item sd="0" x="3922"/>
        <item sd="0" x="3923"/>
        <item sd="0" x="3924"/>
        <item sd="0" x="3925"/>
        <item sd="0" x="3926"/>
        <item sd="0" x="3927"/>
        <item sd="0" x="3928"/>
        <item sd="0" x="3929"/>
        <item sd="0" x="412"/>
        <item sd="0" x="413"/>
        <item sd="0" x="3930"/>
        <item sd="0" x="3931"/>
        <item sd="0" x="3932"/>
        <item sd="0" x="3933"/>
        <item sd="0" x="3934"/>
        <item sd="0" x="3935"/>
        <item sd="0" x="3936"/>
        <item sd="0" x="3937"/>
        <item sd="0" x="3938"/>
        <item sd="0" x="3939"/>
        <item sd="0" x="3940"/>
        <item sd="0" x="3941"/>
        <item sd="0" x="3942"/>
        <item sd="0" x="428"/>
        <item sd="0" x="3943"/>
        <item sd="0" x="3944"/>
        <item sd="0" x="3945"/>
        <item sd="0" x="3946"/>
        <item sd="0" x="3947"/>
        <item sd="0" x="3948"/>
        <item sd="0" x="3949"/>
        <item sd="0" x="3950"/>
        <item sd="0" x="3951"/>
        <item sd="0" x="3952"/>
        <item sd="0" x="3953"/>
        <item sd="0" x="3954"/>
        <item sd="0" x="3955"/>
        <item sd="0" x="444"/>
        <item sd="0" x="445"/>
        <item sd="0" x="3956"/>
        <item sd="0" x="3957"/>
        <item sd="0" x="3958"/>
        <item sd="0" x="3959"/>
        <item sd="0" x="3960"/>
        <item sd="0" x="3961"/>
        <item sd="0" x="3962"/>
        <item sd="0" x="3963"/>
        <item sd="0" x="3964"/>
        <item sd="0" x="3965"/>
        <item sd="0" x="3966"/>
        <item sd="0" x="3967"/>
        <item sd="0" x="460"/>
        <item sd="0" x="461"/>
        <item sd="0" x="3969"/>
        <item sd="0" x="3970"/>
        <item sd="0" x="3971"/>
        <item sd="0" x="3972"/>
        <item sd="0" x="3973"/>
        <item sd="0" x="3974"/>
        <item sd="0" x="3975"/>
        <item sd="0" x="3976"/>
        <item sd="0" x="3977"/>
        <item sd="0" x="3978"/>
        <item sd="0" x="3979"/>
        <item sd="0" x="3980"/>
        <item sd="0" x="3981"/>
        <item sd="0" x="476"/>
        <item sd="0" x="477"/>
        <item sd="0" x="3982"/>
        <item sd="0" x="3983"/>
        <item sd="0" x="3984"/>
        <item sd="0" x="3985"/>
        <item sd="0" x="3986"/>
        <item sd="0" x="3987"/>
        <item sd="0" x="3988"/>
        <item sd="0" x="3989"/>
        <item sd="0" x="3990"/>
        <item sd="0" x="3991"/>
        <item sd="0" x="3992"/>
        <item sd="0" x="3993"/>
        <item sd="0" x="3994"/>
        <item sd="0" x="492"/>
        <item sd="0" x="493"/>
        <item sd="0" x="3996"/>
        <item sd="0" x="3997"/>
        <item sd="0" x="3998"/>
        <item sd="0" x="3999"/>
        <item sd="0" x="4000"/>
        <item sd="0" x="4001"/>
        <item sd="0" x="4002"/>
        <item sd="0" x="4003"/>
        <item sd="0" x="4004"/>
        <item sd="0" x="4005"/>
        <item sd="0" x="4006"/>
        <item sd="0" x="4007"/>
        <item sd="0" x="509"/>
        <item sd="0" x="510"/>
        <item sd="0" x="526"/>
        <item sd="0" x="527"/>
        <item sd="0" x="528"/>
        <item sd="0" x="529"/>
        <item sd="0" x="530"/>
        <item sd="0" x="531"/>
        <item sd="0" x="532"/>
        <item sd="0" x="533"/>
        <item sd="0" x="534"/>
        <item sd="0" x="535"/>
        <item sd="0" x="536"/>
        <item sd="0" x="537"/>
        <item sd="0" x="538"/>
        <item sd="0" x="539"/>
        <item sd="0" x="542"/>
        <item sd="0" x="543"/>
        <item sd="0" x="544"/>
        <item sd="0" x="545"/>
        <item sd="0" x="546"/>
        <item sd="0" x="547"/>
        <item sd="0" x="548"/>
        <item sd="0" x="549"/>
        <item sd="0" x="550"/>
        <item sd="0" x="551"/>
        <item sd="0" x="552"/>
        <item sd="0" x="553"/>
        <item sd="0" x="554"/>
        <item sd="0" x="555"/>
        <item sd="0" x="556"/>
        <item sd="0" x="558"/>
        <item sd="0" x="559"/>
        <item sd="0" x="560"/>
        <item sd="0" x="561"/>
        <item sd="0" x="562"/>
        <item sd="0" x="563"/>
        <item sd="0" x="564"/>
        <item sd="0" x="565"/>
        <item sd="0" x="566"/>
        <item sd="0" x="567"/>
        <item sd="0" x="568"/>
        <item sd="0" x="569"/>
        <item sd="0" x="570"/>
        <item sd="0" x="571"/>
        <item sd="0" x="572"/>
        <item sd="0" x="574"/>
        <item sd="0" x="575"/>
        <item sd="0" x="576"/>
        <item sd="0" x="577"/>
        <item sd="0" x="578"/>
        <item sd="0" x="579"/>
        <item sd="0" x="580"/>
        <item sd="0" x="581"/>
        <item sd="0" x="582"/>
        <item sd="0" x="583"/>
        <item sd="0" x="584"/>
        <item sd="0" x="585"/>
        <item sd="0" x="586"/>
        <item sd="0" x="587"/>
        <item sd="0" x="334"/>
        <item sd="0" x="335"/>
        <item sd="0" x="336"/>
        <item sd="0" x="337"/>
        <item sd="0" x="338"/>
        <item sd="0" x="339"/>
        <item sd="0" x="340"/>
        <item sd="0" x="341"/>
        <item sd="0" x="342"/>
        <item sd="0" x="343"/>
        <item sd="0" x="344"/>
        <item sd="0" x="345"/>
        <item sd="0" x="346"/>
        <item sd="0" x="347"/>
        <item sd="0" x="348"/>
        <item sd="0" x="350"/>
        <item sd="0" x="351"/>
        <item sd="0" x="352"/>
        <item sd="0" x="353"/>
        <item sd="0" x="354"/>
        <item sd="0" x="355"/>
        <item sd="0" x="356"/>
        <item sd="0" x="357"/>
        <item sd="0" x="358"/>
        <item sd="0" x="359"/>
        <item sd="0" x="360"/>
        <item sd="0" x="361"/>
        <item sd="0" x="362"/>
        <item sd="0" x="363"/>
        <item sd="0" x="365"/>
        <item sd="0" x="366"/>
        <item sd="0" x="367"/>
        <item sd="0" x="368"/>
        <item sd="0" x="369"/>
        <item sd="0" x="370"/>
        <item sd="0" x="371"/>
        <item sd="0" x="372"/>
        <item sd="0" x="373"/>
        <item sd="0" x="374"/>
        <item sd="0" x="375"/>
        <item sd="0" x="376"/>
        <item sd="0" x="377"/>
        <item sd="0" x="378"/>
        <item sd="0" x="379"/>
        <item sd="0" x="382"/>
        <item sd="0" x="383"/>
        <item sd="0" x="384"/>
        <item sd="0" x="385"/>
        <item sd="0" x="386"/>
        <item sd="0" x="387"/>
        <item sd="0" x="388"/>
        <item sd="0" x="389"/>
        <item sd="0" x="390"/>
        <item sd="0" x="391"/>
        <item sd="0" x="392"/>
        <item sd="0" x="393"/>
        <item sd="0" x="394"/>
        <item sd="0" x="395"/>
        <item sd="0" x="397"/>
        <item sd="0" x="398"/>
        <item sd="0" x="399"/>
        <item sd="0" x="400"/>
        <item sd="0" x="401"/>
        <item sd="0" x="402"/>
        <item sd="0" x="403"/>
        <item sd="0" x="404"/>
        <item sd="0" x="405"/>
        <item sd="0" x="406"/>
        <item sd="0" x="407"/>
        <item sd="0" x="408"/>
        <item sd="0" x="409"/>
        <item sd="0" x="410"/>
        <item sd="0" x="411"/>
        <item sd="0" x="414"/>
        <item sd="0" x="415"/>
        <item sd="0" x="416"/>
        <item sd="0" x="417"/>
        <item sd="0" x="418"/>
        <item sd="0" x="419"/>
        <item sd="0" x="420"/>
        <item sd="0" x="421"/>
        <item sd="0" x="422"/>
        <item sd="0" x="423"/>
        <item sd="0" x="424"/>
        <item sd="0" x="425"/>
        <item sd="0" x="426"/>
        <item sd="0" x="427"/>
        <item sd="0" x="429"/>
        <item sd="0" x="430"/>
        <item sd="0" x="431"/>
        <item sd="0" x="432"/>
        <item sd="0" x="433"/>
        <item sd="0" x="434"/>
        <item sd="0" x="435"/>
        <item sd="0" x="436"/>
        <item sd="0" x="437"/>
        <item sd="0" x="438"/>
        <item sd="0" x="439"/>
        <item sd="0" x="440"/>
        <item sd="0" x="441"/>
        <item sd="0" x="442"/>
        <item sd="0" x="443"/>
        <item sd="0" x="446"/>
        <item sd="0" x="447"/>
        <item sd="0" x="448"/>
        <item sd="0" x="449"/>
        <item sd="0" x="450"/>
        <item sd="0" x="451"/>
        <item sd="0" x="452"/>
        <item sd="0" x="453"/>
        <item sd="0" x="454"/>
        <item sd="0" x="455"/>
        <item sd="0" x="456"/>
        <item sd="0" x="457"/>
        <item sd="0" x="458"/>
        <item sd="0" x="459"/>
        <item sd="0" x="462"/>
        <item sd="0" x="463"/>
        <item sd="0" x="464"/>
        <item sd="0" x="465"/>
        <item sd="0" x="466"/>
        <item sd="0" x="467"/>
        <item sd="0" x="468"/>
        <item sd="0" x="469"/>
        <item sd="0" x="470"/>
        <item sd="0" x="471"/>
        <item sd="0" x="472"/>
        <item sd="0" x="473"/>
        <item sd="0" x="474"/>
        <item sd="0" x="475"/>
        <item sd="0" x="704"/>
        <item sd="0" x="478"/>
        <item sd="0" x="479"/>
        <item sd="0" x="480"/>
        <item sd="0" x="481"/>
        <item sd="0" x="482"/>
        <item sd="0" x="483"/>
        <item sd="0" x="484"/>
        <item sd="0" x="485"/>
        <item sd="0" x="486"/>
        <item sd="0" x="487"/>
        <item sd="0" x="488"/>
        <item sd="0" x="489"/>
        <item sd="0" x="490"/>
        <item sd="0" x="491"/>
        <item sd="0" x="494"/>
        <item sd="0" x="495"/>
        <item sd="0" x="496"/>
        <item sd="0" x="497"/>
        <item sd="0" x="498"/>
        <item sd="0" x="499"/>
        <item sd="0" x="500"/>
        <item sd="0" x="501"/>
        <item sd="0" x="502"/>
        <item sd="0" x="503"/>
        <item sd="0" x="504"/>
        <item sd="0" x="505"/>
        <item sd="0" x="506"/>
        <item sd="0" x="507"/>
        <item sd="0" x="508"/>
        <item sd="0" x="511"/>
        <item sd="0" x="512"/>
        <item sd="0" x="513"/>
        <item sd="0" x="514"/>
        <item sd="0" x="515"/>
        <item sd="0" x="516"/>
        <item sd="0" x="517"/>
        <item sd="0" x="518"/>
        <item sd="0" x="519"/>
        <item sd="0" x="520"/>
        <item sd="0" x="521"/>
        <item sd="0" x="522"/>
        <item sd="0" x="523"/>
        <item sd="0" x="524"/>
        <item sd="0" x="4484"/>
        <item sd="0" x="748"/>
        <item sd="0" x="749"/>
        <item sd="0" x="750"/>
        <item sd="0" x="751"/>
        <item sd="0" x="752"/>
        <item sd="0" x="753"/>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952"/>
        <item sd="0" x="734"/>
        <item sd="0" x="735"/>
        <item sd="0" x="736"/>
        <item sd="0" x="737"/>
        <item sd="0" x="738"/>
        <item sd="0" x="739"/>
        <item sd="0" x="740"/>
        <item sd="0" x="741"/>
        <item sd="0" x="742"/>
        <item sd="0" x="743"/>
        <item sd="0" x="744"/>
        <item sd="0" x="745"/>
        <item sd="0" x="746"/>
        <item sd="0" x="747"/>
        <item sd="0" x="967"/>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sd="0" x="1002"/>
        <item sd="0" x="1003"/>
        <item sd="0" x="1004"/>
        <item sd="0" x="1005"/>
        <item sd="0" x="1006"/>
        <item sd="0" x="1007"/>
        <item sd="0" x="1008"/>
        <item sd="0" x="1009"/>
        <item sd="0" x="1010"/>
        <item sd="0" x="1011"/>
        <item sd="0" x="1012"/>
        <item sd="0" x="1013"/>
        <item sd="0" x="1014"/>
        <item sd="0" x="1015"/>
        <item sd="0" x="1016"/>
        <item sd="0" x="1017"/>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1170"/>
        <item sd="0" x="953"/>
        <item sd="0" x="954"/>
        <item sd="0" x="955"/>
        <item sd="0" x="956"/>
        <item sd="0" x="957"/>
        <item sd="0" x="958"/>
        <item sd="0" x="959"/>
        <item sd="0" x="960"/>
        <item sd="0" x="961"/>
        <item sd="0" x="962"/>
        <item sd="0" x="963"/>
        <item sd="0" x="964"/>
        <item sd="0" x="965"/>
        <item sd="0" x="966"/>
        <item sd="0" x="968"/>
        <item sd="0" x="969"/>
        <item sd="0" x="970"/>
        <item sd="0" x="971"/>
        <item sd="0" x="972"/>
        <item sd="0" x="973"/>
        <item sd="0" x="974"/>
        <item sd="0" x="975"/>
        <item sd="0" x="976"/>
        <item sd="0" x="977"/>
        <item sd="0" x="978"/>
        <item sd="0" x="979"/>
        <item sd="0" x="980"/>
        <item sd="0" x="981"/>
        <item sd="0" x="1199"/>
        <item sd="0" x="1215"/>
        <item sd="0" x="1216"/>
        <item sd="0" x="1217"/>
        <item sd="0" x="1218"/>
        <item sd="0" x="1219"/>
        <item sd="0" x="1220"/>
        <item sd="0" x="1221"/>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x="1255"/>
        <item sd="0" x="1256"/>
        <item sd="0" x="1257"/>
        <item sd="0" x="1258"/>
        <item sd="0" x="1259"/>
        <item sd="0" x="1260"/>
        <item sd="0" x="1261"/>
        <item sd="0" x="1262"/>
        <item sd="0" x="1263"/>
        <item sd="0" x="1264"/>
        <item sd="0" x="1265"/>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1"/>
        <item sd="0" x="1172"/>
        <item sd="0" x="1173"/>
        <item sd="0" x="1174"/>
        <item sd="0" x="1175"/>
        <item sd="0" x="1176"/>
        <item sd="0" x="1177"/>
        <item sd="0" x="1178"/>
        <item sd="0" x="1179"/>
        <item sd="0" x="1180"/>
        <item sd="0" x="1181"/>
        <item sd="0" x="1182"/>
        <item sd="0" x="1183"/>
        <item sd="0" x="1184"/>
        <item sd="0" x="1404"/>
        <item sd="0" x="1185"/>
        <item sd="0" x="1186"/>
        <item sd="0" x="1187"/>
        <item sd="0" x="1188"/>
        <item sd="0" x="1189"/>
        <item sd="0" x="1190"/>
        <item sd="0" x="1191"/>
        <item sd="0" x="1192"/>
        <item sd="0" x="1193"/>
        <item sd="0" x="1194"/>
        <item sd="0" x="1195"/>
        <item sd="0" x="1196"/>
        <item sd="0" x="1197"/>
        <item sd="0" x="1198"/>
        <item sd="0" x="1200"/>
        <item sd="0" x="1201"/>
        <item sd="0" x="1202"/>
        <item sd="0" x="1203"/>
        <item sd="0" x="1204"/>
        <item sd="0" x="1205"/>
        <item sd="0" x="1206"/>
        <item sd="0" x="1207"/>
        <item sd="0" x="1208"/>
        <item sd="0" x="1209"/>
        <item sd="0" x="1210"/>
        <item sd="0" x="1211"/>
        <item sd="0" x="1212"/>
        <item sd="0" x="1213"/>
        <item sd="0" x="1214"/>
        <item sd="0" x="1433"/>
        <item sd="0" x="1448"/>
        <item sd="0" x="1449"/>
        <item sd="0" x="1450"/>
        <item sd="0" x="1451"/>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514"/>
        <item sd="0" x="1515"/>
        <item sd="0" x="1516"/>
        <item sd="0" x="1517"/>
        <item sd="0" x="1518"/>
        <item sd="0" x="1519"/>
        <item sd="0" x="1520"/>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1324"/>
        <item sd="0" x="1325"/>
        <item sd="0" x="1326"/>
        <item sd="0" x="1327"/>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1354"/>
        <item sd="0" x="1355"/>
        <item sd="0" x="1356"/>
        <item sd="0" x="1357"/>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390"/>
        <item sd="0" x="1391"/>
        <item sd="0" x="1392"/>
        <item sd="0" x="1393"/>
        <item sd="0" x="1394"/>
        <item sd="0" x="1395"/>
        <item sd="0" x="1396"/>
        <item sd="0" x="1397"/>
        <item sd="0" x="1398"/>
        <item sd="0" x="1399"/>
        <item sd="0" x="1400"/>
        <item sd="0" x="1401"/>
        <item sd="0" x="1402"/>
        <item sd="0" x="1403"/>
        <item sd="0" x="1405"/>
        <item sd="0" x="1406"/>
        <item sd="0" x="1407"/>
        <item sd="0" x="1408"/>
        <item sd="0" x="1409"/>
        <item sd="0" x="1410"/>
        <item sd="0" x="1411"/>
        <item sd="0" x="1412"/>
        <item sd="0" x="1413"/>
        <item sd="0" x="1414"/>
        <item sd="0" x="1415"/>
        <item sd="0" x="1416"/>
        <item sd="0" x="1417"/>
        <item sd="0" x="1418"/>
        <item sd="0" x="1638"/>
        <item sd="0" x="1419"/>
        <item sd="0" x="1420"/>
        <item sd="0" x="1421"/>
        <item sd="0" x="1422"/>
        <item sd="0" x="1423"/>
        <item sd="0" x="1424"/>
        <item sd="0" x="1425"/>
        <item sd="0" x="1426"/>
        <item sd="0" x="1427"/>
        <item sd="0" x="1428"/>
        <item sd="0" x="1429"/>
        <item sd="0" x="1430"/>
        <item sd="0" x="1431"/>
        <item sd="0" x="1432"/>
        <item sd="0" x="1653"/>
        <item sd="0" x="1434"/>
        <item sd="0" x="1435"/>
        <item sd="0" x="1436"/>
        <item sd="0" x="1437"/>
        <item sd="0" x="1438"/>
        <item sd="0" x="1439"/>
        <item sd="0" x="1440"/>
        <item sd="0" x="1441"/>
        <item sd="0" x="1442"/>
        <item sd="0" x="1443"/>
        <item sd="0" x="1444"/>
        <item sd="0" x="1445"/>
        <item sd="0" x="1446"/>
        <item sd="0" x="1447"/>
        <item sd="0" x="1668"/>
        <item sd="0" x="1683"/>
        <item sd="0" x="1684"/>
        <item sd="0" x="1685"/>
        <item sd="0" x="1686"/>
        <item sd="0" x="1687"/>
        <item sd="0" x="1688"/>
        <item sd="0" x="1689"/>
        <item sd="0" x="1690"/>
        <item sd="0" x="1691"/>
        <item sd="0" x="1692"/>
        <item sd="0" x="1693"/>
        <item sd="0" x="1694"/>
        <item sd="0" x="1695"/>
        <item sd="0" x="1696"/>
        <item sd="0" x="1697"/>
        <item sd="0" x="1698"/>
        <item sd="0" x="1699"/>
        <item sd="0" x="1700"/>
        <item sd="0" x="1701"/>
        <item sd="0" x="1702"/>
        <item sd="0" x="1703"/>
        <item sd="0" x="1704"/>
        <item sd="0" x="1705"/>
        <item sd="0" x="1706"/>
        <item sd="0" x="1707"/>
        <item sd="0" x="1708"/>
        <item sd="0" x="1709"/>
        <item sd="0" x="1710"/>
        <item sd="0" x="1711"/>
        <item sd="0" x="1712"/>
        <item sd="0" x="1713"/>
        <item sd="0" x="1714"/>
        <item sd="0" x="1715"/>
        <item sd="0" x="1716"/>
        <item sd="0" x="1717"/>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576"/>
        <item sd="0" x="1577"/>
        <item sd="0" x="1578"/>
        <item sd="0" x="1579"/>
        <item sd="0" x="1580"/>
        <item sd="0" x="1581"/>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639"/>
        <item sd="0" x="1640"/>
        <item sd="0" x="1641"/>
        <item sd="0" x="1642"/>
        <item sd="0" x="1643"/>
        <item sd="0" x="1644"/>
        <item sd="0" x="1645"/>
        <item sd="0" x="1646"/>
        <item sd="0" x="1647"/>
        <item sd="0" x="1648"/>
        <item sd="0" x="1649"/>
        <item sd="0" x="1650"/>
        <item sd="0" x="1651"/>
        <item sd="0" x="1652"/>
        <item sd="0" x="1872"/>
        <item sd="0" x="1654"/>
        <item sd="0" x="1655"/>
        <item sd="0" x="1656"/>
        <item sd="0" x="1657"/>
        <item sd="0" x="1658"/>
        <item sd="0" x="1659"/>
        <item sd="0" x="1660"/>
        <item sd="0" x="1661"/>
        <item sd="0" x="1662"/>
        <item sd="0" x="1663"/>
        <item sd="0" x="1664"/>
        <item sd="0" x="1665"/>
        <item sd="0" x="1666"/>
        <item sd="0" x="1667"/>
        <item sd="0" x="1669"/>
        <item sd="0" x="1670"/>
        <item sd="0" x="1671"/>
        <item sd="0" x="1672"/>
        <item sd="0" x="1673"/>
        <item sd="0" x="1674"/>
        <item sd="0" x="1675"/>
        <item sd="0" x="1676"/>
        <item sd="0" x="1677"/>
        <item sd="0" x="1678"/>
        <item sd="0" x="1679"/>
        <item sd="0" x="1680"/>
        <item sd="0" x="1681"/>
        <item sd="0" x="1682"/>
        <item sd="0" x="1901"/>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755"/>
        <item sd="0" x="1756"/>
        <item sd="0" x="1757"/>
        <item sd="0" x="1758"/>
        <item sd="0" x="1759"/>
        <item sd="0" x="1760"/>
        <item sd="0" x="1761"/>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1816"/>
        <item sd="0" x="1817"/>
        <item sd="0" x="1818"/>
        <item sd="0" x="1819"/>
        <item sd="0" x="1820"/>
        <item sd="0" x="1821"/>
        <item sd="0" x="1822"/>
        <item sd="0" x="1823"/>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2090"/>
        <item sd="0" x="1873"/>
        <item sd="0" x="1874"/>
        <item sd="0" x="1875"/>
        <item sd="0" x="1876"/>
        <item sd="0" x="1877"/>
        <item sd="0" x="1878"/>
        <item sd="0" x="1879"/>
        <item sd="0" x="1880"/>
        <item sd="0" x="1881"/>
        <item sd="0" x="1882"/>
        <item sd="0" x="1883"/>
        <item sd="0" x="1884"/>
        <item sd="0" x="1885"/>
        <item sd="0" x="1886"/>
        <item sd="0" x="1887"/>
        <item sd="0" x="1888"/>
        <item sd="0" x="1889"/>
        <item sd="0" x="1890"/>
        <item sd="0" x="1891"/>
        <item sd="0" x="1892"/>
        <item sd="0" x="1893"/>
        <item sd="0" x="1894"/>
        <item sd="0" x="1895"/>
        <item sd="0" x="1896"/>
        <item sd="0" x="1897"/>
        <item sd="0" x="1898"/>
        <item sd="0" x="1899"/>
        <item sd="0" x="1900"/>
        <item sd="0" x="2119"/>
        <item sd="0" x="1902"/>
        <item sd="0" x="1903"/>
        <item sd="0" x="1904"/>
        <item sd="0" x="1905"/>
        <item sd="0" x="1906"/>
        <item sd="0" x="1907"/>
        <item sd="0" x="1908"/>
        <item sd="0" x="1909"/>
        <item sd="0" x="1910"/>
        <item sd="0" x="1911"/>
        <item sd="0" x="1912"/>
        <item sd="0" x="1913"/>
        <item sd="0" x="1914"/>
        <item sd="0" x="1915"/>
        <item sd="0" x="2134"/>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2182"/>
        <item sd="0" x="2183"/>
        <item sd="0" x="2184"/>
        <item sd="0" x="2185"/>
        <item sd="0" x="2186"/>
        <item sd="0" x="2187"/>
        <item sd="0" x="2188"/>
        <item sd="0" x="2189"/>
        <item sd="0" x="2190"/>
        <item sd="0" x="2191"/>
        <item sd="0" x="2411"/>
        <item sd="0" x="2192"/>
        <item sd="0" x="2193"/>
        <item sd="0" x="2194"/>
        <item sd="0" x="2195"/>
        <item sd="0" x="2196"/>
        <item sd="0" x="2197"/>
        <item sd="0" x="2198"/>
        <item sd="0" x="2199"/>
        <item sd="0" x="2200"/>
        <item sd="0" x="2201"/>
        <item sd="0" x="2202"/>
        <item sd="0" x="2203"/>
        <item sd="0" x="2204"/>
        <item sd="0" x="2205"/>
        <item sd="0" x="2206"/>
        <item sd="0" x="2207"/>
        <item sd="0" x="2208"/>
        <item sd="0" x="2209"/>
        <item sd="0" x="2210"/>
        <item sd="0" x="2211"/>
        <item sd="0" x="2212"/>
        <item sd="0" x="2213"/>
        <item sd="0" x="2214"/>
        <item sd="0" x="2215"/>
        <item sd="0" x="2216"/>
        <item sd="0" x="2217"/>
        <item sd="0" x="2218"/>
        <item sd="0" x="2219"/>
        <item sd="0" x="2220"/>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072"/>
        <item sd="0" x="2073"/>
        <item sd="0" x="2074"/>
        <item sd="0" x="2075"/>
        <item sd="0" x="2076"/>
        <item sd="0" x="2077"/>
        <item sd="0" x="2078"/>
        <item sd="0" x="2079"/>
        <item sd="0" x="2080"/>
        <item sd="0" x="2081"/>
        <item sd="0" x="2082"/>
        <item sd="0" x="2083"/>
        <item sd="0" x="2084"/>
        <item sd="0" x="2085"/>
        <item sd="0" x="2086"/>
        <item sd="0" x="2087"/>
        <item sd="0" x="2088"/>
        <item sd="0" x="2089"/>
        <item sd="0" x="2309"/>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338"/>
        <item sd="0" x="2120"/>
        <item sd="0" x="2121"/>
        <item sd="0" x="2122"/>
        <item sd="0" x="2123"/>
        <item sd="0" x="2124"/>
        <item sd="0" x="2125"/>
        <item sd="0" x="2126"/>
        <item sd="0" x="2127"/>
        <item sd="0" x="2128"/>
        <item sd="0" x="2129"/>
        <item sd="0" x="2130"/>
        <item sd="0" x="2131"/>
        <item sd="0" x="2132"/>
        <item sd="0" x="2133"/>
        <item sd="0" x="2135"/>
        <item sd="0" x="2136"/>
        <item sd="0" x="2137"/>
        <item sd="0" x="2138"/>
        <item sd="0" x="2139"/>
        <item sd="0" x="2140"/>
        <item sd="0" x="2141"/>
        <item sd="0" x="2142"/>
        <item sd="0" x="2143"/>
        <item sd="0" x="2144"/>
        <item sd="0" x="2145"/>
        <item sd="0" x="2146"/>
        <item sd="0" x="2147"/>
        <item sd="0" x="2148"/>
        <item sd="0" x="2367"/>
        <item sd="0" x="2368"/>
        <item sd="0" x="2383"/>
        <item sd="0" x="2384"/>
        <item sd="0" x="2385"/>
        <item sd="0" x="2386"/>
        <item sd="0" x="2387"/>
        <item sd="0" x="2388"/>
        <item sd="0" x="2389"/>
        <item sd="0" x="2390"/>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x="2438"/>
        <item sd="0" x="2439"/>
        <item sd="0" x="2440"/>
        <item sd="0" x="2441"/>
        <item sd="0" x="2442"/>
        <item sd="0" x="2443"/>
        <item sd="0" x="2444"/>
        <item sd="0" x="2445"/>
        <item sd="0" x="2446"/>
        <item sd="0" x="2447"/>
        <item sd="0" x="2448"/>
        <item sd="0" x="2449"/>
        <item sd="0" x="2450"/>
        <item sd="0" x="2451"/>
        <item sd="0" x="2452"/>
        <item sd="0" x="2453"/>
        <item sd="0" x="2454"/>
        <item sd="0" x="2455"/>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267"/>
        <item sd="0" x="2268"/>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10"/>
        <item sd="0" x="2311"/>
        <item sd="0" x="2312"/>
        <item sd="0" x="2313"/>
        <item sd="0" x="2314"/>
        <item sd="0" x="2315"/>
        <item sd="0" x="2316"/>
        <item sd="0" x="2317"/>
        <item sd="0" x="2318"/>
        <item sd="0" x="2319"/>
        <item sd="0" x="2320"/>
        <item sd="0" x="2321"/>
        <item sd="0" x="2322"/>
        <item sd="0" x="2323"/>
        <item sd="0" x="2324"/>
        <item sd="0" x="2325"/>
        <item sd="0" x="2326"/>
        <item sd="0" x="2327"/>
        <item sd="0" x="2328"/>
        <item sd="0" x="2329"/>
        <item sd="0" x="2330"/>
        <item sd="0" x="2331"/>
        <item sd="0" x="2332"/>
        <item sd="0" x="2333"/>
        <item sd="0" x="2334"/>
        <item sd="0" x="2335"/>
        <item sd="0" x="2336"/>
        <item sd="0" x="2337"/>
        <item sd="0" x="2558"/>
        <item sd="0" x="2339"/>
        <item sd="0" x="2340"/>
        <item sd="0" x="2341"/>
        <item sd="0" x="2342"/>
        <item sd="0" x="2343"/>
        <item sd="0" x="2344"/>
        <item sd="0" x="2345"/>
        <item sd="0" x="2346"/>
        <item sd="0" x="2347"/>
        <item sd="0" x="2348"/>
        <item sd="0" x="2349"/>
        <item sd="0" x="2350"/>
        <item sd="0" x="2351"/>
        <item sd="0" x="2352"/>
        <item sd="0" x="2573"/>
        <item sd="0" x="2353"/>
        <item sd="0" x="2354"/>
        <item sd="0" x="2355"/>
        <item sd="0" x="2356"/>
        <item sd="0" x="2357"/>
        <item sd="0" x="2358"/>
        <item sd="0" x="2359"/>
        <item sd="0" x="2360"/>
        <item sd="0" x="2361"/>
        <item sd="0" x="2362"/>
        <item sd="0" x="2363"/>
        <item sd="0" x="2364"/>
        <item sd="0" x="2365"/>
        <item sd="0" x="2366"/>
        <item sd="0" x="2369"/>
        <item sd="0" x="2370"/>
        <item sd="0" x="2371"/>
        <item sd="0" x="2372"/>
        <item sd="0" x="2373"/>
        <item sd="0" x="2374"/>
        <item sd="0" x="2375"/>
        <item sd="0" x="2376"/>
        <item sd="0" x="2377"/>
        <item sd="0" x="2378"/>
        <item sd="0" x="2379"/>
        <item sd="0" x="2380"/>
        <item sd="0" x="2381"/>
        <item sd="0" x="2382"/>
        <item sd="0" x="2602"/>
        <item sd="0" x="2603"/>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x="2509"/>
        <item sd="0" x="2510"/>
        <item sd="0" x="2511"/>
        <item sd="0" x="2512"/>
        <item sd="0" x="2513"/>
        <item sd="0" x="2514"/>
        <item sd="0" x="2515"/>
        <item sd="0" x="2516"/>
        <item sd="0" x="2517"/>
        <item sd="0" x="2518"/>
        <item sd="0" x="2519"/>
        <item sd="0" x="2520"/>
        <item sd="0" x="2521"/>
        <item sd="0" x="2522"/>
        <item sd="0" x="2523"/>
        <item sd="0" x="2524"/>
        <item sd="0" x="2525"/>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x="2559"/>
        <item sd="0" x="2560"/>
        <item sd="0" x="2561"/>
        <item sd="0" x="2562"/>
        <item sd="0" x="2563"/>
        <item sd="0" x="2564"/>
        <item sd="0" x="2565"/>
        <item sd="0" x="2566"/>
        <item sd="0" x="2567"/>
        <item sd="0" x="2568"/>
        <item sd="0" x="2569"/>
        <item sd="0" x="2570"/>
        <item sd="0" x="2571"/>
        <item sd="0" x="2572"/>
        <item sd="0" x="2793"/>
        <item sd="0" x="2574"/>
        <item sd="0" x="2575"/>
        <item sd="0" x="2576"/>
        <item sd="0" x="2577"/>
        <item sd="0" x="2578"/>
        <item sd="0" x="2579"/>
        <item sd="0" x="2580"/>
        <item sd="0" x="2581"/>
        <item sd="0" x="2582"/>
        <item sd="0" x="2583"/>
        <item sd="0" x="2584"/>
        <item sd="0" x="2585"/>
        <item sd="0" x="2586"/>
        <item sd="0" x="2587"/>
        <item sd="0" x="2588"/>
        <item sd="0" x="2589"/>
        <item sd="0" x="2590"/>
        <item sd="0" x="2591"/>
        <item sd="0" x="2592"/>
        <item sd="0" x="2593"/>
        <item sd="0" x="2594"/>
        <item sd="0" x="2595"/>
        <item sd="0" x="2596"/>
        <item sd="0" x="2597"/>
        <item sd="0" x="2598"/>
        <item sd="0" x="2599"/>
        <item sd="0" x="2600"/>
        <item sd="0" x="2601"/>
        <item sd="0" x="2822"/>
        <item sd="0" x="2604"/>
        <item sd="0" x="2605"/>
        <item sd="0" x="2606"/>
        <item sd="0" x="2607"/>
        <item sd="0" x="2608"/>
        <item sd="0" x="2609"/>
        <item sd="0" x="2610"/>
        <item sd="0" x="2611"/>
        <item sd="0" x="2612"/>
        <item sd="0" x="2613"/>
        <item sd="0" x="2614"/>
        <item sd="0" x="2615"/>
        <item sd="0" x="2616"/>
        <item sd="0" x="2617"/>
        <item sd="0" x="2837"/>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3115"/>
        <item sd="0" x="2895"/>
        <item sd="0" x="2896"/>
        <item sd="0" x="2897"/>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x="2749"/>
        <item sd="0" x="2750"/>
        <item sd="0" x="2751"/>
        <item sd="0" x="2752"/>
        <item sd="0" x="2753"/>
        <item sd="0" x="2754"/>
        <item sd="0" x="2755"/>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4"/>
        <item sd="0" x="2795"/>
        <item sd="0" x="2796"/>
        <item sd="0" x="2797"/>
        <item sd="0" x="2798"/>
        <item sd="0" x="2799"/>
        <item sd="0" x="2800"/>
        <item sd="0" x="2801"/>
        <item sd="0" x="2802"/>
        <item sd="0" x="2803"/>
        <item sd="0" x="2804"/>
        <item sd="0" x="2805"/>
        <item sd="0" x="2806"/>
        <item sd="0" x="2807"/>
        <item sd="0" x="3026"/>
        <item sd="0" x="2808"/>
        <item sd="0" x="2809"/>
        <item sd="0" x="2810"/>
        <item sd="0" x="2811"/>
        <item sd="0" m="1" x="15146"/>
        <item sd="0" x="2812"/>
        <item sd="0" x="2813"/>
        <item sd="0" x="2814"/>
        <item sd="0" x="2815"/>
        <item sd="0" x="2816"/>
        <item sd="0" x="2817"/>
        <item sd="0" x="2818"/>
        <item sd="0" x="2819"/>
        <item sd="0" x="2820"/>
        <item sd="0" x="2821"/>
        <item sd="0" x="2823"/>
        <item sd="0" x="2824"/>
        <item sd="0" x="2825"/>
        <item sd="0" x="2826"/>
        <item sd="0" x="2827"/>
        <item sd="0" x="2828"/>
        <item sd="0" x="2829"/>
        <item sd="0" x="2830"/>
        <item sd="0" x="2831"/>
        <item sd="0" x="2832"/>
        <item sd="0" x="2833"/>
        <item sd="0" x="2834"/>
        <item sd="0" x="2835"/>
        <item sd="0" x="2836"/>
        <item sd="0" x="3055"/>
        <item sd="0" x="2838"/>
        <item sd="0" x="2839"/>
        <item sd="0" x="2840"/>
        <item sd="0" x="2841"/>
        <item sd="0" x="2842"/>
        <item sd="0" x="2843"/>
        <item sd="0" x="2844"/>
        <item sd="0" x="2845"/>
        <item sd="0" x="2846"/>
        <item sd="0" x="2847"/>
        <item sd="0" x="2848"/>
        <item sd="0" x="2849"/>
        <item sd="0" x="2850"/>
        <item sd="0" x="2851"/>
        <item sd="0" x="3071"/>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x="3109"/>
        <item sd="0" x="3110"/>
        <item sd="0" x="3111"/>
        <item sd="0" x="3112"/>
        <item sd="0" x="3113"/>
        <item sd="0" x="3114"/>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146"/>
        <item sd="0" x="3147"/>
        <item sd="0" x="3148"/>
        <item sd="0" x="3149"/>
        <item sd="0" x="3150"/>
        <item sd="0" x="3151"/>
        <item sd="0" x="3152"/>
        <item sd="0" x="3153"/>
        <item sd="0" x="3154"/>
        <item sd="0" x="3155"/>
        <item sd="0" x="3156"/>
        <item sd="0" x="3157"/>
        <item sd="0" x="3158"/>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2944"/>
        <item sd="0" x="2945"/>
        <item sd="0" x="2946"/>
        <item sd="0" x="2947"/>
        <item sd="0" x="2948"/>
        <item sd="0" x="2949"/>
        <item sd="0" x="2950"/>
        <item sd="0" x="2951"/>
        <item sd="0" x="2952"/>
        <item sd="0" x="2953"/>
        <item sd="0" x="2954"/>
        <item sd="0" x="2955"/>
        <item sd="0" x="2956"/>
        <item sd="0" x="2957"/>
        <item sd="0" x="2958"/>
        <item sd="0" x="2959"/>
        <item sd="0" x="2960"/>
        <item sd="0" x="2961"/>
        <item sd="0" x="2962"/>
        <item sd="0" x="2963"/>
        <item sd="0" x="2964"/>
        <item sd="0" x="2965"/>
        <item sd="0" x="2966"/>
        <item sd="0" x="2967"/>
        <item sd="0" x="3189"/>
        <item sd="0" x="2968"/>
        <item sd="0" x="2969"/>
        <item sd="0" x="2970"/>
        <item sd="0" x="2971"/>
        <item sd="0" x="2972"/>
        <item sd="0" x="2973"/>
        <item sd="0" x="2974"/>
        <item sd="0" x="2975"/>
        <item sd="0" x="2976"/>
        <item sd="0" x="2977"/>
        <item sd="0" x="2978"/>
        <item sd="0" x="2979"/>
        <item sd="0" x="2980"/>
        <item sd="0" x="2981"/>
        <item sd="0" x="2982"/>
        <item sd="0" x="2983"/>
        <item sd="0" x="2984"/>
        <item sd="0" x="2985"/>
        <item sd="0" x="2986"/>
        <item sd="0" x="2987"/>
        <item sd="0" x="298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022"/>
        <item sd="0" x="3023"/>
        <item sd="0" x="3024"/>
        <item sd="0" x="3025"/>
        <item sd="0" x="3027"/>
        <item sd="0" x="3028"/>
        <item sd="0" x="3029"/>
        <item sd="0" x="3030"/>
        <item sd="0" x="3031"/>
        <item sd="0" x="3032"/>
        <item sd="0" x="3033"/>
        <item sd="0" x="3034"/>
        <item sd="0" x="3035"/>
        <item sd="0" x="3036"/>
        <item sd="0" x="3037"/>
        <item sd="0" x="3038"/>
        <item sd="0" x="3039"/>
        <item sd="0" x="3040"/>
        <item sd="0" x="3262"/>
        <item sd="0" x="3041"/>
        <item sd="0" x="3042"/>
        <item sd="0" x="3043"/>
        <item sd="0" x="3044"/>
        <item sd="0" x="3045"/>
        <item sd="0" x="3046"/>
        <item sd="0" x="3047"/>
        <item sd="0" x="3048"/>
        <item sd="0" x="3049"/>
        <item sd="0" x="3050"/>
        <item sd="0" x="3051"/>
        <item sd="0" x="3052"/>
        <item sd="0" x="3053"/>
        <item sd="0" x="3054"/>
        <item sd="0" x="3056"/>
        <item sd="0" x="3057"/>
        <item sd="0" x="3058"/>
        <item sd="0" x="3059"/>
        <item sd="0" x="3060"/>
        <item sd="0" x="3061"/>
        <item sd="0" x="3062"/>
        <item sd="0" x="3063"/>
        <item sd="0" x="3064"/>
        <item sd="0" x="3065"/>
        <item sd="0" x="3066"/>
        <item sd="0" x="3067"/>
        <item sd="0" x="3068"/>
        <item sd="0" x="3069"/>
        <item sd="0" x="3070"/>
        <item sd="0" x="3072"/>
        <item sd="0" x="3073"/>
        <item sd="0" x="3074"/>
        <item sd="0" x="3075"/>
        <item sd="0" x="3076"/>
        <item sd="0" x="3077"/>
        <item sd="0" x="3078"/>
        <item sd="0" x="3079"/>
        <item sd="0" x="3080"/>
        <item sd="0" x="3081"/>
        <item sd="0" x="3082"/>
        <item sd="0" x="3083"/>
        <item sd="0" x="3084"/>
        <item sd="0" x="3085"/>
        <item sd="0" x="3306"/>
        <item sd="0" x="3307"/>
        <item sd="0" x="3322"/>
        <item sd="0" x="3323"/>
        <item sd="0" x="3324"/>
        <item sd="0" x="3325"/>
        <item sd="0" x="3326"/>
        <item sd="0" x="3327"/>
        <item sd="0" x="3328"/>
        <item sd="0" x="3329"/>
        <item sd="0" x="3330"/>
        <item sd="0" x="3331"/>
        <item sd="0" x="3332"/>
        <item sd="0" x="3333"/>
        <item sd="0" x="3334"/>
        <item sd="0" x="3335"/>
        <item sd="0" x="3336"/>
        <item sd="0" x="3337"/>
        <item sd="0" x="3338"/>
        <item sd="0" x="3339"/>
        <item sd="0" x="3340"/>
        <item sd="0" x="3341"/>
        <item sd="0" x="3342"/>
        <item sd="0" x="3343"/>
        <item sd="0" x="3344"/>
        <item sd="0" x="3345"/>
        <item sd="0" x="3346"/>
        <item sd="0" x="3347"/>
        <item sd="0" x="3348"/>
        <item sd="0" x="3349"/>
        <item sd="0" x="3350"/>
        <item sd="0" x="3351"/>
        <item sd="0" x="3352"/>
        <item sd="0" x="3353"/>
        <item sd="0" x="3354"/>
        <item sd="0" x="3355"/>
        <item sd="0" x="3356"/>
        <item sd="0" x="3357"/>
        <item sd="0" x="3358"/>
        <item sd="0" x="3359"/>
        <item sd="0" x="3360"/>
        <item sd="0" x="3361"/>
        <item sd="0" x="3362"/>
        <item sd="0" x="3363"/>
        <item sd="0" x="3364"/>
        <item sd="0" x="3583"/>
        <item sd="0" x="7097"/>
        <item sd="0" x="7098"/>
        <item sd="0" x="7099"/>
        <item sd="0" x="7100"/>
        <item sd="0" x="7101"/>
        <item sd="0" x="7102"/>
        <item sd="0" x="7103"/>
        <item sd="0" x="7104"/>
        <item sd="0" x="7105"/>
        <item sd="0" x="7106"/>
        <item sd="0" x="7107"/>
        <item sd="0" x="7108"/>
        <item sd="0" x="7109"/>
        <item sd="0" x="7110"/>
        <item sd="0" x="7111"/>
        <item sd="0" x="7112"/>
        <item sd="0" x="7113"/>
        <item sd="0" x="7114"/>
        <item sd="0" x="7115"/>
        <item sd="0" x="7116"/>
        <item sd="0" x="7117"/>
        <item sd="0" x="7118"/>
        <item sd="0" x="7119"/>
        <item sd="0" x="7120"/>
        <item sd="0" x="7121"/>
        <item sd="0" x="7122"/>
        <item sd="0" x="7123"/>
        <item sd="0" x="7124"/>
        <item sd="0" x="6893"/>
        <item sd="0" x="6894"/>
        <item sd="0" x="6895"/>
        <item sd="0" x="6896"/>
        <item sd="0" x="6897"/>
        <item sd="0" x="6898"/>
        <item sd="0" x="6899"/>
        <item sd="0" x="6900"/>
        <item sd="0" x="6901"/>
        <item sd="0" x="6902"/>
        <item sd="0" x="6903"/>
        <item sd="0" x="6904"/>
        <item sd="0" x="6905"/>
        <item sd="0" x="6906"/>
        <item sd="0" x="6907"/>
        <item sd="0" x="6908"/>
        <item sd="0" x="6909"/>
        <item sd="0" x="6910"/>
        <item sd="0" x="6911"/>
        <item sd="0" x="6912"/>
        <item sd="0" x="6913"/>
        <item sd="0" x="6914"/>
        <item sd="0" x="6915"/>
        <item sd="0" x="6916"/>
        <item sd="0" x="6917"/>
        <item sd="0" x="6918"/>
        <item sd="0" x="6919"/>
        <item sd="0" x="6920"/>
        <item sd="0" x="6921"/>
        <item sd="0" x="6922"/>
        <item sd="0" x="6923"/>
        <item sd="0" x="6924"/>
        <item sd="0" x="6925"/>
        <item sd="0" x="6926"/>
        <item sd="0" x="6927"/>
        <item sd="0" x="6928"/>
        <item sd="0" x="6929"/>
        <item sd="0" x="6930"/>
        <item sd="0" x="6931"/>
        <item sd="0" x="6932"/>
        <item sd="0" x="6933"/>
        <item sd="0" x="6934"/>
        <item sd="0" x="6935"/>
        <item sd="0" x="6936"/>
        <item sd="0" x="6937"/>
        <item sd="0" x="6938"/>
        <item sd="0" x="6939"/>
        <item sd="0" x="6940"/>
        <item sd="0" x="6941"/>
        <item sd="0" x="6942"/>
        <item sd="0" x="6943"/>
        <item sd="0" x="6944"/>
        <item sd="0" x="6945"/>
        <item sd="0" x="6946"/>
        <item sd="0" x="6947"/>
        <item sd="0" x="6948"/>
        <item sd="0" x="6949"/>
        <item sd="0" x="6950"/>
        <item sd="0" x="6951"/>
        <item sd="0" x="6952"/>
        <item sd="0" x="6953"/>
        <item sd="0" x="6954"/>
        <item sd="0" x="6955"/>
        <item sd="0" x="6956"/>
        <item sd="0" x="6957"/>
        <item sd="0" x="6958"/>
        <item sd="0" x="6959"/>
        <item sd="0" x="6960"/>
        <item sd="0" x="6961"/>
        <item sd="0" x="6962"/>
        <item sd="0" x="6963"/>
        <item sd="0" x="6964"/>
        <item sd="0" x="6965"/>
        <item sd="0" x="6966"/>
        <item sd="0" x="6967"/>
        <item sd="0" x="6968"/>
        <item sd="0" x="6969"/>
        <item sd="0" x="6970"/>
        <item sd="0" x="6971"/>
        <item sd="0" x="6972"/>
        <item sd="0" x="6973"/>
        <item sd="0" x="6974"/>
        <item sd="0" x="6975"/>
        <item sd="0" x="6976"/>
        <item sd="0" x="6977"/>
        <item sd="0" x="6978"/>
        <item sd="0" x="6979"/>
        <item sd="0" x="6980"/>
        <item sd="0" x="6981"/>
        <item sd="0" x="6982"/>
        <item sd="0" x="6983"/>
        <item sd="0" x="6984"/>
        <item sd="0" x="6985"/>
        <item sd="0" x="6986"/>
        <item sd="0" x="6987"/>
        <item sd="0" x="6988"/>
        <item sd="0" x="6989"/>
        <item sd="0" x="6990"/>
        <item sd="0" x="6991"/>
        <item sd="0" x="6992"/>
        <item sd="0" x="6993"/>
        <item sd="0" x="6994"/>
        <item sd="0" x="6995"/>
        <item sd="0" x="6996"/>
        <item sd="0" x="6997"/>
        <item sd="0" x="6998"/>
        <item sd="0" x="6999"/>
        <item sd="0" x="7000"/>
        <item sd="0" x="7001"/>
        <item sd="0" x="7002"/>
        <item sd="0" x="7003"/>
        <item sd="0" x="7004"/>
        <item sd="0" x="7005"/>
        <item sd="0" x="7006"/>
        <item sd="0" x="7007"/>
        <item sd="0" x="7008"/>
        <item sd="0" x="7009"/>
        <item sd="0" x="7010"/>
        <item sd="0" x="7011"/>
        <item sd="0" x="7012"/>
        <item sd="0" x="7013"/>
        <item sd="0" x="7014"/>
        <item sd="0" x="7015"/>
        <item sd="0" x="7016"/>
        <item sd="0" x="7017"/>
        <item sd="0" x="7018"/>
        <item sd="0" x="7019"/>
        <item sd="0" x="7020"/>
        <item sd="0" x="7021"/>
        <item sd="0" x="7022"/>
        <item sd="0" x="7023"/>
        <item sd="0" x="7024"/>
        <item sd="0" x="7025"/>
        <item sd="0" x="7026"/>
        <item sd="0" x="7027"/>
        <item sd="0" x="7028"/>
        <item sd="0" x="7029"/>
        <item sd="0" x="7030"/>
        <item sd="0" x="7031"/>
        <item sd="0" x="7032"/>
        <item sd="0" x="7033"/>
        <item sd="0" x="7034"/>
        <item sd="0" x="7035"/>
        <item sd="0" x="7036"/>
        <item sd="0" x="7037"/>
        <item sd="0" x="7038"/>
        <item sd="0" x="7039"/>
        <item sd="0" x="7040"/>
        <item sd="0" x="7041"/>
        <item sd="0" x="7042"/>
        <item sd="0" x="7043"/>
        <item sd="0" x="7044"/>
        <item sd="0" x="7045"/>
        <item sd="0" x="7046"/>
        <item sd="0" x="7047"/>
        <item sd="0" x="7048"/>
        <item sd="0" x="7049"/>
        <item sd="0" x="7050"/>
        <item sd="0" x="7051"/>
        <item sd="0" x="7052"/>
        <item sd="0" x="7053"/>
        <item sd="0" x="7288"/>
        <item sd="0" x="7289"/>
        <item sd="0" x="7290"/>
        <item sd="0" x="7291"/>
        <item sd="0" x="7292"/>
        <item sd="0" x="7293"/>
        <item sd="0" x="7294"/>
        <item sd="0" x="7295"/>
        <item sd="0" x="7296"/>
        <item sd="0" x="7297"/>
        <item sd="0" x="7298"/>
        <item sd="0" x="7299"/>
        <item sd="0" x="7300"/>
        <item sd="0" x="7301"/>
        <item sd="0" x="7302"/>
        <item sd="0" x="7303"/>
        <item sd="0" x="7304"/>
        <item sd="0" x="7305"/>
        <item sd="0" x="7306"/>
        <item sd="0" x="7307"/>
        <item sd="0" x="7308"/>
        <item sd="0" x="7309"/>
        <item sd="0" x="7310"/>
        <item sd="0" x="7311"/>
        <item sd="0" x="7312"/>
        <item sd="0" x="7313"/>
        <item sd="0" x="7314"/>
        <item sd="0" x="7315"/>
        <item sd="0" x="7536"/>
        <item sd="0" x="7317"/>
        <item sd="0" x="7318"/>
        <item sd="0" x="7319"/>
        <item sd="0" x="7320"/>
        <item sd="0" x="7321"/>
        <item sd="0" x="7322"/>
        <item sd="0" x="7323"/>
        <item sd="0" x="7324"/>
        <item sd="0" x="7325"/>
        <item sd="0" x="7326"/>
        <item sd="0" x="7327"/>
        <item sd="0" x="7328"/>
        <item sd="0" x="7329"/>
        <item sd="0" x="7330"/>
        <item sd="0" x="7331"/>
        <item sd="0" x="7332"/>
        <item sd="0" x="7333"/>
        <item sd="0" x="7334"/>
        <item sd="0" x="7335"/>
        <item sd="0" x="7336"/>
        <item sd="0" x="7337"/>
        <item sd="0" x="7338"/>
        <item sd="0" x="7339"/>
        <item sd="0" x="7340"/>
        <item sd="0" x="7341"/>
        <item sd="0" x="7342"/>
        <item sd="0" x="7343"/>
        <item sd="0" x="7344"/>
        <item sd="0" x="7345"/>
        <item sd="0" x="7346"/>
        <item sd="0" x="7347"/>
        <item sd="0" x="7348"/>
        <item sd="0" x="7349"/>
        <item sd="0" x="7350"/>
        <item sd="0" x="7351"/>
        <item sd="0" x="7352"/>
        <item sd="0" x="7353"/>
        <item sd="0" x="7354"/>
        <item sd="0" x="7355"/>
        <item sd="0" x="7356"/>
        <item sd="0" x="7357"/>
        <item sd="0" x="7358"/>
        <item sd="0" x="7359"/>
        <item sd="0" x="7360"/>
        <item sd="0" x="7125"/>
        <item sd="0" x="7126"/>
        <item sd="0" x="7127"/>
        <item sd="0" x="7128"/>
        <item sd="0" x="7129"/>
        <item sd="0" x="7130"/>
        <item sd="0" x="7131"/>
        <item sd="0" x="7132"/>
        <item sd="0" x="7133"/>
        <item sd="0" x="7134"/>
        <item sd="0" x="7135"/>
        <item sd="0" x="7136"/>
        <item sd="0" x="7137"/>
        <item sd="0" x="7138"/>
        <item sd="0" x="7139"/>
        <item sd="0" x="7140"/>
        <item sd="0" x="7141"/>
        <item sd="0" x="7142"/>
        <item sd="0" x="7143"/>
        <item sd="0" x="7144"/>
        <item sd="0" x="7145"/>
        <item sd="0" x="7146"/>
        <item sd="0" x="7147"/>
        <item sd="0" x="7148"/>
        <item sd="0" x="7149"/>
        <item sd="0" x="7150"/>
        <item sd="0" x="7151"/>
        <item sd="0" x="7152"/>
        <item sd="0" x="7153"/>
        <item sd="0" x="7154"/>
        <item sd="0" x="7155"/>
        <item sd="0" x="7156"/>
        <item sd="0" x="7157"/>
        <item sd="0" x="7158"/>
        <item sd="0" x="7159"/>
        <item sd="0" x="7160"/>
        <item sd="0" x="7161"/>
        <item sd="0" x="7162"/>
        <item sd="0" x="7163"/>
        <item sd="0" x="7164"/>
        <item sd="0" x="7165"/>
        <item sd="0" x="7166"/>
        <item sd="0" x="7167"/>
        <item sd="0" x="7168"/>
        <item sd="0" x="7169"/>
        <item sd="0" x="7170"/>
        <item sd="0" x="7171"/>
        <item sd="0" x="7172"/>
        <item sd="0" x="7173"/>
        <item sd="0" x="7174"/>
        <item sd="0" x="7175"/>
        <item sd="0" x="7176"/>
        <item sd="0" x="7177"/>
        <item sd="0" x="7178"/>
        <item sd="0" x="7179"/>
        <item sd="0" x="7180"/>
        <item sd="0" x="7181"/>
        <item sd="0" x="7182"/>
        <item sd="0" x="7183"/>
        <item sd="0" x="7184"/>
        <item sd="0" x="7185"/>
        <item sd="0" x="7186"/>
        <item sd="0" x="7187"/>
        <item sd="0" x="7188"/>
        <item sd="0" x="7189"/>
        <item sd="0" x="7190"/>
        <item sd="0" x="7191"/>
        <item sd="0" x="7192"/>
        <item sd="0" x="7193"/>
        <item sd="0" x="7194"/>
        <item sd="0" x="7195"/>
        <item sd="0" x="7196"/>
        <item sd="0" x="7197"/>
        <item sd="0" x="7198"/>
        <item sd="0" x="7199"/>
        <item sd="0" x="7200"/>
        <item sd="0" x="7201"/>
        <item sd="0" x="7202"/>
        <item sd="0" x="7203"/>
        <item sd="0" x="7204"/>
        <item sd="0" x="7205"/>
        <item sd="0" x="7206"/>
        <item sd="0" x="7207"/>
        <item sd="0" x="7208"/>
        <item sd="0" x="7209"/>
        <item sd="0" x="7210"/>
        <item sd="0" x="7211"/>
        <item sd="0" x="7212"/>
        <item sd="0" x="7213"/>
        <item sd="0" x="7214"/>
        <item sd="0" x="7215"/>
        <item sd="0" x="7216"/>
        <item sd="0" x="7217"/>
        <item sd="0" x="7218"/>
        <item sd="0" x="7219"/>
        <item sd="0" x="7220"/>
        <item sd="0" x="7221"/>
        <item sd="0" x="7222"/>
        <item sd="0" x="7223"/>
        <item sd="0" x="7224"/>
        <item sd="0" x="7225"/>
        <item sd="0" x="7226"/>
        <item sd="0" x="7227"/>
        <item sd="0" x="7228"/>
        <item sd="0" x="7229"/>
        <item sd="0" x="7230"/>
        <item sd="0" x="7231"/>
        <item sd="0" x="7232"/>
        <item sd="0" x="7233"/>
        <item sd="0" x="7234"/>
        <item sd="0" x="7235"/>
        <item sd="0" x="7236"/>
        <item sd="0" x="7237"/>
        <item sd="0" x="7238"/>
        <item sd="0" x="7239"/>
        <item sd="0" x="7240"/>
        <item sd="0" x="7241"/>
        <item sd="0" x="7242"/>
        <item sd="0" x="7243"/>
        <item sd="0" x="7244"/>
        <item sd="0" x="7245"/>
        <item sd="0" x="7246"/>
        <item sd="0" x="7247"/>
        <item sd="0" x="7248"/>
        <item sd="0" x="7249"/>
        <item sd="0" x="7250"/>
        <item sd="0" x="7251"/>
        <item sd="0" x="7252"/>
        <item sd="0" x="7253"/>
        <item sd="0" x="7254"/>
        <item sd="0" x="7255"/>
        <item sd="0" x="7256"/>
        <item sd="0" x="7257"/>
        <item sd="0" x="7258"/>
        <item sd="0" x="7259"/>
        <item sd="0" x="7260"/>
        <item sd="0" x="7261"/>
        <item sd="0" x="7262"/>
        <item sd="0" x="7263"/>
        <item sd="0" x="7264"/>
        <item sd="0" x="7265"/>
        <item sd="0" x="7266"/>
        <item sd="0" x="7267"/>
        <item sd="0" x="7268"/>
        <item sd="0" x="7269"/>
        <item sd="0" x="7270"/>
        <item sd="0" x="7271"/>
        <item sd="0" x="7272"/>
        <item sd="0" x="7273"/>
        <item sd="0" x="7274"/>
        <item sd="0" x="7275"/>
        <item sd="0" x="7276"/>
        <item sd="0" x="7277"/>
        <item sd="0" x="7278"/>
        <item sd="0" x="7279"/>
        <item sd="0" x="7280"/>
        <item sd="0" x="7281"/>
        <item sd="0" x="7282"/>
        <item sd="0" x="7283"/>
        <item sd="0" x="7284"/>
        <item sd="0" x="7285"/>
        <item sd="0" x="7286"/>
        <item sd="0" x="7523"/>
        <item sd="0" x="7524"/>
        <item sd="0" x="7525"/>
        <item sd="0" x="7526"/>
        <item sd="0" x="7527"/>
        <item sd="0" x="7528"/>
        <item sd="0" x="7529"/>
        <item sd="0" x="7530"/>
        <item sd="0" x="7531"/>
        <item sd="0" x="7532"/>
        <item sd="0" x="7533"/>
        <item sd="0" x="7534"/>
        <item sd="0" x="7535"/>
        <item sd="0" x="7747"/>
        <item sd="0" x="7537"/>
        <item sd="0" x="7538"/>
        <item sd="0" x="7539"/>
        <item sd="0" x="7540"/>
        <item sd="0" x="7541"/>
        <item sd="0" x="7542"/>
        <item sd="0" x="7543"/>
        <item sd="0" x="7544"/>
        <item sd="0" x="7545"/>
        <item sd="0" x="7546"/>
        <item sd="0" x="7547"/>
        <item sd="0" x="7548"/>
        <item sd="0" x="7549"/>
        <item sd="0" x="7550"/>
        <item sd="0" x="7551"/>
        <item sd="0" x="7552"/>
        <item sd="0" x="7553"/>
        <item sd="0" x="7554"/>
        <item sd="0" x="7555"/>
        <item sd="0" x="7556"/>
        <item sd="0" x="7557"/>
        <item sd="0" x="7558"/>
        <item sd="0" x="7559"/>
        <item sd="0" x="7560"/>
        <item sd="0" x="7561"/>
        <item sd="0" x="7562"/>
        <item sd="0" x="7563"/>
        <item sd="0" x="7564"/>
        <item sd="0" x="7565"/>
        <item sd="0" x="7566"/>
        <item sd="0" x="7567"/>
        <item sd="0" x="7568"/>
        <item sd="0" x="7569"/>
        <item sd="0" x="7570"/>
        <item sd="0" x="7571"/>
        <item sd="0" x="7572"/>
        <item sd="0" x="7573"/>
        <item sd="0" x="7574"/>
        <item sd="0" x="7575"/>
        <item sd="0" x="7576"/>
        <item sd="0" x="7577"/>
        <item sd="0" x="7578"/>
        <item sd="0" x="7579"/>
        <item sd="0" x="7580"/>
        <item sd="0" x="7581"/>
        <item sd="0" x="7582"/>
        <item sd="0" x="7583"/>
        <item sd="0" x="7584"/>
        <item sd="0" x="7585"/>
        <item sd="0" x="7586"/>
        <item sd="0" x="7587"/>
        <item sd="0" x="7588"/>
        <item sd="0" x="7589"/>
        <item sd="0" x="7590"/>
        <item sd="0" x="7591"/>
        <item sd="0" x="7592"/>
        <item sd="0" x="7593"/>
        <item sd="0" x="7594"/>
        <item sd="0" x="7361"/>
        <item sd="0" x="7362"/>
        <item sd="0" x="7363"/>
        <item sd="0" x="7364"/>
        <item sd="0" x="7365"/>
        <item sd="0" x="7366"/>
        <item sd="0" x="7367"/>
        <item sd="0" x="7368"/>
        <item sd="0" x="7369"/>
        <item sd="0" x="7370"/>
        <item sd="0" x="7371"/>
        <item sd="0" x="7372"/>
        <item sd="0" x="7373"/>
        <item sd="0" x="7374"/>
        <item sd="0" x="7375"/>
        <item sd="0" x="7376"/>
        <item sd="0" x="7377"/>
        <item sd="0" x="7378"/>
        <item sd="0" x="7379"/>
        <item sd="0" x="7380"/>
        <item sd="0" x="7381"/>
        <item sd="0" x="7382"/>
        <item sd="0" x="7383"/>
        <item sd="0" x="7384"/>
        <item sd="0" x="7385"/>
        <item sd="0" x="7386"/>
        <item sd="0" x="7387"/>
        <item sd="0" x="7388"/>
        <item sd="0" x="7389"/>
        <item sd="0" x="7390"/>
        <item sd="0" x="7391"/>
        <item sd="0" x="7392"/>
        <item sd="0" x="7393"/>
        <item sd="0" x="7394"/>
        <item sd="0" x="7395"/>
        <item sd="0" x="7396"/>
        <item sd="0" x="7397"/>
        <item sd="0" x="7398"/>
        <item sd="0" x="7399"/>
        <item sd="0" x="7400"/>
        <item sd="0" x="7401"/>
        <item sd="0" x="7402"/>
        <item sd="0" x="7403"/>
        <item sd="0" x="7404"/>
        <item sd="0" x="7405"/>
        <item sd="0" x="7406"/>
        <item sd="0" x="7407"/>
        <item sd="0" x="7408"/>
        <item sd="0" x="7409"/>
        <item sd="0" x="7410"/>
        <item sd="0" x="7411"/>
        <item sd="0" x="7412"/>
        <item sd="0" x="7413"/>
        <item sd="0" x="7414"/>
        <item sd="0" x="7415"/>
        <item sd="0" x="7416"/>
        <item sd="0" x="7417"/>
        <item sd="0" x="7418"/>
        <item sd="0" x="7419"/>
        <item sd="0" x="7420"/>
        <item sd="0" x="7421"/>
        <item sd="0" x="7422"/>
        <item sd="0" x="7423"/>
        <item sd="0" x="7424"/>
        <item sd="0" x="7425"/>
        <item sd="0" x="7426"/>
        <item sd="0" x="7427"/>
        <item sd="0" x="7428"/>
        <item sd="0" x="7429"/>
        <item sd="0" x="7430"/>
        <item sd="0" x="7431"/>
        <item sd="0" x="7432"/>
        <item sd="0" x="7433"/>
        <item sd="0" x="7434"/>
        <item sd="0" x="7435"/>
        <item sd="0" x="7436"/>
        <item sd="0" x="7437"/>
        <item sd="0" x="7438"/>
        <item sd="0" x="7439"/>
        <item sd="0" x="7440"/>
        <item sd="0" x="7441"/>
        <item sd="0" x="7442"/>
        <item sd="0" x="7443"/>
        <item sd="0" x="7444"/>
        <item sd="0" x="7445"/>
        <item sd="0" x="7446"/>
        <item sd="0" x="7447"/>
        <item sd="0" x="7448"/>
        <item sd="0" x="7449"/>
        <item sd="0" x="7450"/>
        <item sd="0" x="7451"/>
        <item sd="0" x="7452"/>
        <item sd="0" x="7453"/>
        <item sd="0" x="7454"/>
        <item sd="0" x="7455"/>
        <item sd="0" x="7456"/>
        <item sd="0" x="7457"/>
        <item sd="0" x="7458"/>
        <item sd="0" x="7459"/>
        <item sd="0" x="7460"/>
        <item sd="0" x="7461"/>
        <item sd="0" x="7462"/>
        <item sd="0" x="7463"/>
        <item sd="0" x="7464"/>
        <item sd="0" x="7465"/>
        <item sd="0" x="7466"/>
        <item sd="0" x="7467"/>
        <item sd="0" x="7468"/>
        <item sd="0" x="7469"/>
        <item sd="0" x="7470"/>
        <item sd="0" x="7471"/>
        <item sd="0" x="7472"/>
        <item sd="0" x="7473"/>
        <item sd="0" x="7474"/>
        <item sd="0" x="7475"/>
        <item sd="0" x="7476"/>
        <item sd="0" x="7477"/>
        <item sd="0" x="7478"/>
        <item sd="0" x="7479"/>
        <item sd="0" x="7480"/>
        <item sd="0" x="7481"/>
        <item sd="0" x="7482"/>
        <item sd="0" x="7483"/>
        <item sd="0" x="7484"/>
        <item sd="0" x="7485"/>
        <item sd="0" x="7486"/>
        <item sd="0" x="7487"/>
        <item sd="0" x="7488"/>
        <item sd="0" x="7489"/>
        <item sd="0" x="7490"/>
        <item sd="0" x="7491"/>
        <item sd="0" x="7492"/>
        <item sd="0" x="7493"/>
        <item sd="0" x="7494"/>
        <item sd="0" x="7495"/>
        <item sd="0" x="7496"/>
        <item sd="0" x="7497"/>
        <item sd="0" x="7498"/>
        <item sd="0" x="7499"/>
        <item sd="0" x="7500"/>
        <item sd="0" x="7501"/>
        <item sd="0" x="7502"/>
        <item sd="0" x="7503"/>
        <item sd="0" x="7504"/>
        <item sd="0" x="7505"/>
        <item sd="0" x="7506"/>
        <item sd="0" x="7507"/>
        <item sd="0" x="7508"/>
        <item sd="0" x="7509"/>
        <item sd="0" x="7510"/>
        <item sd="0" x="7511"/>
        <item sd="0" x="7512"/>
        <item sd="0" x="7513"/>
        <item sd="0" x="7514"/>
        <item sd="0" x="7515"/>
        <item sd="0" x="7516"/>
        <item sd="0" x="7517"/>
        <item sd="0" x="7518"/>
        <item sd="0" x="7519"/>
        <item sd="0" x="7520"/>
        <item sd="0" x="7521"/>
        <item sd="0" x="7522"/>
        <item sd="0" x="7748"/>
        <item sd="0" x="7749"/>
        <item sd="0" x="7750"/>
        <item sd="0" x="7751"/>
        <item sd="0" x="7752"/>
        <item sd="0" x="7753"/>
        <item sd="0" x="7754"/>
        <item sd="0" x="7755"/>
        <item sd="0" x="7756"/>
        <item sd="0" x="7757"/>
        <item sd="0" x="7758"/>
        <item sd="0" x="7759"/>
        <item sd="0" x="4259"/>
        <item sd="0" x="4260"/>
        <item sd="0" x="7760"/>
        <item sd="0" x="7761"/>
        <item sd="0" x="7762"/>
        <item sd="0" x="7763"/>
        <item sd="0" x="7764"/>
        <item sd="0" x="7765"/>
        <item sd="0" x="7766"/>
        <item sd="0" x="7767"/>
        <item sd="0" x="7768"/>
        <item sd="0" x="7769"/>
        <item sd="0" x="7770"/>
        <item sd="0" x="7771"/>
        <item sd="0" x="7772"/>
        <item sd="0" x="4275"/>
        <item sd="0" x="4276"/>
        <item sd="0" x="7773"/>
        <item sd="0" x="7774"/>
        <item sd="0" x="7775"/>
        <item sd="0" x="7776"/>
        <item sd="0" x="7777"/>
        <item sd="0" x="7778"/>
        <item sd="0" x="7779"/>
        <item sd="0" x="7780"/>
        <item sd="0" x="7781"/>
        <item sd="0" x="7782"/>
        <item sd="0" x="7783"/>
        <item sd="0" x="7784"/>
        <item sd="0" x="7785"/>
        <item sd="0" x="4291"/>
        <item sd="0" x="7786"/>
        <item sd="0" x="7787"/>
        <item sd="0" x="7788"/>
        <item sd="0" x="7789"/>
        <item sd="0" x="7790"/>
        <item sd="0" x="7791"/>
        <item sd="0" x="7792"/>
        <item sd="0" x="7793"/>
        <item sd="0" x="7794"/>
        <item sd="0" x="7795"/>
        <item sd="0" x="7796"/>
        <item sd="0" x="7797"/>
        <item sd="0" x="7798"/>
        <item sd="0" x="7799"/>
        <item sd="0" x="4307"/>
        <item sd="0" x="7800"/>
        <item sd="0" x="7801"/>
        <item sd="0" x="7802"/>
        <item sd="0" x="7803"/>
        <item sd="0" x="7804"/>
        <item sd="0" x="7805"/>
        <item sd="0" x="7806"/>
        <item sd="0" x="7807"/>
        <item sd="0" x="7808"/>
        <item sd="0" x="7809"/>
        <item sd="0" x="7810"/>
        <item sd="0" x="7811"/>
        <item sd="0" x="7812"/>
        <item sd="0" x="4074"/>
        <item sd="0" x="7595"/>
        <item sd="0" x="7596"/>
        <item sd="0" x="7597"/>
        <item sd="0" x="7598"/>
        <item sd="0" x="7599"/>
        <item sd="0" x="7600"/>
        <item sd="0" x="7601"/>
        <item sd="0" x="7602"/>
        <item sd="0" x="7603"/>
        <item sd="0" x="7604"/>
        <item sd="0" x="7605"/>
        <item sd="0" x="7606"/>
        <item sd="0" x="7607"/>
        <item sd="0" x="7608"/>
        <item sd="0" x="4090"/>
        <item sd="0" x="7609"/>
        <item sd="0" x="7610"/>
        <item sd="0" x="7611"/>
        <item sd="0" x="7612"/>
        <item sd="0" x="7613"/>
        <item sd="0" x="7614"/>
        <item sd="0" x="7615"/>
        <item sd="0" x="7616"/>
        <item sd="0" x="7617"/>
        <item sd="0" x="7618"/>
        <item sd="0" x="7619"/>
        <item sd="0" x="7620"/>
        <item sd="0" x="7621"/>
        <item sd="0" x="7622"/>
        <item sd="0" x="4106"/>
        <item sd="0" x="7623"/>
        <item sd="0" x="7624"/>
        <item sd="0" x="7625"/>
        <item sd="0" x="7626"/>
        <item sd="0" x="7627"/>
        <item sd="0" x="7628"/>
        <item sd="0" x="7629"/>
        <item sd="0" x="7630"/>
        <item sd="0" x="7631"/>
        <item sd="0" x="7632"/>
        <item sd="0" x="7633"/>
        <item sd="0" x="7634"/>
        <item sd="0" x="7635"/>
        <item sd="0" x="4121"/>
        <item sd="0" x="7636"/>
        <item sd="0" x="7637"/>
        <item sd="0" x="7638"/>
        <item sd="0" x="7639"/>
        <item sd="0" x="7640"/>
        <item sd="0" x="7641"/>
        <item sd="0" x="7642"/>
        <item sd="0" x="7643"/>
        <item sd="0" x="7644"/>
        <item sd="0" x="7645"/>
        <item sd="0" x="7646"/>
        <item sd="0" x="7647"/>
        <item sd="0" x="7648"/>
        <item sd="0" x="7649"/>
        <item sd="0" x="4137"/>
        <item sd="0" x="7650"/>
        <item sd="0" x="7651"/>
        <item sd="0" x="7652"/>
        <item sd="0" x="7653"/>
        <item sd="0" x="7654"/>
        <item sd="0" x="7655"/>
        <item sd="0" x="7656"/>
        <item sd="0" x="7657"/>
        <item sd="0" x="7658"/>
        <item sd="0" x="7659"/>
        <item sd="0" x="7660"/>
        <item sd="0" x="7661"/>
        <item sd="0" x="7662"/>
        <item sd="0" x="4152"/>
        <item sd="0" x="7663"/>
        <item sd="0" x="7664"/>
        <item sd="0" x="7665"/>
        <item sd="0" x="7666"/>
        <item sd="0" x="7667"/>
        <item sd="0" x="7668"/>
        <item sd="0" x="7669"/>
        <item sd="0" x="7670"/>
        <item sd="0" x="7671"/>
        <item sd="0" x="7672"/>
        <item sd="0" x="7673"/>
        <item sd="0" x="7674"/>
        <item sd="0" x="7675"/>
        <item sd="0" x="7676"/>
        <item sd="0" x="4168"/>
        <item sd="0" x="7677"/>
        <item sd="0" x="7678"/>
        <item sd="0" x="7679"/>
        <item sd="0" x="7680"/>
        <item sd="0" x="7681"/>
        <item sd="0" x="7682"/>
        <item sd="0" x="7683"/>
        <item sd="0" x="7684"/>
        <item sd="0" x="7685"/>
        <item sd="0" x="7686"/>
        <item sd="0" x="7687"/>
        <item sd="0" x="7688"/>
        <item sd="0" x="7689"/>
        <item sd="0" x="7690"/>
        <item sd="0" x="4184"/>
        <item sd="0" x="7691"/>
        <item sd="0" x="7692"/>
        <item sd="0" x="7693"/>
        <item sd="0" x="7694"/>
        <item sd="0" x="7695"/>
        <item sd="0" x="7696"/>
        <item sd="0" x="7697"/>
        <item sd="0" x="7698"/>
        <item sd="0" x="7699"/>
        <item sd="0" x="7700"/>
        <item sd="0" x="7701"/>
        <item sd="0" x="7702"/>
        <item sd="0" x="7703"/>
        <item sd="0" x="4199"/>
        <item sd="0" x="7704"/>
        <item sd="0" x="7705"/>
        <item sd="0" x="7706"/>
        <item sd="0" x="7707"/>
        <item sd="0" x="7708"/>
        <item sd="0" x="7709"/>
        <item sd="0" x="7710"/>
        <item sd="0" x="7711"/>
        <item sd="0" x="7712"/>
        <item sd="0" x="7713"/>
        <item sd="0" x="7714"/>
        <item sd="0" x="7715"/>
        <item sd="0" x="7716"/>
        <item sd="0" x="7717"/>
        <item sd="0" x="7718"/>
        <item sd="0" x="7719"/>
        <item sd="0" x="7720"/>
        <item sd="0" x="7721"/>
        <item sd="0" x="7722"/>
        <item sd="0" x="7723"/>
        <item sd="0" x="7724"/>
        <item sd="0" x="7725"/>
        <item sd="0" x="7726"/>
        <item sd="0" x="7727"/>
        <item sd="0" x="7728"/>
        <item sd="0" x="7729"/>
        <item sd="0" x="7730"/>
        <item sd="0" x="7731"/>
        <item sd="0" x="7732"/>
        <item sd="0" x="7733"/>
        <item sd="0" x="7734"/>
        <item sd="0" x="7735"/>
        <item sd="0" x="7736"/>
        <item sd="0" x="7737"/>
        <item sd="0" x="7738"/>
        <item sd="0" x="7739"/>
        <item sd="0" x="7740"/>
        <item sd="0" x="7741"/>
        <item sd="0" x="7742"/>
        <item sd="0" x="7743"/>
        <item sd="0" x="7744"/>
        <item sd="0" x="7745"/>
        <item sd="0" x="7746"/>
        <item sd="0" x="4261"/>
        <item sd="0" x="4262"/>
        <item sd="0" x="4263"/>
        <item sd="0" x="4264"/>
        <item sd="0" x="4265"/>
        <item sd="0" x="4266"/>
        <item sd="0" x="4267"/>
        <item sd="0" x="4268"/>
        <item sd="0" x="4269"/>
        <item sd="0" x="4270"/>
        <item sd="0" x="4271"/>
        <item sd="0" x="4272"/>
        <item sd="0" x="4273"/>
        <item sd="0" x="4274"/>
        <item sd="0" x="4498"/>
        <item sd="0" x="4277"/>
        <item sd="0" x="4278"/>
        <item sd="0" x="4279"/>
        <item sd="0" x="4280"/>
        <item sd="0" x="4281"/>
        <item sd="0" x="4282"/>
        <item sd="0" x="4283"/>
        <item sd="0" x="4284"/>
        <item sd="0" x="4285"/>
        <item sd="0" x="4286"/>
        <item sd="0" x="4287"/>
        <item sd="0" x="4288"/>
        <item sd="0" x="4289"/>
        <item sd="0" x="4290"/>
        <item sd="0" x="4292"/>
        <item sd="0" x="4293"/>
        <item sd="0" x="4294"/>
        <item sd="0" x="4295"/>
        <item sd="0" x="4296"/>
        <item sd="0" x="4297"/>
        <item sd="0" x="4298"/>
        <item sd="0" x="4299"/>
        <item sd="0" x="4300"/>
        <item sd="0" x="4301"/>
        <item sd="0" x="4302"/>
        <item sd="0" x="4303"/>
        <item sd="0" x="4304"/>
        <item sd="0" x="4305"/>
        <item sd="0" x="4306"/>
        <item sd="0" x="4308"/>
        <item sd="0" x="4309"/>
        <item sd="0" x="4310"/>
        <item sd="0" x="4311"/>
        <item sd="0" x="4312"/>
        <item sd="0" x="4313"/>
        <item sd="0" x="4314"/>
        <item sd="0" x="4315"/>
        <item sd="0" x="4316"/>
        <item sd="0" x="4317"/>
        <item sd="0" x="4318"/>
        <item sd="0" x="4319"/>
        <item sd="0" x="4320"/>
        <item sd="0" x="4321"/>
        <item sd="0" x="4075"/>
        <item sd="0" x="4076"/>
        <item sd="0" x="4077"/>
        <item sd="0" x="4078"/>
        <item sd="0" x="4079"/>
        <item sd="0" x="4080"/>
        <item sd="0" x="4081"/>
        <item sd="0" x="4082"/>
        <item sd="0" x="4083"/>
        <item sd="0" x="4084"/>
        <item sd="0" x="4085"/>
        <item sd="0" x="4086"/>
        <item sd="0" x="4087"/>
        <item sd="0" x="4088"/>
        <item sd="0" x="4089"/>
        <item sd="0" x="4091"/>
        <item sd="0" x="4092"/>
        <item sd="0" x="4093"/>
        <item sd="0" x="4094"/>
        <item sd="0" x="4095"/>
        <item sd="0" x="4096"/>
        <item sd="0" x="4097"/>
        <item sd="0" x="4098"/>
        <item sd="0" x="4099"/>
        <item sd="0" x="4100"/>
        <item sd="0" x="4101"/>
        <item sd="0" x="4102"/>
        <item sd="0" x="4103"/>
        <item sd="0" x="4104"/>
        <item sd="0" x="4105"/>
        <item sd="0" x="4107"/>
        <item sd="0" x="4108"/>
        <item sd="0" x="4109"/>
        <item sd="0" x="4110"/>
        <item sd="0" x="4111"/>
        <item sd="0" x="4112"/>
        <item sd="0" x="4113"/>
        <item sd="0" x="4114"/>
        <item sd="0" x="4115"/>
        <item sd="0" x="4116"/>
        <item sd="0" x="4117"/>
        <item sd="0" x="4118"/>
        <item sd="0" x="4119"/>
        <item sd="0" x="4120"/>
        <item sd="0" x="4122"/>
        <item sd="0" x="4123"/>
        <item sd="0" x="4124"/>
        <item sd="0" x="4125"/>
        <item sd="0" x="4126"/>
        <item sd="0" x="4127"/>
        <item sd="0" x="4128"/>
        <item sd="0" x="4129"/>
        <item sd="0" x="4130"/>
        <item sd="0" x="4131"/>
        <item sd="0" x="4132"/>
        <item sd="0" x="4133"/>
        <item sd="0" x="4134"/>
        <item sd="0" x="4135"/>
        <item sd="0" x="4136"/>
        <item sd="0" x="4138"/>
        <item sd="0" x="4139"/>
        <item sd="0" x="4140"/>
        <item sd="0" x="4141"/>
        <item sd="0" x="4142"/>
        <item sd="0" x="4143"/>
        <item sd="0" x="4144"/>
        <item sd="0" x="4145"/>
        <item sd="0" x="4146"/>
        <item sd="0" x="4147"/>
        <item sd="0" x="4148"/>
        <item sd="0" x="4149"/>
        <item sd="0" x="4150"/>
        <item sd="0" x="4151"/>
        <item sd="0" x="4153"/>
        <item sd="0" x="4154"/>
        <item sd="0" x="4155"/>
        <item sd="0" x="4156"/>
        <item sd="0" x="4157"/>
        <item sd="0" x="4158"/>
        <item sd="0" x="4159"/>
        <item sd="0" x="4160"/>
        <item sd="0" x="4161"/>
        <item sd="0" x="4162"/>
        <item sd="0" x="4163"/>
        <item sd="0" x="4164"/>
        <item sd="0" x="4165"/>
        <item sd="0" x="4166"/>
        <item sd="0" x="4167"/>
        <item sd="0" x="4169"/>
        <item sd="0" x="4170"/>
        <item sd="0" x="4171"/>
        <item sd="0" x="4172"/>
        <item sd="0" x="4173"/>
        <item sd="0" x="4174"/>
        <item sd="0" x="4175"/>
        <item sd="0" x="4176"/>
        <item sd="0" x="4177"/>
        <item sd="0" x="4178"/>
        <item sd="0" x="4179"/>
        <item sd="0" x="4180"/>
        <item sd="0" x="4181"/>
        <item sd="0" x="4182"/>
        <item sd="0" x="4183"/>
        <item sd="0" x="4185"/>
        <item sd="0" x="4186"/>
        <item sd="0" x="4187"/>
        <item sd="0" x="4188"/>
        <item sd="0" x="4189"/>
        <item sd="0" x="4190"/>
        <item sd="0" x="4191"/>
        <item sd="0" x="4192"/>
        <item sd="0" x="4193"/>
        <item sd="0" x="4194"/>
        <item sd="0" x="4195"/>
        <item sd="0" x="4196"/>
        <item sd="0" x="4197"/>
        <item sd="0" x="4198"/>
        <item sd="0"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485"/>
        <item sd="0" x="4486"/>
        <item sd="0" x="4487"/>
        <item sd="0" x="4488"/>
        <item sd="0" x="4489"/>
        <item sd="0" x="4490"/>
        <item sd="0" x="4491"/>
        <item sd="0" x="4492"/>
        <item sd="0" x="4493"/>
        <item sd="0" x="4494"/>
        <item sd="0" x="4495"/>
        <item sd="0" x="4496"/>
        <item sd="0" x="4497"/>
        <item sd="0" x="4718"/>
        <item sd="0" x="4499"/>
        <item sd="0" x="4500"/>
        <item sd="0"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x="4549"/>
        <item sd="0" x="4550"/>
        <item sd="0" x="4551"/>
        <item sd="0" x="4552"/>
        <item sd="0" x="4553"/>
        <item sd="0" x="4554"/>
        <item sd="0" x="4555"/>
        <item sd="0" x="4556"/>
        <item sd="0" x="4322"/>
        <item sd="0" x="4323"/>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sd="0" x="4363"/>
        <item sd="0" x="4364"/>
        <item sd="0" x="4365"/>
        <item sd="0" x="4366"/>
        <item sd="0" m="1" x="15151"/>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719"/>
        <item sd="0" x="4720"/>
        <item sd="0" x="4721"/>
        <item sd="0" x="4722"/>
        <item sd="0" x="4723"/>
        <item sd="0" x="4724"/>
        <item sd="0" x="4725"/>
        <item sd="0" x="4726"/>
        <item sd="0" x="4727"/>
        <item sd="0" x="4728"/>
        <item sd="0" x="4729"/>
        <item sd="0" x="4730"/>
        <item sd="0" x="4731"/>
        <item sd="0" x="495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758"/>
        <item sd="0" x="4759"/>
        <item sd="0" x="4980"/>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sd="0" x="4664"/>
        <item sd="0" x="4665"/>
        <item sd="0" x="4666"/>
        <item sd="0" x="4667"/>
        <item sd="0" x="4668"/>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952"/>
        <item sd="0" x="4953"/>
        <item sd="0" x="4954"/>
        <item sd="0" x="4955"/>
        <item sd="0" x="4956"/>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4979"/>
        <item sd="0" x="5199"/>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x="5002"/>
        <item sd="0" x="5003"/>
        <item sd="0" x="5004"/>
        <item sd="0" x="5005"/>
        <item sd="0" x="5006"/>
        <item sd="0" x="5007"/>
        <item sd="0" x="5008"/>
        <item sd="0" x="5009"/>
        <item sd="0" x="5010"/>
        <item sd="0" x="5011"/>
        <item sd="0" x="5012"/>
        <item sd="0" x="5013"/>
        <item sd="0" x="5014"/>
        <item sd="0" x="5015"/>
        <item sd="0" x="5016"/>
        <item sd="0" x="5017"/>
        <item sd="0" x="5018"/>
        <item sd="0" x="5019"/>
        <item sd="0" x="5020"/>
        <item sd="0" x="5021"/>
        <item sd="0" x="5022"/>
        <item sd="0" x="5023"/>
        <item sd="0" x="4789"/>
        <item sd="0" x="4790"/>
        <item sd="0" x="4791"/>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sd="0" x="4836"/>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5186"/>
        <item sd="0" x="5187"/>
        <item sd="0" x="5188"/>
        <item sd="0" x="5189"/>
        <item sd="0" x="5190"/>
        <item sd="0" x="5191"/>
        <item sd="0" x="5192"/>
        <item sd="0" x="5193"/>
        <item sd="0" x="5194"/>
        <item sd="0" x="5195"/>
        <item sd="0" x="5196"/>
        <item sd="0" x="5197"/>
        <item sd="0" x="5198"/>
        <item sd="0" x="5200"/>
        <item sd="0" x="5201"/>
        <item sd="0" x="5202"/>
        <item sd="0" x="5203"/>
        <item sd="0" x="5204"/>
        <item sd="0" x="5205"/>
        <item sd="0" x="5206"/>
        <item sd="0" x="5207"/>
        <item sd="0" x="5208"/>
        <item sd="0" x="5209"/>
        <item sd="0" x="5210"/>
        <item sd="0" x="5211"/>
        <item sd="0" x="5212"/>
        <item sd="0" x="5213"/>
        <item sd="0" x="5214"/>
        <item sd="0" x="5215"/>
        <item sd="0" x="5216"/>
        <item sd="0" x="5217"/>
        <item sd="0" x="5218"/>
        <item sd="0" x="5219"/>
        <item sd="0" x="5220"/>
        <item sd="0" x="5221"/>
        <item sd="0" x="5222"/>
        <item sd="0" x="5223"/>
        <item sd="0" x="5224"/>
        <item sd="0" x="5225"/>
        <item sd="0" x="5226"/>
        <item sd="0" x="5227"/>
        <item sd="0" x="5228"/>
        <item sd="0" x="5447"/>
        <item sd="0" x="5229"/>
        <item sd="0" x="5230"/>
        <item sd="0" x="5231"/>
        <item sd="0" x="5232"/>
        <item sd="0" x="5233"/>
        <item sd="0" x="5234"/>
        <item sd="0" x="5235"/>
        <item sd="0" x="5236"/>
        <item sd="0" x="5237"/>
        <item sd="0" x="5238"/>
        <item sd="0" x="5239"/>
        <item sd="0" x="5240"/>
        <item sd="0" x="5241"/>
        <item sd="0" x="5242"/>
        <item sd="0" x="5243"/>
        <item sd="0" x="5244"/>
        <item sd="0" x="5245"/>
        <item sd="0" x="5246"/>
        <item sd="0" x="5247"/>
        <item sd="0" x="5248"/>
        <item sd="0" x="5249"/>
        <item sd="0" x="5250"/>
        <item sd="0" x="5251"/>
        <item sd="0" x="5252"/>
        <item sd="0" x="5253"/>
        <item sd="0" x="5254"/>
        <item sd="0" x="5255"/>
        <item sd="0" x="5256"/>
        <item sd="0" x="5257"/>
        <item sd="0" x="5024"/>
        <item sd="0" x="5025"/>
        <item sd="0" x="5026"/>
        <item sd="0" x="5027"/>
        <item sd="0" x="5028"/>
        <item sd="0" x="5029"/>
        <item sd="0" x="5030"/>
        <item sd="0" x="5031"/>
        <item sd="0" x="5032"/>
        <item sd="0" x="5033"/>
        <item sd="0" x="5034"/>
        <item sd="0" x="5035"/>
        <item sd="0" x="5036"/>
        <item sd="0" x="5037"/>
        <item sd="0" x="5038"/>
        <item sd="0" x="5039"/>
        <item sd="0" x="5040"/>
        <item sd="0" x="5041"/>
        <item sd="0" x="5042"/>
        <item sd="0" x="5043"/>
        <item sd="0" x="5044"/>
        <item sd="0" x="5045"/>
        <item sd="0" x="5046"/>
        <item sd="0" x="5047"/>
        <item sd="0" x="5048"/>
        <item sd="0" x="5049"/>
        <item sd="0" x="5050"/>
        <item sd="0" x="5051"/>
        <item sd="0" x="5052"/>
        <item sd="0" x="5053"/>
        <item sd="0" x="5054"/>
        <item sd="0" x="5055"/>
        <item sd="0" x="5056"/>
        <item sd="0" x="5057"/>
        <item sd="0" x="5058"/>
        <item sd="0" x="5059"/>
        <item sd="0" x="5060"/>
        <item sd="0" x="5061"/>
        <item sd="0" x="5062"/>
        <item sd="0" x="5063"/>
        <item sd="0" x="5064"/>
        <item sd="0" x="5065"/>
        <item sd="0" x="5066"/>
        <item sd="0" x="5067"/>
        <item sd="0" x="5068"/>
        <item sd="0" x="5069"/>
        <item sd="0" x="5070"/>
        <item sd="0" x="5071"/>
        <item sd="0" x="5072"/>
        <item sd="0" x="5073"/>
        <item sd="0" x="5074"/>
        <item sd="0" x="5075"/>
        <item sd="0" x="5076"/>
        <item sd="0" x="5077"/>
        <item sd="0" x="5078"/>
        <item sd="0" x="5079"/>
        <item sd="0" x="5080"/>
        <item sd="0" x="5081"/>
        <item sd="0" x="5082"/>
        <item sd="0" x="5083"/>
        <item sd="0" x="5084"/>
        <item sd="0" x="5085"/>
        <item sd="0" x="5086"/>
        <item sd="0" x="5087"/>
        <item sd="0" x="5088"/>
        <item sd="0" x="5089"/>
        <item sd="0" x="5090"/>
        <item sd="0" x="5091"/>
        <item sd="0" x="5092"/>
        <item sd="0" x="5093"/>
        <item sd="0" x="5094"/>
        <item sd="0" x="5095"/>
        <item sd="0" x="5096"/>
        <item sd="0" x="5097"/>
        <item sd="0" x="5098"/>
        <item sd="0" x="5099"/>
        <item sd="0" x="5100"/>
        <item sd="0" x="5101"/>
        <item sd="0" x="5102"/>
        <item sd="0" x="5103"/>
        <item sd="0" x="5104"/>
        <item sd="0" x="5105"/>
        <item sd="0" x="5106"/>
        <item sd="0" x="5107"/>
        <item sd="0" x="5108"/>
        <item sd="0" x="5109"/>
        <item sd="0" x="5110"/>
        <item sd="0" x="5111"/>
        <item sd="0" x="5112"/>
        <item sd="0" x="5113"/>
        <item sd="0" x="5114"/>
        <item sd="0" x="5115"/>
        <item sd="0" x="5116"/>
        <item sd="0" x="5117"/>
        <item sd="0" x="5118"/>
        <item sd="0" x="5119"/>
        <item sd="0" x="5120"/>
        <item sd="0" x="5121"/>
        <item sd="0" x="5122"/>
        <item sd="0" x="5123"/>
        <item sd="0" x="5124"/>
        <item sd="0" x="5125"/>
        <item sd="0" x="5126"/>
        <item sd="0" x="5127"/>
        <item sd="0" x="5128"/>
        <item sd="0" x="5129"/>
        <item sd="0" x="5130"/>
        <item sd="0" x="5131"/>
        <item sd="0" x="5132"/>
        <item sd="0" x="5133"/>
        <item sd="0" x="5134"/>
        <item sd="0" x="5135"/>
        <item sd="0" x="5136"/>
        <item sd="0" x="5137"/>
        <item sd="0" x="5138"/>
        <item sd="0" x="5139"/>
        <item sd="0" x="5140"/>
        <item sd="0" x="5141"/>
        <item sd="0" x="5142"/>
        <item sd="0" x="5143"/>
        <item sd="0" x="5144"/>
        <item sd="0" x="5145"/>
        <item sd="0" x="5146"/>
        <item sd="0" x="5147"/>
        <item sd="0" x="5148"/>
        <item sd="0" x="5149"/>
        <item sd="0" x="5150"/>
        <item sd="0" x="5151"/>
        <item sd="0" x="5152"/>
        <item sd="0" x="5153"/>
        <item sd="0" x="5154"/>
        <item sd="0" x="5155"/>
        <item sd="0" x="5156"/>
        <item sd="0" x="5157"/>
        <item sd="0" x="5158"/>
        <item sd="0" x="5159"/>
        <item sd="0" x="5160"/>
        <item sd="0" x="5161"/>
        <item sd="0" x="5162"/>
        <item sd="0" x="5163"/>
        <item sd="0" x="5164"/>
        <item sd="0" x="5165"/>
        <item sd="0" x="5166"/>
        <item sd="0" x="5167"/>
        <item sd="0" x="5168"/>
        <item sd="0" x="5169"/>
        <item sd="0" x="5170"/>
        <item sd="0" x="5171"/>
        <item sd="0" x="5172"/>
        <item sd="0" x="5173"/>
        <item sd="0" x="5174"/>
        <item sd="0" x="5175"/>
        <item sd="0" x="5176"/>
        <item sd="0" x="5177"/>
        <item sd="0" x="5178"/>
        <item sd="0" x="5179"/>
        <item sd="0" x="5180"/>
        <item sd="0" x="5181"/>
        <item sd="0" x="5182"/>
        <item sd="0" x="5183"/>
        <item sd="0" x="5184"/>
        <item sd="0" x="5185"/>
        <item sd="0" x="5420"/>
        <item sd="0" x="5421"/>
        <item sd="0" x="5422"/>
        <item sd="0" x="5423"/>
        <item sd="0" x="5424"/>
        <item sd="0" x="5425"/>
        <item sd="0" x="5426"/>
        <item sd="0" x="5427"/>
        <item sd="0" x="5428"/>
        <item sd="0" x="5429"/>
        <item sd="0" x="5430"/>
        <item sd="0" x="5431"/>
        <item sd="0" x="5432"/>
        <item sd="0" x="5433"/>
        <item sd="0" x="5434"/>
        <item sd="0" x="5435"/>
        <item sd="0" x="5436"/>
        <item sd="0" x="5437"/>
        <item sd="0" x="5438"/>
        <item sd="0" x="5439"/>
        <item sd="0" x="5440"/>
        <item sd="0" x="5441"/>
        <item sd="0" x="5442"/>
        <item sd="0" x="5443"/>
        <item sd="0" x="5444"/>
        <item sd="0" x="5445"/>
        <item sd="0" x="5446"/>
        <item sd="0" x="5666"/>
        <item sd="0" x="5448"/>
        <item sd="0" x="5449"/>
        <item sd="0" x="5450"/>
        <item sd="0" x="5451"/>
        <item sd="0" x="5452"/>
        <item sd="0" x="5453"/>
        <item sd="0" x="5454"/>
        <item sd="0" x="5455"/>
        <item sd="0" x="5456"/>
        <item sd="0" x="5457"/>
        <item sd="0" x="5458"/>
        <item sd="0" x="5459"/>
        <item sd="0" x="5460"/>
        <item sd="0" x="5461"/>
        <item sd="0" x="5462"/>
        <item sd="0" x="5463"/>
        <item sd="0" x="5464"/>
        <item sd="0" x="5465"/>
        <item sd="0" x="5466"/>
        <item sd="0" x="5467"/>
        <item sd="0" x="5468"/>
        <item sd="0" x="5469"/>
        <item sd="0" x="5470"/>
        <item sd="0" x="5471"/>
        <item sd="0" x="5472"/>
        <item sd="0" x="5473"/>
        <item sd="0" x="5474"/>
        <item sd="0" x="5475"/>
        <item sd="0" x="5476"/>
        <item sd="0" x="5477"/>
        <item sd="0" x="5478"/>
        <item sd="0" x="5479"/>
        <item sd="0" x="5480"/>
        <item sd="0" x="5481"/>
        <item sd="0" x="5482"/>
        <item sd="0" x="5483"/>
        <item sd="0" x="5484"/>
        <item sd="0" x="5485"/>
        <item sd="0" x="5486"/>
        <item sd="0" x="5487"/>
        <item sd="0" x="5488"/>
        <item sd="0" x="5489"/>
        <item sd="0" x="5490"/>
        <item sd="0" x="5258"/>
        <item sd="0" x="5259"/>
        <item sd="0" x="5260"/>
        <item sd="0" x="5261"/>
        <item sd="0" x="5262"/>
        <item sd="0" x="5263"/>
        <item sd="0" x="5264"/>
        <item sd="0" x="5265"/>
        <item sd="0" x="5266"/>
        <item sd="0" x="5267"/>
        <item sd="0" x="5268"/>
        <item sd="0" x="5269"/>
        <item sd="0" x="5270"/>
        <item sd="0" x="5271"/>
        <item sd="0" x="5272"/>
        <item sd="0" x="5273"/>
        <item sd="0" x="5274"/>
        <item sd="0" x="5275"/>
        <item sd="0" x="5276"/>
        <item sd="0" x="5277"/>
        <item sd="0" x="5278"/>
        <item sd="0" x="5279"/>
        <item sd="0" x="5280"/>
        <item sd="0" x="5281"/>
        <item sd="0" x="5282"/>
        <item sd="0" x="5283"/>
        <item sd="0" x="5284"/>
        <item sd="0" x="5285"/>
        <item sd="0" x="5286"/>
        <item sd="0" x="5287"/>
        <item sd="0" x="5288"/>
        <item sd="0" x="5289"/>
        <item sd="0" x="5290"/>
        <item sd="0" x="5291"/>
        <item sd="0" x="5292"/>
        <item sd="0" x="5293"/>
        <item sd="0" x="5294"/>
        <item sd="0" x="5295"/>
        <item sd="0" x="5296"/>
        <item sd="0" x="5297"/>
        <item sd="0" x="5298"/>
        <item sd="0" x="5299"/>
        <item sd="0" x="5300"/>
        <item sd="0" x="5301"/>
        <item sd="0" x="5302"/>
        <item sd="0" x="5303"/>
        <item sd="0" x="5304"/>
        <item sd="0" x="5305"/>
        <item sd="0" x="5306"/>
        <item sd="0" x="5307"/>
        <item sd="0" x="5308"/>
        <item sd="0" x="5309"/>
        <item sd="0" x="5310"/>
        <item sd="0" x="5311"/>
        <item sd="0" x="5312"/>
        <item sd="0" x="5313"/>
        <item sd="0" x="5314"/>
        <item sd="0" x="5315"/>
        <item sd="0" x="5316"/>
        <item sd="0" x="5317"/>
        <item sd="0" x="5318"/>
        <item sd="0" x="5319"/>
        <item sd="0" x="5320"/>
        <item sd="0" x="5321"/>
        <item sd="0" x="5322"/>
        <item sd="0" x="5323"/>
        <item sd="0" x="5324"/>
        <item sd="0" x="5325"/>
        <item sd="0" x="5326"/>
        <item sd="0" x="5327"/>
        <item sd="0" m="1" x="15193"/>
        <item sd="0" m="1" x="15206"/>
        <item sd="0" x="5328"/>
        <item sd="0" x="5329"/>
        <item sd="0" x="5330"/>
        <item sd="0" x="5331"/>
        <item sd="0" x="5332"/>
        <item sd="0" x="5333"/>
        <item sd="0" x="5334"/>
        <item sd="0" x="5335"/>
        <item sd="0" x="5336"/>
        <item sd="0" x="5337"/>
        <item sd="0" x="5338"/>
        <item sd="0" x="5339"/>
        <item sd="0" x="5340"/>
        <item sd="0" x="5341"/>
        <item sd="0" x="5342"/>
        <item sd="0" x="5343"/>
        <item sd="0" x="5344"/>
        <item sd="0" x="5345"/>
        <item sd="0" x="5346"/>
        <item sd="0" x="5347"/>
        <item sd="0" x="5348"/>
        <item sd="0" x="5349"/>
        <item sd="0" x="5350"/>
        <item sd="0" x="5351"/>
        <item sd="0" x="5352"/>
        <item sd="0" x="5353"/>
        <item sd="0" x="5354"/>
        <item sd="0" x="5355"/>
        <item sd="0" x="5356"/>
        <item sd="0" x="5357"/>
        <item sd="0" x="5358"/>
        <item sd="0" x="5359"/>
        <item sd="0" x="5360"/>
        <item sd="0" x="5361"/>
        <item sd="0" x="5362"/>
        <item sd="0" x="5363"/>
        <item sd="0" x="5364"/>
        <item sd="0" x="5365"/>
        <item sd="0" x="5366"/>
        <item sd="0" x="5367"/>
        <item sd="0" x="5368"/>
        <item sd="0" x="5369"/>
        <item sd="0" x="5370"/>
        <item sd="0" x="5371"/>
        <item sd="0" x="5372"/>
        <item sd="0" x="5373"/>
        <item sd="0" x="5374"/>
        <item sd="0" x="5375"/>
        <item sd="0" x="5376"/>
        <item sd="0" x="5377"/>
        <item sd="0" x="5378"/>
        <item sd="0" x="5379"/>
        <item sd="0" x="5380"/>
        <item sd="0" x="5381"/>
        <item sd="0" x="5382"/>
        <item sd="0" x="5383"/>
        <item sd="0" x="5384"/>
        <item sd="0" x="5385"/>
        <item sd="0" x="5386"/>
        <item sd="0" x="5387"/>
        <item sd="0" x="5388"/>
        <item sd="0" x="5389"/>
        <item sd="0" x="5390"/>
        <item sd="0" x="5391"/>
        <item sd="0" x="5392"/>
        <item sd="0" x="5393"/>
        <item sd="0" x="5394"/>
        <item sd="0" x="5395"/>
        <item sd="0" x="5396"/>
        <item sd="0" x="5397"/>
        <item sd="0" x="5398"/>
        <item sd="0" x="5399"/>
        <item sd="0" x="5400"/>
        <item sd="0" x="5401"/>
        <item sd="0" x="5402"/>
        <item sd="0" x="5403"/>
        <item sd="0" x="5404"/>
        <item sd="0" x="5405"/>
        <item sd="0" x="5406"/>
        <item sd="0" x="5407"/>
        <item sd="0" x="5408"/>
        <item sd="0" x="5409"/>
        <item sd="0" x="5410"/>
        <item sd="0" x="5411"/>
        <item sd="0" x="5412"/>
        <item sd="0" x="5413"/>
        <item sd="0" x="5414"/>
        <item sd="0" x="5415"/>
        <item sd="0" x="5416"/>
        <item sd="0" x="5417"/>
        <item sd="0" x="5418"/>
        <item sd="0" x="5419"/>
        <item sd="0" x="5652"/>
        <item sd="0" x="5653"/>
        <item sd="0" x="5654"/>
        <item sd="0" x="5655"/>
        <item sd="0" x="5656"/>
        <item sd="0" x="5657"/>
        <item sd="0" x="5658"/>
        <item sd="0" x="5659"/>
        <item sd="0" x="5660"/>
        <item sd="0" x="5661"/>
        <item sd="0" x="5662"/>
        <item sd="0" x="5663"/>
        <item sd="0" x="5664"/>
        <item sd="0" x="5665"/>
        <item sd="0" x="5667"/>
        <item sd="0" x="5668"/>
        <item sd="0" x="5669"/>
        <item sd="0" x="5670"/>
        <item sd="0" x="5671"/>
        <item sd="0" x="5672"/>
        <item sd="0" x="5673"/>
        <item sd="0" x="5674"/>
        <item sd="0" x="5675"/>
        <item sd="0" x="5676"/>
        <item sd="0" x="5677"/>
        <item sd="0" x="5678"/>
        <item sd="0" x="5679"/>
        <item sd="0" x="5680"/>
        <item sd="0" x="5681"/>
        <item sd="0" x="5682"/>
        <item sd="0" x="5683"/>
        <item sd="0" x="5684"/>
        <item sd="0" x="5685"/>
        <item sd="0" x="5686"/>
        <item sd="0" x="5687"/>
        <item sd="0" x="5688"/>
        <item sd="0" x="5689"/>
        <item sd="0" x="5690"/>
        <item sd="0" x="5691"/>
        <item sd="0" x="5692"/>
        <item sd="0" x="5693"/>
        <item sd="0" x="5694"/>
        <item sd="0" x="5913"/>
        <item sd="0" x="5695"/>
        <item sd="0" x="5696"/>
        <item sd="0" x="5697"/>
        <item sd="0" x="5698"/>
        <item sd="0" x="5699"/>
        <item sd="0" x="5700"/>
        <item sd="0" x="5701"/>
        <item sd="0" x="5702"/>
        <item sd="0" x="5703"/>
        <item sd="0" x="5704"/>
        <item sd="0" x="5705"/>
        <item sd="0" x="5706"/>
        <item sd="0" x="5707"/>
        <item sd="0" x="5708"/>
        <item sd="0" x="5709"/>
        <item sd="0" x="5710"/>
        <item sd="0" x="5711"/>
        <item sd="0" x="5712"/>
        <item sd="0" x="5713"/>
        <item sd="0" x="5714"/>
        <item sd="0" x="5715"/>
        <item sd="0" x="5716"/>
        <item sd="0" x="5717"/>
        <item sd="0" x="5718"/>
        <item sd="0" x="5719"/>
        <item sd="0" x="5720"/>
        <item sd="0" x="5721"/>
        <item sd="0" x="5722"/>
        <item sd="0" x="5723"/>
        <item sd="0" x="5491"/>
        <item sd="0" x="5492"/>
        <item sd="0" x="5493"/>
        <item sd="0" x="5494"/>
        <item sd="0" x="5495"/>
        <item sd="0" x="5496"/>
        <item sd="0" x="5497"/>
        <item sd="0" x="5498"/>
        <item sd="0" x="5499"/>
        <item sd="0" x="5500"/>
        <item sd="0" x="5501"/>
        <item sd="0" x="5502"/>
        <item sd="0" x="5503"/>
        <item sd="0" x="5504"/>
        <item sd="0" x="5505"/>
        <item sd="0" x="5506"/>
        <item sd="0" x="5507"/>
        <item sd="0" x="5508"/>
        <item sd="0" x="5509"/>
        <item sd="0" x="5510"/>
        <item sd="0" x="5511"/>
        <item sd="0" x="5512"/>
        <item sd="0" x="5513"/>
        <item sd="0" x="5514"/>
        <item sd="0" x="5515"/>
        <item sd="0" x="5516"/>
        <item sd="0" x="5517"/>
        <item sd="0" x="5518"/>
        <item sd="0" x="5519"/>
        <item sd="0" x="5520"/>
        <item sd="0" x="5521"/>
        <item sd="0" x="5522"/>
        <item sd="0" x="5523"/>
        <item sd="0" x="5524"/>
        <item sd="0" x="5525"/>
        <item sd="0" x="5526"/>
        <item sd="0" x="5527"/>
        <item sd="0" x="5528"/>
        <item sd="0" x="5529"/>
        <item sd="0" x="5530"/>
        <item sd="0" x="5531"/>
        <item sd="0" x="5532"/>
        <item sd="0" x="5533"/>
        <item sd="0" x="5534"/>
        <item sd="0" x="5535"/>
        <item sd="0" x="5536"/>
        <item sd="0" x="5537"/>
        <item sd="0" x="5538"/>
        <item sd="0" x="5539"/>
        <item sd="0" x="5540"/>
        <item sd="0" x="5541"/>
        <item sd="0" x="5542"/>
        <item sd="0" x="5543"/>
        <item sd="0" x="5544"/>
        <item sd="0" x="5545"/>
        <item sd="0" x="5546"/>
        <item sd="0" x="5547"/>
        <item sd="0" x="5548"/>
        <item sd="0" x="5549"/>
        <item sd="0" x="5550"/>
        <item sd="0" x="5551"/>
        <item sd="0" x="5552"/>
        <item sd="0" x="5553"/>
        <item sd="0" x="5554"/>
        <item sd="0" x="5555"/>
        <item sd="0" x="5556"/>
        <item sd="0" x="5557"/>
        <item sd="0" x="5558"/>
        <item sd="0" x="5559"/>
        <item sd="0" x="5560"/>
        <item sd="0" x="5561"/>
        <item sd="0" x="5562"/>
        <item sd="0" x="5563"/>
        <item sd="0" x="5564"/>
        <item sd="0" x="5565"/>
        <item sd="0" x="5566"/>
        <item sd="0" x="5567"/>
        <item sd="0" x="5568"/>
        <item sd="0" x="5569"/>
        <item sd="0" x="5570"/>
        <item sd="0" x="5571"/>
        <item sd="0" x="5572"/>
        <item sd="0" x="5573"/>
        <item sd="0" x="5574"/>
        <item sd="0" x="5575"/>
        <item sd="0" x="5576"/>
        <item sd="0" x="5577"/>
        <item sd="0" x="5578"/>
        <item sd="0" x="5579"/>
        <item sd="0" x="5580"/>
        <item sd="0" x="5581"/>
        <item sd="0" x="5582"/>
        <item sd="0" x="5583"/>
        <item sd="0" x="5584"/>
        <item sd="0" x="5585"/>
        <item sd="0" x="5586"/>
        <item sd="0" x="5587"/>
        <item sd="0" x="5588"/>
        <item sd="0" x="5589"/>
        <item sd="0" x="5590"/>
        <item sd="0" x="5591"/>
        <item sd="0" x="5592"/>
        <item sd="0" x="5593"/>
        <item sd="0" x="5594"/>
        <item sd="0" x="5595"/>
        <item sd="0" x="5596"/>
        <item sd="0" x="5597"/>
        <item sd="0" x="5598"/>
        <item sd="0" x="5599"/>
        <item sd="0" x="5600"/>
        <item sd="0" x="5601"/>
        <item sd="0" x="5602"/>
        <item sd="0" x="5603"/>
        <item sd="0" x="5604"/>
        <item sd="0" x="5605"/>
        <item sd="0" x="5606"/>
        <item sd="0" x="5607"/>
        <item sd="0" x="5608"/>
        <item sd="0" x="5609"/>
        <item sd="0" x="5610"/>
        <item sd="0" x="5611"/>
        <item sd="0" x="5612"/>
        <item sd="0" x="5613"/>
        <item sd="0" x="5614"/>
        <item sd="0" x="5615"/>
        <item sd="0" x="5616"/>
        <item sd="0" x="5617"/>
        <item sd="0" x="5618"/>
        <item sd="0" x="5619"/>
        <item sd="0" x="5620"/>
        <item sd="0" x="5621"/>
        <item sd="0" x="5622"/>
        <item sd="0" x="5623"/>
        <item sd="0" x="5624"/>
        <item sd="0" x="5625"/>
        <item sd="0" x="5626"/>
        <item sd="0" x="5627"/>
        <item sd="0" x="5628"/>
        <item sd="0" x="5629"/>
        <item sd="0" x="5630"/>
        <item sd="0" x="5631"/>
        <item sd="0" x="5632"/>
        <item sd="0" x="5633"/>
        <item sd="0" x="5634"/>
        <item sd="0" x="5635"/>
        <item sd="0" x="5636"/>
        <item sd="0" x="5637"/>
        <item sd="0" x="5638"/>
        <item sd="0" x="5639"/>
        <item sd="0" x="5640"/>
        <item sd="0" x="5641"/>
        <item sd="0" x="5642"/>
        <item sd="0" x="5643"/>
        <item sd="0" x="5644"/>
        <item sd="0" x="5645"/>
        <item sd="0" x="5646"/>
        <item sd="0" x="5647"/>
        <item sd="0" x="5648"/>
        <item sd="0" x="5649"/>
        <item sd="0" x="5650"/>
        <item sd="0" x="5651"/>
        <item sd="0" x="5885"/>
        <item sd="0" x="5886"/>
        <item sd="0" x="5887"/>
        <item sd="0" x="5888"/>
        <item sd="0" x="5889"/>
        <item sd="0" x="5890"/>
        <item sd="0" x="5891"/>
        <item sd="0" x="5892"/>
        <item sd="0" x="5893"/>
        <item sd="0" x="5894"/>
        <item sd="0" x="5895"/>
        <item sd="0" x="5896"/>
        <item sd="0" x="5897"/>
        <item sd="0" x="5898"/>
        <item sd="0" x="5899"/>
        <item sd="0" x="5900"/>
        <item sd="0" x="5901"/>
        <item sd="0" x="5902"/>
        <item sd="0" x="5903"/>
        <item sd="0" x="5904"/>
        <item sd="0" x="5905"/>
        <item sd="0" x="5906"/>
        <item sd="0" x="5907"/>
        <item sd="0" x="5908"/>
        <item sd="0" x="5909"/>
        <item sd="0" x="5910"/>
        <item sd="0" x="5911"/>
        <item sd="0" x="5912"/>
        <item sd="0" x="6131"/>
        <item sd="0" x="5914"/>
        <item sd="0" x="5915"/>
        <item sd="0" x="5916"/>
        <item sd="0" x="5917"/>
        <item sd="0" x="5918"/>
        <item sd="0" x="5919"/>
        <item sd="0" x="5920"/>
        <item sd="0" x="5921"/>
        <item sd="0" x="5922"/>
        <item sd="0" x="5923"/>
        <item sd="0" x="5924"/>
        <item sd="0" x="5925"/>
        <item sd="0" x="5926"/>
        <item sd="0" x="5927"/>
        <item sd="0" x="6146"/>
        <item sd="0" x="5928"/>
        <item sd="0" x="5929"/>
        <item sd="0" x="5930"/>
        <item sd="0" x="5931"/>
        <item sd="0" x="5932"/>
        <item sd="0" x="5933"/>
        <item sd="0" x="5934"/>
        <item sd="0" x="5935"/>
        <item sd="0" x="5936"/>
        <item sd="0" x="5937"/>
        <item sd="0" x="5938"/>
        <item sd="0" x="5939"/>
        <item sd="0" x="5940"/>
        <item sd="0" x="5941"/>
        <item sd="0" x="5942"/>
        <item sd="0" x="5943"/>
        <item sd="0" x="5944"/>
        <item sd="0" x="5945"/>
        <item sd="0" x="5946"/>
        <item sd="0" x="5947"/>
        <item sd="0" x="5948"/>
        <item sd="0" x="5949"/>
        <item sd="0" x="5950"/>
        <item sd="0" x="5951"/>
        <item sd="0" x="5952"/>
        <item sd="0" x="5953"/>
        <item sd="0" x="5954"/>
        <item sd="0" x="5955"/>
        <item sd="0" x="5956"/>
        <item sd="0" x="5724"/>
        <item sd="0" x="5725"/>
        <item sd="0" x="5726"/>
        <item sd="0" x="5727"/>
        <item sd="0" x="5728"/>
        <item sd="0" x="5729"/>
        <item sd="0" x="5730"/>
        <item sd="0" x="5731"/>
        <item sd="0" x="5732"/>
        <item sd="0" x="5733"/>
        <item sd="0" x="5734"/>
        <item sd="0" x="5735"/>
        <item sd="0" x="5736"/>
        <item sd="0" x="5737"/>
        <item sd="0" x="5738"/>
        <item sd="0" x="5739"/>
        <item sd="0" x="5740"/>
        <item sd="0" x="5741"/>
        <item sd="0" x="5742"/>
        <item sd="0" x="5743"/>
        <item sd="0" x="5744"/>
        <item sd="0" x="5745"/>
        <item sd="0" x="5746"/>
        <item sd="0" x="5747"/>
        <item sd="0" x="5748"/>
        <item sd="0" x="5749"/>
        <item sd="0" x="5750"/>
        <item sd="0" x="5751"/>
        <item sd="0" x="5752"/>
        <item sd="0" x="5753"/>
        <item sd="0" x="5754"/>
        <item sd="0" x="5755"/>
        <item sd="0" x="5756"/>
        <item sd="0" x="5757"/>
        <item sd="0" x="5758"/>
        <item sd="0" x="5759"/>
        <item sd="0" x="5760"/>
        <item sd="0" x="5761"/>
        <item sd="0" x="5762"/>
        <item sd="0" x="5763"/>
        <item sd="0" x="5764"/>
        <item sd="0" x="5765"/>
        <item sd="0" x="5766"/>
        <item sd="0" x="5767"/>
        <item sd="0" x="5768"/>
        <item sd="0" x="5769"/>
        <item sd="0" x="5770"/>
        <item sd="0" x="5771"/>
        <item sd="0" x="5772"/>
        <item sd="0" x="5773"/>
        <item sd="0" x="5774"/>
        <item sd="0" x="5775"/>
        <item sd="0" x="5776"/>
        <item sd="0" x="5777"/>
        <item sd="0" x="5778"/>
        <item sd="0" x="5779"/>
        <item sd="0" x="5780"/>
        <item sd="0" x="5781"/>
        <item sd="0" x="5782"/>
        <item sd="0" x="5783"/>
        <item sd="0" x="5784"/>
        <item sd="0" x="5785"/>
        <item sd="0" x="5786"/>
        <item sd="0" x="5787"/>
        <item sd="0" x="5788"/>
        <item sd="0" x="5789"/>
        <item sd="0" x="5790"/>
        <item sd="0" x="5791"/>
        <item sd="0" x="5792"/>
        <item sd="0" x="5793"/>
        <item sd="0" x="5794"/>
        <item sd="0" x="5795"/>
        <item sd="0" x="5796"/>
        <item sd="0" x="5797"/>
        <item sd="0" x="5798"/>
        <item sd="0" x="5799"/>
        <item sd="0" x="5800"/>
        <item sd="0" x="5801"/>
        <item sd="0" x="5802"/>
        <item sd="0" x="5803"/>
        <item sd="0" x="5804"/>
        <item sd="0" x="5805"/>
        <item sd="0" x="5806"/>
        <item sd="0" x="5807"/>
        <item sd="0" x="5808"/>
        <item sd="0" x="5809"/>
        <item sd="0" x="5810"/>
        <item sd="0" x="5811"/>
        <item sd="0" x="5812"/>
        <item sd="0" x="5813"/>
        <item sd="0" x="5814"/>
        <item sd="0" x="5815"/>
        <item sd="0" x="5816"/>
        <item sd="0" x="5817"/>
        <item sd="0" x="5818"/>
        <item sd="0" x="5819"/>
        <item sd="0" x="5820"/>
        <item sd="0" x="5821"/>
        <item sd="0" x="5822"/>
        <item sd="0" x="5823"/>
        <item sd="0" x="5824"/>
        <item sd="0" x="5825"/>
        <item sd="0" x="5826"/>
        <item sd="0" x="5827"/>
        <item sd="0" x="5828"/>
        <item sd="0" x="5829"/>
        <item sd="0" x="5830"/>
        <item sd="0" x="5831"/>
        <item sd="0" x="5832"/>
        <item sd="0" x="5833"/>
        <item sd="0" x="5834"/>
        <item sd="0" x="5835"/>
        <item sd="0" x="5836"/>
        <item sd="0" x="5837"/>
        <item sd="0" x="5838"/>
        <item sd="0" x="5839"/>
        <item sd="0" x="5840"/>
        <item sd="0" x="5841"/>
        <item sd="0" x="5842"/>
        <item sd="0" x="5843"/>
        <item sd="0" x="5844"/>
        <item sd="0" x="5845"/>
        <item sd="0" x="5846"/>
        <item sd="0" x="5847"/>
        <item sd="0" x="5848"/>
        <item sd="0" x="5849"/>
        <item sd="0" x="5850"/>
        <item sd="0" x="5851"/>
        <item sd="0" x="5852"/>
        <item sd="0" x="5853"/>
        <item sd="0" x="5854"/>
        <item sd="0" x="5855"/>
        <item sd="0" x="5856"/>
        <item sd="0" x="5857"/>
        <item sd="0" x="5858"/>
        <item sd="0" x="5859"/>
        <item sd="0" x="5860"/>
        <item sd="0" x="5861"/>
        <item sd="0" x="5862"/>
        <item sd="0" x="5863"/>
        <item sd="0" x="5864"/>
        <item sd="0" x="5865"/>
        <item sd="0" x="5866"/>
        <item sd="0" x="5867"/>
        <item sd="0" x="5868"/>
        <item sd="0" x="5869"/>
        <item sd="0" x="5870"/>
        <item sd="0" x="5871"/>
        <item sd="0" x="5872"/>
        <item sd="0" x="5873"/>
        <item sd="0" x="5874"/>
        <item sd="0" x="5875"/>
        <item sd="0" x="5876"/>
        <item sd="0" x="5877"/>
        <item sd="0" x="5878"/>
        <item sd="0" x="5879"/>
        <item sd="0" x="5880"/>
        <item sd="0" x="5881"/>
        <item sd="0" x="5882"/>
        <item sd="0" x="5883"/>
        <item sd="0" x="5884"/>
        <item sd="0" x="6117"/>
        <item sd="0" x="6118"/>
        <item sd="0" x="6119"/>
        <item sd="0" x="6120"/>
        <item sd="0" x="6121"/>
        <item sd="0" x="6122"/>
        <item sd="0" x="6123"/>
        <item sd="0" x="6124"/>
        <item sd="0" x="6125"/>
        <item sd="0" x="6126"/>
        <item sd="0" x="6127"/>
        <item sd="0" x="6128"/>
        <item sd="0" x="6129"/>
        <item sd="0" x="6130"/>
        <item sd="0" x="6132"/>
        <item sd="0" x="6133"/>
        <item sd="0" x="6134"/>
        <item sd="0" x="6135"/>
        <item sd="0" x="6136"/>
        <item sd="0" x="6137"/>
        <item sd="0" x="6138"/>
        <item sd="0" x="6139"/>
        <item sd="0" x="6140"/>
        <item sd="0" x="6141"/>
        <item sd="0" x="6142"/>
        <item sd="0" x="6143"/>
        <item sd="0" x="6144"/>
        <item sd="0" x="6145"/>
        <item sd="0" x="6367"/>
        <item sd="0" x="6147"/>
        <item sd="0" x="6148"/>
        <item sd="0" x="6149"/>
        <item sd="0" x="6150"/>
        <item sd="0" x="6151"/>
        <item sd="0" x="6152"/>
        <item sd="0" x="6153"/>
        <item sd="0" x="6154"/>
        <item sd="0" x="6155"/>
        <item sd="0" x="6156"/>
        <item sd="0" x="6157"/>
        <item sd="0" x="6158"/>
        <item sd="0" x="6159"/>
        <item sd="0" x="6160"/>
        <item sd="0" x="6161"/>
        <item sd="0" x="6162"/>
        <item sd="0" x="6163"/>
        <item sd="0" x="6164"/>
        <item sd="0" x="6165"/>
        <item sd="0" x="6166"/>
        <item sd="0" x="6167"/>
        <item sd="0" x="6168"/>
        <item sd="0" x="6169"/>
        <item sd="0" x="6170"/>
        <item sd="0" x="6171"/>
        <item sd="0" x="6172"/>
        <item sd="0" x="6173"/>
        <item sd="0" x="6174"/>
        <item sd="0" x="6175"/>
        <item sd="0" x="6176"/>
        <item sd="0" x="6177"/>
        <item sd="0" x="6178"/>
        <item sd="0" x="6179"/>
        <item sd="0" x="6180"/>
        <item sd="0" x="6181"/>
        <item sd="0" x="6182"/>
        <item sd="0" x="6183"/>
        <item sd="0" x="6184"/>
        <item sd="0" x="6185"/>
        <item sd="0" x="6186"/>
        <item sd="0" x="6187"/>
        <item sd="0" x="6188"/>
        <item sd="0" x="6189"/>
        <item sd="0" x="6190"/>
        <item sd="0" x="5957"/>
        <item sd="0" x="5958"/>
        <item sd="0" x="5959"/>
        <item sd="0" x="5960"/>
        <item sd="0" x="5961"/>
        <item sd="0" x="5962"/>
        <item sd="0" x="5963"/>
        <item sd="0" x="5964"/>
        <item sd="0" x="5965"/>
        <item sd="0" x="5966"/>
        <item sd="0" x="5967"/>
        <item sd="0" x="5968"/>
        <item sd="0" x="5969"/>
        <item sd="0" x="5970"/>
        <item sd="0" x="5971"/>
        <item sd="0" x="5972"/>
        <item sd="0" x="5973"/>
        <item sd="0" x="5974"/>
        <item sd="0" x="5975"/>
        <item sd="0" x="5976"/>
        <item sd="0" x="5977"/>
        <item sd="0" x="5978"/>
        <item sd="0" x="5979"/>
        <item sd="0" x="5980"/>
        <item sd="0" x="5981"/>
        <item sd="0" x="5982"/>
        <item sd="0" x="5983"/>
        <item sd="0" x="5984"/>
        <item sd="0" x="5985"/>
        <item sd="0" x="5986"/>
        <item sd="0" x="5987"/>
        <item sd="0" x="5988"/>
        <item sd="0" x="5989"/>
        <item sd="0" x="5990"/>
        <item sd="0" x="5991"/>
        <item sd="0" x="5992"/>
        <item sd="0" x="5993"/>
        <item sd="0" x="5994"/>
        <item sd="0" x="5995"/>
        <item sd="0" x="5996"/>
        <item sd="0" x="5997"/>
        <item sd="0" x="5998"/>
        <item sd="0" x="5999"/>
        <item sd="0" x="6000"/>
        <item sd="0" x="6001"/>
        <item sd="0" x="6002"/>
        <item sd="0" x="6003"/>
        <item sd="0" x="6004"/>
        <item sd="0" x="6005"/>
        <item sd="0" x="6006"/>
        <item sd="0" x="6007"/>
        <item sd="0" x="6008"/>
        <item sd="0" x="6009"/>
        <item sd="0" x="6010"/>
        <item sd="0" x="6011"/>
        <item sd="0" x="6012"/>
        <item sd="0" x="6013"/>
        <item sd="0" x="6014"/>
        <item sd="0" x="6015"/>
        <item sd="0" x="6016"/>
        <item sd="0" x="6017"/>
        <item sd="0" x="6018"/>
        <item sd="0" x="6019"/>
        <item sd="0" x="6020"/>
        <item sd="0" x="6021"/>
        <item sd="0" x="6022"/>
        <item sd="0" x="6023"/>
        <item sd="0" x="6024"/>
        <item sd="0" x="6025"/>
        <item sd="0" x="6026"/>
        <item sd="0" x="6027"/>
        <item sd="0" x="6028"/>
        <item sd="0" x="6029"/>
        <item sd="0" x="6030"/>
        <item sd="0" x="6031"/>
        <item sd="0" x="6032"/>
        <item sd="0" x="6033"/>
        <item sd="0" x="6034"/>
        <item sd="0" x="6035"/>
        <item sd="0" x="6036"/>
        <item sd="0" x="6037"/>
        <item sd="0" x="6038"/>
        <item sd="0" x="6039"/>
        <item sd="0" x="6040"/>
        <item sd="0" x="6041"/>
        <item sd="0" x="6042"/>
        <item sd="0" x="6043"/>
        <item sd="0" x="6044"/>
        <item sd="0" x="6045"/>
        <item sd="0" x="6046"/>
        <item sd="0" x="6047"/>
        <item sd="0" x="6048"/>
        <item sd="0" x="6049"/>
        <item sd="0" x="6050"/>
        <item sd="0" x="6051"/>
        <item sd="0" x="6052"/>
        <item sd="0" x="6053"/>
        <item sd="0" x="6054"/>
        <item sd="0" x="6055"/>
        <item sd="0" x="6056"/>
        <item sd="0" x="6057"/>
        <item sd="0" x="6058"/>
        <item sd="0" x="6059"/>
        <item sd="0" x="6060"/>
        <item sd="0" x="6061"/>
        <item sd="0" x="6062"/>
        <item sd="0" x="6063"/>
        <item sd="0" x="6064"/>
        <item sd="0" x="6065"/>
        <item sd="0" x="6066"/>
        <item sd="0" x="6067"/>
        <item sd="0" x="6068"/>
        <item sd="0" x="6069"/>
        <item sd="0" x="6070"/>
        <item sd="0" x="6071"/>
        <item sd="0" x="6072"/>
        <item sd="0" x="6073"/>
        <item sd="0" x="6074"/>
        <item sd="0" x="6075"/>
        <item sd="0" x="6076"/>
        <item sd="0" x="6077"/>
        <item sd="0" x="6078"/>
        <item sd="0" x="6079"/>
        <item sd="0" x="6080"/>
        <item sd="0" x="6081"/>
        <item sd="0" x="6082"/>
        <item sd="0" x="6083"/>
        <item sd="0" x="6084"/>
        <item sd="0" x="6085"/>
        <item sd="0" x="6086"/>
        <item sd="0" x="6087"/>
        <item sd="0" x="6088"/>
        <item sd="0" x="6089"/>
        <item sd="0" x="6090"/>
        <item sd="0" x="6091"/>
        <item sd="0" x="6092"/>
        <item sd="0" x="6093"/>
        <item sd="0" x="6094"/>
        <item sd="0" x="6095"/>
        <item sd="0" x="6096"/>
        <item sd="0" x="6097"/>
        <item sd="0" x="6098"/>
        <item sd="0" x="6099"/>
        <item sd="0" x="6100"/>
        <item sd="0" x="6101"/>
        <item sd="0" x="6102"/>
        <item sd="0" x="6103"/>
        <item sd="0" x="6104"/>
        <item sd="0" x="6105"/>
        <item sd="0" x="6106"/>
        <item sd="0" x="6107"/>
        <item sd="0" x="6108"/>
        <item sd="0" x="6109"/>
        <item sd="0" x="6110"/>
        <item sd="0" x="6111"/>
        <item sd="0" x="6112"/>
        <item sd="0" x="6113"/>
        <item sd="0" x="6114"/>
        <item sd="0" x="6115"/>
        <item sd="0" x="6116"/>
        <item sd="0" x="6353"/>
        <item sd="0" x="6354"/>
        <item sd="0" x="6355"/>
        <item sd="0" x="6356"/>
        <item sd="0" x="6357"/>
        <item sd="0" x="6358"/>
        <item sd="0" x="6359"/>
        <item sd="0" x="6360"/>
        <item sd="0" x="6361"/>
        <item sd="0" x="6362"/>
        <item sd="0" x="6363"/>
        <item sd="0" x="6364"/>
        <item sd="0" x="6365"/>
        <item sd="0" x="6366"/>
        <item sd="0" x="6368"/>
        <item sd="0" x="6369"/>
        <item sd="0" x="6370"/>
        <item sd="0" x="6371"/>
        <item sd="0" x="6372"/>
        <item sd="0" x="6373"/>
        <item sd="0" x="6374"/>
        <item sd="0" x="6375"/>
        <item sd="0" x="6376"/>
        <item sd="0" x="6377"/>
        <item sd="0" x="6378"/>
        <item sd="0" x="6379"/>
        <item sd="0" x="6380"/>
        <item sd="0" x="6381"/>
        <item sd="0" x="6600"/>
        <item sd="0" x="6382"/>
        <item sd="0" x="6383"/>
        <item sd="0" x="6384"/>
        <item sd="0" x="6385"/>
        <item sd="0" x="6386"/>
        <item sd="0" x="6387"/>
        <item sd="0" x="6388"/>
        <item sd="0" x="6389"/>
        <item sd="0" x="6390"/>
        <item sd="0" x="6391"/>
        <item sd="0" x="6392"/>
        <item sd="0" x="6393"/>
        <item sd="0" x="6394"/>
        <item sd="0" x="6395"/>
        <item sd="0" x="6396"/>
        <item sd="0" x="6397"/>
        <item sd="0" x="6398"/>
        <item sd="0" x="6399"/>
        <item sd="0" x="6400"/>
        <item sd="0" x="6401"/>
        <item sd="0" x="6402"/>
        <item sd="0" x="6403"/>
        <item sd="0" x="6404"/>
        <item sd="0" x="6405"/>
        <item sd="0" x="6406"/>
        <item sd="0" x="6407"/>
        <item sd="0" x="6408"/>
        <item sd="0" x="6409"/>
        <item sd="0" x="6410"/>
        <item sd="0" x="6411"/>
        <item sd="0" x="6412"/>
        <item sd="0" x="6413"/>
        <item sd="0" x="6414"/>
        <item sd="0" x="6415"/>
        <item sd="0" x="6416"/>
        <item sd="0" x="6417"/>
        <item sd="0" x="6418"/>
        <item sd="0" x="6419"/>
        <item sd="0" x="6420"/>
        <item sd="0" x="6421"/>
        <item sd="0" x="6422"/>
        <item sd="0" x="6423"/>
        <item sd="0" x="6424"/>
        <item sd="0" x="6191"/>
        <item sd="0" x="6192"/>
        <item sd="0" x="6193"/>
        <item sd="0" x="6194"/>
        <item sd="0" x="6195"/>
        <item sd="0" x="6196"/>
        <item sd="0" x="6197"/>
        <item sd="0" x="6198"/>
        <item sd="0" x="6199"/>
        <item sd="0" x="6200"/>
        <item sd="0" x="6201"/>
        <item sd="0" x="6202"/>
        <item sd="0" x="6203"/>
        <item sd="0" x="6204"/>
        <item sd="0" x="6205"/>
        <item sd="0" x="6206"/>
        <item sd="0" x="6207"/>
        <item sd="0" x="6208"/>
        <item sd="0" x="6209"/>
        <item sd="0" x="6210"/>
        <item sd="0" x="6211"/>
        <item sd="0" x="6212"/>
        <item sd="0" x="6213"/>
        <item sd="0" x="6214"/>
        <item sd="0" x="6215"/>
        <item sd="0" x="6216"/>
        <item sd="0" x="6217"/>
        <item sd="0" x="6218"/>
        <item sd="0" x="6219"/>
        <item sd="0" x="6220"/>
        <item sd="0" x="6221"/>
        <item sd="0" x="6222"/>
        <item sd="0" x="6223"/>
        <item sd="0" x="6224"/>
        <item sd="0" x="6225"/>
        <item sd="0" x="6226"/>
        <item sd="0" x="6227"/>
        <item sd="0" x="6228"/>
        <item sd="0" x="6229"/>
        <item sd="0" x="6230"/>
        <item sd="0" x="6231"/>
        <item sd="0" x="6232"/>
        <item sd="0" x="6233"/>
        <item sd="0" x="6234"/>
        <item sd="0" x="6235"/>
        <item sd="0" x="6236"/>
        <item sd="0" x="6237"/>
        <item sd="0" x="6238"/>
        <item sd="0" x="6239"/>
        <item sd="0" x="6240"/>
        <item sd="0" x="6241"/>
        <item sd="0" x="6242"/>
        <item sd="0" x="6243"/>
        <item sd="0" x="6244"/>
        <item sd="0" x="6245"/>
        <item sd="0" x="6246"/>
        <item sd="0" x="6247"/>
        <item sd="0" x="6248"/>
        <item sd="0" x="6249"/>
        <item sd="0" x="6250"/>
        <item sd="0" x="6251"/>
        <item sd="0" x="6252"/>
        <item sd="0" x="6253"/>
        <item sd="0" x="6254"/>
        <item sd="0" x="6255"/>
        <item sd="0" x="6256"/>
        <item sd="0" x="6257"/>
        <item sd="0" x="6258"/>
        <item sd="0" x="6259"/>
        <item sd="0" x="6260"/>
        <item sd="0" x="6261"/>
        <item sd="0" x="6262"/>
        <item sd="0" x="6263"/>
        <item sd="0" x="6264"/>
        <item sd="0" x="6265"/>
        <item sd="0" x="6266"/>
        <item sd="0" x="6267"/>
        <item sd="0" x="6268"/>
        <item sd="0" x="6269"/>
        <item sd="0" x="6270"/>
        <item sd="0" x="6271"/>
        <item sd="0" x="6272"/>
        <item sd="0" x="6273"/>
        <item sd="0" x="6274"/>
        <item sd="0" x="6275"/>
        <item sd="0" x="6276"/>
        <item sd="0" x="6277"/>
        <item sd="0" x="6278"/>
        <item sd="0" x="6279"/>
        <item sd="0" x="6280"/>
        <item sd="0" x="6281"/>
        <item sd="0" x="6282"/>
        <item sd="0" x="6283"/>
        <item sd="0" x="6284"/>
        <item sd="0" x="6285"/>
        <item sd="0" x="6286"/>
        <item sd="0" x="6287"/>
        <item sd="0" x="6288"/>
        <item sd="0" x="6289"/>
        <item sd="0" x="6290"/>
        <item sd="0" x="6291"/>
        <item sd="0" x="6292"/>
        <item sd="0" x="6293"/>
        <item sd="0" x="6294"/>
        <item sd="0" x="6295"/>
        <item sd="0" x="6296"/>
        <item sd="0" x="6297"/>
        <item sd="0" x="6298"/>
        <item sd="0" x="6299"/>
        <item sd="0" x="6300"/>
        <item sd="0" x="6301"/>
        <item sd="0" x="6302"/>
        <item sd="0" x="6303"/>
        <item sd="0" x="6304"/>
        <item sd="0" x="6305"/>
        <item sd="0" x="6306"/>
        <item sd="0" x="6307"/>
        <item sd="0" x="6308"/>
        <item sd="0" x="6309"/>
        <item sd="0" x="6310"/>
        <item sd="0" x="6311"/>
        <item sd="0" x="6312"/>
        <item sd="0" x="6313"/>
        <item sd="0" x="6314"/>
        <item sd="0" x="6315"/>
        <item sd="0" x="6316"/>
        <item sd="0" x="6317"/>
        <item sd="0" x="6318"/>
        <item sd="0" x="6319"/>
        <item sd="0" x="6320"/>
        <item sd="0" x="6321"/>
        <item sd="0" x="6322"/>
        <item sd="0" x="6323"/>
        <item sd="0" x="6324"/>
        <item sd="0" x="6325"/>
        <item sd="0" x="6326"/>
        <item sd="0" x="6327"/>
        <item sd="0" x="6328"/>
        <item sd="0" x="6329"/>
        <item sd="0" x="6330"/>
        <item sd="0" x="6331"/>
        <item sd="0" x="6332"/>
        <item sd="0" x="6333"/>
        <item sd="0" x="6334"/>
        <item sd="0" x="6335"/>
        <item sd="0" x="6336"/>
        <item sd="0" x="6337"/>
        <item sd="0" x="6338"/>
        <item sd="0" x="6339"/>
        <item sd="0" x="6340"/>
        <item sd="0" x="6341"/>
        <item sd="0" x="6342"/>
        <item sd="0" x="6343"/>
        <item sd="0" x="6344"/>
        <item sd="0" x="6345"/>
        <item sd="0" x="6346"/>
        <item sd="0" x="6347"/>
        <item sd="0" x="6348"/>
        <item sd="0" x="6349"/>
        <item sd="0" x="6350"/>
        <item sd="0" x="6351"/>
        <item sd="0" x="6352"/>
        <item sd="0" x="6587"/>
        <item sd="0" x="6588"/>
        <item sd="0" x="6589"/>
        <item sd="0" x="6590"/>
        <item sd="0" x="6591"/>
        <item sd="0" x="6592"/>
        <item sd="0" x="6593"/>
        <item sd="0" x="6594"/>
        <item sd="0" x="6595"/>
        <item sd="0" x="6596"/>
        <item sd="0" x="6597"/>
        <item sd="0" x="6598"/>
        <item sd="0" x="6599"/>
        <item sd="0" x="6820"/>
        <item sd="0" x="6601"/>
        <item sd="0" x="6602"/>
        <item sd="0" x="6603"/>
        <item sd="0" x="6604"/>
        <item sd="0" x="6605"/>
        <item sd="0" x="6606"/>
        <item sd="0" x="6607"/>
        <item sd="0" x="6608"/>
        <item sd="0" x="6609"/>
        <item sd="0" x="6610"/>
        <item sd="0" x="6611"/>
        <item sd="0" x="6612"/>
        <item sd="0" x="6613"/>
        <item sd="0" x="6614"/>
        <item sd="0" x="6834"/>
        <item sd="0" x="6615"/>
        <item sd="0" x="6616"/>
        <item sd="0" x="6617"/>
        <item sd="0" x="6618"/>
        <item sd="0" x="6619"/>
        <item sd="0" x="6620"/>
        <item sd="0" x="6621"/>
        <item sd="0" x="6622"/>
        <item sd="0" x="6623"/>
        <item sd="0" x="6624"/>
        <item sd="0" x="6625"/>
        <item sd="0" x="6626"/>
        <item sd="0" x="6627"/>
        <item sd="0" x="6628"/>
        <item sd="0" x="6629"/>
        <item sd="0" x="6630"/>
        <item sd="0" x="6631"/>
        <item sd="0" x="6632"/>
        <item sd="0" x="6633"/>
        <item sd="0" x="6634"/>
        <item sd="0" x="6635"/>
        <item sd="0" x="6636"/>
        <item sd="0" x="6637"/>
        <item sd="0" x="6638"/>
        <item sd="0" x="6639"/>
        <item sd="0" x="6640"/>
        <item sd="0" x="6641"/>
        <item sd="0" x="6642"/>
        <item sd="0" x="6643"/>
        <item sd="0" x="6644"/>
        <item sd="0" x="6645"/>
        <item sd="0" x="6646"/>
        <item sd="0" x="6647"/>
        <item sd="0" x="6648"/>
        <item sd="0" x="6649"/>
        <item sd="0" x="6650"/>
        <item sd="0" x="6651"/>
        <item sd="0" x="6652"/>
        <item sd="0" x="6653"/>
        <item sd="0" x="6654"/>
        <item sd="0" x="6655"/>
        <item sd="0" x="6656"/>
        <item sd="0" x="6657"/>
        <item sd="0" x="6425"/>
        <item sd="0" x="6426"/>
        <item sd="0" x="6427"/>
        <item sd="0" x="6428"/>
        <item sd="0" x="6429"/>
        <item sd="0" x="6430"/>
        <item sd="0" x="6431"/>
        <item sd="0" x="6432"/>
        <item sd="0" x="6433"/>
        <item sd="0" x="6434"/>
        <item sd="0" x="6435"/>
        <item sd="0" x="6436"/>
        <item sd="0" x="6437"/>
        <item sd="0" x="6438"/>
        <item sd="0" x="6439"/>
        <item sd="0" x="6440"/>
        <item sd="0" x="6441"/>
        <item sd="0" x="6442"/>
        <item sd="0" x="6443"/>
        <item sd="0" x="6444"/>
        <item sd="0" x="6445"/>
        <item sd="0" x="6446"/>
        <item sd="0" x="6447"/>
        <item sd="0" x="6448"/>
        <item sd="0" x="6449"/>
        <item sd="0" x="6450"/>
        <item sd="0" x="6451"/>
        <item sd="0" x="6452"/>
        <item sd="0" x="6453"/>
        <item sd="0" x="6454"/>
        <item sd="0" x="6455"/>
        <item sd="0" x="6456"/>
        <item sd="0" x="6457"/>
        <item sd="0" x="6458"/>
        <item sd="0" x="6459"/>
        <item sd="0" x="6460"/>
        <item sd="0" x="6461"/>
        <item sd="0" x="6462"/>
        <item sd="0" x="6463"/>
        <item sd="0" x="6464"/>
        <item sd="0" x="6465"/>
        <item sd="0" x="6466"/>
        <item sd="0" x="6467"/>
        <item sd="0" x="6468"/>
        <item sd="0" x="6469"/>
        <item sd="0" x="6470"/>
        <item sd="0" x="6471"/>
        <item sd="0" x="6472"/>
        <item sd="0" x="6473"/>
        <item sd="0" x="6474"/>
        <item sd="0" x="6475"/>
        <item sd="0" x="6476"/>
        <item sd="0" x="6477"/>
        <item sd="0" x="6478"/>
        <item sd="0" x="6479"/>
        <item sd="0" x="6480"/>
        <item sd="0" x="6481"/>
        <item sd="0" x="6482"/>
        <item sd="0" x="6483"/>
        <item sd="0" x="6484"/>
        <item sd="0" x="6485"/>
        <item sd="0" x="6486"/>
        <item sd="0" x="6487"/>
        <item sd="0" x="6488"/>
        <item sd="0" x="6489"/>
        <item sd="0" x="6490"/>
        <item sd="0" x="6491"/>
        <item sd="0" x="6492"/>
        <item sd="0" x="6493"/>
        <item sd="0" x="6494"/>
        <item sd="0" x="6495"/>
        <item sd="0" x="6496"/>
        <item sd="0" x="6497"/>
        <item sd="0" x="6498"/>
        <item sd="0" x="6499"/>
        <item sd="0" x="6500"/>
        <item sd="0" x="6501"/>
        <item sd="0" x="6502"/>
        <item sd="0" x="6503"/>
        <item sd="0" x="6504"/>
        <item sd="0" x="6505"/>
        <item sd="0" x="6506"/>
        <item sd="0" x="6507"/>
        <item sd="0" x="6508"/>
        <item sd="0" x="6509"/>
        <item sd="0" x="6510"/>
        <item sd="0" x="6511"/>
        <item sd="0" x="6512"/>
        <item sd="0" x="6513"/>
        <item sd="0" x="6514"/>
        <item sd="0" x="6515"/>
        <item sd="0" x="6516"/>
        <item sd="0" x="6517"/>
        <item sd="0" x="6518"/>
        <item sd="0" x="6519"/>
        <item sd="0" x="6520"/>
        <item sd="0" x="6521"/>
        <item sd="0" x="6522"/>
        <item sd="0" x="6523"/>
        <item sd="0" x="6524"/>
        <item sd="0" x="6525"/>
        <item sd="0" x="6526"/>
        <item sd="0" x="6527"/>
        <item sd="0" x="6528"/>
        <item sd="0" x="6529"/>
        <item sd="0" x="6530"/>
        <item sd="0" x="6531"/>
        <item sd="0" x="6532"/>
        <item sd="0" x="6533"/>
        <item sd="0" x="6534"/>
        <item sd="0" x="6535"/>
        <item sd="0" x="6536"/>
        <item sd="0" x="6537"/>
        <item sd="0" x="6538"/>
        <item sd="0" x="6539"/>
        <item sd="0" x="6540"/>
        <item sd="0" x="6541"/>
        <item sd="0" x="6542"/>
        <item sd="0" x="6543"/>
        <item sd="0" x="6544"/>
        <item sd="0" x="6545"/>
        <item sd="0" x="6546"/>
        <item sd="0" x="6547"/>
        <item sd="0" x="6548"/>
        <item sd="0" x="6549"/>
        <item sd="0" x="6550"/>
        <item sd="0" x="6551"/>
        <item sd="0" x="6552"/>
        <item sd="0" x="6553"/>
        <item sd="0" x="6554"/>
        <item sd="0" x="6555"/>
        <item sd="0" x="6556"/>
        <item sd="0" x="6557"/>
        <item sd="0" x="6558"/>
        <item sd="0" x="6559"/>
        <item sd="0" x="6560"/>
        <item sd="0" x="6561"/>
        <item sd="0" x="6562"/>
        <item sd="0" x="6563"/>
        <item sd="0" x="6564"/>
        <item sd="0" x="6565"/>
        <item sd="0" x="6566"/>
        <item sd="0" x="6567"/>
        <item sd="0" x="6568"/>
        <item sd="0" x="6569"/>
        <item sd="0" x="6570"/>
        <item sd="0" x="6571"/>
        <item sd="0" x="6572"/>
        <item sd="0" x="6573"/>
        <item sd="0" x="6574"/>
        <item sd="0" x="6575"/>
        <item sd="0" x="6576"/>
        <item sd="0" x="6577"/>
        <item sd="0" x="6578"/>
        <item sd="0" x="6579"/>
        <item sd="0" x="6580"/>
        <item sd="0" x="6581"/>
        <item sd="0" x="6582"/>
        <item sd="0" x="6583"/>
        <item sd="0" x="6584"/>
        <item sd="0" x="6585"/>
        <item sd="0" x="6586"/>
        <item sd="0" x="6821"/>
        <item sd="0" x="6822"/>
        <item sd="0" x="6823"/>
        <item sd="0" x="6824"/>
        <item sd="0" x="6825"/>
        <item sd="0" x="6826"/>
        <item sd="0" x="6827"/>
        <item sd="0" x="6828"/>
        <item sd="0" x="6829"/>
        <item sd="0" x="6830"/>
        <item sd="0" x="6831"/>
        <item sd="0" x="6832"/>
        <item sd="0" x="6833"/>
        <item sd="0" x="7054"/>
        <item sd="0" x="6835"/>
        <item sd="0" x="6836"/>
        <item sd="0" x="6837"/>
        <item sd="0" x="6838"/>
        <item sd="0" x="6839"/>
        <item sd="0" x="6840"/>
        <item sd="0" x="6841"/>
        <item sd="0" x="6842"/>
        <item sd="0" x="6843"/>
        <item sd="0" x="6844"/>
        <item sd="0" x="6845"/>
        <item sd="0" x="6846"/>
        <item sd="0" x="6847"/>
        <item sd="0" x="6848"/>
        <item sd="0" x="6849"/>
        <item sd="0" x="6850"/>
        <item sd="0" x="6851"/>
        <item sd="0" x="6852"/>
        <item sd="0" x="6853"/>
        <item sd="0" x="6854"/>
        <item sd="0" x="6855"/>
        <item sd="0" x="6856"/>
        <item sd="0" x="6857"/>
        <item sd="0" x="6858"/>
        <item sd="0" x="6859"/>
        <item sd="0" x="6860"/>
        <item sd="0" x="6861"/>
        <item sd="0" x="6862"/>
        <item sd="0" x="6863"/>
        <item sd="0" x="6864"/>
        <item sd="0" x="6865"/>
        <item sd="0" x="6866"/>
        <item sd="0" x="6867"/>
        <item sd="0" x="6868"/>
        <item sd="0" x="6869"/>
        <item sd="0" x="6870"/>
        <item sd="0" x="6871"/>
        <item sd="0" x="6872"/>
        <item sd="0" x="6873"/>
        <item sd="0" x="6874"/>
        <item sd="0" x="6875"/>
        <item sd="0" x="6876"/>
        <item sd="0" x="6877"/>
        <item sd="0" x="6878"/>
        <item sd="0" x="6879"/>
        <item sd="0" x="6880"/>
        <item sd="0" x="6881"/>
        <item sd="0" x="6882"/>
        <item sd="0" x="6883"/>
        <item sd="0" x="6884"/>
        <item sd="0" x="6885"/>
        <item sd="0" x="6886"/>
        <item sd="0" x="6887"/>
        <item sd="0" x="6888"/>
        <item sd="0" x="6889"/>
        <item sd="0" x="6890"/>
        <item sd="0" x="6891"/>
        <item sd="0" x="6892"/>
        <item sd="0" x="6658"/>
        <item sd="0" x="6659"/>
        <item sd="0" x="6660"/>
        <item sd="0" x="6661"/>
        <item sd="0" x="6662"/>
        <item sd="0" x="6663"/>
        <item sd="0" x="6664"/>
        <item sd="0" x="6665"/>
        <item sd="0" x="6666"/>
        <item sd="0" x="6667"/>
        <item sd="0" x="6668"/>
        <item sd="0" x="6669"/>
        <item sd="0" x="6670"/>
        <item sd="0" x="6671"/>
        <item sd="0" x="6672"/>
        <item sd="0" x="6673"/>
        <item sd="0" x="6674"/>
        <item sd="0" x="6675"/>
        <item sd="0" x="6676"/>
        <item sd="0" x="6677"/>
        <item sd="0" x="6678"/>
        <item sd="0" x="6679"/>
        <item sd="0" x="6680"/>
        <item sd="0" x="6681"/>
        <item sd="0" x="6682"/>
        <item sd="0" x="6683"/>
        <item sd="0" x="6684"/>
        <item sd="0" x="6685"/>
        <item sd="0" x="6686"/>
        <item sd="0" x="6687"/>
        <item sd="0" x="6688"/>
        <item sd="0" x="6689"/>
        <item sd="0" x="6690"/>
        <item sd="0" x="6691"/>
        <item sd="0" x="6692"/>
        <item sd="0" x="6693"/>
        <item sd="0" x="6694"/>
        <item sd="0" x="6695"/>
        <item sd="0" x="6696"/>
        <item sd="0" x="6697"/>
        <item sd="0" x="6698"/>
        <item sd="0" x="6699"/>
        <item sd="0" x="6700"/>
        <item sd="0" x="6701"/>
        <item sd="0" x="6702"/>
        <item sd="0" x="6703"/>
        <item sd="0" x="6704"/>
        <item sd="0" x="6705"/>
        <item sd="0" x="6706"/>
        <item sd="0" x="6707"/>
        <item sd="0" x="6708"/>
        <item sd="0" x="6709"/>
        <item sd="0" x="6710"/>
        <item sd="0" x="6711"/>
        <item sd="0" x="6712"/>
        <item sd="0" x="6713"/>
        <item sd="0" x="6714"/>
        <item sd="0" x="6715"/>
        <item sd="0" x="6716"/>
        <item sd="0" x="6717"/>
        <item sd="0" x="6718"/>
        <item sd="0" x="6719"/>
        <item sd="0" x="6720"/>
        <item sd="0" x="6721"/>
        <item sd="0" x="6722"/>
        <item sd="0" x="6723"/>
        <item sd="0" x="6724"/>
        <item sd="0" x="6725"/>
        <item sd="0" x="6726"/>
        <item sd="0" x="6727"/>
        <item sd="0" x="6728"/>
        <item sd="0" x="6729"/>
        <item sd="0" x="6730"/>
        <item sd="0" x="6731"/>
        <item sd="0" x="6732"/>
        <item sd="0" x="6733"/>
        <item sd="0" x="6734"/>
        <item sd="0" x="6735"/>
        <item sd="0" x="6736"/>
        <item sd="0" x="6737"/>
        <item sd="0" x="6738"/>
        <item sd="0" x="6739"/>
        <item sd="0" x="6740"/>
        <item sd="0" x="6741"/>
        <item sd="0" x="6742"/>
        <item sd="0" x="6743"/>
        <item sd="0" x="6744"/>
        <item sd="0" x="6745"/>
        <item sd="0" x="6746"/>
        <item sd="0" x="6747"/>
        <item sd="0" x="6748"/>
        <item sd="0" x="6749"/>
        <item sd="0" x="6750"/>
        <item sd="0" x="6751"/>
        <item sd="0" x="6752"/>
        <item sd="0" x="6753"/>
        <item sd="0" x="6754"/>
        <item sd="0" x="6755"/>
        <item sd="0" x="6756"/>
        <item sd="0" x="6757"/>
        <item sd="0" x="6758"/>
        <item sd="0" x="6759"/>
        <item sd="0" x="6760"/>
        <item sd="0" x="6761"/>
        <item sd="0" x="6762"/>
        <item sd="0" x="6763"/>
        <item sd="0" x="6764"/>
        <item sd="0" x="6765"/>
        <item sd="0" x="6766"/>
        <item sd="0" x="6767"/>
        <item sd="0" x="6768"/>
        <item sd="0" x="6769"/>
        <item sd="0" x="6770"/>
        <item sd="0" x="6771"/>
        <item sd="0" x="6772"/>
        <item sd="0" x="6773"/>
        <item sd="0" x="6774"/>
        <item sd="0" x="6775"/>
        <item sd="0" x="6776"/>
        <item sd="0" x="6777"/>
        <item sd="0" x="6778"/>
        <item sd="0" x="6779"/>
        <item sd="0" x="6780"/>
        <item sd="0" x="6781"/>
        <item sd="0" x="6782"/>
        <item sd="0" x="6783"/>
        <item sd="0" x="6784"/>
        <item sd="0" x="6785"/>
        <item sd="0" x="6786"/>
        <item sd="0" x="6787"/>
        <item sd="0" x="6788"/>
        <item sd="0" x="6789"/>
        <item sd="0" x="6790"/>
        <item sd="0" x="6791"/>
        <item sd="0" x="6792"/>
        <item sd="0" x="6793"/>
        <item sd="0" x="6794"/>
        <item sd="0" x="6795"/>
        <item sd="0" x="6796"/>
        <item sd="0" x="6797"/>
        <item sd="0" x="6798"/>
        <item sd="0" x="6799"/>
        <item sd="0" x="6800"/>
        <item sd="0" x="6801"/>
        <item sd="0" x="6802"/>
        <item sd="0" x="6803"/>
        <item sd="0" x="6804"/>
        <item sd="0" x="6805"/>
        <item sd="0" x="6806"/>
        <item sd="0" x="6807"/>
        <item sd="0" x="6808"/>
        <item sd="0" x="6809"/>
        <item sd="0" x="6810"/>
        <item sd="0" x="6811"/>
        <item sd="0" x="6812"/>
        <item sd="0" x="6813"/>
        <item sd="0" x="6814"/>
        <item sd="0" x="6815"/>
        <item sd="0" x="6816"/>
        <item sd="0" x="6817"/>
        <item sd="0" x="6818"/>
        <item sd="0" x="6819"/>
        <item sd="0" x="7055"/>
        <item sd="0" x="7056"/>
        <item sd="0" x="7057"/>
        <item sd="0" x="7058"/>
        <item sd="0" x="7059"/>
        <item sd="0" x="7060"/>
        <item sd="0" x="7061"/>
        <item sd="0" x="7062"/>
        <item sd="0" x="7063"/>
        <item sd="0" x="7064"/>
        <item sd="0" x="7065"/>
        <item sd="0" x="7066"/>
        <item sd="0" x="7067"/>
        <item sd="0" x="7287"/>
        <item sd="0" x="7068"/>
        <item sd="0" x="7069"/>
        <item sd="0" x="7070"/>
        <item sd="0" x="7071"/>
        <item sd="0" x="7072"/>
        <item sd="0" x="7073"/>
        <item sd="0" x="7074"/>
        <item sd="0" x="7075"/>
        <item sd="0" x="7076"/>
        <item sd="0" x="7077"/>
        <item sd="0" x="7078"/>
        <item sd="0" x="7079"/>
        <item sd="0" x="7080"/>
        <item sd="0" x="7081"/>
        <item sd="0" x="7082"/>
        <item sd="0" x="7083"/>
        <item sd="0" x="7084"/>
        <item sd="0" x="7085"/>
        <item sd="0" x="7086"/>
        <item sd="0" x="7087"/>
        <item sd="0" x="7088"/>
        <item sd="0" x="7089"/>
        <item sd="0" x="7090"/>
        <item sd="0" x="7091"/>
        <item sd="0" x="7092"/>
        <item sd="0" x="7093"/>
        <item sd="0" x="7094"/>
        <item sd="0" x="7095"/>
        <item sd="0" x="7096"/>
        <item sd="0" x="7316"/>
        <item sd="0" x="10831"/>
        <item sd="0" x="10832"/>
        <item sd="0" x="10833"/>
        <item sd="0" x="10834"/>
        <item sd="0" x="10835"/>
        <item sd="0" x="10836"/>
        <item sd="0" x="10837"/>
        <item sd="0" x="10838"/>
        <item sd="0" x="10839"/>
        <item sd="0" x="10840"/>
        <item sd="0" x="10841"/>
        <item sd="0" x="10842"/>
        <item sd="0" x="10843"/>
        <item sd="0" x="10844"/>
        <item sd="0" x="10624"/>
        <item sd="0" x="10846"/>
        <item sd="0" x="10847"/>
        <item sd="0" x="10848"/>
        <item sd="0" x="10849"/>
        <item sd="0" x="10850"/>
        <item sd="0" x="10851"/>
        <item sd="0" x="10852"/>
        <item sd="0" x="10853"/>
        <item sd="0" x="10854"/>
        <item sd="0" x="10855"/>
        <item sd="0" x="10856"/>
        <item sd="0" x="10857"/>
        <item sd="0" x="10858"/>
        <item sd="0" x="10408"/>
        <item sd="0" x="10625"/>
        <item sd="0" x="10626"/>
        <item sd="0" x="10627"/>
        <item sd="0" x="10628"/>
        <item sd="0" x="10629"/>
        <item sd="0" x="10630"/>
        <item sd="0" x="10631"/>
        <item sd="0" x="10632"/>
        <item sd="0" x="10633"/>
        <item sd="0" x="10634"/>
        <item sd="0" x="10635"/>
        <item sd="0" x="10636"/>
        <item sd="0" x="10637"/>
        <item sd="0" x="10638"/>
        <item sd="0" x="10422"/>
        <item sd="0" x="10640"/>
        <item sd="0" x="10641"/>
        <item sd="0" x="10642"/>
        <item sd="0" x="10643"/>
        <item sd="0" x="10644"/>
        <item sd="0" x="10645"/>
        <item sd="0" x="10646"/>
        <item sd="0" x="10647"/>
        <item sd="0" x="10648"/>
        <item sd="0" x="10649"/>
        <item sd="0" x="10650"/>
        <item sd="0" x="10651"/>
        <item sd="0" x="10652"/>
        <item sd="0" x="10653"/>
        <item sd="0" x="10437"/>
        <item sd="0" x="10655"/>
        <item sd="0" x="10656"/>
        <item sd="0" x="10657"/>
        <item sd="0" x="10658"/>
        <item sd="0" x="10659"/>
        <item sd="0" x="10660"/>
        <item sd="0" x="10661"/>
        <item sd="0" x="10662"/>
        <item sd="0" x="10663"/>
        <item sd="0" x="10664"/>
        <item sd="0" x="10665"/>
        <item sd="0" x="10666"/>
        <item sd="0" x="10667"/>
        <item sd="0" x="10451"/>
        <item sd="0" x="10669"/>
        <item sd="0" x="10670"/>
        <item sd="0" x="10671"/>
        <item sd="0" x="10672"/>
        <item sd="0" x="10673"/>
        <item sd="0" x="10674"/>
        <item sd="0" x="10675"/>
        <item sd="0" x="10676"/>
        <item sd="0" x="10677"/>
        <item sd="0" x="10678"/>
        <item sd="0" x="10679"/>
        <item sd="0" x="10680"/>
        <item sd="0" x="10681"/>
        <item sd="0" x="10682"/>
        <item sd="0" x="10466"/>
        <item sd="0" x="10684"/>
        <item sd="0" x="10685"/>
        <item sd="0" x="10686"/>
        <item sd="0" x="10687"/>
        <item sd="0" x="10688"/>
        <item sd="0" x="10689"/>
        <item sd="0" x="10690"/>
        <item sd="0" x="10691"/>
        <item sd="0" x="10692"/>
        <item sd="0" x="10693"/>
        <item sd="0" x="10694"/>
        <item sd="0" x="10695"/>
        <item sd="0" x="10696"/>
        <item sd="0" x="10480"/>
        <item sd="0" x="10698"/>
        <item sd="0" x="10699"/>
        <item sd="0" x="10700"/>
        <item sd="0" x="10701"/>
        <item sd="0" x="10702"/>
        <item sd="0" x="10703"/>
        <item sd="0" x="10704"/>
        <item sd="0" x="10705"/>
        <item sd="0" x="10706"/>
        <item sd="0" x="10707"/>
        <item sd="0" x="10708"/>
        <item sd="0" x="10709"/>
        <item sd="0" x="10710"/>
        <item sd="0" x="10711"/>
        <item sd="0" x="10495"/>
        <item sd="0" x="10713"/>
        <item sd="0" x="10714"/>
        <item sd="0" x="10715"/>
        <item sd="0" x="10716"/>
        <item sd="0" x="10717"/>
        <item sd="0" x="10718"/>
        <item sd="0" x="10719"/>
        <item sd="0" x="10720"/>
        <item sd="0" x="10721"/>
        <item sd="0" x="10722"/>
        <item sd="0" x="10723"/>
        <item sd="0" x="10724"/>
        <item sd="0" x="10725"/>
        <item sd="0" x="10726"/>
        <item sd="0" x="10728"/>
        <item sd="0" x="10729"/>
        <item sd="0" x="10730"/>
        <item sd="0" x="10731"/>
        <item sd="0" x="10732"/>
        <item sd="0" x="10733"/>
        <item sd="0" x="10734"/>
        <item sd="0" x="10735"/>
        <item sd="0" x="10736"/>
        <item sd="0" x="10737"/>
        <item sd="0" x="10738"/>
        <item sd="0" x="10739"/>
        <item sd="0" x="10740"/>
        <item sd="0" x="10741"/>
        <item sd="0" x="10524"/>
        <item sd="0" x="10742"/>
        <item sd="0" x="10743"/>
        <item sd="0" x="10744"/>
        <item sd="0" x="10745"/>
        <item sd="0" x="10746"/>
        <item sd="0" x="10747"/>
        <item sd="0" x="10748"/>
        <item sd="0" x="10749"/>
        <item sd="0" x="10750"/>
        <item sd="0" x="10751"/>
        <item sd="0" x="10752"/>
        <item sd="0" x="10753"/>
        <item sd="0" x="10754"/>
        <item sd="0" x="10755"/>
        <item sd="0" x="10538"/>
        <item sd="0" x="10757"/>
        <item sd="0" x="10758"/>
        <item sd="0" x="10759"/>
        <item sd="0" x="10760"/>
        <item sd="0" x="10761"/>
        <item sd="0" x="10762"/>
        <item sd="0" x="10763"/>
        <item sd="0" x="10764"/>
        <item sd="0" x="10765"/>
        <item sd="0" x="10766"/>
        <item sd="0" x="10767"/>
        <item sd="0" x="10768"/>
        <item sd="0" x="10769"/>
        <item sd="0" x="10553"/>
        <item sd="0" x="10771"/>
        <item sd="0" x="10772"/>
        <item sd="0" x="10773"/>
        <item sd="0" x="10774"/>
        <item sd="0" x="10775"/>
        <item sd="0" x="10776"/>
        <item sd="0" x="10777"/>
        <item sd="0" x="10778"/>
        <item sd="0" x="10779"/>
        <item sd="0" x="10780"/>
        <item sd="0" x="10781"/>
        <item sd="0" x="10782"/>
        <item sd="0" x="10783"/>
        <item sd="0" x="10784"/>
        <item sd="0" x="10785"/>
        <item sd="0" x="11022"/>
        <item sd="0" x="11023"/>
        <item sd="0" x="11024"/>
        <item sd="0" x="11025"/>
        <item sd="0" x="11026"/>
        <item sd="0" x="11027"/>
        <item sd="0" x="11028"/>
        <item sd="0" x="11029"/>
        <item sd="0" x="11030"/>
        <item sd="0" x="11031"/>
        <item sd="0" x="11032"/>
        <item sd="0" x="11033"/>
        <item sd="0" x="11034"/>
        <item sd="0" x="11035"/>
        <item sd="0" x="11036"/>
        <item sd="0" x="11037"/>
        <item sd="0" x="11038"/>
        <item sd="0" x="11039"/>
        <item sd="0" x="11040"/>
        <item sd="0" x="11041"/>
        <item sd="0" x="11042"/>
        <item sd="0" x="11043"/>
        <item sd="0" x="11044"/>
        <item sd="0" x="11045"/>
        <item sd="0" x="11046"/>
        <item sd="0" x="11047"/>
        <item sd="0" x="11048"/>
        <item sd="0" x="11049"/>
        <item sd="0" x="10830"/>
        <item sd="0" x="11050"/>
        <item sd="0" x="11051"/>
        <item sd="0" x="11052"/>
        <item sd="0" x="11053"/>
        <item sd="0" x="11054"/>
        <item sd="0" x="11055"/>
        <item sd="0" x="11056"/>
        <item sd="0" x="11057"/>
        <item sd="0" x="11058"/>
        <item sd="0" x="11059"/>
        <item sd="0" x="11060"/>
        <item sd="0" x="11061"/>
        <item sd="0" x="11062"/>
        <item sd="0" x="11063"/>
        <item sd="0" x="10845"/>
        <item sd="0" x="11065"/>
        <item sd="0" x="11066"/>
        <item sd="0" x="11067"/>
        <item sd="0" x="11068"/>
        <item sd="0" x="11069"/>
        <item sd="0" x="11070"/>
        <item sd="0" x="11071"/>
        <item sd="0" x="11072"/>
        <item sd="0" x="11073"/>
        <item sd="0" x="11074"/>
        <item sd="0" x="11075"/>
        <item sd="0" x="11076"/>
        <item sd="0" x="11077"/>
        <item sd="0" x="10859"/>
        <item sd="0" x="11079"/>
        <item sd="0" x="11080"/>
        <item sd="0" x="11081"/>
        <item sd="0" x="11082"/>
        <item sd="0" x="11083"/>
        <item sd="0" x="11084"/>
        <item sd="0" x="11085"/>
        <item sd="0" x="11086"/>
        <item sd="0" x="11087"/>
        <item sd="0" x="11088"/>
        <item sd="0" x="11089"/>
        <item sd="0" x="11090"/>
        <item sd="0" x="11091"/>
        <item sd="0" x="11092"/>
        <item sd="0" x="10639"/>
        <item sd="0" x="10860"/>
        <item sd="0" x="10861"/>
        <item sd="0" x="10862"/>
        <item sd="0" x="10863"/>
        <item sd="0" x="10864"/>
        <item sd="0" x="10865"/>
        <item sd="0" x="10866"/>
        <item sd="0" x="10867"/>
        <item sd="0" x="10868"/>
        <item sd="0" x="10869"/>
        <item sd="0" x="10870"/>
        <item sd="0" x="10871"/>
        <item sd="0" x="10872"/>
        <item sd="0" x="10654"/>
        <item sd="0" x="10874"/>
        <item sd="0" x="10875"/>
        <item sd="0" x="10876"/>
        <item sd="0" x="10877"/>
        <item sd="0" x="10878"/>
        <item sd="0" x="10879"/>
        <item sd="0" x="10880"/>
        <item sd="0" x="10881"/>
        <item sd="0" x="10882"/>
        <item sd="0" x="10883"/>
        <item sd="0" x="10884"/>
        <item sd="0" x="10885"/>
        <item sd="0" x="10886"/>
        <item sd="0" x="10887"/>
        <item sd="0" x="10668"/>
        <item sd="0" x="10889"/>
        <item sd="0" x="10890"/>
        <item sd="0" x="10891"/>
        <item sd="0" x="10892"/>
        <item sd="0" x="10893"/>
        <item sd="0" x="10894"/>
        <item sd="0" x="10895"/>
        <item sd="0" x="10896"/>
        <item sd="0" x="10897"/>
        <item sd="0" x="10898"/>
        <item sd="0" x="10899"/>
        <item sd="0" x="10900"/>
        <item sd="0" x="10901"/>
        <item sd="0" x="10902"/>
        <item sd="0" x="10683"/>
        <item sd="0" x="10904"/>
        <item sd="0" x="10905"/>
        <item sd="0" x="10906"/>
        <item sd="0" x="10907"/>
        <item sd="0" x="10908"/>
        <item sd="0" x="10909"/>
        <item sd="0" x="10910"/>
        <item sd="0" x="10911"/>
        <item sd="0" x="10912"/>
        <item sd="0" x="10913"/>
        <item sd="0" x="10914"/>
        <item sd="0" x="10915"/>
        <item sd="0" x="10916"/>
        <item sd="0" x="10917"/>
        <item sd="0" x="10697"/>
        <item sd="0" x="10919"/>
        <item sd="0" x="10920"/>
        <item sd="0" x="10921"/>
        <item sd="0" x="10922"/>
        <item sd="0" x="10923"/>
        <item sd="0" x="10924"/>
        <item sd="0" x="10925"/>
        <item sd="0" x="10926"/>
        <item sd="0" x="10927"/>
        <item sd="0" x="10928"/>
        <item sd="0" x="10929"/>
        <item sd="0" x="10930"/>
        <item sd="0" x="10931"/>
        <item sd="0" x="10712"/>
        <item sd="0" x="10933"/>
        <item sd="0" x="10934"/>
        <item sd="0" x="10935"/>
        <item sd="0" x="10936"/>
        <item sd="0" x="10937"/>
        <item sd="0" x="10938"/>
        <item sd="0" x="10939"/>
        <item sd="0" x="10940"/>
        <item sd="0" x="10941"/>
        <item sd="0" x="10942"/>
        <item sd="0" x="10943"/>
        <item sd="0" x="10944"/>
        <item sd="0" x="10945"/>
        <item sd="0" x="10946"/>
        <item sd="0" x="10727"/>
        <item sd="0" x="10948"/>
        <item sd="0" x="10949"/>
        <item sd="0" x="10950"/>
        <item sd="0" x="10951"/>
        <item sd="0" x="10952"/>
        <item sd="0" x="10953"/>
        <item sd="0" x="10954"/>
        <item sd="0" x="10955"/>
        <item sd="0" x="10956"/>
        <item sd="0" x="10957"/>
        <item sd="0" x="10958"/>
        <item sd="0" x="10959"/>
        <item sd="0" x="10960"/>
        <item sd="0" x="10961"/>
        <item sd="0" x="10963"/>
        <item sd="0" x="10964"/>
        <item sd="0" x="10965"/>
        <item sd="0" x="10966"/>
        <item sd="0" x="10967"/>
        <item sd="0" x="10968"/>
        <item sd="0" x="10969"/>
        <item sd="0" x="10970"/>
        <item sd="0" x="10971"/>
        <item sd="0" x="10972"/>
        <item sd="0" x="10973"/>
        <item sd="0" x="10974"/>
        <item sd="0" x="10975"/>
        <item sd="0" x="10976"/>
        <item sd="0" x="10756"/>
        <item sd="0" x="10977"/>
        <item sd="0" x="10978"/>
        <item sd="0" x="10979"/>
        <item sd="0" x="10980"/>
        <item sd="0" x="10981"/>
        <item sd="0" x="10982"/>
        <item sd="0" x="10983"/>
        <item sd="0" x="10984"/>
        <item sd="0" x="10985"/>
        <item sd="0" x="10986"/>
        <item sd="0" x="10987"/>
        <item sd="0" x="10988"/>
        <item sd="0" x="10989"/>
        <item sd="0" x="10990"/>
        <item sd="0" x="10770"/>
        <item sd="0" x="10992"/>
        <item sd="0" x="10993"/>
        <item sd="0" x="10994"/>
        <item sd="0" x="10995"/>
        <item sd="0" x="10996"/>
        <item sd="0" x="10997"/>
        <item sd="0" x="10998"/>
        <item sd="0" x="10999"/>
        <item sd="0" x="11000"/>
        <item sd="0" x="11001"/>
        <item sd="0" x="11002"/>
        <item sd="0" x="11003"/>
        <item sd="0" x="11004"/>
        <item sd="0" x="10786"/>
        <item sd="0" x="11006"/>
        <item sd="0" x="11007"/>
        <item sd="0" x="11008"/>
        <item sd="0" x="11009"/>
        <item sd="0" x="11010"/>
        <item sd="0" x="11011"/>
        <item sd="0" x="11012"/>
        <item sd="0" x="11013"/>
        <item sd="0" x="11014"/>
        <item sd="0" x="11015"/>
        <item sd="0" x="11016"/>
        <item sd="0" x="11017"/>
        <item sd="0" x="11018"/>
        <item sd="0" x="11019"/>
        <item sd="0" x="11020"/>
        <item sd="0" x="11254"/>
        <item sd="0" x="11255"/>
        <item sd="0" x="11256"/>
        <item sd="0" x="11257"/>
        <item sd="0" x="11258"/>
        <item sd="0" x="11259"/>
        <item sd="0" x="11260"/>
        <item sd="0" x="11261"/>
        <item sd="0" x="11262"/>
        <item sd="0" x="11263"/>
        <item sd="0" x="11264"/>
        <item sd="0" x="11265"/>
        <item sd="0" x="11266"/>
        <item sd="0" x="11267"/>
        <item sd="0" x="11268"/>
        <item sd="0" x="11269"/>
        <item sd="0" x="11270"/>
        <item sd="0" x="11271"/>
        <item sd="0" x="11272"/>
        <item sd="0" x="11273"/>
        <item sd="0" x="11274"/>
        <item sd="0" x="11275"/>
        <item sd="0" x="11276"/>
        <item sd="0" x="11277"/>
        <item sd="0" x="11278"/>
        <item sd="0" x="11279"/>
        <item sd="0" x="11280"/>
        <item sd="0" x="11281"/>
        <item sd="0" x="11064"/>
        <item sd="0" x="11282"/>
        <item sd="0" x="11283"/>
        <item sd="0" x="11284"/>
        <item sd="0" x="11285"/>
        <item sd="0" x="11286"/>
        <item sd="0" x="11287"/>
        <item sd="0" x="11288"/>
        <item sd="0" x="11289"/>
        <item sd="0" x="11290"/>
        <item sd="0" x="11291"/>
        <item sd="0" x="11292"/>
        <item sd="0" x="11293"/>
        <item sd="0" x="11294"/>
        <item sd="0" x="11295"/>
        <item sd="0" x="11078"/>
        <item sd="0" x="11297"/>
        <item sd="0" x="11298"/>
        <item sd="0" x="11299"/>
        <item sd="0" x="11300"/>
        <item sd="0" x="11301"/>
        <item sd="0" x="11302"/>
        <item sd="0" x="11303"/>
        <item sd="0" x="11304"/>
        <item sd="0" x="11305"/>
        <item sd="0" x="11306"/>
        <item sd="0" x="11307"/>
        <item sd="0" x="11308"/>
        <item sd="0" x="11309"/>
        <item sd="0" x="11093"/>
        <item sd="0" x="11310"/>
        <item sd="0" x="11311"/>
        <item sd="0" x="11312"/>
        <item sd="0" x="11313"/>
        <item sd="0" x="11314"/>
        <item sd="0" x="11315"/>
        <item sd="0" x="11316"/>
        <item sd="0" x="11317"/>
        <item sd="0" x="11318"/>
        <item sd="0" x="11319"/>
        <item sd="0" x="11320"/>
        <item sd="0" x="11321"/>
        <item sd="0" x="11322"/>
        <item sd="0" x="11323"/>
        <item sd="0" x="10873"/>
        <item sd="0" x="11094"/>
        <item sd="0" x="11095"/>
        <item sd="0" x="11096"/>
        <item sd="0" x="11097"/>
        <item sd="0" x="11098"/>
        <item sd="0" x="11099"/>
        <item sd="0" x="11100"/>
        <item sd="0" x="11101"/>
        <item sd="0" x="11102"/>
        <item sd="0" x="11103"/>
        <item sd="0" x="11104"/>
        <item sd="0" x="11105"/>
        <item sd="0" x="11106"/>
        <item sd="0" x="11107"/>
        <item sd="0" x="10888"/>
        <item sd="0" x="11108"/>
        <item sd="0" x="11109"/>
        <item sd="0" x="11110"/>
        <item sd="0" x="11111"/>
        <item sd="0" x="11112"/>
        <item sd="0" x="11113"/>
        <item sd="0" x="11114"/>
        <item sd="0" x="11115"/>
        <item sd="0" x="11116"/>
        <item sd="0" x="11117"/>
        <item sd="0" x="11118"/>
        <item sd="0" x="11119"/>
        <item sd="0" x="11120"/>
        <item sd="0" x="10903"/>
        <item sd="0" x="11121"/>
        <item sd="0" x="11122"/>
        <item sd="0" x="11123"/>
        <item sd="0" x="11124"/>
        <item sd="0" x="11125"/>
        <item sd="0" x="11126"/>
        <item sd="0" x="11127"/>
        <item sd="0" x="11128"/>
        <item sd="0" x="11129"/>
        <item sd="0" x="11130"/>
        <item sd="0" x="11131"/>
        <item sd="0" x="11132"/>
        <item sd="0" x="11133"/>
        <item sd="0" x="11134"/>
        <item sd="0" x="10918"/>
        <item sd="0" x="11136"/>
        <item sd="0" x="11137"/>
        <item sd="0" x="11138"/>
        <item sd="0" x="11139"/>
        <item sd="0" x="11140"/>
        <item sd="0" x="11141"/>
        <item sd="0" x="11142"/>
        <item sd="0" x="11143"/>
        <item sd="0" x="11144"/>
        <item sd="0" x="11145"/>
        <item sd="0" x="11146"/>
        <item sd="0" x="11147"/>
        <item sd="0" x="11148"/>
        <item sd="0" x="10932"/>
        <item sd="0" x="11150"/>
        <item sd="0" x="11151"/>
        <item sd="0" x="11152"/>
        <item sd="0" x="11153"/>
        <item sd="0" x="11154"/>
        <item sd="0" x="11155"/>
        <item sd="0" x="11156"/>
        <item sd="0" x="11157"/>
        <item sd="0" x="11158"/>
        <item sd="0" x="11159"/>
        <item sd="0" x="11160"/>
        <item sd="0" x="11161"/>
        <item sd="0" x="11162"/>
        <item sd="0" x="11163"/>
        <item sd="0" x="10947"/>
        <item sd="0" x="11165"/>
        <item sd="0" x="11166"/>
        <item sd="0" x="11167"/>
        <item sd="0" x="11168"/>
        <item sd="0" x="11169"/>
        <item sd="0" x="11170"/>
        <item sd="0" x="11171"/>
        <item sd="0" x="11172"/>
        <item sd="0" x="11173"/>
        <item sd="0" x="11174"/>
        <item sd="0" x="11175"/>
        <item sd="0" x="11176"/>
        <item sd="0" x="11177"/>
        <item sd="0" x="10962"/>
        <item sd="0" x="11179"/>
        <item sd="0" x="11180"/>
        <item sd="0" x="11181"/>
        <item sd="0" x="11182"/>
        <item sd="0" x="11183"/>
        <item sd="0" x="11184"/>
        <item sd="0" x="11185"/>
        <item sd="0" x="11186"/>
        <item sd="0" x="11187"/>
        <item sd="0" x="11188"/>
        <item sd="0" x="11189"/>
        <item sd="0" x="11190"/>
        <item sd="0" x="11191"/>
        <item sd="0" x="11192"/>
        <item sd="0" x="11193"/>
        <item sd="0" x="11195"/>
        <item sd="0" x="11196"/>
        <item sd="0" x="11197"/>
        <item sd="0" m="1" x="15160"/>
        <item sd="0" x="11198"/>
        <item sd="0" x="11199"/>
        <item sd="0" x="11200"/>
        <item sd="0" x="11201"/>
        <item sd="0" x="11202"/>
        <item sd="0" x="11203"/>
        <item sd="0" x="11204"/>
        <item sd="0" x="11205"/>
        <item sd="0" x="11206"/>
        <item sd="0" x="11207"/>
        <item sd="0" x="11208"/>
        <item sd="0" x="10991"/>
        <item sd="0" x="11209"/>
        <item sd="0" x="11210"/>
        <item sd="0" x="11211"/>
        <item sd="0" x="11212"/>
        <item sd="0" x="11213"/>
        <item sd="0" x="11214"/>
        <item sd="0" x="11215"/>
        <item sd="0" x="11216"/>
        <item sd="0" x="11217"/>
        <item sd="0" x="11218"/>
        <item sd="0" x="11219"/>
        <item sd="0" x="11220"/>
        <item sd="0" x="11221"/>
        <item sd="0" x="11005"/>
        <item sd="0" x="11223"/>
        <item sd="0" x="11224"/>
        <item sd="0" x="11225"/>
        <item sd="0" x="11226"/>
        <item sd="0" x="11227"/>
        <item sd="0" x="11228"/>
        <item sd="0" x="11229"/>
        <item sd="0" x="11230"/>
        <item sd="0" x="11231"/>
        <item sd="0" x="11232"/>
        <item sd="0" x="11233"/>
        <item sd="0" x="11234"/>
        <item sd="0" x="11235"/>
        <item sd="0" x="11236"/>
        <item sd="0" x="11021"/>
        <item sd="0" x="11238"/>
        <item sd="0" x="11239"/>
        <item sd="0" x="11240"/>
        <item sd="0" x="11241"/>
        <item sd="0" x="11242"/>
        <item sd="0" x="11243"/>
        <item sd="0" x="11244"/>
        <item sd="0" x="11245"/>
        <item sd="0" x="11246"/>
        <item sd="0" x="11247"/>
        <item sd="0" x="11248"/>
        <item sd="0" x="11249"/>
        <item sd="0" x="11250"/>
        <item sd="0" x="11251"/>
        <item sd="0" x="11252"/>
        <item sd="0" x="11447"/>
        <item sd="0" x="11448"/>
        <item sd="0" x="11449"/>
        <item sd="0" x="11450"/>
        <item sd="0" x="11451"/>
        <item sd="0" x="11452"/>
        <item sd="0" x="11453"/>
        <item sd="0" x="11454"/>
        <item sd="0" x="11455"/>
        <item sd="0" x="11456"/>
        <item sd="0" x="11457"/>
        <item sd="0" x="11458"/>
        <item sd="0" x="11459"/>
        <item sd="0" x="11460"/>
        <item sd="0" x="11461"/>
        <item sd="0" x="11462"/>
        <item sd="0" x="11463"/>
        <item sd="0" x="11464"/>
        <item sd="0" x="11465"/>
        <item sd="0" x="11466"/>
        <item sd="0" x="11467"/>
        <item sd="0" x="11468"/>
        <item sd="0" x="11469"/>
        <item sd="0" x="11470"/>
        <item sd="0" x="11471"/>
        <item sd="0" x="11472"/>
        <item sd="0" x="11473"/>
        <item sd="0" x="11474"/>
        <item sd="0" x="11296"/>
        <item sd="0" x="11475"/>
        <item sd="0" x="11476"/>
        <item sd="0" x="11477"/>
        <item sd="0" x="11478"/>
        <item sd="0" x="11479"/>
        <item sd="0" x="11480"/>
        <item sd="0" x="11481"/>
        <item sd="0" x="11482"/>
        <item sd="0" x="11483"/>
        <item sd="0" x="11484"/>
        <item sd="0" x="11485"/>
        <item sd="0" x="11486"/>
        <item sd="0" x="11487"/>
        <item sd="0" x="11488"/>
        <item sd="0" x="11135"/>
        <item sd="0" x="11324"/>
        <item sd="0" x="11325"/>
        <item sd="0" x="11326"/>
        <item sd="0" x="11327"/>
        <item sd="0" x="11328"/>
        <item sd="0" x="11329"/>
        <item sd="0" x="11330"/>
        <item sd="0" x="11331"/>
        <item sd="0" x="11332"/>
        <item sd="0" x="11333"/>
        <item sd="0" x="11334"/>
        <item sd="0" x="11335"/>
        <item sd="0" x="11336"/>
        <item sd="0" x="11149"/>
        <item sd="0" x="11337"/>
        <item sd="0" x="11338"/>
        <item sd="0" x="11339"/>
        <item sd="0" x="11340"/>
        <item sd="0" x="11341"/>
        <item sd="0" x="11342"/>
        <item sd="0" x="11343"/>
        <item sd="0" x="11344"/>
        <item sd="0" x="11345"/>
        <item sd="0" x="11346"/>
        <item sd="0" x="11347"/>
        <item sd="0" x="11348"/>
        <item sd="0" x="11349"/>
        <item sd="0" x="11350"/>
        <item sd="0" x="11164"/>
        <item sd="0" x="11351"/>
        <item sd="0" x="11352"/>
        <item sd="0" x="11353"/>
        <item sd="0" x="11354"/>
        <item sd="0" x="11355"/>
        <item sd="0" x="11356"/>
        <item sd="0" x="11357"/>
        <item sd="0" x="11358"/>
        <item sd="0" x="11359"/>
        <item sd="0" x="11360"/>
        <item sd="0" x="11361"/>
        <item sd="0" x="11362"/>
        <item sd="0" x="11363"/>
        <item sd="0" x="11178"/>
        <item sd="0" x="11364"/>
        <item sd="0" x="11365"/>
        <item sd="0" x="11366"/>
        <item sd="0" x="11367"/>
        <item sd="0" x="11368"/>
        <item sd="0" x="11369"/>
        <item sd="0" x="11370"/>
        <item sd="0" x="11371"/>
        <item sd="0" x="11372"/>
        <item sd="0" x="11373"/>
        <item sd="0" x="11374"/>
        <item sd="0" x="11375"/>
        <item sd="0" x="11376"/>
        <item sd="0" x="11377"/>
        <item sd="0" x="11194"/>
        <item sd="0" x="11378"/>
        <item sd="0" x="11379"/>
        <item sd="0" x="11380"/>
        <item sd="0" x="11381"/>
        <item sd="0" x="11382"/>
        <item sd="0" x="11383"/>
        <item sd="0" x="11384"/>
        <item sd="0" x="11385"/>
        <item sd="0" x="11386"/>
        <item sd="0" x="11387"/>
        <item sd="0" x="11388"/>
        <item sd="0" x="11389"/>
        <item sd="0" x="11390"/>
        <item sd="0" x="11391"/>
        <item sd="0" x="11392"/>
        <item sd="0" x="11393"/>
        <item sd="0" x="11394"/>
        <item sd="0" x="11395"/>
        <item sd="0" x="11396"/>
        <item sd="0" x="11397"/>
        <item sd="0" x="11398"/>
        <item sd="0" x="11399"/>
        <item sd="0" x="11400"/>
        <item sd="0" x="11401"/>
        <item sd="0" x="11402"/>
        <item sd="0" x="11403"/>
        <item sd="0" x="11404"/>
        <item sd="0" x="11405"/>
        <item sd="0" x="11222"/>
        <item sd="0" x="11406"/>
        <item sd="0" x="11407"/>
        <item sd="0" x="11408"/>
        <item sd="0" x="11409"/>
        <item sd="0" x="11410"/>
        <item sd="0" x="11411"/>
        <item sd="0" x="11412"/>
        <item sd="0" x="11413"/>
        <item sd="0" x="11414"/>
        <item sd="0" x="11415"/>
        <item sd="0" x="11416"/>
        <item sd="0" x="11417"/>
        <item sd="0" x="11418"/>
        <item sd="0" x="11419"/>
        <item sd="0" x="11237"/>
        <item sd="0" x="11420"/>
        <item sd="0" x="11421"/>
        <item sd="0" x="11422"/>
        <item sd="0" x="11423"/>
        <item sd="0" x="11424"/>
        <item sd="0" x="11425"/>
        <item sd="0" x="11426"/>
        <item sd="0" x="11427"/>
        <item sd="0" x="11428"/>
        <item sd="0" x="11429"/>
        <item sd="0" x="11430"/>
        <item sd="0" x="11431"/>
        <item sd="0" x="11432"/>
        <item sd="0" x="11253"/>
        <item sd="0" x="11433"/>
        <item sd="0" x="11434"/>
        <item sd="0" x="11435"/>
        <item sd="0" x="11436"/>
        <item sd="0" x="11437"/>
        <item sd="0" x="11438"/>
        <item sd="0" x="11439"/>
        <item sd="0" x="11440"/>
        <item sd="0" x="11441"/>
        <item sd="0" x="11442"/>
        <item sd="0" x="11443"/>
        <item sd="0" x="11444"/>
        <item sd="0" x="11445"/>
        <item sd="0" x="11446"/>
        <item sd="0" x="8002"/>
        <item sd="0" x="8003"/>
        <item sd="0" x="8004"/>
        <item sd="0" x="8005"/>
        <item sd="0" x="8006"/>
        <item sd="0" x="8007"/>
        <item sd="0" x="8008"/>
        <item sd="0" x="8009"/>
        <item sd="0" x="8010"/>
        <item sd="0" x="8011"/>
        <item sd="0" x="8012"/>
        <item sd="0" x="8013"/>
        <item sd="0" x="8014"/>
        <item sd="0" x="8015"/>
        <item sd="0" x="8016"/>
        <item sd="0" x="8017"/>
        <item sd="0" x="8018"/>
        <item sd="0" x="8019"/>
        <item sd="0" x="8020"/>
        <item sd="0" x="8021"/>
        <item sd="0" x="8022"/>
        <item sd="0" x="8023"/>
        <item sd="0" x="8024"/>
        <item sd="0" x="8025"/>
        <item sd="0" x="8026"/>
        <item sd="0" x="8027"/>
        <item sd="0" x="8028"/>
        <item sd="0" x="8029"/>
        <item sd="0" x="8030"/>
        <item sd="0" x="8031"/>
        <item sd="0" x="8032"/>
        <item sd="0" x="8033"/>
        <item sd="0" x="8034"/>
        <item sd="0" x="8035"/>
        <item sd="0" x="8036"/>
        <item sd="0" x="8037"/>
        <item sd="0" x="8038"/>
        <item sd="0" x="8039"/>
        <item sd="0" x="8040"/>
        <item sd="0" x="8041"/>
        <item sd="0" x="8042"/>
        <item sd="0" x="8043"/>
        <item sd="0" x="8044"/>
        <item sd="0" x="8045"/>
        <item sd="0" x="8046"/>
        <item sd="0" x="8048"/>
        <item sd="0" x="8049"/>
        <item sd="0" x="8050"/>
        <item sd="0" x="8051"/>
        <item sd="0" x="8052"/>
        <item sd="0" x="8053"/>
        <item sd="0" x="8054"/>
        <item sd="0" x="8055"/>
        <item sd="0" x="8056"/>
        <item sd="0" x="8057"/>
        <item sd="0" x="8058"/>
        <item sd="0" x="8059"/>
        <item sd="0" x="8060"/>
        <item sd="0" x="8061"/>
        <item sd="0" x="7813"/>
        <item sd="0" x="7814"/>
        <item sd="0" x="7815"/>
        <item sd="0" x="7816"/>
        <item sd="0" x="7817"/>
        <item sd="0" x="7818"/>
        <item sd="0" x="7819"/>
        <item sd="0" x="7820"/>
        <item sd="0" x="7821"/>
        <item sd="0" x="7822"/>
        <item sd="0" x="7823"/>
        <item sd="0" x="7824"/>
        <item sd="0" x="7825"/>
        <item sd="0" x="7826"/>
        <item sd="0" x="7827"/>
        <item sd="0" x="7829"/>
        <item sd="0" x="7830"/>
        <item sd="0" x="7831"/>
        <item sd="0" x="7832"/>
        <item sd="0" x="7833"/>
        <item sd="0" x="7834"/>
        <item sd="0" x="7835"/>
        <item sd="0" x="7836"/>
        <item sd="0" x="7837"/>
        <item sd="0" x="7838"/>
        <item sd="0" x="7839"/>
        <item sd="0" x="7840"/>
        <item sd="0" x="7841"/>
        <item sd="0" x="7842"/>
        <item sd="0" x="7843"/>
        <item sd="0" x="7846"/>
        <item sd="0" x="7847"/>
        <item sd="0" x="7848"/>
        <item sd="0" x="7849"/>
        <item sd="0" x="7850"/>
        <item sd="0" x="7851"/>
        <item sd="0" x="7852"/>
        <item sd="0" x="7853"/>
        <item sd="0" x="7854"/>
        <item sd="0" x="7855"/>
        <item sd="0" x="7856"/>
        <item sd="0" x="7857"/>
        <item sd="0" x="7858"/>
        <item sd="0" x="7859"/>
        <item sd="0" x="7860"/>
        <item sd="0" x="7862"/>
        <item sd="0" x="7863"/>
        <item sd="0" x="7864"/>
        <item sd="0" x="7865"/>
        <item sd="0" x="7866"/>
        <item sd="0" x="7867"/>
        <item sd="0" x="7868"/>
        <item sd="0" x="7869"/>
        <item sd="0" x="7870"/>
        <item sd="0" x="7871"/>
        <item sd="0" x="7872"/>
        <item sd="0" x="7873"/>
        <item sd="0" x="7874"/>
        <item sd="0" x="7875"/>
        <item sd="0" x="7877"/>
        <item sd="0" x="7878"/>
        <item sd="0" x="7879"/>
        <item sd="0" x="7880"/>
        <item sd="0" x="7881"/>
        <item sd="0" x="7882"/>
        <item sd="0" x="7883"/>
        <item sd="0" x="7884"/>
        <item sd="0" x="7885"/>
        <item sd="0" x="7886"/>
        <item sd="0" x="7887"/>
        <item sd="0" x="7888"/>
        <item sd="0" m="1" x="15147"/>
        <item sd="0" x="7889"/>
        <item sd="0" x="7890"/>
        <item sd="0" x="7891"/>
        <item sd="0" x="7893"/>
        <item sd="0" x="7894"/>
        <item sd="0" x="7895"/>
        <item sd="0" x="7896"/>
        <item sd="0" x="7897"/>
        <item sd="0" x="7898"/>
        <item sd="0" x="7899"/>
        <item sd="0" x="7900"/>
        <item sd="0" x="7901"/>
        <item sd="0" x="7902"/>
        <item sd="0" x="7903"/>
        <item sd="0" x="7904"/>
        <item sd="0" x="7905"/>
        <item sd="0" x="7906"/>
        <item sd="0" x="7907"/>
        <item sd="0" x="7909"/>
        <item sd="0" x="7910"/>
        <item sd="0" x="7911"/>
        <item sd="0" x="7912"/>
        <item sd="0" x="7913"/>
        <item sd="0" x="7914"/>
        <item sd="0" x="7915"/>
        <item sd="0" x="7916"/>
        <item sd="0" x="7917"/>
        <item sd="0" x="7918"/>
        <item sd="0" x="7919"/>
        <item sd="0" x="7920"/>
        <item sd="0" x="7921"/>
        <item sd="0" x="7922"/>
        <item sd="0" x="7924"/>
        <item sd="0" x="7925"/>
        <item sd="0" x="7926"/>
        <item sd="0" x="7927"/>
        <item sd="0" x="7928"/>
        <item sd="0" x="7929"/>
        <item sd="0" x="7930"/>
        <item sd="0" x="7931"/>
        <item sd="0" x="7932"/>
        <item sd="0" x="7933"/>
        <item sd="0" x="7934"/>
        <item sd="0" x="7935"/>
        <item sd="0" x="7936"/>
        <item sd="0" x="7937"/>
        <item sd="0" x="7938"/>
        <item sd="0" x="7940"/>
        <item sd="0" x="7941"/>
        <item sd="0" x="7942"/>
        <item sd="0" x="7943"/>
        <item sd="0" x="7944"/>
        <item sd="0" x="7945"/>
        <item sd="0" x="7946"/>
        <item sd="0" x="7947"/>
        <item sd="0" x="7948"/>
        <item sd="0" x="7949"/>
        <item sd="0" x="7950"/>
        <item sd="0" x="7951"/>
        <item sd="0" x="7952"/>
        <item sd="0" x="7953"/>
        <item sd="0" x="7955"/>
        <item sd="0" x="7956"/>
        <item sd="0" x="7957"/>
        <item sd="0" x="7958"/>
        <item sd="0" x="7959"/>
        <item sd="0" x="7960"/>
        <item sd="0" x="7961"/>
        <item sd="0" x="7962"/>
        <item sd="0" x="7963"/>
        <item sd="0" x="7964"/>
        <item sd="0" x="7965"/>
        <item sd="0" x="7966"/>
        <item sd="0" x="7967"/>
        <item sd="0" x="7968"/>
        <item sd="0" x="7969"/>
        <item sd="0" x="7971"/>
        <item sd="0" x="7972"/>
        <item sd="0" x="7973"/>
        <item sd="0" x="7974"/>
        <item sd="0" x="7975"/>
        <item sd="0" x="7976"/>
        <item sd="0" x="7977"/>
        <item sd="0" x="7978"/>
        <item sd="0" x="7979"/>
        <item sd="0" x="7980"/>
        <item sd="0" x="7981"/>
        <item sd="0" x="7982"/>
        <item sd="0" x="7983"/>
        <item sd="0" x="7984"/>
        <item sd="0" x="7985"/>
        <item sd="0" x="7987"/>
        <item sd="0" x="7988"/>
        <item sd="0" x="7989"/>
        <item sd="0" x="7990"/>
        <item sd="0" x="7991"/>
        <item sd="0" x="7992"/>
        <item sd="0" x="7993"/>
        <item sd="0" x="7994"/>
        <item sd="0" x="7995"/>
        <item sd="0" x="7996"/>
        <item sd="0" x="7997"/>
        <item sd="0" x="7998"/>
        <item sd="0" x="7999"/>
        <item sd="0" x="8000"/>
        <item sd="0" x="8223"/>
        <item sd="0" x="8224"/>
        <item sd="0" x="8225"/>
        <item sd="0" x="8226"/>
        <item sd="0" x="8227"/>
        <item sd="0" x="8228"/>
        <item sd="0" x="8229"/>
        <item sd="0" x="8230"/>
        <item sd="0" x="8231"/>
        <item sd="0" x="8232"/>
        <item sd="0" x="8233"/>
        <item sd="0" x="8234"/>
        <item sd="0" x="8235"/>
        <item sd="0" x="8236"/>
        <item sd="0" x="8237"/>
        <item sd="0" x="8238"/>
        <item sd="0" x="8239"/>
        <item sd="0" x="8240"/>
        <item sd="0" x="8241"/>
        <item sd="0" x="8242"/>
        <item sd="0" x="8243"/>
        <item sd="0" x="8244"/>
        <item sd="0" x="8245"/>
        <item sd="0" x="8246"/>
        <item sd="0" x="8247"/>
        <item sd="0" x="8248"/>
        <item sd="0" x="8249"/>
        <item sd="0" x="8250"/>
        <item sd="0" x="8251"/>
        <item sd="0" x="8252"/>
        <item sd="0" x="8253"/>
        <item sd="0" x="8254"/>
        <item sd="0" x="8255"/>
        <item sd="0" x="8256"/>
        <item sd="0" x="8257"/>
        <item sd="0" x="8258"/>
        <item sd="0" x="8259"/>
        <item sd="0" x="8260"/>
        <item sd="0" x="8261"/>
        <item sd="0" x="8262"/>
        <item sd="0" x="8263"/>
        <item sd="0" x="8264"/>
        <item sd="0" x="8265"/>
        <item sd="0" x="8047"/>
        <item sd="0" x="8266"/>
        <item sd="0" x="8267"/>
        <item sd="0" x="8268"/>
        <item sd="0" x="8269"/>
        <item sd="0" x="8270"/>
        <item sd="0" x="8271"/>
        <item sd="0" x="8272"/>
        <item sd="0" x="8273"/>
        <item sd="0" x="8274"/>
        <item sd="0" x="8275"/>
        <item sd="0" x="8276"/>
        <item sd="0" x="8277"/>
        <item sd="0" x="8278"/>
        <item sd="0" x="8279"/>
        <item sd="0" x="8062"/>
        <item sd="0" x="8281"/>
        <item sd="0" x="8282"/>
        <item sd="0" x="8283"/>
        <item sd="0" x="8284"/>
        <item sd="0" x="8285"/>
        <item sd="0" x="8286"/>
        <item sd="0" x="8287"/>
        <item sd="0" x="8288"/>
        <item sd="0" x="8289"/>
        <item sd="0" x="8290"/>
        <item sd="0" x="8291"/>
        <item sd="0" x="8292"/>
        <item sd="0" x="8293"/>
        <item sd="0" x="8294"/>
        <item sd="0" x="7828"/>
        <item sd="0" x="8063"/>
        <item sd="0" x="8064"/>
        <item sd="0" x="8065"/>
        <item sd="0" x="8066"/>
        <item sd="0" x="8067"/>
        <item sd="0" x="8068"/>
        <item sd="0" x="8069"/>
        <item sd="0" x="8070"/>
        <item sd="0" x="8071"/>
        <item sd="0" x="8072"/>
        <item sd="0" x="8073"/>
        <item sd="0" x="8074"/>
        <item sd="0" x="8075"/>
        <item sd="0" x="7844"/>
        <item sd="0" x="7845"/>
        <item sd="0" x="8077"/>
        <item sd="0" x="8078"/>
        <item sd="0" x="8079"/>
        <item sd="0" x="8080"/>
        <item sd="0" x="8081"/>
        <item sd="0" x="8082"/>
        <item sd="0" x="8083"/>
        <item sd="0" x="8084"/>
        <item sd="0" x="8085"/>
        <item sd="0" x="8086"/>
        <item sd="0" x="8087"/>
        <item sd="0" x="8088"/>
        <item sd="0" x="8089"/>
        <item sd="0" x="7861"/>
        <item sd="0" x="8091"/>
        <item sd="0" x="8092"/>
        <item sd="0" x="8093"/>
        <item sd="0" x="8094"/>
        <item sd="0" x="8095"/>
        <item sd="0" x="8096"/>
        <item sd="0" x="8097"/>
        <item sd="0" x="8098"/>
        <item sd="0" x="8099"/>
        <item sd="0" x="8100"/>
        <item sd="0" x="8101"/>
        <item sd="0" x="8102"/>
        <item sd="0" x="8103"/>
        <item sd="0" x="8104"/>
        <item sd="0" x="7876"/>
        <item sd="0" x="8106"/>
        <item sd="0" x="8107"/>
        <item sd="0" x="8108"/>
        <item sd="0" x="8109"/>
        <item sd="0" x="8110"/>
        <item sd="0" x="8111"/>
        <item sd="0" x="8112"/>
        <item sd="0" x="8113"/>
        <item sd="0" x="8114"/>
        <item sd="0" x="8115"/>
        <item sd="0" x="8116"/>
        <item sd="0" x="8117"/>
        <item sd="0" x="8118"/>
        <item sd="0" x="7892"/>
        <item sd="0" x="8120"/>
        <item sd="0" x="8121"/>
        <item sd="0" x="8122"/>
        <item sd="0" x="8123"/>
        <item sd="0" x="8124"/>
        <item sd="0" x="8125"/>
        <item sd="0" x="8126"/>
        <item sd="0" x="8127"/>
        <item sd="0" x="8128"/>
        <item sd="0" x="8129"/>
        <item sd="0" x="8130"/>
        <item sd="0" x="8131"/>
        <item sd="0" x="8132"/>
        <item sd="0" x="8133"/>
        <item sd="0" x="7908"/>
        <item sd="0" x="8135"/>
        <item sd="0" x="8136"/>
        <item sd="0" x="8137"/>
        <item sd="0" x="8138"/>
        <item sd="0" x="8139"/>
        <item sd="0" x="8140"/>
        <item sd="0" x="8141"/>
        <item sd="0" x="8142"/>
        <item sd="0" x="8143"/>
        <item sd="0" x="8144"/>
        <item sd="0" x="8145"/>
        <item sd="0" x="8146"/>
        <item sd="0" x="8147"/>
        <item sd="0" x="8148"/>
        <item sd="0" x="7923"/>
        <item sd="0" x="8150"/>
        <item sd="0" x="8151"/>
        <item sd="0" x="8152"/>
        <item sd="0" x="8153"/>
        <item sd="0" x="8154"/>
        <item sd="0" x="8155"/>
        <item sd="0" x="8156"/>
        <item sd="0" x="8157"/>
        <item sd="0" x="8158"/>
        <item sd="0" x="8159"/>
        <item sd="0" x="8160"/>
        <item sd="0" x="8161"/>
        <item sd="0" x="8162"/>
        <item sd="0" x="7939"/>
        <item sd="0" x="8164"/>
        <item sd="0" x="8165"/>
        <item sd="0" x="8166"/>
        <item sd="0" x="8167"/>
        <item sd="0" x="8168"/>
        <item sd="0" x="8169"/>
        <item sd="0" x="8170"/>
        <item sd="0" x="8171"/>
        <item sd="0" x="8172"/>
        <item sd="0" x="8173"/>
        <item sd="0" x="8174"/>
        <item sd="0" x="8175"/>
        <item sd="0" x="8176"/>
        <item sd="0" x="8177"/>
        <item sd="0" x="7954"/>
        <item sd="0" x="8179"/>
        <item sd="0" x="8180"/>
        <item sd="0" x="8181"/>
        <item sd="0" x="8182"/>
        <item sd="0" x="8183"/>
        <item sd="0" x="8184"/>
        <item sd="0" x="8185"/>
        <item sd="0" x="8186"/>
        <item sd="0" x="8187"/>
        <item sd="0" x="8188"/>
        <item sd="0" x="8189"/>
        <item sd="0" x="8190"/>
        <item sd="0" x="8191"/>
        <item sd="0" x="8192"/>
        <item sd="0" x="7970"/>
        <item sd="0" x="8194"/>
        <item sd="0" x="8195"/>
        <item sd="0" x="8196"/>
        <item sd="0" x="8197"/>
        <item sd="0" x="8198"/>
        <item sd="0" x="8199"/>
        <item sd="0" x="8200"/>
        <item sd="0" x="8201"/>
        <item sd="0" x="8202"/>
        <item sd="0" x="8203"/>
        <item sd="0" x="8204"/>
        <item sd="0" x="8205"/>
        <item sd="0" x="8206"/>
        <item sd="0" x="7986"/>
        <item sd="0" x="8208"/>
        <item sd="0" x="8209"/>
        <item sd="0" x="8210"/>
        <item sd="0" x="8211"/>
        <item sd="0" x="8212"/>
        <item sd="0" x="8213"/>
        <item sd="0" x="8214"/>
        <item sd="0" x="8215"/>
        <item sd="0" x="8216"/>
        <item sd="0" x="8217"/>
        <item sd="0" x="8218"/>
        <item sd="0" x="8219"/>
        <item sd="0" x="8220"/>
        <item sd="0" x="8221"/>
        <item sd="0" x="8458"/>
        <item sd="0" x="8459"/>
        <item sd="0" x="8460"/>
        <item sd="0" x="8461"/>
        <item sd="0" x="8462"/>
        <item sd="0" x="8463"/>
        <item sd="0" x="8464"/>
        <item sd="0" x="8465"/>
        <item sd="0" x="8466"/>
        <item sd="0" x="8467"/>
        <item sd="0" x="8468"/>
        <item sd="0" x="8469"/>
        <item sd="0" x="8470"/>
        <item sd="0" x="8471"/>
        <item sd="0" x="8472"/>
        <item sd="0" x="8473"/>
        <item sd="0" x="8474"/>
        <item sd="0" x="8475"/>
        <item sd="0" x="8476"/>
        <item sd="0" x="8477"/>
        <item sd="0" x="8478"/>
        <item sd="0" x="8479"/>
        <item sd="0" x="8480"/>
        <item sd="0" x="8481"/>
        <item sd="0" x="8482"/>
        <item sd="0" x="8483"/>
        <item sd="0" x="8484"/>
        <item sd="0" x="8485"/>
        <item sd="0" x="8486"/>
        <item sd="0" x="8487"/>
        <item sd="0" x="8488"/>
        <item sd="0" x="8489"/>
        <item sd="0" x="8490"/>
        <item sd="0" x="8491"/>
        <item sd="0" x="8492"/>
        <item sd="0" x="8493"/>
        <item sd="0" x="8494"/>
        <item sd="0" x="8495"/>
        <item sd="0" x="8496"/>
        <item sd="0" x="8497"/>
        <item sd="0" x="8498"/>
        <item sd="0" x="8499"/>
        <item sd="0" x="8500"/>
        <item sd="0" x="8501"/>
        <item sd="0" x="8280"/>
        <item sd="0" x="8502"/>
        <item sd="0" x="8503"/>
        <item sd="0" x="8504"/>
        <item sd="0" x="8505"/>
        <item sd="0" x="8506"/>
        <item sd="0" x="8507"/>
        <item sd="0" x="8508"/>
        <item sd="0" x="8509"/>
        <item sd="0" x="8510"/>
        <item sd="0" x="8511"/>
        <item sd="0" x="8512"/>
        <item sd="0" x="8513"/>
        <item sd="0" x="8514"/>
        <item sd="0" x="8295"/>
        <item sd="0" x="8516"/>
        <item sd="0" x="8517"/>
        <item sd="0" x="8518"/>
        <item sd="0" x="8519"/>
        <item sd="0" x="8520"/>
        <item sd="0" x="8521"/>
        <item sd="0" x="8522"/>
        <item sd="0" x="8523"/>
        <item sd="0" x="8524"/>
        <item sd="0" x="8525"/>
        <item sd="0" x="8526"/>
        <item sd="0" x="8527"/>
        <item sd="0" x="8528"/>
        <item sd="0" x="8529"/>
        <item sd="0" x="8076"/>
        <item sd="0" x="8296"/>
        <item sd="0" x="8297"/>
        <item sd="0" x="8298"/>
        <item sd="0" x="8299"/>
        <item sd="0" x="8300"/>
        <item sd="0" x="8301"/>
        <item sd="0" x="8302"/>
        <item sd="0" x="8303"/>
        <item sd="0" x="8304"/>
        <item sd="0" x="8305"/>
        <item sd="0" x="8306"/>
        <item sd="0" x="8307"/>
        <item sd="0" x="8308"/>
        <item sd="0" x="8309"/>
        <item sd="0" x="8090"/>
        <item sd="0" x="8311"/>
        <item sd="0" x="8312"/>
        <item sd="0" x="8313"/>
        <item sd="0" x="8314"/>
        <item sd="0" x="8315"/>
        <item sd="0" x="8316"/>
        <item sd="0" x="8317"/>
        <item sd="0" x="8318"/>
        <item sd="0" x="8319"/>
        <item sd="0" x="8320"/>
        <item sd="0" x="8321"/>
        <item sd="0" x="8322"/>
        <item sd="0" x="8323"/>
        <item sd="0" x="8105"/>
        <item sd="0" x="8325"/>
        <item sd="0" x="8326"/>
        <item sd="0" x="8327"/>
        <item sd="0" x="8328"/>
        <item sd="0" x="8329"/>
        <item sd="0" x="8330"/>
        <item sd="0" x="8331"/>
        <item sd="0" x="8332"/>
        <item sd="0" x="8333"/>
        <item sd="0" x="8334"/>
        <item sd="0" x="8335"/>
        <item sd="0" x="8336"/>
        <item sd="0" x="8337"/>
        <item sd="0" x="8338"/>
        <item sd="0" x="8119"/>
        <item sd="0" x="8340"/>
        <item sd="0" x="8341"/>
        <item sd="0" x="8342"/>
        <item sd="0" x="8343"/>
        <item sd="0" x="8344"/>
        <item sd="0" x="8345"/>
        <item sd="0" x="8346"/>
        <item sd="0" x="8347"/>
        <item sd="0" x="8348"/>
        <item sd="0" x="8349"/>
        <item sd="0" x="8350"/>
        <item sd="0" x="8351"/>
        <item sd="0" x="8352"/>
        <item sd="0" x="8134"/>
        <item sd="0" x="8354"/>
        <item sd="0" x="8355"/>
        <item sd="0" x="8356"/>
        <item sd="0" x="8357"/>
        <item sd="0" x="8358"/>
        <item sd="0" x="8359"/>
        <item sd="0" x="8360"/>
        <item sd="0" x="8361"/>
        <item sd="0" x="8362"/>
        <item sd="0" x="8363"/>
        <item sd="0" x="8364"/>
        <item sd="0" x="8365"/>
        <item sd="0" x="8366"/>
        <item sd="0" x="8367"/>
        <item sd="0" x="8149"/>
        <item sd="0" x="8369"/>
        <item sd="0" x="8370"/>
        <item sd="0" x="8371"/>
        <item sd="0" x="8372"/>
        <item sd="0" x="8373"/>
        <item sd="0" x="8374"/>
        <item sd="0" x="8375"/>
        <item sd="0" x="8376"/>
        <item sd="0" x="8377"/>
        <item sd="0" x="8378"/>
        <item sd="0" x="8379"/>
        <item sd="0" x="8380"/>
        <item sd="0" x="8381"/>
        <item sd="0" x="8382"/>
        <item sd="0" x="8163"/>
        <item sd="0" x="8384"/>
        <item sd="0" x="8385"/>
        <item sd="0" x="8386"/>
        <item sd="0" x="8387"/>
        <item sd="0" x="8388"/>
        <item sd="0" x="8389"/>
        <item sd="0" x="8390"/>
        <item sd="0" x="8391"/>
        <item sd="0" x="8392"/>
        <item sd="0" x="8393"/>
        <item sd="0" x="8394"/>
        <item sd="0" x="8395"/>
        <item sd="0" x="8396"/>
        <item sd="0" x="8178"/>
        <item sd="0" x="8398"/>
        <item sd="0" x="8399"/>
        <item sd="0" x="8400"/>
        <item sd="0" x="8401"/>
        <item sd="0" x="8402"/>
        <item sd="0" x="8403"/>
        <item sd="0" x="8404"/>
        <item sd="0" x="8405"/>
        <item sd="0" x="8406"/>
        <item sd="0" x="8407"/>
        <item sd="0" x="8408"/>
        <item sd="0" x="8409"/>
        <item sd="0" x="8410"/>
        <item sd="0" x="8411"/>
        <item sd="0" x="8193"/>
        <item sd="0" x="8413"/>
        <item sd="0" x="8414"/>
        <item sd="0" x="8415"/>
        <item sd="0" x="8416"/>
        <item sd="0" x="8417"/>
        <item sd="0" x="8418"/>
        <item sd="0" x="8419"/>
        <item sd="0" x="8420"/>
        <item sd="0" x="8421"/>
        <item sd="0" x="8422"/>
        <item sd="0" x="8423"/>
        <item sd="0" x="8424"/>
        <item sd="0" x="8425"/>
        <item sd="0" x="8426"/>
        <item sd="0" x="8207"/>
        <item sd="0" x="8428"/>
        <item sd="0" x="8429"/>
        <item sd="0" x="8430"/>
        <item sd="0" x="8431"/>
        <item sd="0" x="8432"/>
        <item sd="0" x="8433"/>
        <item sd="0" x="8434"/>
        <item sd="0" x="8435"/>
        <item sd="0" x="8436"/>
        <item sd="0" x="8437"/>
        <item sd="0" x="8438"/>
        <item sd="0" x="8439"/>
        <item sd="0" x="8440"/>
        <item sd="0" x="8441"/>
        <item sd="0" x="8222"/>
        <item sd="0" x="8443"/>
        <item sd="0" x="8444"/>
        <item sd="0" x="8445"/>
        <item sd="0" x="8446"/>
        <item sd="0" x="8447"/>
        <item sd="0" x="8448"/>
        <item sd="0" x="8449"/>
        <item sd="0" x="8450"/>
        <item sd="0" x="8451"/>
        <item sd="0" x="8452"/>
        <item sd="0" x="8453"/>
        <item sd="0" x="8454"/>
        <item sd="0" x="8455"/>
        <item sd="0" x="8456"/>
        <item sd="0" x="8693"/>
        <item sd="0" x="8694"/>
        <item sd="0" x="8695"/>
        <item sd="0" x="8696"/>
        <item sd="0" x="8697"/>
        <item sd="0" x="8698"/>
        <item sd="0" x="8699"/>
        <item sd="0" x="8700"/>
        <item sd="0" x="8701"/>
        <item sd="0" x="8702"/>
        <item sd="0" x="8703"/>
        <item sd="0" x="8704"/>
        <item sd="0" x="8705"/>
        <item sd="0" x="8706"/>
        <item sd="0" x="8707"/>
        <item sd="0" x="8708"/>
        <item sd="0" x="8709"/>
        <item sd="0" x="8710"/>
        <item sd="0" x="8711"/>
        <item sd="0" x="8712"/>
        <item sd="0" x="8713"/>
        <item sd="0" x="8714"/>
        <item sd="0" x="8715"/>
        <item sd="0" x="8716"/>
        <item sd="0" x="8717"/>
        <item sd="0" x="8718"/>
        <item sd="0" x="8719"/>
        <item sd="0" x="8720"/>
        <item sd="0" x="8721"/>
        <item sd="0" x="8722"/>
        <item sd="0" x="8723"/>
        <item sd="0" x="8724"/>
        <item sd="0" x="8725"/>
        <item sd="0" x="8726"/>
        <item sd="0" x="8727"/>
        <item sd="0" x="8728"/>
        <item sd="0" x="8729"/>
        <item sd="0" x="8730"/>
        <item sd="0" x="8731"/>
        <item sd="0" x="8732"/>
        <item sd="0" x="8733"/>
        <item sd="0" x="8734"/>
        <item sd="0" x="8735"/>
        <item sd="0" x="8515"/>
        <item sd="0" x="8737"/>
        <item sd="0" x="8738"/>
        <item sd="0" x="8739"/>
        <item sd="0" x="8740"/>
        <item sd="0" x="8741"/>
        <item sd="0" x="8742"/>
        <item sd="0" x="8743"/>
        <item sd="0" x="8744"/>
        <item sd="0" x="8745"/>
        <item sd="0" x="8746"/>
        <item sd="0" x="8747"/>
        <item sd="0" x="8748"/>
        <item sd="0" x="8749"/>
        <item sd="0" x="8750"/>
        <item sd="0" x="8530"/>
        <item sd="0" x="8752"/>
        <item sd="0" x="8753"/>
        <item sd="0" x="8754"/>
        <item sd="0" x="8755"/>
        <item sd="0" x="8756"/>
        <item sd="0" x="8757"/>
        <item sd="0" x="8758"/>
        <item sd="0" x="8759"/>
        <item sd="0" x="8760"/>
        <item sd="0" x="8761"/>
        <item sd="0" x="8762"/>
        <item sd="0" x="8763"/>
        <item sd="0" x="8764"/>
        <item sd="0" x="8310"/>
        <item sd="0" x="8531"/>
        <item sd="0" x="8532"/>
        <item sd="0" x="8533"/>
        <item sd="0" x="8534"/>
        <item sd="0" x="8535"/>
        <item sd="0" x="8536"/>
        <item sd="0" x="8537"/>
        <item sd="0" x="8538"/>
        <item sd="0" x="8539"/>
        <item sd="0" x="8540"/>
        <item sd="0" x="8541"/>
        <item sd="0" x="8542"/>
        <item sd="0" x="8543"/>
        <item sd="0" x="8544"/>
        <item sd="0" x="8324"/>
        <item sd="0" x="8546"/>
        <item sd="0" x="8547"/>
        <item sd="0" x="8548"/>
        <item sd="0" x="8549"/>
        <item sd="0" x="8550"/>
        <item sd="0" x="8551"/>
        <item sd="0" x="8552"/>
        <item sd="0" x="8553"/>
        <item sd="0" x="8554"/>
        <item sd="0" x="8555"/>
        <item sd="0" x="8556"/>
        <item sd="0" x="8557"/>
        <item sd="0" x="8558"/>
        <item sd="0" x="8559"/>
        <item sd="0" x="8339"/>
        <item sd="0" x="8561"/>
        <item sd="0" x="8562"/>
        <item sd="0" x="8563"/>
        <item sd="0" x="8564"/>
        <item sd="0" x="8565"/>
        <item sd="0" x="8566"/>
        <item sd="0" x="8567"/>
        <item sd="0" x="8568"/>
        <item sd="0" x="8569"/>
        <item sd="0" x="8570"/>
        <item sd="0" x="8571"/>
        <item sd="0" x="8572"/>
        <item sd="0" x="8573"/>
        <item sd="0" x="8353"/>
        <item sd="0" x="8575"/>
        <item sd="0" x="8576"/>
        <item sd="0" x="8577"/>
        <item sd="0" x="8578"/>
        <item sd="0" x="8579"/>
        <item sd="0" x="8580"/>
        <item sd="0" x="8581"/>
        <item sd="0" x="8582"/>
        <item sd="0" x="8583"/>
        <item sd="0" x="8584"/>
        <item sd="0" x="8585"/>
        <item sd="0" x="8586"/>
        <item sd="0" x="8587"/>
        <item sd="0" x="8588"/>
        <item sd="0" x="8368"/>
        <item sd="0" x="8590"/>
        <item sd="0" x="8591"/>
        <item sd="0" x="8592"/>
        <item sd="0" x="8593"/>
        <item sd="0" x="8594"/>
        <item sd="0" x="8595"/>
        <item sd="0" x="8596"/>
        <item sd="0" x="8597"/>
        <item sd="0" x="8598"/>
        <item sd="0" x="8599"/>
        <item sd="0" x="8600"/>
        <item sd="0" x="8601"/>
        <item sd="0" x="8602"/>
        <item sd="0" x="8603"/>
        <item sd="0" x="8383"/>
        <item sd="0" x="8605"/>
        <item sd="0" x="8606"/>
        <item sd="0" x="8607"/>
        <item sd="0" x="8608"/>
        <item sd="0" x="8609"/>
        <item sd="0" x="8610"/>
        <item sd="0" x="8611"/>
        <item sd="0" x="8612"/>
        <item sd="0" x="8613"/>
        <item sd="0" x="8614"/>
        <item sd="0" x="8615"/>
        <item sd="0" x="8616"/>
        <item sd="0" x="8617"/>
        <item sd="0" x="8397"/>
        <item sd="0" x="8619"/>
        <item sd="0" x="8620"/>
        <item sd="0" x="8621"/>
        <item sd="0" x="8622"/>
        <item sd="0" x="8623"/>
        <item sd="0" x="8624"/>
        <item sd="0" x="8625"/>
        <item sd="0" x="8626"/>
        <item sd="0" x="8627"/>
        <item sd="0" x="8628"/>
        <item sd="0" x="8629"/>
        <item sd="0" x="8630"/>
        <item sd="0" x="8631"/>
        <item sd="0" x="8632"/>
        <item sd="0" x="8412"/>
        <item sd="0" x="8634"/>
        <item sd="0" x="8635"/>
        <item sd="0" x="8636"/>
        <item sd="0" x="8637"/>
        <item sd="0" x="8638"/>
        <item sd="0" x="8639"/>
        <item sd="0" x="8640"/>
        <item sd="0" x="8641"/>
        <item sd="0" x="8642"/>
        <item sd="0" x="8643"/>
        <item sd="0" x="8644"/>
        <item sd="0" x="8645"/>
        <item sd="0" x="8646"/>
        <item sd="0" x="8427"/>
        <item sd="0" x="8648"/>
        <item sd="0" x="8649"/>
        <item sd="0" x="8650"/>
        <item sd="0" x="8651"/>
        <item sd="0" x="8652"/>
        <item sd="0" x="8653"/>
        <item sd="0" x="8654"/>
        <item sd="0" x="8655"/>
        <item sd="0" x="8656"/>
        <item sd="0" x="8657"/>
        <item sd="0" x="8658"/>
        <item sd="0" x="8659"/>
        <item sd="0" x="8660"/>
        <item sd="0" x="8661"/>
        <item sd="0" x="8442"/>
        <item sd="0" x="8663"/>
        <item sd="0" x="8664"/>
        <item sd="0" x="8665"/>
        <item sd="0" x="8666"/>
        <item sd="0" x="8667"/>
        <item sd="0" x="8668"/>
        <item sd="0" x="8669"/>
        <item sd="0" x="8670"/>
        <item sd="0" x="8671"/>
        <item sd="0" x="8672"/>
        <item sd="0" x="8673"/>
        <item sd="0" x="8674"/>
        <item sd="0" x="8675"/>
        <item sd="0" x="8676"/>
        <item sd="0" x="8457"/>
        <item sd="0" x="8678"/>
        <item sd="0" x="8679"/>
        <item sd="0" x="8680"/>
        <item sd="0" x="8681"/>
        <item sd="0" x="8682"/>
        <item sd="0" x="8683"/>
        <item sd="0" x="8684"/>
        <item sd="0" x="8685"/>
        <item sd="0" x="8686"/>
        <item sd="0" x="8687"/>
        <item sd="0" x="8688"/>
        <item sd="0" x="8689"/>
        <item sd="0" x="8690"/>
        <item sd="0" x="8691"/>
        <item sd="0" x="8928"/>
        <item sd="0" x="8929"/>
        <item sd="0" x="8930"/>
        <item sd="0" x="8931"/>
        <item sd="0" x="8932"/>
        <item sd="0" x="8933"/>
        <item sd="0" x="8934"/>
        <item sd="0" x="8935"/>
        <item sd="0" x="8936"/>
        <item sd="0" x="8937"/>
        <item sd="0" x="8938"/>
        <item sd="0" x="8939"/>
        <item sd="0" x="8940"/>
        <item sd="0" x="8941"/>
        <item sd="0" x="8942"/>
        <item sd="0" x="8943"/>
        <item sd="0" x="8944"/>
        <item sd="0" x="8945"/>
        <item sd="0" x="8946"/>
        <item sd="0" x="8947"/>
        <item sd="0" x="8948"/>
        <item sd="0" x="8949"/>
        <item sd="0" x="8950"/>
        <item sd="0" x="8951"/>
        <item sd="0" x="8952"/>
        <item sd="0" x="8953"/>
        <item sd="0" x="8954"/>
        <item sd="0" x="8955"/>
        <item sd="0" x="8956"/>
        <item sd="0" x="8736"/>
        <item sd="0" x="8957"/>
        <item sd="0" x="8958"/>
        <item sd="0" x="8959"/>
        <item sd="0" x="8960"/>
        <item sd="0" x="8961"/>
        <item sd="0" x="8962"/>
        <item sd="0" x="8963"/>
        <item sd="0" x="8964"/>
        <item sd="0" x="8965"/>
        <item sd="0" x="8966"/>
        <item sd="0" x="8967"/>
        <item sd="0" x="8968"/>
        <item sd="0" x="8969"/>
        <item sd="0" x="8751"/>
        <item sd="0" x="8971"/>
        <item sd="0" x="8972"/>
        <item sd="0" x="8973"/>
        <item sd="0" x="8974"/>
        <item sd="0" x="8975"/>
        <item sd="0" x="8976"/>
        <item sd="0" x="8977"/>
        <item sd="0" x="8978"/>
        <item sd="0" x="8979"/>
        <item sd="0" x="8980"/>
        <item sd="0" x="8981"/>
        <item sd="0" x="8982"/>
        <item sd="0" x="8983"/>
        <item sd="0" x="8984"/>
        <item sd="0" x="8765"/>
        <item sd="0" x="8986"/>
        <item sd="0" x="8987"/>
        <item sd="0" x="8988"/>
        <item sd="0" x="8989"/>
        <item sd="0" x="8990"/>
        <item sd="0" x="8991"/>
        <item sd="0" x="8992"/>
        <item sd="0" x="8993"/>
        <item sd="0" x="8994"/>
        <item sd="0" x="8995"/>
        <item sd="0" x="8996"/>
        <item sd="0" x="8997"/>
        <item sd="0" x="8998"/>
        <item sd="0" x="8545"/>
        <item sd="0" x="8766"/>
        <item sd="0" x="8767"/>
        <item sd="0" x="8768"/>
        <item sd="0" x="8769"/>
        <item sd="0" x="8770"/>
        <item sd="0" x="8771"/>
        <item sd="0" x="8772"/>
        <item sd="0" x="8773"/>
        <item sd="0" x="8774"/>
        <item sd="0" x="8775"/>
        <item sd="0" x="8776"/>
        <item sd="0" x="8777"/>
        <item sd="0" x="8778"/>
        <item sd="0" x="8779"/>
        <item sd="0" x="8560"/>
        <item sd="0" x="8781"/>
        <item sd="0" x="8782"/>
        <item sd="0" x="8783"/>
        <item sd="0" x="8784"/>
        <item sd="0" x="8785"/>
        <item sd="0" x="8786"/>
        <item sd="0" x="8787"/>
        <item sd="0" x="8788"/>
        <item sd="0" x="8789"/>
        <item sd="0" x="8790"/>
        <item sd="0" x="8791"/>
        <item sd="0" x="8792"/>
        <item sd="0" x="8793"/>
        <item sd="0" x="8794"/>
        <item sd="0" x="8574"/>
        <item sd="0" x="8796"/>
        <item sd="0" x="8797"/>
        <item sd="0" x="8798"/>
        <item sd="0" x="8799"/>
        <item sd="0" x="8800"/>
        <item sd="0" x="8801"/>
        <item sd="0" x="8802"/>
        <item sd="0" x="8803"/>
        <item sd="0" x="8804"/>
        <item sd="0" x="8805"/>
        <item sd="0" x="8806"/>
        <item sd="0" x="8807"/>
        <item sd="0" x="8808"/>
        <item sd="0" x="8589"/>
        <item sd="0" x="8810"/>
        <item sd="0" x="8811"/>
        <item sd="0" x="8812"/>
        <item sd="0" x="8813"/>
        <item sd="0" x="8814"/>
        <item sd="0" x="8815"/>
        <item sd="0" x="8816"/>
        <item sd="0" x="8817"/>
        <item sd="0" x="8818"/>
        <item sd="0" x="8819"/>
        <item sd="0" x="8820"/>
        <item sd="0" x="8821"/>
        <item sd="0" x="8822"/>
        <item sd="0" x="8823"/>
        <item sd="0" x="8604"/>
        <item sd="0" x="8825"/>
        <item sd="0" x="8826"/>
        <item sd="0" x="8827"/>
        <item sd="0" x="8828"/>
        <item sd="0" x="8829"/>
        <item sd="0" x="8830"/>
        <item sd="0" x="8831"/>
        <item sd="0" x="8832"/>
        <item sd="0" x="8833"/>
        <item sd="0" x="8834"/>
        <item sd="0" x="8835"/>
        <item sd="0" x="8836"/>
        <item sd="0" x="8837"/>
        <item sd="0" x="8838"/>
        <item sd="0" x="8618"/>
        <item sd="0" x="8840"/>
        <item sd="0" x="8841"/>
        <item sd="0" x="8842"/>
        <item sd="0" x="8843"/>
        <item sd="0" x="8844"/>
        <item sd="0" x="8845"/>
        <item sd="0" x="8846"/>
        <item sd="0" x="8847"/>
        <item sd="0" x="8848"/>
        <item sd="0" x="8849"/>
        <item sd="0" x="8850"/>
        <item sd="0" x="8851"/>
        <item sd="0" x="8852"/>
        <item sd="0" x="8633"/>
        <item sd="0" x="8854"/>
        <item sd="0" x="8855"/>
        <item sd="0" x="8856"/>
        <item sd="0" x="8857"/>
        <item sd="0" x="8858"/>
        <item sd="0" x="8859"/>
        <item sd="0" x="8860"/>
        <item sd="0" x="8861"/>
        <item sd="0" x="8862"/>
        <item sd="0" x="8863"/>
        <item sd="0" x="8864"/>
        <item sd="0" x="8865"/>
        <item sd="0" x="8866"/>
        <item sd="0" x="8867"/>
        <item sd="0" x="8647"/>
        <item sd="0" x="8869"/>
        <item sd="0" x="8870"/>
        <item sd="0" x="8871"/>
        <item sd="0" x="8872"/>
        <item sd="0" x="8873"/>
        <item sd="0" x="8874"/>
        <item sd="0" x="8875"/>
        <item sd="0" x="8876"/>
        <item sd="0" x="8877"/>
        <item sd="0" x="8878"/>
        <item sd="0" x="8879"/>
        <item sd="0" x="8880"/>
        <item sd="0" x="8881"/>
        <item sd="0" x="8882"/>
        <item sd="0" x="8662"/>
        <item sd="0" x="8884"/>
        <item sd="0" x="8885"/>
        <item sd="0" x="8886"/>
        <item sd="0" x="8887"/>
        <item sd="0" x="8888"/>
        <item sd="0" x="8889"/>
        <item sd="0" x="8890"/>
        <item sd="0" x="8891"/>
        <item sd="0" x="8892"/>
        <item sd="0" x="8893"/>
        <item sd="0" x="8894"/>
        <item sd="0" x="8895"/>
        <item sd="0" x="8896"/>
        <item sd="0" x="8677"/>
        <item sd="0" x="8898"/>
        <item sd="0" x="8899"/>
        <item sd="0" x="8900"/>
        <item sd="0" x="8901"/>
        <item sd="0" x="8902"/>
        <item sd="0" x="8903"/>
        <item sd="0" x="8904"/>
        <item sd="0" x="8905"/>
        <item sd="0" x="8906"/>
        <item sd="0" x="8907"/>
        <item sd="0" x="8908"/>
        <item sd="0" x="8909"/>
        <item sd="0" x="8910"/>
        <item sd="0" x="8911"/>
        <item sd="0" x="8692"/>
        <item sd="0" x="8913"/>
        <item sd="0" x="8914"/>
        <item sd="0" x="8915"/>
        <item sd="0" x="8916"/>
        <item sd="0" x="8917"/>
        <item sd="0" x="8918"/>
        <item sd="0" x="8919"/>
        <item sd="0" x="8920"/>
        <item sd="0" x="8921"/>
        <item sd="0" x="8922"/>
        <item sd="0" x="8923"/>
        <item sd="0" x="8924"/>
        <item sd="0" x="8925"/>
        <item sd="0" x="8926"/>
        <item sd="0" x="9161"/>
        <item sd="0" x="9162"/>
        <item sd="0" x="9163"/>
        <item sd="0" x="9164"/>
        <item sd="0" x="9165"/>
        <item sd="0" x="9166"/>
        <item sd="0" x="9167"/>
        <item sd="0" x="9168"/>
        <item sd="0" x="9169"/>
        <item sd="0" x="9170"/>
        <item sd="0" x="9171"/>
        <item sd="0" x="9172"/>
        <item sd="0" x="9173"/>
        <item sd="0" x="9174"/>
        <item sd="0" x="9175"/>
        <item sd="0" x="9176"/>
        <item sd="0" x="9177"/>
        <item sd="0" x="9178"/>
        <item sd="0" x="9179"/>
        <item sd="0" x="9180"/>
        <item sd="0" x="9181"/>
        <item sd="0" x="9182"/>
        <item sd="0" x="9183"/>
        <item sd="0" x="9184"/>
        <item sd="0" x="9185"/>
        <item sd="0" x="9186"/>
        <item sd="0" x="9187"/>
        <item sd="0" x="9188"/>
        <item sd="0" x="9189"/>
        <item sd="0" x="8970"/>
        <item sd="0" x="9190"/>
        <item sd="0" x="9191"/>
        <item sd="0" x="9192"/>
        <item sd="0" x="9193"/>
        <item sd="0" x="9194"/>
        <item sd="0" x="9195"/>
        <item sd="0" x="9196"/>
        <item sd="0" x="9197"/>
        <item sd="0" x="9198"/>
        <item sd="0" x="9199"/>
        <item sd="0" x="9200"/>
        <item sd="0" x="9201"/>
        <item sd="0" x="9202"/>
        <item sd="0" x="9203"/>
        <item sd="0" x="8985"/>
        <item sd="0" x="9205"/>
        <item sd="0" x="9206"/>
        <item sd="0" x="9207"/>
        <item sd="0" x="9208"/>
        <item sd="0" x="9209"/>
        <item sd="0" x="9210"/>
        <item sd="0" x="9211"/>
        <item sd="0" x="9212"/>
        <item sd="0" x="9213"/>
        <item sd="0" x="9214"/>
        <item sd="0" x="9215"/>
        <item sd="0" x="9216"/>
        <item sd="0" x="9217"/>
        <item sd="0" x="8999"/>
        <item sd="0" x="9219"/>
        <item sd="0" x="9220"/>
        <item sd="0" x="9221"/>
        <item sd="0" x="9222"/>
        <item sd="0" x="9223"/>
        <item sd="0" x="9224"/>
        <item sd="0" x="9225"/>
        <item sd="0" x="9226"/>
        <item sd="0" x="9227"/>
        <item sd="0" x="9228"/>
        <item sd="0" x="9229"/>
        <item sd="0" x="9230"/>
        <item sd="0" x="9231"/>
        <item sd="0" x="9232"/>
        <item sd="0" x="8780"/>
        <item sd="0" x="9000"/>
        <item sd="0" x="9001"/>
        <item sd="0" x="9002"/>
        <item sd="0" x="9003"/>
        <item sd="0" x="9004"/>
        <item sd="0" x="9005"/>
        <item sd="0" x="9006"/>
        <item sd="0" x="9007"/>
        <item sd="0" x="9008"/>
        <item sd="0" x="9009"/>
        <item sd="0" x="9010"/>
        <item sd="0" x="9011"/>
        <item sd="0" x="9012"/>
        <item sd="0" x="9013"/>
        <item sd="0" x="8795"/>
        <item sd="0" x="9015"/>
        <item sd="0" x="9016"/>
        <item sd="0" x="9017"/>
        <item sd="0" x="9018"/>
        <item sd="0" x="9019"/>
        <item sd="0" x="9020"/>
        <item sd="0" x="9021"/>
        <item sd="0" x="9022"/>
        <item sd="0" x="9023"/>
        <item sd="0" x="9024"/>
        <item sd="0" x="9025"/>
        <item sd="0" x="9026"/>
        <item sd="0" x="9027"/>
        <item sd="0" x="8809"/>
        <item sd="0" x="9029"/>
        <item sd="0" x="9030"/>
        <item sd="0" x="9031"/>
        <item sd="0" x="9032"/>
        <item sd="0" x="9033"/>
        <item sd="0" x="9034"/>
        <item sd="0" x="9035"/>
        <item sd="0" x="9036"/>
        <item sd="0" x="9037"/>
        <item sd="0" x="9038"/>
        <item sd="0" x="9039"/>
        <item sd="0" x="9040"/>
        <item sd="0" x="9041"/>
        <item sd="0" x="9042"/>
        <item sd="0" x="8824"/>
        <item sd="0" x="9044"/>
        <item sd="0" x="9045"/>
        <item sd="0" x="9046"/>
        <item sd="0" x="9047"/>
        <item sd="0" x="9048"/>
        <item sd="0" x="9049"/>
        <item sd="0" x="9050"/>
        <item sd="0" x="9051"/>
        <item sd="0" x="9052"/>
        <item sd="0" x="9053"/>
        <item sd="0" x="9054"/>
        <item sd="0" x="9055"/>
        <item sd="0" x="9056"/>
        <item sd="0" x="8839"/>
        <item sd="0" x="9058"/>
        <item sd="0" x="9059"/>
        <item sd="0" x="9060"/>
        <item sd="0" x="9061"/>
        <item sd="0" x="9062"/>
        <item sd="0" x="9063"/>
        <item sd="0" x="9064"/>
        <item sd="0" x="9065"/>
        <item sd="0" x="9066"/>
        <item sd="0" x="9067"/>
        <item sd="0" x="9068"/>
        <item sd="0" x="9069"/>
        <item sd="0" x="9070"/>
        <item sd="0" x="9071"/>
        <item sd="0" x="8853"/>
        <item sd="0" x="9073"/>
        <item sd="0" x="9074"/>
        <item sd="0" x="9075"/>
        <item sd="0" x="9076"/>
        <item sd="0" x="9077"/>
        <item sd="0" x="9078"/>
        <item sd="0" x="9079"/>
        <item sd="0" x="9080"/>
        <item sd="0" x="9081"/>
        <item sd="0" x="9082"/>
        <item sd="0" x="9083"/>
        <item sd="0" m="1" x="15161"/>
        <item sd="0" x="9084"/>
        <item sd="0" x="9085"/>
        <item sd="0" x="9086"/>
        <item sd="0" x="8868"/>
        <item sd="0" x="9088"/>
        <item sd="0" x="9089"/>
        <item sd="0" x="9090"/>
        <item sd="0" x="9091"/>
        <item sd="0" x="9092"/>
        <item sd="0" x="9093"/>
        <item sd="0" x="9094"/>
        <item sd="0" x="9095"/>
        <item sd="0" x="9096"/>
        <item sd="0" x="9097"/>
        <item sd="0" x="9098"/>
        <item sd="0" x="9099"/>
        <item sd="0" x="9100"/>
        <item sd="0" x="9101"/>
        <item sd="0" x="8883"/>
        <item sd="0" x="9103"/>
        <item sd="0" x="9104"/>
        <item sd="0" x="9105"/>
        <item sd="0" x="9106"/>
        <item sd="0" x="9107"/>
        <item sd="0" x="9108"/>
        <item sd="0" x="9109"/>
        <item sd="0" x="9110"/>
        <item sd="0" x="9111"/>
        <item sd="0" x="9112"/>
        <item sd="0" x="9113"/>
        <item sd="0" x="9114"/>
        <item sd="0" x="9115"/>
        <item sd="0" x="8897"/>
        <item sd="0" x="9116"/>
        <item sd="0" x="9117"/>
        <item sd="0" x="9118"/>
        <item sd="0" x="9119"/>
        <item sd="0" x="9120"/>
        <item sd="0" x="9121"/>
        <item sd="0" x="9122"/>
        <item sd="0" x="9123"/>
        <item sd="0" x="9124"/>
        <item sd="0" x="9125"/>
        <item sd="0" x="9126"/>
        <item sd="0" x="9127"/>
        <item sd="0" x="9128"/>
        <item sd="0" x="9129"/>
        <item sd="0" x="8912"/>
        <item sd="0" x="9131"/>
        <item sd="0" x="9132"/>
        <item sd="0" x="9133"/>
        <item sd="0" x="9134"/>
        <item sd="0" x="9135"/>
        <item sd="0" x="9136"/>
        <item sd="0" x="9137"/>
        <item sd="0" x="9138"/>
        <item sd="0" x="9139"/>
        <item sd="0" x="9140"/>
        <item sd="0" x="9141"/>
        <item sd="0" x="9142"/>
        <item sd="0" x="9143"/>
        <item sd="0" x="9144"/>
        <item sd="0" x="8927"/>
        <item sd="0" x="9146"/>
        <item sd="0" x="9147"/>
        <item sd="0" x="9148"/>
        <item sd="0" x="9149"/>
        <item sd="0" x="9150"/>
        <item sd="0" x="9151"/>
        <item sd="0" x="9152"/>
        <item sd="0" x="9153"/>
        <item sd="0" x="9154"/>
        <item sd="0" x="9155"/>
        <item sd="0" x="9156"/>
        <item sd="0" x="9157"/>
        <item sd="0" x="9158"/>
        <item sd="0" x="9159"/>
        <item sd="0" x="9394"/>
        <item sd="0" x="9395"/>
        <item sd="0" x="9396"/>
        <item sd="0" x="9397"/>
        <item sd="0" x="9398"/>
        <item sd="0" x="9399"/>
        <item sd="0" x="9400"/>
        <item sd="0" x="9401"/>
        <item sd="0" x="9402"/>
        <item sd="0" x="9403"/>
        <item sd="0" x="9404"/>
        <item sd="0" x="9405"/>
        <item sd="0" x="9406"/>
        <item sd="0" x="9407"/>
        <item sd="0" x="9408"/>
        <item sd="0" x="9409"/>
        <item sd="0" x="9410"/>
        <item sd="0" x="9411"/>
        <item sd="0" x="9412"/>
        <item sd="0" x="9413"/>
        <item sd="0" x="9414"/>
        <item sd="0" x="9415"/>
        <item sd="0" x="9416"/>
        <item sd="0" x="9417"/>
        <item sd="0" x="9418"/>
        <item sd="0" x="9419"/>
        <item sd="0" x="9420"/>
        <item sd="0" x="9421"/>
        <item sd="0" x="9422"/>
        <item sd="0" x="9204"/>
        <item sd="0" x="9423"/>
        <item sd="0" x="9424"/>
        <item sd="0" x="9425"/>
        <item sd="0" x="9426"/>
        <item sd="0" x="9427"/>
        <item sd="0" x="9428"/>
        <item sd="0" x="9429"/>
        <item sd="0" x="9430"/>
        <item sd="0" x="9431"/>
        <item sd="0" x="9432"/>
        <item sd="0" x="9433"/>
        <item sd="0" x="9434"/>
        <item sd="0" x="9435"/>
        <item sd="0" x="9218"/>
        <item sd="0" x="9437"/>
        <item sd="0" x="9438"/>
        <item sd="0" x="9439"/>
        <item sd="0" x="9440"/>
        <item sd="0" x="9441"/>
        <item sd="0" x="9442"/>
        <item sd="0" x="9443"/>
        <item sd="0" x="9444"/>
        <item sd="0" x="9445"/>
        <item sd="0" x="9446"/>
        <item sd="0" x="9447"/>
        <item sd="0" x="9448"/>
        <item sd="0" x="9449"/>
        <item sd="0" x="9450"/>
        <item sd="0" x="9233"/>
        <item sd="0" x="9452"/>
        <item sd="0" x="9453"/>
        <item sd="0" x="9454"/>
        <item sd="0" x="9455"/>
        <item sd="0" x="9456"/>
        <item sd="0" x="9457"/>
        <item sd="0" x="9458"/>
        <item sd="0" x="9459"/>
        <item sd="0" x="9460"/>
        <item sd="0" x="9461"/>
        <item sd="0" x="9462"/>
        <item sd="0" x="9463"/>
        <item sd="0" x="9464"/>
        <item sd="0" x="9014"/>
        <item sd="0" x="9234"/>
        <item sd="0" x="9235"/>
        <item sd="0" x="9236"/>
        <item sd="0" x="9237"/>
        <item sd="0" x="9238"/>
        <item sd="0" x="9239"/>
        <item sd="0" x="9240"/>
        <item sd="0" x="9241"/>
        <item sd="0" x="9242"/>
        <item sd="0" x="9243"/>
        <item sd="0" x="9244"/>
        <item sd="0" x="9245"/>
        <item sd="0" x="9246"/>
        <item sd="0" x="9247"/>
        <item sd="0" x="9028"/>
        <item sd="0" x="9249"/>
        <item sd="0" x="9250"/>
        <item sd="0" x="9251"/>
        <item sd="0" x="9252"/>
        <item sd="0" x="9253"/>
        <item sd="0" x="9254"/>
        <item sd="0" x="9255"/>
        <item sd="0" x="9256"/>
        <item sd="0" x="9257"/>
        <item sd="0" x="9258"/>
        <item sd="0" x="9259"/>
        <item sd="0" x="9260"/>
        <item sd="0" x="9261"/>
        <item sd="0" x="9043"/>
        <item sd="0" x="9263"/>
        <item sd="0" x="9264"/>
        <item sd="0" x="9265"/>
        <item sd="0" x="9266"/>
        <item sd="0" x="9267"/>
        <item sd="0" x="9268"/>
        <item sd="0" x="9269"/>
        <item sd="0" x="9270"/>
        <item sd="0" x="9271"/>
        <item sd="0" x="9272"/>
        <item sd="0" x="9273"/>
        <item sd="0" x="9274"/>
        <item sd="0" x="9275"/>
        <item sd="0" x="9276"/>
        <item sd="0" x="9057"/>
        <item sd="0" x="9278"/>
        <item sd="0" x="9279"/>
        <item sd="0" x="9280"/>
        <item sd="0" x="9281"/>
        <item sd="0" x="9282"/>
        <item sd="0" x="9283"/>
        <item sd="0" x="9284"/>
        <item sd="0" x="9285"/>
        <item sd="0" x="9286"/>
        <item sd="0" x="9287"/>
        <item sd="0" x="9288"/>
        <item sd="0" x="9289"/>
        <item sd="0" x="9290"/>
        <item sd="0" x="9072"/>
        <item sd="0" x="9292"/>
        <item sd="0" x="9293"/>
        <item sd="0" x="9294"/>
        <item sd="0" x="9295"/>
        <item sd="0" x="9296"/>
        <item sd="0" x="9297"/>
        <item sd="0" x="9298"/>
        <item sd="0" x="9299"/>
        <item sd="0" x="9300"/>
        <item sd="0" x="9301"/>
        <item sd="0" x="9302"/>
        <item sd="0" x="9303"/>
        <item sd="0" x="9304"/>
        <item sd="0" x="9305"/>
        <item sd="0" x="9087"/>
        <item sd="0" x="9307"/>
        <item sd="0" x="9308"/>
        <item sd="0" x="9309"/>
        <item sd="0" x="9310"/>
        <item sd="0" x="9311"/>
        <item sd="0" x="9312"/>
        <item sd="0" x="9313"/>
        <item sd="0" x="9314"/>
        <item sd="0" x="9315"/>
        <item sd="0" x="9316"/>
        <item sd="0" x="9317"/>
        <item sd="0" x="9318"/>
        <item sd="0" x="9319"/>
        <item sd="0" x="9102"/>
        <item sd="0" x="9321"/>
        <item sd="0" x="9322"/>
        <item sd="0" x="9323"/>
        <item sd="0" x="9324"/>
        <item sd="0" x="9325"/>
        <item sd="0" x="9326"/>
        <item sd="0" x="9327"/>
        <item sd="0" x="9328"/>
        <item sd="0" x="9329"/>
        <item sd="0" x="9330"/>
        <item sd="0" x="9331"/>
        <item sd="0" x="9332"/>
        <item sd="0" x="9333"/>
        <item sd="0" x="9334"/>
        <item sd="0" x="9336"/>
        <item sd="0" x="9337"/>
        <item sd="0" x="9338"/>
        <item sd="0" x="9339"/>
        <item sd="0" x="9340"/>
        <item sd="0" x="9341"/>
        <item sd="0" x="9342"/>
        <item sd="0" x="9343"/>
        <item sd="0" x="9344"/>
        <item sd="0" x="9345"/>
        <item sd="0" x="9346"/>
        <item sd="0" x="9347"/>
        <item sd="0" x="9348"/>
        <item sd="0" x="9349"/>
        <item sd="0" x="9130"/>
        <item sd="0" x="9350"/>
        <item sd="0" x="9351"/>
        <item sd="0" x="9352"/>
        <item sd="0" x="9353"/>
        <item sd="0" x="9354"/>
        <item sd="0" x="9355"/>
        <item sd="0" x="9356"/>
        <item sd="0" x="9357"/>
        <item sd="0" x="9358"/>
        <item sd="0" x="9359"/>
        <item sd="0" x="9360"/>
        <item sd="0" x="9361"/>
        <item sd="0" x="9362"/>
        <item sd="0" x="9363"/>
        <item sd="0" x="9145"/>
        <item sd="0" x="9365"/>
        <item sd="0" x="9366"/>
        <item sd="0" x="9367"/>
        <item sd="0" x="9368"/>
        <item sd="0" x="9369"/>
        <item sd="0" x="9370"/>
        <item sd="0" x="9371"/>
        <item sd="0" x="9372"/>
        <item sd="0" x="9373"/>
        <item sd="0" x="9374"/>
        <item sd="0" x="9375"/>
        <item sd="0" x="9376"/>
        <item sd="0" x="9377"/>
        <item sd="0" x="9160"/>
        <item sd="0" x="9379"/>
        <item sd="0" x="9380"/>
        <item sd="0" x="9381"/>
        <item sd="0" x="9382"/>
        <item sd="0" x="9383"/>
        <item sd="0" x="9384"/>
        <item sd="0" x="9385"/>
        <item sd="0" x="9386"/>
        <item sd="0" x="9387"/>
        <item sd="0" x="9388"/>
        <item sd="0" x="9389"/>
        <item sd="0" x="9390"/>
        <item sd="0" x="9391"/>
        <item sd="0" x="9392"/>
        <item sd="0" x="9626"/>
        <item sd="0" x="9627"/>
        <item sd="0" x="9628"/>
        <item sd="0" x="9629"/>
        <item sd="0" x="9630"/>
        <item sd="0" x="9631"/>
        <item sd="0" x="9632"/>
        <item sd="0" x="9633"/>
        <item sd="0" x="9634"/>
        <item sd="0" x="9635"/>
        <item sd="0" x="9636"/>
        <item sd="0" x="9637"/>
        <item sd="0" x="9638"/>
        <item sd="0" x="9639"/>
        <item sd="0" x="9640"/>
        <item sd="0" x="9641"/>
        <item sd="0" x="9642"/>
        <item sd="0" x="9643"/>
        <item sd="0" x="9644"/>
        <item sd="0" x="9645"/>
        <item sd="0" x="9646"/>
        <item sd="0" x="9647"/>
        <item sd="0" x="9648"/>
        <item sd="0" x="9649"/>
        <item sd="0" x="9650"/>
        <item sd="0" x="9651"/>
        <item sd="0" x="9652"/>
        <item sd="0" x="9653"/>
        <item sd="0" x="9654"/>
        <item sd="0" x="9436"/>
        <item sd="0" x="9655"/>
        <item sd="0" x="9656"/>
        <item sd="0" x="9657"/>
        <item sd="0" x="9658"/>
        <item sd="0" x="9659"/>
        <item sd="0" x="9660"/>
        <item sd="0" x="9661"/>
        <item sd="0" x="9662"/>
        <item sd="0" x="9663"/>
        <item sd="0" x="9664"/>
        <item sd="0" x="9665"/>
        <item sd="0" x="9666"/>
        <item sd="0" x="9667"/>
        <item sd="0" x="9451"/>
        <item sd="0" x="9669"/>
        <item sd="0" x="9670"/>
        <item sd="0" x="9671"/>
        <item sd="0" x="9672"/>
        <item sd="0" x="9673"/>
        <item sd="0" x="9674"/>
        <item sd="0" x="9675"/>
        <item sd="0" m="1" x="15152"/>
        <item sd="0" x="9676"/>
        <item sd="0" x="9677"/>
        <item sd="0" x="9678"/>
        <item sd="0" x="9679"/>
        <item sd="0" x="9680"/>
        <item sd="0" x="9681"/>
        <item sd="0" x="9682"/>
        <item sd="0" x="9465"/>
        <item sd="0" x="9684"/>
        <item sd="0" x="9685"/>
        <item sd="0" x="9686"/>
        <item sd="0" x="9687"/>
        <item sd="0" x="9688"/>
        <item sd="0" x="9689"/>
        <item sd="0" x="9690"/>
        <item sd="0" x="9691"/>
        <item sd="0" x="9692"/>
        <item sd="0" x="9693"/>
        <item sd="0" x="9694"/>
        <item sd="0" x="9695"/>
        <item sd="0" x="9696"/>
        <item sd="0" x="9248"/>
        <item sd="0" x="9466"/>
        <item sd="0" x="9467"/>
        <item sd="0" x="9468"/>
        <item sd="0" x="9469"/>
        <item sd="0" x="9470"/>
        <item sd="0" x="9471"/>
        <item sd="0" x="9472"/>
        <item sd="0" x="9473"/>
        <item sd="0" x="9474"/>
        <item sd="0" x="9475"/>
        <item sd="0" x="9476"/>
        <item sd="0" x="9477"/>
        <item sd="0" x="9478"/>
        <item sd="0" x="9479"/>
        <item sd="0" x="9262"/>
        <item sd="0" x="9481"/>
        <item sd="0" x="9482"/>
        <item sd="0" x="9483"/>
        <item sd="0" x="9484"/>
        <item sd="0" x="9485"/>
        <item sd="0" x="9486"/>
        <item sd="0" x="9487"/>
        <item sd="0" x="9488"/>
        <item sd="0" x="9489"/>
        <item sd="0" x="9490"/>
        <item sd="0" x="9491"/>
        <item sd="0" x="9492"/>
        <item sd="0" x="9493"/>
        <item sd="0" x="9277"/>
        <item sd="0" x="9495"/>
        <item sd="0" x="9496"/>
        <item sd="0" x="9497"/>
        <item sd="0" x="9498"/>
        <item sd="0" x="9499"/>
        <item sd="0" x="9500"/>
        <item sd="0" x="9501"/>
        <item sd="0" x="9502"/>
        <item sd="0" x="9503"/>
        <item sd="0" x="9504"/>
        <item sd="0" x="9505"/>
        <item sd="0" x="9506"/>
        <item sd="0" x="9507"/>
        <item sd="0" x="9508"/>
        <item sd="0" x="9291"/>
        <item sd="0" x="9510"/>
        <item sd="0" x="9511"/>
        <item sd="0" x="9512"/>
        <item sd="0" x="9513"/>
        <item sd="0" x="9514"/>
        <item sd="0" x="9515"/>
        <item sd="0" x="9516"/>
        <item sd="0" x="9517"/>
        <item sd="0" x="9518"/>
        <item sd="0" x="9519"/>
        <item sd="0" x="9520"/>
        <item sd="0" x="9521"/>
        <item sd="0" x="9522"/>
        <item sd="0" x="9306"/>
        <item sd="0" x="9524"/>
        <item sd="0" x="9525"/>
        <item sd="0" x="9526"/>
        <item sd="0" x="9527"/>
        <item sd="0" x="9528"/>
        <item sd="0" x="9529"/>
        <item sd="0" x="9530"/>
        <item sd="0" x="9531"/>
        <item sd="0" x="9532"/>
        <item sd="0" x="9533"/>
        <item sd="0" x="9534"/>
        <item sd="0" x="9535"/>
        <item sd="0" x="9536"/>
        <item sd="0" x="9537"/>
        <item sd="0" x="9320"/>
        <item sd="0" x="9539"/>
        <item sd="0" x="9540"/>
        <item sd="0" x="9541"/>
        <item sd="0" x="9542"/>
        <item sd="0" x="9543"/>
        <item sd="0" x="9544"/>
        <item sd="0" x="9545"/>
        <item sd="0" x="9546"/>
        <item sd="0" x="9547"/>
        <item sd="0" x="9548"/>
        <item sd="0" x="9549"/>
        <item sd="0" x="9550"/>
        <item sd="0" x="9551"/>
        <item sd="0" x="9335"/>
        <item sd="0" x="9553"/>
        <item sd="0" x="9554"/>
        <item sd="0" x="9555"/>
        <item sd="0" x="9556"/>
        <item sd="0" x="9557"/>
        <item sd="0" x="9558"/>
        <item sd="0" x="9559"/>
        <item sd="0" x="9560"/>
        <item sd="0" x="9561"/>
        <item sd="0" x="9562"/>
        <item sd="0" x="9563"/>
        <item sd="0" x="9564"/>
        <item sd="0" x="9565"/>
        <item sd="0" x="9566"/>
        <item sd="0" x="9568"/>
        <item sd="0" x="9569"/>
        <item sd="0" x="9570"/>
        <item sd="0" x="9571"/>
        <item sd="0" x="9572"/>
        <item sd="0" x="9573"/>
        <item sd="0" x="9574"/>
        <item sd="0" x="9575"/>
        <item sd="0" x="9576"/>
        <item sd="0" x="9577"/>
        <item sd="0" x="9578"/>
        <item sd="0" x="9579"/>
        <item sd="0" x="9580"/>
        <item sd="0" x="9581"/>
        <item sd="0" x="9364"/>
        <item sd="0" x="9582"/>
        <item sd="0" x="9583"/>
        <item sd="0" x="9584"/>
        <item sd="0" x="9585"/>
        <item sd="0" x="9586"/>
        <item sd="0" x="9587"/>
        <item sd="0" x="9588"/>
        <item sd="0" x="9589"/>
        <item sd="0" x="9590"/>
        <item sd="0" x="9591"/>
        <item sd="0" x="9592"/>
        <item sd="0" x="9593"/>
        <item sd="0" x="9594"/>
        <item sd="0" x="9595"/>
        <item sd="0" x="9378"/>
        <item sd="0" x="9597"/>
        <item sd="0" x="9598"/>
        <item sd="0" x="9599"/>
        <item sd="0" x="9600"/>
        <item sd="0" x="9601"/>
        <item sd="0" x="9602"/>
        <item sd="0" x="9603"/>
        <item sd="0" x="9604"/>
        <item sd="0" x="9605"/>
        <item sd="0" x="9606"/>
        <item sd="0" x="9607"/>
        <item sd="0" x="9608"/>
        <item sd="0" x="9609"/>
        <item sd="0" x="9393"/>
        <item sd="0" x="9611"/>
        <item sd="0" x="9612"/>
        <item sd="0" x="9613"/>
        <item sd="0" x="9614"/>
        <item sd="0" x="9615"/>
        <item sd="0" x="9616"/>
        <item sd="0" x="9617"/>
        <item sd="0" x="9618"/>
        <item sd="0" x="9619"/>
        <item sd="0" x="9620"/>
        <item sd="0" x="9621"/>
        <item sd="0" x="9622"/>
        <item sd="0" x="9623"/>
        <item sd="0" x="9624"/>
        <item sd="0" x="9858"/>
        <item sd="0" x="9859"/>
        <item sd="0" x="9860"/>
        <item sd="0" x="9861"/>
        <item sd="0" x="9862"/>
        <item sd="0" x="9863"/>
        <item sd="0" x="9864"/>
        <item sd="0" x="9865"/>
        <item sd="0" x="9866"/>
        <item sd="0" x="9867"/>
        <item sd="0" x="9868"/>
        <item sd="0" x="9869"/>
        <item sd="0" x="9870"/>
        <item sd="0" x="9871"/>
        <item sd="0" x="9872"/>
        <item sd="0" x="9873"/>
        <item sd="0" x="9874"/>
        <item sd="0" x="9875"/>
        <item sd="0" x="9876"/>
        <item sd="0" x="9877"/>
        <item sd="0" x="9878"/>
        <item sd="0" x="9879"/>
        <item sd="0" x="9880"/>
        <item sd="0" x="9881"/>
        <item sd="0" x="9882"/>
        <item sd="0" x="9883"/>
        <item sd="0" x="9884"/>
        <item sd="0" x="9885"/>
        <item sd="0" x="9886"/>
        <item sd="0" x="9668"/>
        <item sd="0" x="9887"/>
        <item sd="0" x="9888"/>
        <item sd="0" x="9889"/>
        <item sd="0" x="9890"/>
        <item sd="0" x="9891"/>
        <item sd="0" x="9892"/>
        <item sd="0" x="9893"/>
        <item sd="0" x="9894"/>
        <item sd="0" x="9895"/>
        <item sd="0" x="9896"/>
        <item sd="0" x="9897"/>
        <item sd="0" x="9898"/>
        <item sd="0" x="9899"/>
        <item sd="0" x="9683"/>
        <item sd="0" x="9901"/>
        <item sd="0" x="9902"/>
        <item sd="0" x="9903"/>
        <item sd="0" x="9904"/>
        <item sd="0" x="9905"/>
        <item sd="0" x="9906"/>
        <item sd="0" x="9907"/>
        <item sd="0" x="9908"/>
        <item sd="0" x="9909"/>
        <item sd="0" x="9910"/>
        <item sd="0" x="9911"/>
        <item sd="0" x="9912"/>
        <item sd="0" x="9913"/>
        <item sd="0" x="9914"/>
        <item sd="0" x="9697"/>
        <item sd="0" x="9916"/>
        <item sd="0" x="9917"/>
        <item sd="0" x="9918"/>
        <item sd="0" x="9919"/>
        <item sd="0" x="9920"/>
        <item sd="0" x="9921"/>
        <item sd="0" x="9922"/>
        <item sd="0" x="9923"/>
        <item sd="0" x="9924"/>
        <item sd="0" x="9925"/>
        <item sd="0" x="9926"/>
        <item sd="0" x="9927"/>
        <item sd="0" x="9928"/>
        <item sd="0" x="9480"/>
        <item sd="0" x="9698"/>
        <item sd="0" x="9699"/>
        <item sd="0" x="9700"/>
        <item sd="0" x="9701"/>
        <item sd="0" x="9702"/>
        <item sd="0" x="9703"/>
        <item sd="0" x="9704"/>
        <item sd="0" x="9705"/>
        <item sd="0" x="9706"/>
        <item sd="0" x="9707"/>
        <item sd="0" x="9708"/>
        <item sd="0" x="9709"/>
        <item sd="0" x="9710"/>
        <item sd="0" x="9711"/>
        <item sd="0" x="9494"/>
        <item sd="0" x="9713"/>
        <item sd="0" x="9714"/>
        <item sd="0" x="9715"/>
        <item sd="0" x="9716"/>
        <item sd="0" x="9717"/>
        <item sd="0" x="9718"/>
        <item sd="0" x="9719"/>
        <item sd="0" x="9720"/>
        <item sd="0" x="9721"/>
        <item sd="0" x="9722"/>
        <item sd="0" x="9723"/>
        <item sd="0" x="9724"/>
        <item sd="0" x="9725"/>
        <item sd="0" x="9509"/>
        <item sd="0" x="9727"/>
        <item sd="0" x="9728"/>
        <item sd="0" x="9729"/>
        <item sd="0" x="9730"/>
        <item sd="0" x="9731"/>
        <item sd="0" x="9732"/>
        <item sd="0" x="9733"/>
        <item sd="0" x="9734"/>
        <item sd="0" x="9735"/>
        <item sd="0" x="9736"/>
        <item sd="0" x="9737"/>
        <item sd="0" x="9738"/>
        <item sd="0" x="9739"/>
        <item sd="0" x="9740"/>
        <item sd="0" x="9523"/>
        <item sd="0" x="9742"/>
        <item sd="0" x="9743"/>
        <item sd="0" x="9744"/>
        <item sd="0" x="9745"/>
        <item sd="0" x="9746"/>
        <item sd="0" x="9747"/>
        <item sd="0" x="9748"/>
        <item sd="0" x="9749"/>
        <item sd="0" x="9750"/>
        <item sd="0" x="9751"/>
        <item sd="0" x="9752"/>
        <item sd="0" x="9753"/>
        <item sd="0" x="9754"/>
        <item sd="0" x="9538"/>
        <item sd="0" x="9756"/>
        <item sd="0" x="9757"/>
        <item sd="0" x="9758"/>
        <item sd="0" x="9759"/>
        <item sd="0" x="9760"/>
        <item sd="0" x="9761"/>
        <item sd="0" x="9762"/>
        <item sd="0" x="9763"/>
        <item sd="0" x="9764"/>
        <item sd="0" x="9765"/>
        <item sd="0" x="9766"/>
        <item sd="0" x="9767"/>
        <item sd="0" x="9768"/>
        <item sd="0" x="9769"/>
        <item sd="0" x="9552"/>
        <item sd="0" x="9771"/>
        <item sd="0" x="9772"/>
        <item sd="0" x="9773"/>
        <item sd="0" x="9774"/>
        <item sd="0" x="9775"/>
        <item sd="0" x="9776"/>
        <item sd="0" x="9777"/>
        <item sd="0" x="9778"/>
        <item sd="0" x="9779"/>
        <item sd="0" x="9780"/>
        <item sd="0" x="9781"/>
        <item sd="0" x="9782"/>
        <item sd="0" x="9783"/>
        <item sd="0" x="9567"/>
        <item sd="0" x="9785"/>
        <item sd="0" x="9786"/>
        <item sd="0" x="9787"/>
        <item sd="0" x="9788"/>
        <item sd="0" x="9789"/>
        <item sd="0" x="9790"/>
        <item sd="0" x="9791"/>
        <item sd="0" x="9792"/>
        <item sd="0" x="9793"/>
        <item sd="0" x="9794"/>
        <item sd="0" x="9795"/>
        <item sd="0" x="9796"/>
        <item sd="0" x="9797"/>
        <item sd="0" x="9798"/>
        <item sd="0" x="9800"/>
        <item sd="0" x="9801"/>
        <item sd="0" x="9802"/>
        <item sd="0" x="9803"/>
        <item sd="0" x="9804"/>
        <item sd="0" x="9805"/>
        <item sd="0" x="9806"/>
        <item sd="0" x="9807"/>
        <item sd="0" x="9808"/>
        <item sd="0" x="9809"/>
        <item sd="0" x="9810"/>
        <item sd="0" x="9811"/>
        <item sd="0" x="9812"/>
        <item sd="0" x="9813"/>
        <item sd="0" x="9596"/>
        <item sd="0" x="9814"/>
        <item sd="0" x="9815"/>
        <item sd="0" x="9816"/>
        <item sd="0" x="9817"/>
        <item sd="0" x="9818"/>
        <item sd="0" x="9819"/>
        <item sd="0" x="9820"/>
        <item sd="0" x="9821"/>
        <item sd="0" x="9822"/>
        <item sd="0" x="9823"/>
        <item sd="0" x="9824"/>
        <item sd="0" x="9825"/>
        <item sd="0" x="9826"/>
        <item sd="0" x="9827"/>
        <item sd="0" x="9610"/>
        <item sd="0" x="9829"/>
        <item sd="0" x="9830"/>
        <item sd="0" x="9831"/>
        <item sd="0" x="9832"/>
        <item sd="0" x="9833"/>
        <item sd="0" x="9834"/>
        <item sd="0" x="9835"/>
        <item sd="0" x="9836"/>
        <item sd="0" x="9837"/>
        <item sd="0" x="9838"/>
        <item sd="0" x="9839"/>
        <item sd="0" x="9840"/>
        <item sd="0" x="9841"/>
        <item sd="0" x="9625"/>
        <item sd="0" x="9843"/>
        <item sd="0" x="9844"/>
        <item sd="0" x="9845"/>
        <item sd="0" x="9846"/>
        <item sd="0" x="9847"/>
        <item sd="0" x="9848"/>
        <item sd="0" x="9849"/>
        <item sd="0" x="9850"/>
        <item sd="0" x="9851"/>
        <item sd="0" x="9852"/>
        <item sd="0" x="9853"/>
        <item sd="0" x="9854"/>
        <item sd="0" x="9855"/>
        <item sd="0" x="9856"/>
        <item sd="0" x="10090"/>
        <item sd="0" x="10091"/>
        <item sd="0" x="10092"/>
        <item sd="0" x="10093"/>
        <item sd="0" x="10094"/>
        <item sd="0" x="10095"/>
        <item sd="0" x="10096"/>
        <item sd="0" x="10097"/>
        <item sd="0" x="10098"/>
        <item sd="0" x="10099"/>
        <item sd="0" x="10100"/>
        <item sd="0" x="10101"/>
        <item sd="0" x="10102"/>
        <item sd="0" x="10103"/>
        <item sd="0" x="10104"/>
        <item sd="0" x="10105"/>
        <item sd="0" x="10106"/>
        <item sd="0" x="10107"/>
        <item sd="0" x="10108"/>
        <item sd="0" x="10109"/>
        <item sd="0" x="10110"/>
        <item sd="0" x="10111"/>
        <item sd="0" x="10112"/>
        <item sd="0" x="10113"/>
        <item sd="0" x="10114"/>
        <item sd="0" x="10115"/>
        <item sd="0" x="10116"/>
        <item sd="0" x="10117"/>
        <item sd="0" x="10118"/>
        <item sd="0" x="9900"/>
        <item sd="0" x="10119"/>
        <item sd="0" x="10120"/>
        <item sd="0" x="10121"/>
        <item sd="0" x="10122"/>
        <item sd="0" x="10123"/>
        <item sd="0" x="10124"/>
        <item sd="0" x="10125"/>
        <item sd="0" x="10126"/>
        <item sd="0" x="10127"/>
        <item sd="0" x="10128"/>
        <item sd="0" x="10129"/>
        <item sd="0" x="10130"/>
        <item sd="0" x="10131"/>
        <item sd="0" x="9915"/>
        <item sd="0" x="10133"/>
        <item sd="0" x="10134"/>
        <item sd="0" x="10135"/>
        <item sd="0" x="10136"/>
        <item sd="0" x="10137"/>
        <item sd="0" x="10138"/>
        <item sd="0" x="10139"/>
        <item sd="0" x="10140"/>
        <item sd="0" x="10141"/>
        <item sd="0" x="10142"/>
        <item sd="0" x="10143"/>
        <item sd="0" x="10144"/>
        <item sd="0" x="10145"/>
        <item sd="0" x="10146"/>
        <item sd="0" x="9929"/>
        <item sd="0" x="10148"/>
        <item sd="0" x="10149"/>
        <item sd="0" x="10150"/>
        <item sd="0" x="10151"/>
        <item sd="0" x="10152"/>
        <item sd="0" x="10153"/>
        <item sd="0" x="10154"/>
        <item sd="0" x="10155"/>
        <item sd="0" x="10156"/>
        <item sd="0" x="10157"/>
        <item sd="0" x="10158"/>
        <item sd="0" x="10159"/>
        <item sd="0" x="10160"/>
        <item sd="0" x="9712"/>
        <item sd="0" x="9930"/>
        <item sd="0" x="9931"/>
        <item sd="0" x="9932"/>
        <item sd="0" x="9933"/>
        <item sd="0" x="9934"/>
        <item sd="0" x="9935"/>
        <item sd="0" x="9936"/>
        <item sd="0" x="9937"/>
        <item sd="0" x="9938"/>
        <item sd="0" x="9939"/>
        <item sd="0" x="9940"/>
        <item sd="0" x="9941"/>
        <item sd="0" x="9942"/>
        <item sd="0" x="9943"/>
        <item sd="0" x="9726"/>
        <item sd="0" x="9945"/>
        <item sd="0" x="9946"/>
        <item sd="0" x="9947"/>
        <item sd="0" x="9948"/>
        <item sd="0" x="9949"/>
        <item sd="0" x="9950"/>
        <item sd="0" x="9951"/>
        <item sd="0" x="9952"/>
        <item sd="0" x="9953"/>
        <item sd="0" x="9954"/>
        <item sd="0" x="9955"/>
        <item sd="0" x="9956"/>
        <item sd="0" x="9957"/>
        <item sd="0" x="9741"/>
        <item sd="0" x="9959"/>
        <item sd="0" x="9960"/>
        <item sd="0" x="9961"/>
        <item sd="0" x="9962"/>
        <item sd="0" x="9963"/>
        <item sd="0" x="9964"/>
        <item sd="0" x="9965"/>
        <item sd="0" x="9966"/>
        <item sd="0" x="9967"/>
        <item sd="0" x="9968"/>
        <item sd="0" x="9969"/>
        <item sd="0" x="9970"/>
        <item sd="0" x="9971"/>
        <item sd="0" x="9972"/>
        <item sd="0" x="9755"/>
        <item sd="0" x="9974"/>
        <item sd="0" x="9975"/>
        <item sd="0" x="9976"/>
        <item sd="0" x="9977"/>
        <item sd="0" x="9978"/>
        <item sd="0" x="9979"/>
        <item sd="0" x="9980"/>
        <item sd="0" x="9981"/>
        <item sd="0" x="9982"/>
        <item sd="0" x="9983"/>
        <item sd="0" x="9984"/>
        <item sd="0" x="9985"/>
        <item sd="0" x="9986"/>
        <item sd="0" x="9770"/>
        <item sd="0" x="9988"/>
        <item sd="0" x="9989"/>
        <item sd="0" x="9990"/>
        <item sd="0" x="9991"/>
        <item sd="0" x="9992"/>
        <item sd="0" x="9993"/>
        <item sd="0" x="9994"/>
        <item sd="0" x="9995"/>
        <item sd="0" x="9996"/>
        <item sd="0" x="9997"/>
        <item sd="0" x="9998"/>
        <item sd="0" x="9999"/>
        <item sd="0" x="10000"/>
        <item sd="0" x="10001"/>
        <item sd="0" x="9784"/>
        <item sd="0" x="10003"/>
        <item sd="0" x="10004"/>
        <item sd="0" x="10005"/>
        <item sd="0" x="10006"/>
        <item sd="0" x="10007"/>
        <item sd="0" x="10008"/>
        <item sd="0" x="10009"/>
        <item sd="0" x="10010"/>
        <item sd="0" x="10011"/>
        <item sd="0" x="10012"/>
        <item sd="0" x="10013"/>
        <item sd="0" x="10014"/>
        <item sd="0" x="10015"/>
        <item sd="0" x="9799"/>
        <item sd="0" x="10017"/>
        <item sd="0" x="10018"/>
        <item sd="0" x="10019"/>
        <item sd="0" x="10020"/>
        <item sd="0" x="10021"/>
        <item sd="0" x="10022"/>
        <item sd="0" x="10023"/>
        <item sd="0" x="10024"/>
        <item sd="0" x="10025"/>
        <item sd="0" x="10026"/>
        <item sd="0" x="10027"/>
        <item sd="0" x="10028"/>
        <item sd="0" x="10029"/>
        <item sd="0" x="10030"/>
        <item sd="0" x="10032"/>
        <item sd="0" x="10033"/>
        <item sd="0" x="10034"/>
        <item sd="0" x="10035"/>
        <item sd="0" x="10036"/>
        <item sd="0" x="10037"/>
        <item sd="0" x="10038"/>
        <item sd="0" x="10039"/>
        <item sd="0" x="10040"/>
        <item sd="0" x="10041"/>
        <item sd="0" x="10042"/>
        <item sd="0" x="10043"/>
        <item sd="0" x="10044"/>
        <item sd="0" x="10045"/>
        <item sd="0" x="9828"/>
        <item sd="0" x="10046"/>
        <item sd="0" x="10047"/>
        <item sd="0" x="10048"/>
        <item sd="0" x="10049"/>
        <item sd="0" x="10050"/>
        <item sd="0" x="10051"/>
        <item sd="0" x="10052"/>
        <item sd="0" x="10053"/>
        <item sd="0" x="10054"/>
        <item sd="0" x="10055"/>
        <item sd="0" x="10056"/>
        <item sd="0" x="10057"/>
        <item sd="0" x="10058"/>
        <item sd="0" x="10059"/>
        <item sd="0" x="9842"/>
        <item sd="0" x="10061"/>
        <item sd="0" x="10062"/>
        <item sd="0" x="10063"/>
        <item sd="0" x="10064"/>
        <item sd="0" x="10065"/>
        <item sd="0" x="10066"/>
        <item sd="0" x="10067"/>
        <item sd="0" x="10068"/>
        <item sd="0" x="10069"/>
        <item sd="0" x="10070"/>
        <item sd="0" x="10071"/>
        <item sd="0" x="10072"/>
        <item sd="0" x="10073"/>
        <item sd="0" x="9857"/>
        <item sd="0" x="10075"/>
        <item sd="0" x="10076"/>
        <item sd="0" x="10077"/>
        <item sd="0" x="10078"/>
        <item sd="0" x="10079"/>
        <item sd="0" x="10080"/>
        <item sd="0" x="10081"/>
        <item sd="0" x="10082"/>
        <item sd="0" x="10083"/>
        <item sd="0" x="10084"/>
        <item sd="0" x="10085"/>
        <item sd="0" x="10086"/>
        <item sd="0" x="10087"/>
        <item sd="0" x="10088"/>
        <item sd="0" x="10322"/>
        <item sd="0" x="10323"/>
        <item sd="0" x="10324"/>
        <item sd="0" x="10325"/>
        <item sd="0" x="10326"/>
        <item sd="0" x="10327"/>
        <item sd="0" x="10328"/>
        <item sd="0" x="10329"/>
        <item sd="0" x="10330"/>
        <item sd="0" x="10331"/>
        <item sd="0" x="10332"/>
        <item sd="0" x="10333"/>
        <item sd="0" x="10334"/>
        <item sd="0" x="10335"/>
        <item sd="0" x="10336"/>
        <item sd="0" x="10337"/>
        <item sd="0" x="10338"/>
        <item sd="0" x="10339"/>
        <item sd="0" x="10340"/>
        <item sd="0" x="10341"/>
        <item sd="0" x="10342"/>
        <item sd="0" x="10343"/>
        <item sd="0" x="10344"/>
        <item sd="0" x="10345"/>
        <item sd="0" x="10346"/>
        <item sd="0" x="10347"/>
        <item sd="0" x="10348"/>
        <item sd="0" x="10349"/>
        <item sd="0" x="10350"/>
        <item sd="0" x="10132"/>
        <item sd="0" x="10351"/>
        <item sd="0" x="10352"/>
        <item sd="0" x="10353"/>
        <item sd="0" x="10354"/>
        <item sd="0" x="10355"/>
        <item sd="0" x="10356"/>
        <item sd="0" x="10357"/>
        <item sd="0" x="10358"/>
        <item sd="0" x="10359"/>
        <item sd="0" x="10360"/>
        <item sd="0" x="10361"/>
        <item sd="0" x="10362"/>
        <item sd="0" x="10363"/>
        <item sd="0" x="10147"/>
        <item sd="0" x="10365"/>
        <item sd="0" x="10366"/>
        <item sd="0" x="10367"/>
        <item sd="0" x="10368"/>
        <item sd="0" x="10369"/>
        <item sd="0" x="10370"/>
        <item sd="0" x="10371"/>
        <item sd="0" x="10372"/>
        <item sd="0" x="10373"/>
        <item sd="0" x="10374"/>
        <item sd="0" x="10375"/>
        <item sd="0" x="10376"/>
        <item sd="0" x="10377"/>
        <item sd="0" x="10378"/>
        <item sd="0" x="10161"/>
        <item sd="0" x="10380"/>
        <item sd="0" x="10381"/>
        <item sd="0" x="10382"/>
        <item sd="0" x="10383"/>
        <item sd="0" x="10384"/>
        <item sd="0" x="10385"/>
        <item sd="0" x="10386"/>
        <item sd="0" x="10387"/>
        <item sd="0" x="10388"/>
        <item sd="0" x="10389"/>
        <item sd="0" x="10390"/>
        <item sd="0" x="10391"/>
        <item sd="0" x="10392"/>
        <item sd="0" x="9944"/>
        <item sd="0" x="10162"/>
        <item sd="0" x="10163"/>
        <item sd="0" x="10164"/>
        <item sd="0" x="10165"/>
        <item sd="0" x="10166"/>
        <item sd="0" x="10167"/>
        <item sd="0" x="10168"/>
        <item sd="0" x="10169"/>
        <item sd="0" x="10170"/>
        <item sd="0" x="10171"/>
        <item sd="0" x="10172"/>
        <item sd="0" x="10173"/>
        <item sd="0" x="10174"/>
        <item sd="0" x="10175"/>
        <item sd="0" x="9958"/>
        <item sd="0" x="10177"/>
        <item sd="0" x="10178"/>
        <item sd="0" x="10179"/>
        <item sd="0" x="10180"/>
        <item sd="0" x="10181"/>
        <item sd="0" x="10182"/>
        <item sd="0" x="10183"/>
        <item sd="0" x="10184"/>
        <item sd="0" x="10185"/>
        <item sd="0" x="10186"/>
        <item sd="0" x="10187"/>
        <item sd="0" x="10188"/>
        <item sd="0" x="10189"/>
        <item sd="0" x="9973"/>
        <item sd="0" x="10191"/>
        <item sd="0" x="10192"/>
        <item sd="0" x="10193"/>
        <item sd="0" x="10194"/>
        <item sd="0" x="10195"/>
        <item sd="0" x="10196"/>
        <item sd="0" x="10197"/>
        <item sd="0" x="10198"/>
        <item sd="0" x="10199"/>
        <item sd="0" x="10200"/>
        <item sd="0" x="10201"/>
        <item sd="0" x="10202"/>
        <item sd="0" x="10203"/>
        <item sd="0" x="10204"/>
        <item sd="0" x="9987"/>
        <item sd="0" x="10206"/>
        <item sd="0" x="10207"/>
        <item sd="0" x="10208"/>
        <item sd="0" x="10209"/>
        <item sd="0" x="10210"/>
        <item sd="0" x="10211"/>
        <item sd="0" x="10212"/>
        <item sd="0" x="10213"/>
        <item sd="0" x="10214"/>
        <item sd="0" x="10215"/>
        <item sd="0" x="10216"/>
        <item sd="0" x="10217"/>
        <item sd="0" x="10218"/>
        <item sd="0" x="10002"/>
        <item sd="0" x="10220"/>
        <item sd="0" x="10221"/>
        <item sd="0" x="10222"/>
        <item sd="0" x="10223"/>
        <item sd="0" x="10224"/>
        <item sd="0" x="10225"/>
        <item sd="0" x="10226"/>
        <item sd="0" x="10227"/>
        <item sd="0" x="10228"/>
        <item sd="0" x="10229"/>
        <item sd="0" x="10230"/>
        <item sd="0" x="10231"/>
        <item sd="0" x="10232"/>
        <item sd="0" x="10233"/>
        <item sd="0" x="10016"/>
        <item sd="0" x="10235"/>
        <item sd="0" x="10236"/>
        <item sd="0" x="10237"/>
        <item sd="0" x="10238"/>
        <item sd="0" x="10239"/>
        <item sd="0" x="10240"/>
        <item sd="0" x="10241"/>
        <item sd="0" x="10242"/>
        <item sd="0" x="10243"/>
        <item sd="0" x="10244"/>
        <item sd="0" x="10245"/>
        <item sd="0" x="10246"/>
        <item sd="0" x="10247"/>
        <item sd="0" x="10031"/>
        <item sd="0" x="10249"/>
        <item sd="0" x="10250"/>
        <item sd="0" x="10251"/>
        <item sd="0" x="10252"/>
        <item sd="0" x="10253"/>
        <item sd="0" x="10254"/>
        <item sd="0" x="10255"/>
        <item sd="0" x="10256"/>
        <item sd="0" x="10257"/>
        <item sd="0" x="10258"/>
        <item sd="0" x="10259"/>
        <item sd="0" x="10260"/>
        <item sd="0" x="10261"/>
        <item sd="0" x="10262"/>
        <item sd="0" x="10264"/>
        <item sd="0" x="10265"/>
        <item sd="0" x="10266"/>
        <item sd="0" x="10267"/>
        <item sd="0" x="10268"/>
        <item sd="0" x="10269"/>
        <item sd="0" x="10270"/>
        <item sd="0" x="10271"/>
        <item sd="0" x="10272"/>
        <item sd="0" x="10273"/>
        <item sd="0" x="10274"/>
        <item sd="0" x="10275"/>
        <item sd="0" x="10276"/>
        <item sd="0" x="10277"/>
        <item sd="0" x="10060"/>
        <item sd="0" x="10278"/>
        <item sd="0" x="10279"/>
        <item sd="0" x="10280"/>
        <item sd="0" x="10281"/>
        <item sd="0" x="10282"/>
        <item sd="0" x="10283"/>
        <item sd="0" x="10284"/>
        <item sd="0" x="10285"/>
        <item sd="0" x="10286"/>
        <item sd="0" x="10287"/>
        <item sd="0" x="10288"/>
        <item sd="0" x="10289"/>
        <item sd="0" x="10290"/>
        <item sd="0" x="10291"/>
        <item sd="0" x="10074"/>
        <item sd="0" x="10293"/>
        <item sd="0" x="10294"/>
        <item sd="0" x="10295"/>
        <item sd="0" x="10296"/>
        <item sd="0" x="10297"/>
        <item sd="0" x="10298"/>
        <item sd="0" x="10299"/>
        <item sd="0" x="10300"/>
        <item sd="0" x="10301"/>
        <item sd="0" x="10302"/>
        <item sd="0" x="10303"/>
        <item sd="0" x="10304"/>
        <item sd="0" x="10305"/>
        <item sd="0" x="10089"/>
        <item sd="0" x="10307"/>
        <item sd="0" x="10308"/>
        <item sd="0" x="10309"/>
        <item sd="0" x="10310"/>
        <item sd="0" x="10311"/>
        <item sd="0" x="10312"/>
        <item sd="0" x="10313"/>
        <item sd="0" x="10314"/>
        <item sd="0" x="10315"/>
        <item sd="0" x="10316"/>
        <item sd="0" x="10317"/>
        <item sd="0" x="10318"/>
        <item sd="0" x="10319"/>
        <item sd="0" x="10320"/>
        <item sd="0" x="10554"/>
        <item sd="0" x="10555"/>
        <item sd="0" x="10556"/>
        <item sd="0" x="10557"/>
        <item sd="0" x="10558"/>
        <item sd="0" x="10559"/>
        <item sd="0" x="10560"/>
        <item sd="0" x="10561"/>
        <item sd="0" x="10562"/>
        <item sd="0" x="10563"/>
        <item sd="0" x="10564"/>
        <item sd="0" x="10565"/>
        <item sd="0" x="10566"/>
        <item sd="0" x="10567"/>
        <item sd="0" x="10568"/>
        <item sd="0" x="10569"/>
        <item sd="0" x="10570"/>
        <item sd="0" x="10571"/>
        <item sd="0" x="10572"/>
        <item sd="0" x="10573"/>
        <item sd="0" x="10574"/>
        <item sd="0" x="10575"/>
        <item sd="0" x="10576"/>
        <item sd="0" x="10577"/>
        <item sd="0" x="10578"/>
        <item sd="0" x="10579"/>
        <item sd="0" x="10580"/>
        <item sd="0" x="10581"/>
        <item sd="0" x="10582"/>
        <item sd="0" x="10364"/>
        <item sd="0" x="10583"/>
        <item sd="0" x="10584"/>
        <item sd="0" x="10585"/>
        <item sd="0" x="10586"/>
        <item sd="0" x="10587"/>
        <item sd="0" x="10588"/>
        <item sd="0" x="10589"/>
        <item sd="0" x="10590"/>
        <item sd="0" x="10591"/>
        <item sd="0" x="10592"/>
        <item sd="0" x="10593"/>
        <item sd="0" x="10594"/>
        <item sd="0" x="10595"/>
        <item sd="0" x="10379"/>
        <item sd="0" x="10597"/>
        <item sd="0" x="10598"/>
        <item sd="0" x="10599"/>
        <item sd="0" x="10600"/>
        <item sd="0" x="10601"/>
        <item sd="0" x="10602"/>
        <item sd="0" x="10603"/>
        <item sd="0" x="10604"/>
        <item sd="0" x="10605"/>
        <item sd="0" x="10606"/>
        <item sd="0" x="10607"/>
        <item sd="0" x="10608"/>
        <item sd="0" x="10609"/>
        <item sd="0" x="10610"/>
        <item sd="0" x="10393"/>
        <item sd="0" x="10611"/>
        <item sd="0" x="10612"/>
        <item sd="0" x="10613"/>
        <item sd="0" x="10614"/>
        <item sd="0" x="10615"/>
        <item sd="0" x="10616"/>
        <item sd="0" x="10617"/>
        <item sd="0" x="10618"/>
        <item sd="0" x="10619"/>
        <item sd="0" x="10620"/>
        <item sd="0" x="10621"/>
        <item sd="0" x="10622"/>
        <item sd="0" x="10623"/>
        <item sd="0" x="10176"/>
        <item sd="0" x="10394"/>
        <item sd="0" x="10395"/>
        <item sd="0" x="10396"/>
        <item sd="0" x="10397"/>
        <item sd="0" x="10398"/>
        <item sd="0" x="10399"/>
        <item sd="0" x="10400"/>
        <item sd="0" x="10401"/>
        <item sd="0" x="10402"/>
        <item sd="0" x="10403"/>
        <item sd="0" x="10404"/>
        <item sd="0" x="10405"/>
        <item sd="0" x="10406"/>
        <item sd="0" x="10407"/>
        <item sd="0" x="10190"/>
        <item sd="0" x="10409"/>
        <item sd="0" x="10410"/>
        <item sd="0" x="10411"/>
        <item sd="0" x="10412"/>
        <item sd="0" x="10413"/>
        <item sd="0" x="10414"/>
        <item sd="0" x="10415"/>
        <item sd="0" x="10416"/>
        <item sd="0" x="10417"/>
        <item sd="0" x="10418"/>
        <item sd="0" x="10419"/>
        <item sd="0" x="10420"/>
        <item sd="0" x="10421"/>
        <item sd="0" x="10205"/>
        <item sd="0" x="10423"/>
        <item sd="0" x="10424"/>
        <item sd="0" x="10425"/>
        <item sd="0" x="10426"/>
        <item sd="0" x="10427"/>
        <item sd="0" x="10428"/>
        <item sd="0" x="10429"/>
        <item sd="0" x="10430"/>
        <item sd="0" x="10431"/>
        <item sd="0" x="10432"/>
        <item sd="0" x="10433"/>
        <item sd="0" x="10434"/>
        <item sd="0" x="10435"/>
        <item sd="0" x="10436"/>
        <item sd="0" x="10219"/>
        <item sd="0" x="10438"/>
        <item sd="0" x="10439"/>
        <item sd="0" x="10440"/>
        <item sd="0" x="10441"/>
        <item sd="0" x="10442"/>
        <item sd="0" x="10443"/>
        <item sd="0" x="10444"/>
        <item sd="0" x="10445"/>
        <item sd="0" x="10446"/>
        <item sd="0" x="10447"/>
        <item sd="0" x="10448"/>
        <item sd="0" x="10449"/>
        <item sd="0" x="10450"/>
        <item sd="0" x="10234"/>
        <item sd="0" x="10452"/>
        <item sd="0" x="10453"/>
        <item sd="0" x="10454"/>
        <item sd="0" x="10455"/>
        <item sd="0" x="10456"/>
        <item sd="0" x="10457"/>
        <item sd="0" x="10458"/>
        <item sd="0" x="10459"/>
        <item sd="0" x="10460"/>
        <item sd="0" x="10461"/>
        <item sd="0" x="10462"/>
        <item sd="0" x="10463"/>
        <item sd="0" x="10464"/>
        <item sd="0" x="10465"/>
        <item sd="0" x="10248"/>
        <item sd="0" x="10467"/>
        <item sd="0" x="10468"/>
        <item sd="0" x="10469"/>
        <item sd="0" x="10470"/>
        <item sd="0" x="10471"/>
        <item sd="0" x="10472"/>
        <item sd="0" x="10473"/>
        <item sd="0" x="10474"/>
        <item sd="0" x="10475"/>
        <item sd="0" x="10476"/>
        <item sd="0" x="10477"/>
        <item sd="0" x="10478"/>
        <item sd="0" x="10479"/>
        <item sd="0" x="10263"/>
        <item sd="0" x="10481"/>
        <item sd="0" x="10482"/>
        <item sd="0" x="10483"/>
        <item sd="0" x="10484"/>
        <item sd="0" x="10485"/>
        <item sd="0" x="10486"/>
        <item sd="0" x="10487"/>
        <item sd="0" x="10488"/>
        <item sd="0" x="10489"/>
        <item sd="0" x="10490"/>
        <item sd="0" x="10491"/>
        <item sd="0" x="10492"/>
        <item sd="0" x="10493"/>
        <item sd="0" x="10494"/>
        <item sd="0" x="10496"/>
        <item sd="0" x="10497"/>
        <item sd="0" x="10498"/>
        <item sd="0" x="10499"/>
        <item sd="0" x="10500"/>
        <item sd="0" x="10501"/>
        <item sd="0" x="10502"/>
        <item sd="0" x="10503"/>
        <item sd="0" x="10504"/>
        <item sd="0" x="10505"/>
        <item sd="0" x="10506"/>
        <item sd="0" x="10507"/>
        <item sd="0" x="10508"/>
        <item sd="0" x="10509"/>
        <item sd="0" x="10292"/>
        <item sd="0" x="10510"/>
        <item sd="0" x="10511"/>
        <item sd="0" x="10512"/>
        <item sd="0" x="10513"/>
        <item sd="0" x="10514"/>
        <item sd="0" x="10515"/>
        <item sd="0" x="10516"/>
        <item sd="0" x="10517"/>
        <item sd="0" x="10518"/>
        <item sd="0" x="10519"/>
        <item sd="0" x="10520"/>
        <item sd="0" x="10521"/>
        <item sd="0" x="10522"/>
        <item sd="0" x="10523"/>
        <item sd="0" x="10306"/>
        <item sd="0" x="10525"/>
        <item sd="0" x="10526"/>
        <item sd="0" x="10527"/>
        <item sd="0" x="10528"/>
        <item sd="0" x="10529"/>
        <item sd="0" x="10530"/>
        <item sd="0" x="10531"/>
        <item sd="0" x="10532"/>
        <item sd="0" x="10533"/>
        <item sd="0" x="10534"/>
        <item sd="0" x="10535"/>
        <item sd="0" x="10536"/>
        <item sd="0" x="10537"/>
        <item sd="0" x="10321"/>
        <item sd="0" x="10539"/>
        <item sd="0" x="10540"/>
        <item sd="0" x="10541"/>
        <item sd="0" x="10542"/>
        <item sd="0" x="10543"/>
        <item sd="0" x="10544"/>
        <item sd="0" x="10545"/>
        <item sd="0" x="10546"/>
        <item sd="0" x="10547"/>
        <item sd="0" x="10548"/>
        <item sd="0" x="10549"/>
        <item sd="0" x="10550"/>
        <item sd="0" x="10551"/>
        <item sd="0" x="10552"/>
        <item sd="0" x="10787"/>
        <item sd="0" x="10788"/>
        <item sd="0" x="10789"/>
        <item sd="0" x="10790"/>
        <item sd="0" x="10791"/>
        <item sd="0" x="10792"/>
        <item sd="0" x="10793"/>
        <item sd="0" x="10794"/>
        <item sd="0" x="10795"/>
        <item sd="0" x="10796"/>
        <item sd="0" x="10797"/>
        <item sd="0" x="10798"/>
        <item sd="0" x="10799"/>
        <item sd="0" x="10800"/>
        <item sd="0" x="10801"/>
        <item sd="0" x="10802"/>
        <item sd="0" x="10803"/>
        <item sd="0" x="10804"/>
        <item sd="0" x="10805"/>
        <item sd="0" x="10806"/>
        <item sd="0" x="10807"/>
        <item sd="0" x="10808"/>
        <item sd="0" x="10809"/>
        <item sd="0" x="10810"/>
        <item sd="0" x="10811"/>
        <item sd="0" x="10812"/>
        <item sd="0" x="10813"/>
        <item sd="0" x="10814"/>
        <item sd="0" x="10815"/>
        <item sd="0" x="10596"/>
        <item sd="0" x="10816"/>
        <item sd="0" x="10817"/>
        <item sd="0" x="10818"/>
        <item sd="0" x="10819"/>
        <item sd="0" x="10820"/>
        <item sd="0" x="10821"/>
        <item sd="0" x="10822"/>
        <item sd="0" x="10823"/>
        <item sd="0" x="10824"/>
        <item sd="0" x="10825"/>
        <item sd="0" x="10826"/>
        <item sd="0" x="10827"/>
        <item sd="0" x="10828"/>
        <item sd="0" x="10829"/>
        <item sd="0" x="14395"/>
        <item sd="0" x="14396"/>
        <item sd="0" x="14397"/>
        <item sd="0" x="14398"/>
        <item sd="0" x="14399"/>
        <item sd="0" x="14400"/>
        <item sd="0" x="14401"/>
        <item sd="0" x="14402"/>
        <item sd="0" x="14403"/>
        <item sd="0" x="14404"/>
        <item sd="0" x="14405"/>
        <item sd="0" x="14406"/>
        <item sd="0" x="14407"/>
        <item sd="0" x="14408"/>
        <item sd="0" x="14231"/>
        <item sd="0" x="14410"/>
        <item sd="0" x="14411"/>
        <item sd="0" x="14412"/>
        <item sd="0" x="14413"/>
        <item sd="0" x="14414"/>
        <item sd="0" x="14415"/>
        <item sd="0" x="14416"/>
        <item sd="0" x="14417"/>
        <item sd="0" x="14418"/>
        <item sd="0" x="14419"/>
        <item sd="0" x="14420"/>
        <item sd="0" x="14421"/>
        <item sd="0" x="14422"/>
        <item sd="0" x="14040"/>
        <item sd="0" x="14232"/>
        <item sd="0" x="14233"/>
        <item sd="0" x="14234"/>
        <item sd="0" x="14235"/>
        <item sd="0" x="14236"/>
        <item sd="0" x="14237"/>
        <item sd="0" x="14238"/>
        <item sd="0" x="14239"/>
        <item sd="0" x="14240"/>
        <item sd="0" x="14241"/>
        <item sd="0" x="14242"/>
        <item sd="0" x="14243"/>
        <item sd="0" x="14244"/>
        <item sd="0" x="14245"/>
        <item sd="0" x="14054"/>
        <item sd="0" x="14247"/>
        <item sd="0" x="14248"/>
        <item sd="0" x="14249"/>
        <item sd="0" x="14250"/>
        <item sd="0" x="14251"/>
        <item sd="0" x="14252"/>
        <item sd="0" x="14253"/>
        <item sd="0" x="14254"/>
        <item sd="0" x="14255"/>
        <item sd="0" x="14256"/>
        <item sd="0" x="14257"/>
        <item sd="0" x="14258"/>
        <item sd="0" x="14259"/>
        <item sd="0" x="14069"/>
        <item sd="0" x="14261"/>
        <item sd="0" x="14262"/>
        <item sd="0" x="14263"/>
        <item sd="0" x="14264"/>
        <item sd="0" x="14265"/>
        <item sd="0" x="14266"/>
        <item sd="0" x="14267"/>
        <item sd="0" x="14268"/>
        <item sd="0" x="14269"/>
        <item sd="0" x="14270"/>
        <item sd="0" x="14271"/>
        <item sd="0" x="14272"/>
        <item sd="0" x="14273"/>
        <item sd="0" x="14274"/>
        <item sd="0" x="14083"/>
        <item sd="0" x="14276"/>
        <item sd="0" x="14277"/>
        <item sd="0" x="14278"/>
        <item sd="0" x="14279"/>
        <item sd="0" x="14280"/>
        <item sd="0" x="14281"/>
        <item sd="0" x="14282"/>
        <item sd="0" x="14283"/>
        <item sd="0" x="14284"/>
        <item sd="0" x="14285"/>
        <item sd="0" x="14286"/>
        <item sd="0" x="14287"/>
        <item sd="0" x="14288"/>
        <item sd="0" x="14098"/>
        <item sd="0" x="14290"/>
        <item sd="0" x="14291"/>
        <item sd="0" x="14292"/>
        <item sd="0" x="14293"/>
        <item sd="0" x="14294"/>
        <item sd="0" x="14295"/>
        <item sd="0" x="14296"/>
        <item sd="0" x="14297"/>
        <item sd="0" x="14298"/>
        <item sd="0" x="14299"/>
        <item sd="0" x="14300"/>
        <item sd="0" x="14301"/>
        <item sd="0" x="14302"/>
        <item sd="0" x="14303"/>
        <item sd="0" x="14112"/>
        <item sd="0" x="14305"/>
        <item sd="0" x="14306"/>
        <item sd="0" x="14307"/>
        <item sd="0" x="14308"/>
        <item sd="0" x="14309"/>
        <item sd="0" x="14310"/>
        <item sd="0" x="14311"/>
        <item sd="0" x="14312"/>
        <item sd="0" x="14313"/>
        <item sd="0" x="14314"/>
        <item sd="0" x="14315"/>
        <item sd="0" x="14316"/>
        <item sd="0" x="14317"/>
        <item sd="0" x="14127"/>
        <item sd="0" x="14319"/>
        <item sd="0" x="14320"/>
        <item sd="0" x="14321"/>
        <item sd="0" x="14322"/>
        <item sd="0" x="14323"/>
        <item sd="0" x="14324"/>
        <item sd="0" x="14325"/>
        <item sd="0" x="14326"/>
        <item sd="0" x="14327"/>
        <item sd="0" x="14328"/>
        <item sd="0" x="14329"/>
        <item sd="0" x="14330"/>
        <item sd="0" x="14331"/>
        <item sd="0" x="14332"/>
        <item sd="0" x="14133"/>
        <item sd="0" x="14334"/>
        <item sd="0" x="14335"/>
        <item sd="0" x="14336"/>
        <item sd="0" x="14337"/>
        <item sd="0" x="14338"/>
        <item sd="0" x="14339"/>
        <item sd="0" x="14340"/>
        <item sd="0" x="14341"/>
        <item sd="0" x="14342"/>
        <item sd="0" x="14343"/>
        <item sd="0" x="14344"/>
        <item sd="0" x="14345"/>
        <item sd="0" x="14346"/>
        <item sd="0" x="14134"/>
        <item sd="0" x="14135"/>
        <item sd="0" x="14136"/>
        <item sd="0" x="14137"/>
        <item sd="0" x="14138"/>
        <item sd="0" x="14139"/>
        <item sd="0" x="14140"/>
        <item sd="0" x="14141"/>
        <item sd="0" x="14142"/>
        <item sd="0" x="14143"/>
        <item sd="0" x="14348"/>
        <item sd="0" x="14349"/>
        <item sd="0" x="14350"/>
        <item sd="0" x="14351"/>
        <item sd="0" x="14352"/>
        <item sd="0" x="14144"/>
        <item sd="0" x="14145"/>
        <item sd="0" x="14146"/>
        <item sd="0" x="14147"/>
        <item sd="0" x="14148"/>
        <item sd="0" x="14149"/>
        <item sd="0" x="14150"/>
        <item sd="0" x="14151"/>
        <item sd="0" x="14152"/>
        <item sd="0" x="14153"/>
        <item sd="0" x="14363"/>
        <item sd="0" x="14364"/>
        <item sd="0" x="14365"/>
        <item sd="0" x="14366"/>
        <item sd="0" x="14154"/>
        <item sd="0" x="14155"/>
        <item sd="0" x="14156"/>
        <item sd="0" x="14157"/>
        <item sd="0" x="14158"/>
        <item sd="0" x="14159"/>
        <item sd="0" x="14160"/>
        <item sd="0" x="14161"/>
        <item sd="0" x="14162"/>
        <item sd="0" x="14163"/>
        <item sd="0" x="14377"/>
        <item sd="0" x="14378"/>
        <item sd="0" x="14379"/>
        <item sd="0" x="14380"/>
        <item sd="0" x="14381"/>
        <item sd="0" x="14392"/>
        <item sd="0" x="14584"/>
        <item sd="0" x="14585"/>
        <item sd="0" x="14586"/>
        <item sd="0" x="14587"/>
        <item sd="0" x="14588"/>
        <item sd="0" x="14589"/>
        <item sd="0" x="14590"/>
        <item sd="0" x="14591"/>
        <item sd="0" x="14592"/>
        <item sd="0" x="14593"/>
        <item sd="0" x="14594"/>
        <item sd="0" x="14595"/>
        <item sd="0" x="14596"/>
        <item sd="0" x="14393"/>
        <item sd="0" x="14598"/>
        <item sd="0" x="14599"/>
        <item sd="0" x="14600"/>
        <item sd="0" x="14601"/>
        <item sd="0" x="14602"/>
        <item sd="0" x="14603"/>
        <item sd="0" x="14604"/>
        <item sd="0" x="14605"/>
        <item sd="0" x="14606"/>
        <item sd="0" x="14607"/>
        <item sd="0" x="14608"/>
        <item sd="0" x="14609"/>
        <item sd="0" x="14610"/>
        <item sd="0" x="14611"/>
        <item sd="0" x="14394"/>
        <item sd="0" x="14613"/>
        <item sd="0" x="14614"/>
        <item sd="0" x="14615"/>
        <item sd="0" x="14616"/>
        <item sd="0" x="14617"/>
        <item sd="0" x="14618"/>
        <item sd="0" x="14619"/>
        <item sd="0" x="14620"/>
        <item sd="0" x="14621"/>
        <item sd="0" x="14622"/>
        <item sd="0" x="14623"/>
        <item sd="0" x="14624"/>
        <item sd="0" x="14625"/>
        <item sd="0" x="14409"/>
        <item sd="0" x="14627"/>
        <item sd="0" x="14628"/>
        <item sd="0" x="14629"/>
        <item sd="0" x="14630"/>
        <item sd="0" x="14631"/>
        <item sd="0" x="14632"/>
        <item sd="0" x="14633"/>
        <item sd="0" x="14634"/>
        <item sd="0" x="14635"/>
        <item sd="0" x="14636"/>
        <item sd="0" x="14637"/>
        <item sd="0" x="14638"/>
        <item sd="0" x="14639"/>
        <item sd="0" x="14640"/>
        <item sd="0" x="14423"/>
        <item sd="0" x="14642"/>
        <item sd="0" x="14643"/>
        <item sd="0" x="14644"/>
        <item sd="0" x="14645"/>
        <item sd="0" x="14646"/>
        <item sd="0" x="14647"/>
        <item sd="0" x="14648"/>
        <item sd="0" x="14649"/>
        <item sd="0" x="14650"/>
        <item sd="0" x="14651"/>
        <item sd="0" x="14652"/>
        <item sd="0" x="14653"/>
        <item sd="0" x="14654"/>
        <item sd="0" x="14246"/>
        <item sd="0" x="14424"/>
        <item sd="0" x="14425"/>
        <item sd="0" x="14426"/>
        <item sd="0" x="14427"/>
        <item sd="0" x="14428"/>
        <item sd="0" x="14429"/>
        <item sd="0" x="14430"/>
        <item sd="0" x="14431"/>
        <item sd="0" x="14432"/>
        <item sd="0" x="14433"/>
        <item sd="0" x="14434"/>
        <item sd="0" x="14435"/>
        <item sd="0" x="14436"/>
        <item sd="0" x="14437"/>
        <item sd="0" x="14260"/>
        <item sd="0" x="14439"/>
        <item sd="0" x="14440"/>
        <item sd="0" x="14441"/>
        <item sd="0" x="14442"/>
        <item sd="0" x="14443"/>
        <item sd="0" x="14444"/>
        <item sd="0" x="14445"/>
        <item sd="0" x="14446"/>
        <item sd="0" x="14447"/>
        <item sd="0" x="14448"/>
        <item sd="0" x="14449"/>
        <item sd="0" x="14450"/>
        <item sd="0" x="14451"/>
        <item sd="0" x="14275"/>
        <item sd="0" x="14453"/>
        <item sd="0" x="14454"/>
        <item sd="0" x="14455"/>
        <item sd="0" x="14456"/>
        <item sd="0" x="14457"/>
        <item sd="0" x="14458"/>
        <item sd="0" x="14459"/>
        <item sd="0" x="14460"/>
        <item sd="0" x="14461"/>
        <item sd="0" x="14462"/>
        <item sd="0" x="14463"/>
        <item sd="0" x="14464"/>
        <item sd="0" x="14465"/>
        <item sd="0" x="14466"/>
        <item sd="0" x="14289"/>
        <item sd="0" x="14468"/>
        <item sd="0" x="14469"/>
        <item sd="0" x="14470"/>
        <item sd="0" x="14471"/>
        <item sd="0" x="14472"/>
        <item sd="0" x="14473"/>
        <item sd="0" x="14474"/>
        <item sd="0" x="14475"/>
        <item sd="0" x="14476"/>
        <item sd="0" x="14477"/>
        <item sd="0" x="14478"/>
        <item sd="0" x="14479"/>
        <item sd="0" x="14480"/>
        <item sd="0" x="14304"/>
        <item sd="0" x="14482"/>
        <item sd="0" x="14483"/>
        <item sd="0" x="14484"/>
        <item sd="0" x="14485"/>
        <item sd="0" x="14486"/>
        <item sd="0" x="14487"/>
        <item sd="0" x="14488"/>
        <item sd="0" x="14489"/>
        <item sd="0" x="14490"/>
        <item sd="0" x="14491"/>
        <item sd="0" x="14492"/>
        <item sd="0" x="14493"/>
        <item sd="0" x="14494"/>
        <item sd="0" x="14495"/>
        <item sd="0" x="14318"/>
        <item sd="0" x="14497"/>
        <item sd="0" x="14498"/>
        <item sd="0" x="14499"/>
        <item sd="0" x="14500"/>
        <item sd="0" x="14501"/>
        <item sd="0" x="14502"/>
        <item sd="0" x="14503"/>
        <item sd="0" x="14504"/>
        <item sd="0" x="14505"/>
        <item sd="0" x="14506"/>
        <item sd="0" x="14507"/>
        <item sd="0" x="14508"/>
        <item sd="0" x="14509"/>
        <item sd="0" x="14333"/>
        <item sd="0" x="14511"/>
        <item sd="0" x="14512"/>
        <item sd="0" x="14513"/>
        <item sd="0" x="14514"/>
        <item sd="0" x="14515"/>
        <item sd="0" x="14516"/>
        <item sd="0" x="14517"/>
        <item sd="0" x="14518"/>
        <item sd="0" x="14519"/>
        <item sd="0" x="14520"/>
        <item sd="0" x="14521"/>
        <item sd="0" x="14522"/>
        <item sd="0" x="14523"/>
        <item sd="0" x="14524"/>
        <item sd="0" x="14347"/>
        <item sd="0" x="14526"/>
        <item sd="0" x="14527"/>
        <item sd="0" x="14528"/>
        <item sd="0" x="14529"/>
        <item sd="0" x="14530"/>
        <item sd="0" x="14531"/>
        <item sd="0" x="14532"/>
        <item sd="0" x="14533"/>
        <item sd="0" x="14534"/>
        <item sd="0" x="14535"/>
        <item sd="0" x="14536"/>
        <item sd="0" x="14537"/>
        <item sd="0" x="14538"/>
        <item sd="0" x="14353"/>
        <item sd="0" x="14354"/>
        <item sd="0" x="14355"/>
        <item sd="0" x="14356"/>
        <item sd="0" x="14357"/>
        <item sd="0" x="14358"/>
        <item sd="0" x="14359"/>
        <item sd="0" x="14360"/>
        <item sd="0" x="14361"/>
        <item sd="0" x="14362"/>
        <item sd="0" x="14540"/>
        <item sd="0" x="14541"/>
        <item sd="0" x="14542"/>
        <item sd="0" x="14543"/>
        <item sd="0" x="14544"/>
        <item sd="0" x="14367"/>
        <item sd="0" x="14368"/>
        <item sd="0" x="14369"/>
        <item sd="0" x="14370"/>
        <item sd="0" x="14371"/>
        <item sd="0" x="14372"/>
        <item sd="0" x="14373"/>
        <item sd="0" x="14374"/>
        <item sd="0" x="14375"/>
        <item sd="0" x="14376"/>
        <item sd="0" x="14555"/>
        <item sd="0" x="14556"/>
        <item sd="0" x="14557"/>
        <item sd="0" x="14558"/>
        <item sd="0" x="14382"/>
        <item sd="0" x="14383"/>
        <item sd="0" x="14384"/>
        <item sd="0" x="14385"/>
        <item sd="0" x="14386"/>
        <item sd="0" x="14387"/>
        <item sd="0" x="14388"/>
        <item sd="0" x="14389"/>
        <item sd="0" x="14390"/>
        <item sd="0" x="14391"/>
        <item sd="0" x="14569"/>
        <item sd="0" x="14570"/>
        <item sd="0" x="14571"/>
        <item sd="0" x="14572"/>
        <item sd="0" x="14573"/>
        <item sd="0" x="14597"/>
        <item sd="0" x="14816"/>
        <item sd="0" x="14817"/>
        <item sd="0" x="14818"/>
        <item sd="0" x="14819"/>
        <item sd="0" x="14820"/>
        <item sd="0" x="14821"/>
        <item sd="0" x="14822"/>
        <item sd="0" x="14823"/>
        <item sd="0" x="14824"/>
        <item sd="0" x="14825"/>
        <item sd="0" x="14826"/>
        <item sd="0" x="14827"/>
        <item sd="0" x="14828"/>
        <item sd="0" x="14612"/>
        <item sd="0" x="14830"/>
        <item sd="0" x="14831"/>
        <item sd="0" x="14832"/>
        <item sd="0" x="14833"/>
        <item sd="0" x="14834"/>
        <item sd="0" x="14835"/>
        <item sd="0" x="14836"/>
        <item sd="0" x="14837"/>
        <item sd="0" x="14838"/>
        <item sd="0" x="14839"/>
        <item sd="0" x="14840"/>
        <item sd="0" x="14841"/>
        <item sd="0" x="14842"/>
        <item sd="0" x="14843"/>
        <item sd="0" x="14626"/>
        <item sd="0" x="14845"/>
        <item sd="0" x="14846"/>
        <item sd="0" x="14847"/>
        <item sd="0" x="14848"/>
        <item sd="0" x="14849"/>
        <item sd="0" x="14850"/>
        <item sd="0" x="14851"/>
        <item sd="0" x="14852"/>
        <item sd="0" x="14853"/>
        <item sd="0" x="14854"/>
        <item sd="0" x="14855"/>
        <item sd="0" x="14856"/>
        <item sd="0" x="14857"/>
        <item sd="0" x="14641"/>
        <item sd="0" x="14859"/>
        <item sd="0" x="14860"/>
        <item sd="0" x="14861"/>
        <item sd="0" x="14862"/>
        <item sd="0" x="14863"/>
        <item sd="0" x="14864"/>
        <item sd="0" x="14865"/>
        <item sd="0" x="14866"/>
        <item sd="0" x="14867"/>
        <item sd="0" x="14868"/>
        <item sd="0" x="14869"/>
        <item sd="0" x="14870"/>
        <item sd="0" x="14871"/>
        <item sd="0" x="14872"/>
        <item sd="0" x="14655"/>
        <item sd="0" x="14874"/>
        <item sd="0" x="14875"/>
        <item sd="0" x="14876"/>
        <item sd="0" x="14877"/>
        <item sd="0" x="14878"/>
        <item sd="0" x="14879"/>
        <item sd="0" x="14880"/>
        <item sd="0" x="14881"/>
        <item sd="0" x="14882"/>
        <item sd="0" x="14883"/>
        <item sd="0" x="14884"/>
        <item sd="0" x="14885"/>
        <item sd="0" x="14886"/>
        <item sd="0" x="14438"/>
        <item sd="0" x="14656"/>
        <item sd="0" x="14657"/>
        <item sd="0" x="14658"/>
        <item sd="0" x="14659"/>
        <item sd="0" x="14660"/>
        <item sd="0" x="14661"/>
        <item sd="0" x="14662"/>
        <item sd="0" x="14663"/>
        <item sd="0" x="14664"/>
        <item sd="0" x="14665"/>
        <item sd="0" x="14666"/>
        <item sd="0" x="14667"/>
        <item sd="0" x="14668"/>
        <item sd="0" x="14669"/>
        <item sd="0" x="14452"/>
        <item sd="0" x="14671"/>
        <item sd="0" x="14672"/>
        <item sd="0" x="14673"/>
        <item sd="0" x="14674"/>
        <item sd="0" x="14675"/>
        <item sd="0" x="14676"/>
        <item sd="0" x="14677"/>
        <item sd="0" x="14678"/>
        <item sd="0" x="14679"/>
        <item sd="0" x="14680"/>
        <item sd="0" x="14681"/>
        <item sd="0" x="14682"/>
        <item sd="0" x="14683"/>
        <item sd="0" x="14467"/>
        <item sd="0" x="14685"/>
        <item sd="0" x="14686"/>
        <item sd="0" x="14687"/>
        <item sd="0" x="14688"/>
        <item sd="0" x="14689"/>
        <item sd="0" x="14690"/>
        <item sd="0" x="14691"/>
        <item sd="0" x="14692"/>
        <item sd="0" x="14693"/>
        <item sd="0" x="14694"/>
        <item sd="0" x="14695"/>
        <item sd="0" x="14696"/>
        <item sd="0" x="14697"/>
        <item sd="0" x="14698"/>
        <item sd="0" x="14481"/>
        <item sd="0" x="14700"/>
        <item sd="0" x="14701"/>
        <item sd="0" x="14702"/>
        <item sd="0" x="14703"/>
        <item sd="0" x="14704"/>
        <item sd="0" x="14705"/>
        <item sd="0" x="14706"/>
        <item sd="0" x="14707"/>
        <item sd="0" x="14708"/>
        <item sd="0" x="14709"/>
        <item sd="0" x="14710"/>
        <item sd="0" x="14711"/>
        <item sd="0" x="14712"/>
        <item sd="0" x="14496"/>
        <item sd="0" x="14714"/>
        <item sd="0" x="14715"/>
        <item sd="0" x="14716"/>
        <item sd="0" x="14717"/>
        <item sd="0" x="14718"/>
        <item sd="0" x="14719"/>
        <item sd="0" x="14720"/>
        <item sd="0" x="14721"/>
        <item sd="0" x="14722"/>
        <item sd="0" x="14723"/>
        <item sd="0" x="14724"/>
        <item sd="0" x="14725"/>
        <item sd="0" x="14726"/>
        <item sd="0" x="14727"/>
        <item sd="0" x="14510"/>
        <item sd="0" x="14729"/>
        <item sd="0" x="14730"/>
        <item sd="0" x="14731"/>
        <item sd="0" x="14732"/>
        <item sd="0" x="14733"/>
        <item sd="0" x="14734"/>
        <item sd="0" x="14735"/>
        <item sd="0" x="14736"/>
        <item sd="0" x="14737"/>
        <item sd="0" x="14738"/>
        <item sd="0" x="14739"/>
        <item sd="0" x="14740"/>
        <item sd="0" x="14741"/>
        <item sd="0" x="14525"/>
        <item sd="0" x="14743"/>
        <item sd="0" x="14744"/>
        <item sd="0" x="14745"/>
        <item sd="0" x="14746"/>
        <item sd="0" x="14747"/>
        <item sd="0" x="14748"/>
        <item sd="0" x="14749"/>
        <item sd="0" x="14750"/>
        <item sd="0" x="14751"/>
        <item sd="0" x="14752"/>
        <item sd="0" x="14753"/>
        <item sd="0" x="14754"/>
        <item sd="0" x="14755"/>
        <item sd="0" x="14756"/>
        <item sd="0" x="14539"/>
        <item sd="0" x="14758"/>
        <item sd="0" x="14759"/>
        <item sd="0" x="14760"/>
        <item sd="0" x="14761"/>
        <item sd="0" x="14762"/>
        <item sd="0" x="14763"/>
        <item sd="0" x="14764"/>
        <item sd="0" x="14765"/>
        <item sd="0" x="14766"/>
        <item sd="0" x="14767"/>
        <item sd="0" x="14768"/>
        <item sd="0" x="14769"/>
        <item sd="0" x="14770"/>
        <item sd="0" x="14545"/>
        <item sd="0" x="14546"/>
        <item sd="0" x="14547"/>
        <item sd="0" x="14548"/>
        <item sd="0" x="14549"/>
        <item sd="0" x="14550"/>
        <item sd="0" x="14551"/>
        <item sd="0" x="14552"/>
        <item sd="0" x="14553"/>
        <item sd="0" x="14554"/>
        <item sd="0" x="14772"/>
        <item sd="0" x="14773"/>
        <item sd="0" x="14774"/>
        <item sd="0" x="14775"/>
        <item sd="0" x="14776"/>
        <item sd="0" x="14559"/>
        <item sd="0" x="14560"/>
        <item sd="0" x="14561"/>
        <item sd="0" x="14562"/>
        <item sd="0" x="14563"/>
        <item sd="0" x="14564"/>
        <item sd="0" x="14565"/>
        <item sd="0" x="14566"/>
        <item sd="0" x="14567"/>
        <item sd="0" x="14568"/>
        <item sd="0" x="14787"/>
        <item sd="0" x="14788"/>
        <item sd="0" x="14789"/>
        <item sd="0" x="14790"/>
        <item sd="0" x="14574"/>
        <item sd="0" x="14575"/>
        <item sd="0" x="14576"/>
        <item sd="0" x="14577"/>
        <item sd="0" x="14578"/>
        <item sd="0" x="14579"/>
        <item sd="0" x="14580"/>
        <item sd="0" x="14581"/>
        <item sd="0" x="14582"/>
        <item sd="0" x="14583"/>
        <item sd="0" x="14801"/>
        <item sd="0" x="14802"/>
        <item sd="0" x="14803"/>
        <item sd="0" x="14804"/>
        <item sd="0" x="14805"/>
        <item sd="0" x="14829"/>
        <item sd="0" x="15037"/>
        <item sd="0" x="15038"/>
        <item sd="0" x="15039"/>
        <item sd="0" x="15040"/>
        <item sd="0" x="15041"/>
        <item sd="0" x="15042"/>
        <item sd="0" x="15043"/>
        <item sd="0" x="15044"/>
        <item sd="0" x="15045"/>
        <item sd="0" x="15046"/>
        <item sd="0" x="15047"/>
        <item sd="0" x="15048"/>
        <item sd="0" x="15049"/>
        <item sd="0" x="14844"/>
        <item sd="0" x="15050"/>
        <item sd="0" x="15051"/>
        <item sd="0" x="15052"/>
        <item sd="0" x="15053"/>
        <item sd="0" x="15054"/>
        <item sd="0" x="15055"/>
        <item sd="0" x="15056"/>
        <item sd="0" x="15057"/>
        <item sd="0" x="15058"/>
        <item sd="0" x="15059"/>
        <item sd="0" x="15060"/>
        <item sd="0" x="15061"/>
        <item sd="0" x="15062"/>
        <item sd="0" x="15063"/>
        <item sd="0" x="14858"/>
        <item sd="0" x="15064"/>
        <item sd="0" x="15065"/>
        <item sd="0" x="15066"/>
        <item sd="0" x="15067"/>
        <item sd="0" x="15068"/>
        <item sd="0" x="15069"/>
        <item sd="0" x="15070"/>
        <item sd="0" x="15071"/>
        <item sd="0" x="15072"/>
        <item sd="0" x="15073"/>
        <item sd="0" x="15074"/>
        <item sd="0" x="15075"/>
        <item sd="0" x="15076"/>
        <item sd="0" x="14873"/>
        <item sd="0" x="15077"/>
        <item sd="0" x="15078"/>
        <item sd="0" x="15079"/>
        <item sd="0" x="15080"/>
        <item sd="0" x="15081"/>
        <item sd="0" x="15082"/>
        <item sd="0" x="15083"/>
        <item sd="0" x="15084"/>
        <item sd="0" x="15085"/>
        <item sd="0" x="15086"/>
        <item sd="0" x="15087"/>
        <item sd="0" x="15088"/>
        <item sd="0" x="15089"/>
        <item sd="0" x="15090"/>
        <item sd="0" x="14887"/>
        <item sd="0" x="15091"/>
        <item sd="0" x="15092"/>
        <item sd="0" x="15093"/>
        <item sd="0" x="15094"/>
        <item sd="0" x="15095"/>
        <item sd="0" x="15096"/>
        <item sd="0" x="15097"/>
        <item sd="0" x="15098"/>
        <item sd="0" x="15099"/>
        <item sd="0" x="15100"/>
        <item sd="0" x="15101"/>
        <item sd="0" x="15102"/>
        <item sd="0" x="15103"/>
        <item sd="0" x="14670"/>
        <item sd="0" x="14888"/>
        <item sd="0" x="14889"/>
        <item sd="0" x="14890"/>
        <item sd="0" x="14891"/>
        <item sd="0" x="14892"/>
        <item sd="0" x="14893"/>
        <item sd="0" x="14894"/>
        <item sd="0" x="14895"/>
        <item sd="0" x="14896"/>
        <item sd="0" x="14897"/>
        <item sd="0" x="14898"/>
        <item sd="0" x="14899"/>
        <item sd="0" x="14900"/>
        <item sd="0" x="14901"/>
        <item sd="0" x="14684"/>
        <item sd="0" x="14902"/>
        <item sd="0" x="14903"/>
        <item sd="0" x="14904"/>
        <item sd="0" x="14905"/>
        <item sd="0" x="14906"/>
        <item sd="0" x="14907"/>
        <item sd="0" x="14908"/>
        <item sd="0" x="14909"/>
        <item sd="0" x="14910"/>
        <item sd="0" x="14911"/>
        <item sd="0" x="14912"/>
        <item sd="0" x="14913"/>
        <item sd="0" x="14914"/>
        <item sd="0" x="14699"/>
        <item sd="0" x="14915"/>
        <item sd="0" x="14916"/>
        <item sd="0" x="14917"/>
        <item sd="0" x="14918"/>
        <item sd="0" x="14919"/>
        <item sd="0" x="14920"/>
        <item sd="0" x="14921"/>
        <item sd="0" x="14922"/>
        <item sd="0" x="14923"/>
        <item sd="0" x="14924"/>
        <item sd="0" x="14925"/>
        <item sd="0" x="14926"/>
        <item sd="0" x="14927"/>
        <item sd="0" x="14928"/>
        <item sd="0" x="14713"/>
        <item sd="0" x="14929"/>
        <item sd="0" x="14930"/>
        <item sd="0" x="14931"/>
        <item sd="0" x="14932"/>
        <item sd="0" x="14933"/>
        <item sd="0" x="14934"/>
        <item sd="0" x="14935"/>
        <item sd="0" x="14936"/>
        <item sd="0" x="14937"/>
        <item sd="0" x="14938"/>
        <item sd="0" x="14939"/>
        <item sd="0" x="14940"/>
        <item sd="0" x="14941"/>
        <item sd="0" x="14728"/>
        <item sd="0" x="14942"/>
        <item sd="0" x="14943"/>
        <item sd="0" x="14944"/>
        <item sd="0" x="14945"/>
        <item sd="0" x="14946"/>
        <item sd="0" x="14947"/>
        <item sd="0" x="14948"/>
        <item sd="0" x="14949"/>
        <item sd="0" x="14950"/>
        <item sd="0" x="14951"/>
        <item sd="0" x="14952"/>
        <item sd="0" x="14953"/>
        <item sd="0" x="14954"/>
        <item sd="0" x="14955"/>
        <item sd="0" x="14742"/>
        <item sd="0" x="14956"/>
        <item sd="0" x="14957"/>
        <item sd="0" x="14958"/>
        <item sd="0" x="14959"/>
        <item sd="0" x="14960"/>
        <item sd="0" x="14961"/>
        <item sd="0" x="14962"/>
        <item sd="0" x="14963"/>
        <item sd="0" x="14964"/>
        <item sd="0" x="14965"/>
        <item sd="0" x="14966"/>
        <item sd="0" x="14967"/>
        <item sd="0" x="14968"/>
        <item sd="0" x="14757"/>
        <item sd="0" x="14969"/>
        <item sd="0" x="14970"/>
        <item sd="0" x="14971"/>
        <item sd="0" x="14972"/>
        <item sd="0" x="14973"/>
        <item sd="0" x="14974"/>
        <item sd="0" x="14975"/>
        <item sd="0" x="14976"/>
        <item sd="0" x="14977"/>
        <item sd="0" x="14978"/>
        <item sd="0" x="14979"/>
        <item sd="0" x="14980"/>
        <item sd="0" x="14981"/>
        <item sd="0" x="14982"/>
        <item sd="0" x="14771"/>
        <item sd="0" x="14983"/>
        <item sd="0" x="14984"/>
        <item sd="0" x="14985"/>
        <item sd="0" x="14986"/>
        <item sd="0" x="14987"/>
        <item sd="0" x="14988"/>
        <item sd="0" x="14989"/>
        <item sd="0" x="14990"/>
        <item sd="0" x="14991"/>
        <item sd="0" x="14992"/>
        <item sd="0" x="14993"/>
        <item sd="0" x="14994"/>
        <item sd="0" x="14995"/>
        <item sd="0" x="14777"/>
        <item sd="0" x="14778"/>
        <item sd="0" x="14779"/>
        <item sd="0" x="14780"/>
        <item sd="0" x="14781"/>
        <item sd="0" x="14782"/>
        <item sd="0" x="14783"/>
        <item sd="0" x="14784"/>
        <item sd="0" x="14785"/>
        <item sd="0" x="14786"/>
        <item sd="0" x="14996"/>
        <item sd="0" x="14997"/>
        <item sd="0" x="14998"/>
        <item sd="0" x="14999"/>
        <item sd="0" x="15000"/>
        <item sd="0" x="14791"/>
        <item sd="0" x="14792"/>
        <item sd="0" x="14793"/>
        <item sd="0" x="14794"/>
        <item sd="0" x="14795"/>
        <item sd="0" x="14796"/>
        <item sd="0" x="14797"/>
        <item sd="0" x="14798"/>
        <item sd="0" x="14799"/>
        <item sd="0" x="14800"/>
        <item sd="0" x="15010"/>
        <item sd="0" x="15011"/>
        <item sd="0" x="15012"/>
        <item sd="0" x="15013"/>
        <item sd="0" x="14806"/>
        <item sd="0" x="14807"/>
        <item sd="0" x="14808"/>
        <item sd="0" x="14809"/>
        <item sd="0" x="14810"/>
        <item sd="0" x="14811"/>
        <item sd="0" x="14812"/>
        <item sd="0" x="14813"/>
        <item sd="0" x="14814"/>
        <item sd="0" x="14815"/>
        <item sd="0" x="15023"/>
        <item sd="0" x="15024"/>
        <item sd="0" x="15025"/>
        <item sd="0" x="15026"/>
        <item sd="0" x="15027"/>
        <item sd="0" x="11665"/>
        <item sd="0" x="11666"/>
        <item sd="0" x="11667"/>
        <item sd="0" x="11668"/>
        <item sd="0" x="11669"/>
        <item sd="0" x="11670"/>
        <item sd="0" x="11671"/>
        <item sd="0" x="11672"/>
        <item sd="0" x="11673"/>
        <item sd="0" x="11674"/>
        <item sd="0" x="11675"/>
        <item sd="0" x="11676"/>
        <item sd="0" x="11677"/>
        <item sd="0" x="11678"/>
        <item sd="0" x="11679"/>
        <item sd="0" x="11681"/>
        <item sd="0" x="11682"/>
        <item sd="0" x="11683"/>
        <item sd="0" x="11684"/>
        <item sd="0" x="11685"/>
        <item sd="0" x="11686"/>
        <item sd="0" x="11687"/>
        <item sd="0" x="11688"/>
        <item sd="0" x="11689"/>
        <item sd="0" x="11690"/>
        <item sd="0" x="11691"/>
        <item sd="0" x="11692"/>
        <item sd="0" x="11693"/>
        <item sd="0" x="11694"/>
        <item sd="0" x="11696"/>
        <item sd="0" x="11697"/>
        <item sd="0" x="11698"/>
        <item sd="0" x="11699"/>
        <item sd="0" x="11700"/>
        <item sd="0" x="11701"/>
        <item sd="0" x="11702"/>
        <item sd="0" x="11703"/>
        <item sd="0" x="11704"/>
        <item sd="0" x="11705"/>
        <item sd="0" x="11706"/>
        <item sd="0" x="11707"/>
        <item sd="0" x="11708"/>
        <item sd="0" x="11709"/>
        <item sd="0" x="11710"/>
        <item sd="0" x="11712"/>
        <item sd="0" x="11713"/>
        <item sd="0" x="11714"/>
        <item sd="0" x="11715"/>
        <item sd="0" x="11716"/>
        <item sd="0" x="11717"/>
        <item sd="0" x="11718"/>
        <item sd="0" x="11719"/>
        <item sd="0" x="11720"/>
        <item sd="0" x="11721"/>
        <item sd="0" x="11722"/>
        <item sd="0" x="11723"/>
        <item sd="0" x="11724"/>
        <item sd="0" x="11725"/>
        <item sd="0" x="11489"/>
        <item sd="0" x="11490"/>
        <item sd="0" x="11491"/>
        <item sd="0" x="11492"/>
        <item sd="0" x="11493"/>
        <item sd="0" x="11494"/>
        <item sd="0" x="11495"/>
        <item sd="0" x="11496"/>
        <item sd="0" x="11497"/>
        <item sd="0" x="11498"/>
        <item sd="0" x="11499"/>
        <item sd="0" x="11500"/>
        <item sd="0" x="11501"/>
        <item sd="0" x="11502"/>
        <item sd="0" x="11503"/>
        <item sd="0" x="11505"/>
        <item sd="0" x="11506"/>
        <item sd="0" x="11507"/>
        <item sd="0" x="11508"/>
        <item sd="0" x="11509"/>
        <item sd="0" x="11510"/>
        <item sd="0" x="11511"/>
        <item sd="0" x="11512"/>
        <item sd="0" x="11513"/>
        <item sd="0" x="11514"/>
        <item sd="0" x="11515"/>
        <item sd="0" x="11516"/>
        <item sd="0" x="11517"/>
        <item sd="0" x="11518"/>
        <item sd="0" x="11520"/>
        <item sd="0" x="11521"/>
        <item sd="0" x="11522"/>
        <item sd="0" x="11523"/>
        <item sd="0" x="11524"/>
        <item sd="0" x="11525"/>
        <item sd="0" x="11526"/>
        <item sd="0" x="11527"/>
        <item sd="0" x="11528"/>
        <item sd="0" x="11529"/>
        <item sd="0" x="11530"/>
        <item sd="0" x="11531"/>
        <item sd="0" x="11532"/>
        <item sd="0" x="11533"/>
        <item sd="0" x="11534"/>
        <item sd="0" x="11536"/>
        <item sd="0" x="11537"/>
        <item sd="0" x="11538"/>
        <item sd="0" x="11539"/>
        <item sd="0" x="11540"/>
        <item sd="0" x="11541"/>
        <item sd="0" x="11542"/>
        <item sd="0" x="11543"/>
        <item sd="0" x="11544"/>
        <item sd="0" x="11545"/>
        <item sd="0" x="11546"/>
        <item sd="0" x="11547"/>
        <item sd="0" x="11548"/>
        <item sd="0" x="11549"/>
        <item sd="0" x="11551"/>
        <item sd="0" x="11552"/>
        <item sd="0" x="11553"/>
        <item sd="0" x="11554"/>
        <item sd="0" x="11555"/>
        <item sd="0" x="11556"/>
        <item sd="0" x="11557"/>
        <item sd="0" m="1" x="15199"/>
        <item sd="0" m="1" x="15221"/>
        <item sd="0" x="11558"/>
        <item sd="0" x="11559"/>
        <item sd="0" x="11560"/>
        <item sd="0" x="11561"/>
        <item sd="0" x="11562"/>
        <item sd="0" x="11563"/>
        <item sd="0" x="11564"/>
        <item sd="0" x="11565"/>
        <item sd="0" x="11567"/>
        <item sd="0" x="11568"/>
        <item sd="0" x="11569"/>
        <item sd="0" x="11570"/>
        <item sd="0" x="11571"/>
        <item sd="0" x="11572"/>
        <item sd="0" x="11573"/>
        <item sd="0" x="11574"/>
        <item sd="0" x="11575"/>
        <item sd="0" x="11576"/>
        <item sd="0" x="11577"/>
        <item sd="0" x="11578"/>
        <item sd="0" x="11579"/>
        <item sd="0" x="11580"/>
        <item sd="0" x="11582"/>
        <item sd="0" x="11583"/>
        <item sd="0" x="11584"/>
        <item sd="0" x="11585"/>
        <item sd="0" x="11586"/>
        <item sd="0" x="11587"/>
        <item sd="0" x="11588"/>
        <item sd="0" x="11589"/>
        <item sd="0" x="11590"/>
        <item sd="0" x="11591"/>
        <item sd="0" x="11592"/>
        <item sd="0" x="11593"/>
        <item sd="0" x="11594"/>
        <item sd="0" x="11595"/>
        <item sd="0" x="11596"/>
        <item sd="0" x="11598"/>
        <item sd="0" x="11599"/>
        <item sd="0" x="11600"/>
        <item sd="0" x="11601"/>
        <item sd="0" x="11602"/>
        <item sd="0" x="11603"/>
        <item sd="0" x="11604"/>
        <item sd="0" x="11605"/>
        <item sd="0" x="11606"/>
        <item sd="0" x="11607"/>
        <item sd="0" x="11608"/>
        <item sd="0" x="11609"/>
        <item sd="0" x="11610"/>
        <item sd="0" x="11611"/>
        <item sd="0" x="11613"/>
        <item sd="0" x="11614"/>
        <item sd="0" x="11615"/>
        <item sd="0" x="11616"/>
        <item sd="0" x="11617"/>
        <item sd="0" x="11618"/>
        <item sd="0" x="11619"/>
        <item sd="0" x="11620"/>
        <item sd="0" x="11621"/>
        <item sd="0" x="11622"/>
        <item sd="0" x="11623"/>
        <item sd="0" x="11624"/>
        <item sd="0" x="11625"/>
        <item sd="0" x="11626"/>
        <item sd="0" x="11627"/>
        <item sd="0" x="15001"/>
        <item sd="0" x="15002"/>
        <item sd="0" x="15003"/>
        <item sd="0" x="15004"/>
        <item sd="0" x="15005"/>
        <item sd="0" x="15006"/>
        <item sd="0" x="15007"/>
        <item sd="0" x="15008"/>
        <item sd="0" x="15009"/>
        <item sd="0" x="11629"/>
        <item sd="0" x="11630"/>
        <item sd="0" x="11631"/>
        <item sd="0" x="11632"/>
        <item sd="0" x="11633"/>
        <item sd="0" x="15014"/>
        <item sd="0" x="15015"/>
        <item sd="0" x="15016"/>
        <item sd="0" x="15017"/>
        <item sd="0" x="15018"/>
        <item sd="0" x="15019"/>
        <item sd="0" x="15020"/>
        <item sd="0" m="1" x="15209"/>
        <item sd="0" x="15021"/>
        <item sd="0" x="15022"/>
        <item sd="0" x="11644"/>
        <item sd="0" x="11645"/>
        <item sd="0" x="11646"/>
        <item sd="0" x="11647"/>
        <item sd="0" x="11648"/>
        <item sd="0" x="11649"/>
        <item sd="0" x="15028"/>
        <item sd="0" x="15029"/>
        <item sd="0" x="15030"/>
        <item sd="0" x="15031"/>
        <item sd="0" x="15032"/>
        <item sd="0" x="15033"/>
        <item sd="0" x="15034"/>
        <item sd="0" x="15035"/>
        <item sd="0" x="15036"/>
        <item sd="0" x="11660"/>
        <item sd="0" x="11661"/>
        <item sd="0" x="11662"/>
        <item sd="0" x="11663"/>
        <item sd="0" x="11664"/>
        <item sd="0" x="8001"/>
        <item sd="0" x="11887"/>
        <item sd="0" x="11888"/>
        <item sd="0" x="11889"/>
        <item sd="0" x="11890"/>
        <item sd="0" x="11891"/>
        <item sd="0" x="11892"/>
        <item sd="0" x="11893"/>
        <item sd="0" x="11894"/>
        <item sd="0" x="11895"/>
        <item sd="0" x="11896"/>
        <item sd="0" x="11897"/>
        <item sd="0" x="11898"/>
        <item sd="0" x="11899"/>
        <item sd="0" x="11680"/>
        <item sd="0" x="11901"/>
        <item sd="0" x="11902"/>
        <item sd="0" x="11903"/>
        <item sd="0" x="11904"/>
        <item sd="0" x="11905"/>
        <item sd="0" x="11906"/>
        <item sd="0" x="11907"/>
        <item sd="0" x="11908"/>
        <item sd="0" x="11909"/>
        <item sd="0" x="11910"/>
        <item sd="0" x="11911"/>
        <item sd="0" x="11912"/>
        <item sd="0" x="11913"/>
        <item sd="0" x="11914"/>
        <item sd="0" x="11695"/>
        <item sd="0" x="11916"/>
        <item sd="0" x="11917"/>
        <item sd="0" x="11918"/>
        <item sd="0" x="11919"/>
        <item sd="0" x="11920"/>
        <item sd="0" x="11921"/>
        <item sd="0" x="11922"/>
        <item sd="0" x="11923"/>
        <item sd="0" x="11924"/>
        <item sd="0" x="11925"/>
        <item sd="0" x="11926"/>
        <item sd="0" x="11927"/>
        <item sd="0" x="11928"/>
        <item sd="0" x="11711"/>
        <item sd="0" x="11930"/>
        <item sd="0" x="11931"/>
        <item sd="0" x="11932"/>
        <item sd="0" x="11933"/>
        <item sd="0" x="11934"/>
        <item sd="0" x="11935"/>
        <item sd="0" x="11936"/>
        <item sd="0" x="11937"/>
        <item sd="0" x="11938"/>
        <item sd="0" x="11939"/>
        <item sd="0" x="11940"/>
        <item sd="0" x="11941"/>
        <item sd="0" x="11942"/>
        <item sd="0" x="11943"/>
        <item sd="0" x="11726"/>
        <item sd="0" x="11945"/>
        <item sd="0" x="11946"/>
        <item sd="0" x="11947"/>
        <item sd="0" x="11948"/>
        <item sd="0" x="11949"/>
        <item sd="0" x="11950"/>
        <item sd="0" x="11951"/>
        <item sd="0" x="11952"/>
        <item sd="0" x="11953"/>
        <item sd="0" x="11954"/>
        <item sd="0" x="11955"/>
        <item sd="0" x="11956"/>
        <item sd="0" x="11957"/>
        <item sd="0" x="11504"/>
        <item sd="0" x="11727"/>
        <item sd="0" x="11728"/>
        <item sd="0" x="11729"/>
        <item sd="0" x="11730"/>
        <item sd="0" x="11731"/>
        <item sd="0" x="11732"/>
        <item sd="0" x="11733"/>
        <item sd="0" x="11734"/>
        <item sd="0" x="11735"/>
        <item sd="0" x="11736"/>
        <item sd="0" x="11737"/>
        <item sd="0" x="11738"/>
        <item sd="0" x="11739"/>
        <item sd="0" x="11740"/>
        <item sd="0" x="11519"/>
        <item sd="0" x="11742"/>
        <item sd="0" x="11743"/>
        <item sd="0" x="11744"/>
        <item sd="0" x="11745"/>
        <item sd="0" x="11746"/>
        <item sd="0" x="11747"/>
        <item sd="0" x="11748"/>
        <item sd="0" x="11749"/>
        <item sd="0" x="11750"/>
        <item sd="0" x="11751"/>
        <item sd="0" x="11752"/>
        <item sd="0" x="11753"/>
        <item sd="0" x="11754"/>
        <item sd="0" x="11535"/>
        <item sd="0" x="11756"/>
        <item sd="0" x="11757"/>
        <item sd="0" x="11758"/>
        <item sd="0" x="11759"/>
        <item sd="0" x="11760"/>
        <item sd="0" x="11761"/>
        <item sd="0" x="11762"/>
        <item sd="0" x="11763"/>
        <item sd="0" x="11764"/>
        <item sd="0" x="11765"/>
        <item sd="0" x="11766"/>
        <item sd="0" x="11767"/>
        <item sd="0" x="11768"/>
        <item sd="0" x="11769"/>
        <item sd="0" x="11550"/>
        <item sd="0" x="11771"/>
        <item sd="0" x="11772"/>
        <item sd="0" x="11773"/>
        <item sd="0" x="11774"/>
        <item sd="0" x="11775"/>
        <item sd="0" x="11776"/>
        <item sd="0" x="11777"/>
        <item sd="0" x="11778"/>
        <item sd="0" x="11779"/>
        <item sd="0" x="11780"/>
        <item sd="0" x="11781"/>
        <item sd="0" x="11782"/>
        <item sd="0" x="11783"/>
        <item sd="0" x="11566"/>
        <item sd="0" x="11785"/>
        <item sd="0" x="11786"/>
        <item sd="0" x="11787"/>
        <item sd="0" x="11788"/>
        <item sd="0" x="11789"/>
        <item sd="0" x="11790"/>
        <item sd="0" x="11791"/>
        <item sd="0" x="11792"/>
        <item sd="0" x="11793"/>
        <item sd="0" x="11794"/>
        <item sd="0" x="11795"/>
        <item sd="0" x="11796"/>
        <item sd="0" x="11797"/>
        <item sd="0" x="11798"/>
        <item sd="0" x="11581"/>
        <item sd="0" x="11800"/>
        <item sd="0" x="11801"/>
        <item sd="0" x="11802"/>
        <item sd="0" x="11803"/>
        <item sd="0" x="11804"/>
        <item sd="0" x="11805"/>
        <item sd="0" x="11806"/>
        <item sd="0" x="11807"/>
        <item sd="0" x="11808"/>
        <item sd="0" x="11809"/>
        <item sd="0" x="11810"/>
        <item sd="0" x="11811"/>
        <item sd="0" x="11812"/>
        <item sd="0" x="11597"/>
        <item sd="0" x="11814"/>
        <item sd="0" x="11815"/>
        <item sd="0" x="11816"/>
        <item sd="0" x="11817"/>
        <item sd="0" x="11818"/>
        <item sd="0" x="11819"/>
        <item sd="0" x="11820"/>
        <item sd="0" x="11821"/>
        <item sd="0" x="11822"/>
        <item sd="0" x="11823"/>
        <item sd="0" x="11824"/>
        <item sd="0" x="11825"/>
        <item sd="0" x="11826"/>
        <item sd="0" x="11827"/>
        <item sd="0" x="11612"/>
        <item sd="0" x="11829"/>
        <item sd="0" x="11830"/>
        <item sd="0" x="11831"/>
        <item sd="0" x="11832"/>
        <item sd="0" x="11833"/>
        <item sd="0" x="11834"/>
        <item sd="0" x="11835"/>
        <item sd="0" x="11836"/>
        <item sd="0" x="11837"/>
        <item sd="0" x="11838"/>
        <item sd="0" x="11839"/>
        <item sd="0" x="11840"/>
        <item sd="0" x="11841"/>
        <item sd="0" x="11628"/>
        <item sd="0" x="11843"/>
        <item sd="0" x="11844"/>
        <item sd="0" x="11845"/>
        <item sd="0" x="11846"/>
        <item sd="0" x="11847"/>
        <item sd="0" x="11848"/>
        <item sd="0" x="11849"/>
        <item sd="0" x="11850"/>
        <item sd="0" x="11851"/>
        <item sd="0" x="11852"/>
        <item sd="0" x="11853"/>
        <item sd="0" x="11854"/>
        <item sd="0" x="11855"/>
        <item sd="0" x="11856"/>
        <item sd="0" x="11634"/>
        <item sd="0" x="11635"/>
        <item sd="0" x="11636"/>
        <item sd="0" x="11637"/>
        <item sd="0" x="11638"/>
        <item sd="0" x="11639"/>
        <item sd="0" x="11640"/>
        <item sd="0" x="11641"/>
        <item sd="0" x="11642"/>
        <item sd="0" x="11643"/>
        <item sd="0" x="11858"/>
        <item sd="0" x="11859"/>
        <item sd="0" x="11860"/>
        <item sd="0" x="11861"/>
        <item sd="0" x="11650"/>
        <item sd="0" x="11651"/>
        <item sd="0" x="11652"/>
        <item sd="0" x="11653"/>
        <item sd="0" x="11654"/>
        <item sd="0" x="11655"/>
        <item sd="0" x="11656"/>
        <item sd="0" x="11657"/>
        <item sd="0" x="11658"/>
        <item sd="0" x="11659"/>
        <item sd="0" x="11872"/>
        <item sd="0" x="11873"/>
        <item sd="0" x="11874"/>
        <item sd="0" x="11875"/>
        <item sd="0" x="11876"/>
        <item sd="0" x="11900"/>
        <item sd="0" x="12119"/>
        <item sd="0" x="12120"/>
        <item sd="0" x="12121"/>
        <item sd="0" x="12122"/>
        <item sd="0" x="12123"/>
        <item sd="0" x="12124"/>
        <item sd="0" x="12125"/>
        <item sd="0" x="12126"/>
        <item sd="0" x="12127"/>
        <item sd="0" x="12128"/>
        <item sd="0" x="12129"/>
        <item sd="0" x="12130"/>
        <item sd="0" x="12131"/>
        <item sd="0" x="11915"/>
        <item sd="0" x="12133"/>
        <item sd="0" x="12134"/>
        <item sd="0" x="12135"/>
        <item sd="0" x="12136"/>
        <item sd="0" x="12137"/>
        <item sd="0" x="12138"/>
        <item sd="0" x="12139"/>
        <item sd="0" x="12140"/>
        <item sd="0" x="12141"/>
        <item sd="0" x="12142"/>
        <item sd="0" x="12143"/>
        <item sd="0" x="12144"/>
        <item sd="0" x="12145"/>
        <item sd="0" x="12146"/>
        <item sd="0" x="11929"/>
        <item sd="0" x="12148"/>
        <item sd="0" x="12149"/>
        <item sd="0" x="12150"/>
        <item sd="0" x="12151"/>
        <item sd="0" x="12152"/>
        <item sd="0" x="12153"/>
        <item sd="0" x="12154"/>
        <item sd="0" x="12155"/>
        <item sd="0" x="12156"/>
        <item sd="0" x="12157"/>
        <item sd="0" x="12158"/>
        <item sd="0" x="12159"/>
        <item sd="0" x="12160"/>
        <item sd="0" x="11944"/>
        <item sd="0" x="12162"/>
        <item sd="0" x="12163"/>
        <item sd="0" x="12164"/>
        <item sd="0" x="12165"/>
        <item sd="0" x="12166"/>
        <item sd="0" x="12167"/>
        <item sd="0" x="12168"/>
        <item sd="0" x="12169"/>
        <item sd="0" x="12170"/>
        <item sd="0" x="12171"/>
        <item sd="0" x="12172"/>
        <item sd="0" x="12173"/>
        <item sd="0" x="12174"/>
        <item sd="0" x="12175"/>
        <item sd="0" x="11958"/>
        <item sd="0" x="12177"/>
        <item sd="0" x="12178"/>
        <item sd="0" x="12179"/>
        <item sd="0" x="12180"/>
        <item sd="0" x="12181"/>
        <item sd="0" x="12182"/>
        <item sd="0" x="12183"/>
        <item sd="0" x="12184"/>
        <item sd="0" x="12185"/>
        <item sd="0" x="12186"/>
        <item sd="0" x="12187"/>
        <item sd="0" x="12188"/>
        <item sd="0" x="12189"/>
        <item sd="0" x="11741"/>
        <item sd="0" m="1" x="15157"/>
        <item sd="0" x="11959"/>
        <item sd="0" x="11960"/>
        <item sd="0" x="11961"/>
        <item sd="0" x="11962"/>
        <item sd="0" x="11963"/>
        <item sd="0" x="11964"/>
        <item sd="0" x="11965"/>
        <item sd="0" x="11966"/>
        <item sd="0" x="11967"/>
        <item sd="0" x="11968"/>
        <item sd="0" x="11969"/>
        <item sd="0" x="11970"/>
        <item sd="0" x="11971"/>
        <item sd="0" x="11972"/>
        <item sd="0" x="11755"/>
        <item sd="0" x="11974"/>
        <item sd="0" x="11975"/>
        <item sd="0" x="11976"/>
        <item sd="0" x="11977"/>
        <item sd="0" x="11978"/>
        <item sd="0" x="11979"/>
        <item sd="0" x="11980"/>
        <item sd="0" x="11981"/>
        <item sd="0" x="11982"/>
        <item sd="0" x="11983"/>
        <item sd="0" x="11984"/>
        <item sd="0" x="11985"/>
        <item sd="0" x="11986"/>
        <item sd="0" x="11770"/>
        <item sd="0" x="11988"/>
        <item sd="0" x="11989"/>
        <item sd="0" x="11990"/>
        <item sd="0" x="11991"/>
        <item sd="0" x="11992"/>
        <item sd="0" x="11993"/>
        <item sd="0" x="11994"/>
        <item sd="0" x="11995"/>
        <item sd="0" x="11996"/>
        <item sd="0" x="11997"/>
        <item sd="0" x="11998"/>
        <item sd="0" x="11999"/>
        <item sd="0" x="12000"/>
        <item sd="0" x="12001"/>
        <item sd="0" x="11784"/>
        <item sd="0" x="12003"/>
        <item sd="0" x="12004"/>
        <item sd="0" x="12005"/>
        <item sd="0" x="12006"/>
        <item sd="0" x="12007"/>
        <item sd="0" x="12008"/>
        <item sd="0" x="12009"/>
        <item sd="0" x="12010"/>
        <item sd="0" x="12011"/>
        <item sd="0" x="12012"/>
        <item sd="0" x="12013"/>
        <item sd="0" x="12014"/>
        <item sd="0" x="12015"/>
        <item sd="0" x="11799"/>
        <item sd="0" x="12017"/>
        <item sd="0" x="12018"/>
        <item sd="0" x="12019"/>
        <item sd="0" x="12020"/>
        <item sd="0" x="12021"/>
        <item sd="0" x="12022"/>
        <item sd="0" x="12023"/>
        <item sd="0" x="12024"/>
        <item sd="0" x="12025"/>
        <item sd="0" x="12026"/>
        <item sd="0" x="12027"/>
        <item sd="0" x="12028"/>
        <item sd="0" x="12029"/>
        <item sd="0" x="12030"/>
        <item sd="0" x="11813"/>
        <item sd="0" x="12032"/>
        <item sd="0" x="12033"/>
        <item sd="0" x="12034"/>
        <item sd="0" x="12035"/>
        <item sd="0" x="12036"/>
        <item sd="0" x="12037"/>
        <item sd="0" x="12038"/>
        <item sd="0" x="12039"/>
        <item sd="0" x="12040"/>
        <item sd="0" x="12041"/>
        <item sd="0" x="12042"/>
        <item sd="0" x="12043"/>
        <item sd="0" x="12044"/>
        <item sd="0" x="11828"/>
        <item sd="0" x="12046"/>
        <item sd="0" x="12047"/>
        <item sd="0" x="12048"/>
        <item sd="0" x="12049"/>
        <item sd="0" x="12050"/>
        <item sd="0" x="12051"/>
        <item sd="0" x="12052"/>
        <item sd="0" x="12053"/>
        <item sd="0" x="12054"/>
        <item sd="0" x="12055"/>
        <item sd="0" x="12056"/>
        <item sd="0" x="12057"/>
        <item sd="0" x="12058"/>
        <item sd="0" x="12059"/>
        <item sd="0" x="11842"/>
        <item sd="0" x="12061"/>
        <item sd="0" x="12062"/>
        <item sd="0" x="12063"/>
        <item sd="0" x="12064"/>
        <item sd="0" x="12065"/>
        <item sd="0" x="12066"/>
        <item sd="0" x="12067"/>
        <item sd="0" x="12068"/>
        <item sd="0" x="12069"/>
        <item sd="0" x="12070"/>
        <item sd="0" x="12071"/>
        <item sd="0" x="12072"/>
        <item sd="0" x="12073"/>
        <item sd="0" x="11857"/>
        <item sd="0" x="12075"/>
        <item sd="0" x="12076"/>
        <item sd="0" x="12077"/>
        <item sd="0" x="12078"/>
        <item sd="0" x="12079"/>
        <item sd="0" x="12080"/>
        <item sd="0" x="12081"/>
        <item sd="0" x="12082"/>
        <item sd="0" x="12083"/>
        <item sd="0" x="12084"/>
        <item sd="0" x="12085"/>
        <item sd="0" x="12086"/>
        <item sd="0" x="12087"/>
        <item sd="0" x="12088"/>
        <item sd="0" x="11862"/>
        <item sd="0" x="11863"/>
        <item sd="0" x="11864"/>
        <item sd="0" x="11865"/>
        <item sd="0" x="11866"/>
        <item sd="0" x="11867"/>
        <item sd="0" x="11868"/>
        <item sd="0" x="11869"/>
        <item sd="0" x="11870"/>
        <item sd="0" x="11871"/>
        <item sd="0" x="12090"/>
        <item sd="0" x="12091"/>
        <item sd="0" x="12092"/>
        <item sd="0" x="12093"/>
        <item sd="0" x="11877"/>
        <item sd="0" x="11878"/>
        <item sd="0" x="11879"/>
        <item sd="0" x="11880"/>
        <item sd="0" x="11881"/>
        <item sd="0" x="11882"/>
        <item sd="0" x="11883"/>
        <item sd="0" x="11884"/>
        <item sd="0" x="11885"/>
        <item sd="0" x="11886"/>
        <item sd="0" x="12104"/>
        <item sd="0" x="12105"/>
        <item sd="0" x="12106"/>
        <item sd="0" x="12107"/>
        <item sd="0" x="12108"/>
        <item sd="0" x="12132"/>
        <item sd="0" x="12351"/>
        <item sd="0" x="12352"/>
        <item sd="0" x="12353"/>
        <item sd="0" x="12354"/>
        <item sd="0" x="12355"/>
        <item sd="0" x="12356"/>
        <item sd="0" x="12357"/>
        <item sd="0" x="12358"/>
        <item sd="0" x="12359"/>
        <item sd="0" x="12360"/>
        <item sd="0" x="12361"/>
        <item sd="0" x="12362"/>
        <item sd="0" x="12363"/>
        <item sd="0" x="12147"/>
        <item sd="0" x="12365"/>
        <item sd="0" x="12366"/>
        <item sd="0" x="12367"/>
        <item sd="0" x="12368"/>
        <item sd="0" x="12369"/>
        <item sd="0" x="12370"/>
        <item sd="0" x="12371"/>
        <item sd="0" x="12372"/>
        <item sd="0" x="12373"/>
        <item sd="0" x="12374"/>
        <item sd="0" x="12375"/>
        <item sd="0" x="12376"/>
        <item sd="0" x="12377"/>
        <item sd="0" x="12378"/>
        <item sd="0" x="12161"/>
        <item sd="0" x="12380"/>
        <item sd="0" x="12381"/>
        <item sd="0" x="12382"/>
        <item sd="0" x="12383"/>
        <item sd="0" x="12384"/>
        <item sd="0" x="12385"/>
        <item sd="0" x="12386"/>
        <item sd="0" x="12387"/>
        <item sd="0" x="12388"/>
        <item sd="0" x="12389"/>
        <item sd="0" x="12390"/>
        <item sd="0" x="12391"/>
        <item sd="0" x="12392"/>
        <item sd="0" x="12176"/>
        <item sd="0" x="12394"/>
        <item sd="0" x="12395"/>
        <item sd="0" x="12396"/>
        <item sd="0" x="12397"/>
        <item sd="0" x="12398"/>
        <item sd="0" x="12399"/>
        <item sd="0" x="12400"/>
        <item sd="0" x="12401"/>
        <item sd="0" x="12402"/>
        <item sd="0" x="12403"/>
        <item sd="0" x="12404"/>
        <item sd="0" x="12405"/>
        <item sd="0" x="12406"/>
        <item sd="0" x="12407"/>
        <item sd="0" x="12190"/>
        <item sd="0" x="12409"/>
        <item sd="0" x="12410"/>
        <item sd="0" x="12411"/>
        <item sd="0" x="12412"/>
        <item sd="0" x="12413"/>
        <item sd="0" x="12414"/>
        <item sd="0" x="12415"/>
        <item sd="0" x="12416"/>
        <item sd="0" x="12417"/>
        <item sd="0" x="12418"/>
        <item sd="0" x="12419"/>
        <item sd="0" x="12420"/>
        <item sd="0" x="12421"/>
        <item sd="0" x="11973"/>
        <item sd="0" x="12191"/>
        <item sd="0" x="12192"/>
        <item sd="0" x="12193"/>
        <item sd="0" x="12194"/>
        <item sd="0" x="12195"/>
        <item sd="0" x="12196"/>
        <item sd="0" x="12197"/>
        <item sd="0" x="12198"/>
        <item sd="0" x="12199"/>
        <item sd="0" x="12200"/>
        <item sd="0" x="12201"/>
        <item sd="0" x="12202"/>
        <item sd="0" x="12203"/>
        <item sd="0" x="12204"/>
        <item sd="0" x="11987"/>
        <item sd="0" x="12206"/>
        <item sd="0" x="12207"/>
        <item sd="0" x="12208"/>
        <item sd="0" x="12209"/>
        <item sd="0" x="12210"/>
        <item sd="0" x="12211"/>
        <item sd="0" x="12212"/>
        <item sd="0" x="12213"/>
        <item sd="0" x="12214"/>
        <item sd="0" x="12215"/>
        <item sd="0" x="12216"/>
        <item sd="0" x="12217"/>
        <item sd="0" x="12218"/>
        <item sd="0" x="12002"/>
        <item sd="0" x="12220"/>
        <item sd="0" x="12221"/>
        <item sd="0" x="12222"/>
        <item sd="0" x="12223"/>
        <item sd="0" x="12224"/>
        <item sd="0" x="12225"/>
        <item sd="0" x="12226"/>
        <item sd="0" x="12227"/>
        <item sd="0" x="12228"/>
        <item sd="0" x="12229"/>
        <item sd="0" x="12230"/>
        <item sd="0" x="12231"/>
        <item sd="0" x="12232"/>
        <item sd="0" x="12233"/>
        <item sd="0" x="12016"/>
        <item sd="0" x="12235"/>
        <item sd="0" x="12236"/>
        <item sd="0" x="12237"/>
        <item sd="0" x="12238"/>
        <item sd="0" x="12239"/>
        <item sd="0" x="12240"/>
        <item sd="0" x="12241"/>
        <item sd="0" x="12242"/>
        <item sd="0" x="12243"/>
        <item sd="0" x="12244"/>
        <item sd="0" x="12245"/>
        <item sd="0" x="12246"/>
        <item sd="0" x="12247"/>
        <item sd="0" x="12031"/>
        <item sd="0" x="12249"/>
        <item sd="0" x="12250"/>
        <item sd="0" x="12251"/>
        <item sd="0" x="12252"/>
        <item sd="0" x="12253"/>
        <item sd="0" x="12254"/>
        <item sd="0" x="12255"/>
        <item sd="0" x="12256"/>
        <item sd="0" x="12257"/>
        <item sd="0" x="12258"/>
        <item sd="0" x="12259"/>
        <item sd="0" x="12260"/>
        <item sd="0" x="12261"/>
        <item sd="0" x="12262"/>
        <item sd="0" x="12045"/>
        <item sd="0" x="12264"/>
        <item sd="0" x="12265"/>
        <item sd="0" x="12266"/>
        <item sd="0" x="12267"/>
        <item sd="0" x="12268"/>
        <item sd="0" x="12269"/>
        <item sd="0" x="12270"/>
        <item sd="0" x="12271"/>
        <item sd="0" x="12272"/>
        <item sd="0" x="12273"/>
        <item sd="0" x="12274"/>
        <item sd="0" x="12275"/>
        <item sd="0" x="12276"/>
        <item sd="0" x="12060"/>
        <item sd="0" x="12278"/>
        <item sd="0" x="12279"/>
        <item sd="0" x="12280"/>
        <item sd="0" x="12281"/>
        <item sd="0" x="12282"/>
        <item sd="0" x="12283"/>
        <item sd="0" x="12284"/>
        <item sd="0" x="12285"/>
        <item sd="0" x="12286"/>
        <item sd="0" x="12287"/>
        <item sd="0" x="12288"/>
        <item sd="0" x="12289"/>
        <item sd="0" x="12290"/>
        <item sd="0" x="12291"/>
        <item sd="0" x="12074"/>
        <item sd="0" x="12293"/>
        <item sd="0" x="12294"/>
        <item sd="0" x="12295"/>
        <item sd="0" x="12296"/>
        <item sd="0" x="12297"/>
        <item sd="0" x="12298"/>
        <item sd="0" x="12299"/>
        <item sd="0" x="12300"/>
        <item sd="0" x="12301"/>
        <item sd="0" x="12302"/>
        <item sd="0" x="12303"/>
        <item sd="0" x="12304"/>
        <item sd="0" x="12305"/>
        <item sd="0" x="12089"/>
        <item sd="0" x="12307"/>
        <item sd="0" x="12308"/>
        <item sd="0" x="12309"/>
        <item sd="0" x="12310"/>
        <item sd="0" x="12311"/>
        <item sd="0" x="12312"/>
        <item sd="0" x="12313"/>
        <item sd="0" x="12314"/>
        <item sd="0" x="12315"/>
        <item sd="0" x="12316"/>
        <item sd="0" x="12317"/>
        <item sd="0" x="12318"/>
        <item sd="0" m="1" x="15148"/>
        <item sd="0" x="12319"/>
        <item sd="0" x="12320"/>
        <item sd="0" x="12094"/>
        <item sd="0" x="12095"/>
        <item sd="0" x="12096"/>
        <item sd="0" x="12097"/>
        <item sd="0" x="12098"/>
        <item sd="0" x="12099"/>
        <item sd="0" x="12100"/>
        <item sd="0" x="12101"/>
        <item sd="0" x="12102"/>
        <item sd="0" x="12103"/>
        <item sd="0" x="12322"/>
        <item sd="0" x="12323"/>
        <item sd="0" x="12324"/>
        <item sd="0" x="12325"/>
        <item sd="0" x="12109"/>
        <item sd="0" x="12110"/>
        <item sd="0" x="12111"/>
        <item sd="0" x="12112"/>
        <item sd="0" x="12113"/>
        <item sd="0" x="12114"/>
        <item sd="0" x="12115"/>
        <item sd="0" x="12116"/>
        <item sd="0" x="12117"/>
        <item sd="0" x="12118"/>
        <item sd="0" x="12336"/>
        <item sd="0" x="12337"/>
        <item sd="0" x="12338"/>
        <item sd="0" x="12339"/>
        <item sd="0" x="12340"/>
        <item sd="0" x="12364"/>
        <item sd="0" x="12583"/>
        <item sd="0" x="12584"/>
        <item sd="0" x="12585"/>
        <item sd="0" x="12586"/>
        <item sd="0" x="12587"/>
        <item sd="0" x="12588"/>
        <item sd="0" x="12589"/>
        <item sd="0" x="12590"/>
        <item sd="0" x="12591"/>
        <item sd="0" x="12592"/>
        <item sd="0" x="12593"/>
        <item sd="0" x="12594"/>
        <item sd="0" x="12595"/>
        <item sd="0" x="12379"/>
        <item sd="0" x="12597"/>
        <item sd="0" x="12598"/>
        <item sd="0" x="12599"/>
        <item sd="0" x="12600"/>
        <item sd="0" x="12601"/>
        <item sd="0" x="12602"/>
        <item sd="0" x="12603"/>
        <item sd="0" x="12604"/>
        <item sd="0" x="12605"/>
        <item sd="0" x="12606"/>
        <item sd="0" x="12607"/>
        <item sd="0" x="12608"/>
        <item sd="0" x="12609"/>
        <item sd="0" x="12610"/>
        <item sd="0" x="12393"/>
        <item sd="0" x="12612"/>
        <item sd="0" x="12613"/>
        <item sd="0" x="12614"/>
        <item sd="0" x="12615"/>
        <item sd="0" x="12616"/>
        <item sd="0" x="12617"/>
        <item sd="0" x="12618"/>
        <item sd="0" x="12619"/>
        <item sd="0" x="12620"/>
        <item sd="0" x="12621"/>
        <item sd="0" x="12622"/>
        <item sd="0" x="12623"/>
        <item sd="0" x="12624"/>
        <item sd="0" x="12408"/>
        <item sd="0" x="12626"/>
        <item sd="0" x="12627"/>
        <item sd="0" x="12628"/>
        <item sd="0" x="12629"/>
        <item sd="0" x="12630"/>
        <item sd="0" x="12631"/>
        <item sd="0" x="12632"/>
        <item sd="0" x="12633"/>
        <item sd="0" x="12634"/>
        <item sd="0" x="12635"/>
        <item sd="0" x="12636"/>
        <item sd="0" x="12637"/>
        <item sd="0" x="12638"/>
        <item sd="0" x="12639"/>
        <item sd="0" x="12422"/>
        <item sd="0" x="12641"/>
        <item sd="0" x="12642"/>
        <item sd="0" x="12643"/>
        <item sd="0" x="12644"/>
        <item sd="0" x="12645"/>
        <item sd="0" x="12646"/>
        <item sd="0" x="12647"/>
        <item sd="0" x="12648"/>
        <item sd="0" x="12649"/>
        <item sd="0" x="12650"/>
        <item sd="0" x="12651"/>
        <item sd="0" x="12652"/>
        <item sd="0" x="12653"/>
        <item sd="0" x="12205"/>
        <item sd="0" x="12423"/>
        <item sd="0" x="12424"/>
        <item sd="0" x="12425"/>
        <item sd="0" x="12426"/>
        <item sd="0" x="12427"/>
        <item sd="0" x="12428"/>
        <item sd="0" x="12429"/>
        <item sd="0" x="12430"/>
        <item sd="0" x="12431"/>
        <item sd="0" x="12432"/>
        <item sd="0" x="12433"/>
        <item sd="0" x="12434"/>
        <item sd="0" x="12435"/>
        <item sd="0" x="12436"/>
        <item sd="0" x="12219"/>
        <item sd="0" x="12438"/>
        <item sd="0" x="12439"/>
        <item sd="0" x="12440"/>
        <item sd="0" x="12441"/>
        <item sd="0" x="12442"/>
        <item sd="0" x="12443"/>
        <item sd="0" x="12444"/>
        <item sd="0" x="12445"/>
        <item sd="0" x="12446"/>
        <item sd="0" x="12447"/>
        <item sd="0" x="12448"/>
        <item sd="0" x="12449"/>
        <item sd="0" x="12450"/>
        <item sd="0" x="12234"/>
        <item sd="0" x="12452"/>
        <item sd="0" x="12453"/>
        <item sd="0" x="12454"/>
        <item sd="0" x="12455"/>
        <item sd="0" x="12456"/>
        <item sd="0" x="12457"/>
        <item sd="0" x="12458"/>
        <item sd="0" x="12459"/>
        <item sd="0" x="12460"/>
        <item sd="0" x="12461"/>
        <item sd="0" x="12462"/>
        <item sd="0" x="12463"/>
        <item sd="0" x="12464"/>
        <item sd="0" x="12465"/>
        <item sd="0" x="12248"/>
        <item sd="0" x="12467"/>
        <item sd="0" x="12468"/>
        <item sd="0" x="12469"/>
        <item sd="0" x="12470"/>
        <item sd="0" x="12471"/>
        <item sd="0" x="12472"/>
        <item sd="0" x="12473"/>
        <item sd="0" x="12474"/>
        <item sd="0" x="12475"/>
        <item sd="0" x="12476"/>
        <item sd="0" x="12477"/>
        <item sd="0" x="12478"/>
        <item sd="0" x="12479"/>
        <item sd="0" x="12263"/>
        <item sd="0" x="12481"/>
        <item sd="0" x="12482"/>
        <item sd="0" x="12483"/>
        <item sd="0" x="12484"/>
        <item sd="0" x="12485"/>
        <item sd="0" x="12486"/>
        <item sd="0" x="12487"/>
        <item sd="0" x="12488"/>
        <item sd="0" x="12489"/>
        <item sd="0" x="12490"/>
        <item sd="0" x="12491"/>
        <item sd="0" x="12492"/>
        <item sd="0" x="12493"/>
        <item sd="0" x="12494"/>
        <item sd="0" x="12277"/>
        <item sd="0" x="12496"/>
        <item sd="0" x="12497"/>
        <item sd="0" x="12498"/>
        <item sd="0" x="12499"/>
        <item sd="0" x="12500"/>
        <item sd="0" x="12501"/>
        <item sd="0" x="12502"/>
        <item sd="0" x="12503"/>
        <item sd="0" x="12504"/>
        <item sd="0" x="12505"/>
        <item sd="0" x="12506"/>
        <item sd="0" x="12507"/>
        <item sd="0" x="12508"/>
        <item sd="0" x="12292"/>
        <item sd="0" x="12510"/>
        <item sd="0" x="12511"/>
        <item sd="0" x="12512"/>
        <item sd="0" x="12513"/>
        <item sd="0" x="12514"/>
        <item sd="0" x="12515"/>
        <item sd="0" x="12516"/>
        <item sd="0" x="12517"/>
        <item sd="0" x="12518"/>
        <item sd="0" x="12519"/>
        <item sd="0" x="12520"/>
        <item sd="0" x="12521"/>
        <item sd="0" x="12522"/>
        <item sd="0" x="12523"/>
        <item sd="0" x="12306"/>
        <item sd="0" x="12525"/>
        <item sd="0" x="12526"/>
        <item sd="0" x="12527"/>
        <item sd="0" x="12528"/>
        <item sd="0" x="12529"/>
        <item sd="0" x="12530"/>
        <item sd="0" x="12531"/>
        <item sd="0" x="12532"/>
        <item sd="0" x="12533"/>
        <item sd="0" x="12534"/>
        <item sd="0" x="12535"/>
        <item sd="0" x="12536"/>
        <item sd="0" x="12537"/>
        <item sd="0" x="12321"/>
        <item sd="0" x="12539"/>
        <item sd="0" x="12540"/>
        <item sd="0" x="12541"/>
        <item sd="0" x="12542"/>
        <item sd="0" x="12543"/>
        <item sd="0" x="12544"/>
        <item sd="0" x="12545"/>
        <item sd="0" x="12546"/>
        <item sd="0" x="12547"/>
        <item sd="0" x="12548"/>
        <item sd="0" x="12549"/>
        <item sd="0" x="12550"/>
        <item sd="0" x="12551"/>
        <item sd="0" x="12552"/>
        <item sd="0" x="12326"/>
        <item sd="0" x="12327"/>
        <item sd="0" x="12328"/>
        <item sd="0" x="12329"/>
        <item sd="0" x="12330"/>
        <item sd="0" x="12331"/>
        <item sd="0" x="12332"/>
        <item sd="0" x="12333"/>
        <item sd="0" x="12334"/>
        <item sd="0" x="12335"/>
        <item sd="0" x="12554"/>
        <item sd="0" x="12555"/>
        <item sd="0" x="12556"/>
        <item sd="0" x="12557"/>
        <item sd="0" x="12341"/>
        <item sd="0" x="12342"/>
        <item sd="0" x="12343"/>
        <item sd="0" x="12344"/>
        <item sd="0" x="12345"/>
        <item sd="0" x="12346"/>
        <item sd="0" x="12347"/>
        <item sd="0" x="12348"/>
        <item sd="0" x="12349"/>
        <item sd="0" x="12350"/>
        <item sd="0" x="12568"/>
        <item sd="0" x="12569"/>
        <item sd="0" x="12570"/>
        <item sd="0" x="12571"/>
        <item sd="0" x="12572"/>
        <item sd="0" x="12596"/>
        <item sd="0" x="12815"/>
        <item sd="0" x="12816"/>
        <item sd="0" x="12817"/>
        <item sd="0" x="12818"/>
        <item sd="0" x="12819"/>
        <item sd="0" x="12820"/>
        <item sd="0" x="12821"/>
        <item sd="0" x="12822"/>
        <item sd="0" x="12823"/>
        <item sd="0" x="12824"/>
        <item sd="0" x="12825"/>
        <item sd="0" x="12826"/>
        <item sd="0" x="12827"/>
        <item sd="0" x="12611"/>
        <item sd="0" x="12829"/>
        <item sd="0" x="12830"/>
        <item sd="0" x="12831"/>
        <item sd="0" x="12832"/>
        <item sd="0" x="12833"/>
        <item sd="0" x="12834"/>
        <item sd="0" x="12835"/>
        <item sd="0" x="12836"/>
        <item sd="0" x="12837"/>
        <item sd="0" x="12838"/>
        <item sd="0" x="12839"/>
        <item sd="0" x="12840"/>
        <item sd="0" x="12841"/>
        <item sd="0" x="12842"/>
        <item sd="0" x="12625"/>
        <item sd="0" x="12844"/>
        <item sd="0" x="12845"/>
        <item sd="0" x="12846"/>
        <item sd="0" x="12847"/>
        <item sd="0" x="12848"/>
        <item sd="0" x="12849"/>
        <item sd="0" x="12850"/>
        <item sd="0" x="12851"/>
        <item sd="0" x="12852"/>
        <item sd="0" x="12853"/>
        <item sd="0" x="12854"/>
        <item sd="0" x="12855"/>
        <item sd="0" x="12856"/>
        <item sd="0" x="12640"/>
        <item sd="0" x="12858"/>
        <item sd="0" x="12859"/>
        <item sd="0" x="12860"/>
        <item sd="0" x="12861"/>
        <item sd="0" x="12862"/>
        <item sd="0" x="12863"/>
        <item sd="0" x="12864"/>
        <item sd="0" x="12865"/>
        <item sd="0" x="12866"/>
        <item sd="0" x="12867"/>
        <item sd="0" x="12868"/>
        <item sd="0" x="12869"/>
        <item sd="0" x="12870"/>
        <item sd="0" x="12871"/>
        <item sd="0" x="12654"/>
        <item sd="0" x="12873"/>
        <item sd="0" x="12874"/>
        <item sd="0" x="12875"/>
        <item sd="0" x="12876"/>
        <item sd="0" x="12877"/>
        <item sd="0" x="12878"/>
        <item sd="0" x="12879"/>
        <item sd="0" x="12880"/>
        <item sd="0" x="12881"/>
        <item sd="0" x="12882"/>
        <item sd="0" x="12883"/>
        <item sd="0" x="12884"/>
        <item sd="0" x="12885"/>
        <item sd="0" x="12437"/>
        <item sd="0" x="12655"/>
        <item sd="0" x="12656"/>
        <item sd="0" x="12657"/>
        <item sd="0" x="12658"/>
        <item sd="0" x="12659"/>
        <item sd="0" x="12660"/>
        <item sd="0" x="12661"/>
        <item sd="0" x="12662"/>
        <item sd="0" x="12663"/>
        <item sd="0" x="12664"/>
        <item sd="0" x="12665"/>
        <item sd="0" x="12666"/>
        <item sd="0" x="12667"/>
        <item sd="0" x="12668"/>
        <item sd="0" x="12451"/>
        <item sd="0" x="12670"/>
        <item sd="0" x="12671"/>
        <item sd="0" x="12672"/>
        <item sd="0" x="12673"/>
        <item sd="0" x="12674"/>
        <item sd="0" x="12675"/>
        <item sd="0" x="12676"/>
        <item sd="0" x="12677"/>
        <item sd="0" x="12678"/>
        <item sd="0" x="12679"/>
        <item sd="0" x="12680"/>
        <item sd="0" x="12681"/>
        <item sd="0" x="12682"/>
        <item sd="0" x="12466"/>
        <item sd="0" x="12684"/>
        <item sd="0" x="12685"/>
        <item sd="0" x="12686"/>
        <item sd="0" x="12687"/>
        <item sd="0" x="12688"/>
        <item sd="0" x="12689"/>
        <item sd="0" x="12690"/>
        <item sd="0" x="12691"/>
        <item sd="0" x="12692"/>
        <item sd="0" x="12693"/>
        <item sd="0" x="12694"/>
        <item sd="0" x="12695"/>
        <item sd="0" x="12696"/>
        <item sd="0" x="12697"/>
        <item sd="0" x="12480"/>
        <item sd="0" x="12699"/>
        <item sd="0" x="12700"/>
        <item sd="0" x="12701"/>
        <item sd="0" x="12702"/>
        <item sd="0" x="12703"/>
        <item sd="0" x="12704"/>
        <item sd="0" x="12705"/>
        <item sd="0" x="12706"/>
        <item sd="0" x="12707"/>
        <item sd="0" x="12708"/>
        <item sd="0" x="12709"/>
        <item sd="0" x="12710"/>
        <item sd="0" x="12711"/>
        <item sd="0" x="12495"/>
        <item sd="0" x="12713"/>
        <item sd="0" x="12714"/>
        <item sd="0" x="12715"/>
        <item sd="0" x="12716"/>
        <item sd="0" x="12717"/>
        <item sd="0" x="12718"/>
        <item sd="0" x="12719"/>
        <item sd="0" x="12720"/>
        <item sd="0" x="12721"/>
        <item sd="0" x="12722"/>
        <item sd="0" x="12723"/>
        <item sd="0" x="12724"/>
        <item sd="0" x="12725"/>
        <item sd="0" x="12726"/>
        <item sd="0" x="12509"/>
        <item sd="0" x="12728"/>
        <item sd="0" x="12729"/>
        <item sd="0" x="12730"/>
        <item sd="0" x="12731"/>
        <item sd="0" x="12732"/>
        <item sd="0" x="12733"/>
        <item sd="0" x="12734"/>
        <item sd="0" x="12735"/>
        <item sd="0" x="12736"/>
        <item sd="0" x="12737"/>
        <item sd="0" x="12738"/>
        <item sd="0" x="12739"/>
        <item sd="0" x="12740"/>
        <item sd="0" x="12524"/>
        <item sd="0" x="12742"/>
        <item sd="0" x="12743"/>
        <item sd="0" x="12744"/>
        <item sd="0" x="12745"/>
        <item sd="0" x="12746"/>
        <item sd="0" x="12747"/>
        <item sd="0" x="12748"/>
        <item sd="0" x="12749"/>
        <item sd="0" x="12750"/>
        <item sd="0" x="12751"/>
        <item sd="0" x="12752"/>
        <item sd="0" x="12753"/>
        <item sd="0" x="12754"/>
        <item sd="0" x="12755"/>
        <item sd="0" x="12538"/>
        <item sd="0" x="12757"/>
        <item sd="0" x="12758"/>
        <item sd="0" x="12759"/>
        <item sd="0" x="12760"/>
        <item sd="0" x="12761"/>
        <item sd="0" x="12762"/>
        <item sd="0" x="12763"/>
        <item sd="0" x="12764"/>
        <item sd="0" x="12765"/>
        <item sd="0" x="12766"/>
        <item sd="0" x="12767"/>
        <item sd="0" x="12768"/>
        <item sd="0" x="12769"/>
        <item sd="0" x="12553"/>
        <item sd="0" x="12771"/>
        <item sd="0" x="12772"/>
        <item sd="0" x="12773"/>
        <item sd="0" x="12774"/>
        <item sd="0" x="12775"/>
        <item sd="0" x="12776"/>
        <item sd="0" x="12777"/>
        <item sd="0" x="12778"/>
        <item sd="0" x="12779"/>
        <item sd="0" x="12780"/>
        <item sd="0" x="12781"/>
        <item sd="0" x="12782"/>
        <item sd="0" x="12783"/>
        <item sd="0" x="12784"/>
        <item sd="0" x="12558"/>
        <item sd="0" x="12559"/>
        <item sd="0" x="12560"/>
        <item sd="0" x="12561"/>
        <item sd="0" x="12562"/>
        <item sd="0" x="12563"/>
        <item sd="0" x="12564"/>
        <item sd="0" x="12565"/>
        <item sd="0" x="12566"/>
        <item sd="0" x="12567"/>
        <item sd="0" x="12786"/>
        <item sd="0" x="12787"/>
        <item sd="0" x="12788"/>
        <item sd="0" x="12789"/>
        <item sd="0" m="1" x="15149"/>
        <item sd="0" x="12573"/>
        <item sd="0" x="12574"/>
        <item sd="0" x="12575"/>
        <item sd="0" x="12576"/>
        <item sd="0" x="12577"/>
        <item sd="0" x="12578"/>
        <item sd="0" x="12579"/>
        <item sd="0" x="12580"/>
        <item sd="0" x="12581"/>
        <item sd="0" x="12582"/>
        <item sd="0" x="12800"/>
        <item sd="0" x="12801"/>
        <item sd="0" x="12802"/>
        <item sd="0" x="12803"/>
        <item sd="0" x="12804"/>
        <item sd="0" x="12828"/>
        <item sd="0" x="13047"/>
        <item sd="0" x="13048"/>
        <item sd="0" x="13049"/>
        <item sd="0" x="13050"/>
        <item sd="0" x="13051"/>
        <item sd="0" x="13052"/>
        <item sd="0" x="13053"/>
        <item sd="0" x="13054"/>
        <item sd="0" x="13055"/>
        <item sd="0" x="13056"/>
        <item sd="0" x="13057"/>
        <item sd="0" x="13058"/>
        <item sd="0" x="13059"/>
        <item sd="0" x="12843"/>
        <item sd="0" x="13061"/>
        <item sd="0" x="13062"/>
        <item sd="0" x="13063"/>
        <item sd="0" x="13064"/>
        <item sd="0" x="13065"/>
        <item sd="0" x="13066"/>
        <item sd="0" x="13067"/>
        <item sd="0" x="13068"/>
        <item sd="0" x="13069"/>
        <item sd="0" x="13070"/>
        <item sd="0" x="13071"/>
        <item sd="0" x="13072"/>
        <item sd="0" x="13073"/>
        <item sd="0" x="13074"/>
        <item sd="0" x="12857"/>
        <item sd="0" x="13076"/>
        <item sd="0" x="13077"/>
        <item sd="0" x="13078"/>
        <item sd="0" x="13079"/>
        <item sd="0" x="13080"/>
        <item sd="0" x="13081"/>
        <item sd="0" x="13082"/>
        <item sd="0" x="13083"/>
        <item sd="0" x="13084"/>
        <item sd="0" x="13085"/>
        <item sd="0" x="13086"/>
        <item sd="0" x="13087"/>
        <item sd="0" x="13088"/>
        <item sd="0" x="12872"/>
        <item sd="0" x="13090"/>
        <item sd="0" x="13091"/>
        <item sd="0" x="13092"/>
        <item sd="0" x="13093"/>
        <item sd="0" x="13094"/>
        <item sd="0" x="13095"/>
        <item sd="0" x="13096"/>
        <item sd="0" x="13097"/>
        <item sd="0" x="13098"/>
        <item sd="0" x="13099"/>
        <item sd="0" x="13100"/>
        <item sd="0" x="13101"/>
        <item sd="0" x="13102"/>
        <item sd="0" x="13103"/>
        <item sd="0" x="12886"/>
        <item sd="0" x="13105"/>
        <item sd="0" x="13106"/>
        <item sd="0" x="13107"/>
        <item sd="0" x="13108"/>
        <item sd="0" x="13109"/>
        <item sd="0" x="13110"/>
        <item sd="0" x="13111"/>
        <item sd="0" x="13112"/>
        <item sd="0" x="13113"/>
        <item sd="0" x="13114"/>
        <item sd="0" x="13115"/>
        <item sd="0" x="13116"/>
        <item sd="0" x="13117"/>
        <item sd="0" x="12669"/>
        <item sd="0" x="12887"/>
        <item sd="0" x="12888"/>
        <item sd="0" x="12889"/>
        <item sd="0" x="12890"/>
        <item sd="0" x="12891"/>
        <item sd="0" x="12892"/>
        <item sd="0" x="12893"/>
        <item sd="0" x="12894"/>
        <item sd="0" x="12895"/>
        <item sd="0" x="12896"/>
        <item sd="0" x="12897"/>
        <item sd="0" x="12898"/>
        <item sd="0" x="12899"/>
        <item sd="0" x="12900"/>
        <item sd="0" x="12683"/>
        <item sd="0" x="12902"/>
        <item sd="0" x="12903"/>
        <item sd="0" x="12904"/>
        <item sd="0" x="12905"/>
        <item sd="0" x="12906"/>
        <item sd="0" x="12907"/>
        <item sd="0" x="12908"/>
        <item sd="0" x="12909"/>
        <item sd="0" x="12910"/>
        <item sd="0" x="12911"/>
        <item sd="0" x="12912"/>
        <item sd="0" x="12913"/>
        <item sd="0" x="12914"/>
        <item sd="0" x="12698"/>
        <item sd="0" x="12916"/>
        <item sd="0" x="12917"/>
        <item sd="0" x="12918"/>
        <item sd="0" x="12919"/>
        <item sd="0" x="12920"/>
        <item sd="0" x="12921"/>
        <item sd="0" x="12922"/>
        <item sd="0" x="12923"/>
        <item sd="0" x="12924"/>
        <item sd="0" x="12925"/>
        <item sd="0" x="12926"/>
        <item sd="0" x="12927"/>
        <item sd="0" x="12928"/>
        <item sd="0" x="12929"/>
        <item sd="0" x="12712"/>
        <item sd="0" x="12931"/>
        <item sd="0" x="12932"/>
        <item sd="0" x="12933"/>
        <item sd="0" x="12934"/>
        <item sd="0" x="12935"/>
        <item sd="0" x="12936"/>
        <item sd="0" x="12937"/>
        <item sd="0" x="12938"/>
        <item sd="0" x="12939"/>
        <item sd="0" x="12940"/>
        <item sd="0" x="12941"/>
        <item sd="0" x="12942"/>
        <item sd="0" x="12943"/>
        <item sd="0" x="12727"/>
        <item sd="0" x="12945"/>
        <item sd="0" x="12946"/>
        <item sd="0" x="12947"/>
        <item sd="0" x="12948"/>
        <item sd="0" x="12949"/>
        <item sd="0" x="12950"/>
        <item sd="0" x="12951"/>
        <item sd="0" x="12952"/>
        <item sd="0" x="12953"/>
        <item sd="0" x="12954"/>
        <item sd="0" x="12955"/>
        <item sd="0" x="12956"/>
        <item sd="0" x="12957"/>
        <item sd="0" x="12958"/>
        <item sd="0" x="12741"/>
        <item sd="0" x="12960"/>
        <item sd="0" x="12961"/>
        <item sd="0" x="12962"/>
        <item sd="0" x="12963"/>
        <item sd="0" x="12964"/>
        <item sd="0" x="12965"/>
        <item sd="0" x="12966"/>
        <item sd="0" x="12967"/>
        <item sd="0" x="12968"/>
        <item sd="0" x="12969"/>
        <item sd="0" x="12970"/>
        <item sd="0" x="12971"/>
        <item sd="0" x="12972"/>
        <item sd="0" x="12756"/>
        <item sd="0" x="12974"/>
        <item sd="0" x="12975"/>
        <item sd="0" x="12976"/>
        <item sd="0" x="12977"/>
        <item sd="0" x="12978"/>
        <item sd="0" x="12979"/>
        <item sd="0" x="12980"/>
        <item sd="0" x="12981"/>
        <item sd="0" x="12982"/>
        <item sd="0" x="12983"/>
        <item sd="0" x="12984"/>
        <item sd="0" x="12985"/>
        <item sd="0" x="12986"/>
        <item sd="0" x="12987"/>
        <item sd="0" x="12770"/>
        <item sd="0" x="12989"/>
        <item sd="0" x="12990"/>
        <item sd="0" x="12991"/>
        <item sd="0" x="12992"/>
        <item sd="0" x="12993"/>
        <item sd="0" x="12994"/>
        <item sd="0" x="12995"/>
        <item sd="0" x="12996"/>
        <item sd="0" x="12997"/>
        <item sd="0" x="12998"/>
        <item sd="0" x="12999"/>
        <item sd="0" x="13000"/>
        <item sd="0" x="13001"/>
        <item sd="0" x="12785"/>
        <item sd="0" x="13003"/>
        <item sd="0" x="13004"/>
        <item sd="0" x="13005"/>
        <item sd="0" x="13006"/>
        <item sd="0" x="13007"/>
        <item sd="0" x="13008"/>
        <item sd="0" x="13009"/>
        <item sd="0" x="13010"/>
        <item sd="0" x="13011"/>
        <item sd="0" x="13012"/>
        <item sd="0" x="13013"/>
        <item sd="0" x="13014"/>
        <item sd="0" x="13015"/>
        <item sd="0" x="13016"/>
        <item sd="0" x="12790"/>
        <item sd="0" x="12791"/>
        <item sd="0" x="12792"/>
        <item sd="0" x="12793"/>
        <item sd="0" x="12794"/>
        <item sd="0" x="12795"/>
        <item sd="0" x="12796"/>
        <item sd="0" x="12797"/>
        <item sd="0" x="12798"/>
        <item sd="0" x="12799"/>
        <item sd="0" x="13018"/>
        <item sd="0" x="13019"/>
        <item sd="0" x="13020"/>
        <item sd="0" x="13021"/>
        <item sd="0" x="12805"/>
        <item sd="0" x="12806"/>
        <item sd="0" x="12807"/>
        <item sd="0" x="12808"/>
        <item sd="0" x="12809"/>
        <item sd="0" x="12810"/>
        <item sd="0" x="12811"/>
        <item sd="0" x="12812"/>
        <item sd="0" x="12813"/>
        <item sd="0" x="12814"/>
        <item sd="0" x="13032"/>
        <item sd="0" x="13033"/>
        <item sd="0" x="13034"/>
        <item sd="0" x="13035"/>
        <item sd="0" x="13036"/>
        <item sd="0" x="13060"/>
        <item sd="0" x="13279"/>
        <item sd="0" x="13280"/>
        <item sd="0" x="13281"/>
        <item sd="0" x="13282"/>
        <item sd="0" x="13283"/>
        <item sd="0" x="13284"/>
        <item sd="0" x="13285"/>
        <item sd="0" x="13286"/>
        <item sd="0" x="13287"/>
        <item sd="0" x="13288"/>
        <item sd="0" x="13289"/>
        <item sd="0" x="13290"/>
        <item sd="0" x="13291"/>
        <item sd="0" x="13075"/>
        <item sd="0" x="13293"/>
        <item sd="0" x="13294"/>
        <item sd="0" x="13295"/>
        <item sd="0" x="13296"/>
        <item sd="0" x="13297"/>
        <item sd="0" x="13298"/>
        <item sd="0" x="13299"/>
        <item sd="0" x="13300"/>
        <item sd="0" x="13301"/>
        <item sd="0" x="13302"/>
        <item sd="0" x="13303"/>
        <item sd="0" x="13304"/>
        <item sd="0" x="13305"/>
        <item sd="0" x="13306"/>
        <item sd="0" x="13089"/>
        <item sd="0" x="13308"/>
        <item sd="0" x="13309"/>
        <item sd="0" x="13310"/>
        <item sd="0" x="13311"/>
        <item sd="0" x="13312"/>
        <item sd="0" x="13313"/>
        <item sd="0" x="13314"/>
        <item sd="0" x="13315"/>
        <item sd="0" x="13316"/>
        <item sd="0" x="13317"/>
        <item sd="0" x="13318"/>
        <item sd="0" x="13319"/>
        <item sd="0" x="13320"/>
        <item sd="0" x="13104"/>
        <item sd="0" x="13322"/>
        <item sd="0" x="13323"/>
        <item sd="0" x="13324"/>
        <item sd="0" x="13325"/>
        <item sd="0" x="13326"/>
        <item sd="0" x="13327"/>
        <item sd="0" x="13328"/>
        <item sd="0" x="13329"/>
        <item sd="0" x="13330"/>
        <item sd="0" x="13331"/>
        <item sd="0" x="13332"/>
        <item sd="0" x="13333"/>
        <item sd="0" x="13334"/>
        <item sd="0" x="13335"/>
        <item sd="0" x="13118"/>
        <item sd="0" x="13337"/>
        <item sd="0" x="13338"/>
        <item sd="0" x="13339"/>
        <item sd="0" x="13340"/>
        <item sd="0" x="13341"/>
        <item sd="0" x="13342"/>
        <item sd="0" x="13343"/>
        <item sd="0" x="13344"/>
        <item sd="0" x="13345"/>
        <item sd="0" x="13346"/>
        <item sd="0" x="13347"/>
        <item sd="0" x="13348"/>
        <item sd="0" x="13349"/>
        <item sd="0" x="12901"/>
        <item sd="0" x="13119"/>
        <item sd="0" x="13120"/>
        <item sd="0" x="13121"/>
        <item sd="0" x="13122"/>
        <item sd="0" x="13123"/>
        <item sd="0" x="13124"/>
        <item sd="0" x="13125"/>
        <item sd="0" x="13126"/>
        <item sd="0" x="13127"/>
        <item sd="0" x="13128"/>
        <item sd="0" x="13129"/>
        <item sd="0" x="13130"/>
        <item sd="0" x="13131"/>
        <item sd="0" x="13132"/>
        <item sd="0" x="12915"/>
        <item sd="0" x="13134"/>
        <item sd="0" x="13135"/>
        <item sd="0" x="13136"/>
        <item sd="0" x="13137"/>
        <item sd="0" x="13138"/>
        <item sd="0" x="13139"/>
        <item sd="0" x="13140"/>
        <item sd="0" x="13141"/>
        <item sd="0" x="13142"/>
        <item sd="0" x="13143"/>
        <item sd="0" x="13144"/>
        <item sd="0" x="13145"/>
        <item sd="0" x="13146"/>
        <item sd="0" x="12930"/>
        <item sd="0" x="13148"/>
        <item sd="0" x="13149"/>
        <item sd="0" x="13150"/>
        <item sd="0" x="13151"/>
        <item sd="0" x="13152"/>
        <item sd="0" x="13153"/>
        <item sd="0" x="13154"/>
        <item sd="0" x="13155"/>
        <item sd="0" x="13156"/>
        <item sd="0" x="13157"/>
        <item sd="0" x="13158"/>
        <item sd="0" x="13159"/>
        <item sd="0" x="13160"/>
        <item sd="0" x="13161"/>
        <item sd="0" x="12944"/>
        <item sd="0" x="13163"/>
        <item sd="0" x="13164"/>
        <item sd="0" x="13165"/>
        <item sd="0" x="13166"/>
        <item sd="0" x="13167"/>
        <item sd="0" x="13168"/>
        <item sd="0" x="13169"/>
        <item sd="0" x="13170"/>
        <item sd="0" x="13171"/>
        <item sd="0" x="13172"/>
        <item sd="0" x="13173"/>
        <item sd="0" x="13174"/>
        <item sd="0" x="13175"/>
        <item sd="0" x="12959"/>
        <item sd="0" x="13177"/>
        <item sd="0" x="13178"/>
        <item sd="0" x="13179"/>
        <item sd="0" x="13180"/>
        <item sd="0" x="13181"/>
        <item sd="0" x="13182"/>
        <item sd="0" x="13183"/>
        <item sd="0" x="13184"/>
        <item sd="0" x="13185"/>
        <item sd="0" x="13186"/>
        <item sd="0" x="13187"/>
        <item sd="0" x="13188"/>
        <item sd="0" x="13189"/>
        <item sd="0" x="13190"/>
        <item sd="0" x="12973"/>
        <item sd="0" x="13192"/>
        <item sd="0" x="13193"/>
        <item sd="0" x="13194"/>
        <item sd="0" x="13195"/>
        <item sd="0" x="13196"/>
        <item sd="0" x="13197"/>
        <item sd="0" x="13198"/>
        <item sd="0" x="13199"/>
        <item sd="0" x="13200"/>
        <item sd="0" x="13201"/>
        <item sd="0" x="13202"/>
        <item sd="0" x="13203"/>
        <item sd="0" x="13204"/>
        <item sd="0" x="12988"/>
        <item sd="0" x="13206"/>
        <item sd="0" x="13207"/>
        <item sd="0" x="13208"/>
        <item sd="0" x="13209"/>
        <item sd="0" x="13210"/>
        <item sd="0" x="13211"/>
        <item sd="0" x="13212"/>
        <item sd="0" x="13213"/>
        <item sd="0" x="13214"/>
        <item sd="0" x="13215"/>
        <item sd="0" x="13216"/>
        <item sd="0" x="13217"/>
        <item sd="0" x="13218"/>
        <item sd="0" x="13219"/>
        <item sd="0" x="13002"/>
        <item sd="0" x="13221"/>
        <item sd="0" x="13222"/>
        <item sd="0" x="13223"/>
        <item sd="0" x="13224"/>
        <item sd="0" x="13225"/>
        <item sd="0" x="13226"/>
        <item sd="0" x="13227"/>
        <item sd="0" x="13228"/>
        <item sd="0" x="13229"/>
        <item sd="0" x="13230"/>
        <item sd="0" x="13231"/>
        <item sd="0" x="13232"/>
        <item sd="0" x="13233"/>
        <item sd="0" x="13017"/>
        <item sd="0" x="13235"/>
        <item sd="0" x="13236"/>
        <item sd="0" x="13237"/>
        <item sd="0" x="13238"/>
        <item sd="0" x="13239"/>
        <item sd="0" x="13240"/>
        <item sd="0" x="13241"/>
        <item sd="0" x="13242"/>
        <item sd="0" x="13243"/>
        <item sd="0" x="13244"/>
        <item sd="0" x="13245"/>
        <item sd="0" x="13246"/>
        <item sd="0" x="13247"/>
        <item sd="0" x="13248"/>
        <item sd="0" x="13022"/>
        <item sd="0" x="13023"/>
        <item sd="0" x="13024"/>
        <item sd="0" x="13025"/>
        <item sd="0" x="13026"/>
        <item sd="0" x="13027"/>
        <item sd="0" x="13028"/>
        <item sd="0" x="13029"/>
        <item sd="0" x="13030"/>
        <item sd="0" x="13031"/>
        <item sd="0" x="13250"/>
        <item sd="0" x="13251"/>
        <item sd="0" x="13252"/>
        <item sd="0" x="13253"/>
        <item sd="0" x="13037"/>
        <item sd="0" x="13038"/>
        <item sd="0" x="13039"/>
        <item sd="0" x="13040"/>
        <item sd="0" x="13041"/>
        <item sd="0" x="13042"/>
        <item sd="0" x="13043"/>
        <item sd="0" x="13044"/>
        <item sd="0" x="13045"/>
        <item sd="0" x="13046"/>
        <item sd="0" x="13264"/>
        <item sd="0" x="13265"/>
        <item sd="0" x="13266"/>
        <item sd="0" x="13267"/>
        <item sd="0" x="13268"/>
        <item sd="0" x="13292"/>
        <item sd="0" x="13511"/>
        <item sd="0" x="13512"/>
        <item sd="0" x="13513"/>
        <item sd="0" x="13514"/>
        <item sd="0" x="13515"/>
        <item sd="0" x="13516"/>
        <item sd="0" x="13517"/>
        <item sd="0" x="13518"/>
        <item sd="0" x="13519"/>
        <item sd="0" x="13520"/>
        <item sd="0" x="13521"/>
        <item sd="0" x="13522"/>
        <item sd="0" x="13523"/>
        <item sd="0" x="13307"/>
        <item sd="0" x="13525"/>
        <item sd="0" x="13526"/>
        <item sd="0" x="13527"/>
        <item sd="0" x="13528"/>
        <item sd="0" x="13529"/>
        <item sd="0" x="13530"/>
        <item sd="0" x="13531"/>
        <item sd="0" x="13532"/>
        <item sd="0" x="13533"/>
        <item sd="0" x="13534"/>
        <item sd="0" x="13535"/>
        <item sd="0" x="13536"/>
        <item sd="0" x="13537"/>
        <item sd="0" x="13538"/>
        <item sd="0" x="13321"/>
        <item sd="0" x="13540"/>
        <item sd="0" x="13541"/>
        <item sd="0" x="13542"/>
        <item sd="0" x="13543"/>
        <item sd="0" x="13544"/>
        <item sd="0" x="13545"/>
        <item sd="0" x="13546"/>
        <item sd="0" x="13547"/>
        <item sd="0" x="13548"/>
        <item sd="0" x="13549"/>
        <item sd="0" x="13550"/>
        <item sd="0" x="13551"/>
        <item sd="0" x="13552"/>
        <item sd="0" x="13336"/>
        <item sd="0" x="13554"/>
        <item sd="0" x="13555"/>
        <item sd="0" x="13556"/>
        <item sd="0" x="13557"/>
        <item sd="0" x="13558"/>
        <item sd="0" x="13559"/>
        <item sd="0" x="13560"/>
        <item sd="0" x="13561"/>
        <item sd="0" x="13562"/>
        <item sd="0" x="13563"/>
        <item sd="0" x="13564"/>
        <item sd="0" x="13565"/>
        <item sd="0" x="13566"/>
        <item sd="0" x="13567"/>
        <item sd="0" x="13350"/>
        <item sd="0" x="13569"/>
        <item sd="0" x="13570"/>
        <item sd="0" x="13571"/>
        <item sd="0" x="13572"/>
        <item sd="0" x="13573"/>
        <item sd="0" x="13574"/>
        <item sd="0" x="13575"/>
        <item sd="0" x="13576"/>
        <item sd="0" x="13577"/>
        <item sd="0" x="13578"/>
        <item sd="0" x="13579"/>
        <item sd="0" x="13580"/>
        <item sd="0" x="13581"/>
        <item sd="0" x="13133"/>
        <item sd="0" x="13351"/>
        <item sd="0" x="13352"/>
        <item sd="0" x="13353"/>
        <item sd="0" x="13354"/>
        <item sd="0" x="13355"/>
        <item sd="0" x="13356"/>
        <item sd="0" x="13357"/>
        <item sd="0" x="13358"/>
        <item sd="0" x="13359"/>
        <item sd="0" x="13360"/>
        <item sd="0" x="13361"/>
        <item sd="0" x="13362"/>
        <item sd="0" x="13363"/>
        <item sd="0" x="13364"/>
        <item sd="0" x="13147"/>
        <item sd="0" x="13366"/>
        <item sd="0" x="13367"/>
        <item sd="0" x="13368"/>
        <item sd="0" x="13369"/>
        <item sd="0" x="13370"/>
        <item sd="0" x="13371"/>
        <item sd="0" x="13372"/>
        <item sd="0" x="13373"/>
        <item sd="0" x="13374"/>
        <item sd="0" x="13375"/>
        <item sd="0" x="13376"/>
        <item sd="0" x="13377"/>
        <item sd="0" x="13378"/>
        <item sd="0" x="13162"/>
        <item sd="0" x="13380"/>
        <item sd="0" x="13381"/>
        <item sd="0" x="13382"/>
        <item sd="0" x="13383"/>
        <item sd="0" x="13384"/>
        <item sd="0" x="13385"/>
        <item sd="0" x="13386"/>
        <item sd="0" x="13387"/>
        <item sd="0" x="13388"/>
        <item sd="0" x="13389"/>
        <item sd="0" x="13390"/>
        <item sd="0" x="13391"/>
        <item sd="0" x="13392"/>
        <item sd="0" x="13393"/>
        <item sd="0" x="13176"/>
        <item sd="0" x="13395"/>
        <item sd="0" x="13396"/>
        <item sd="0" x="13397"/>
        <item sd="0" x="13398"/>
        <item sd="0" x="13399"/>
        <item sd="0" x="13400"/>
        <item sd="0" x="13401"/>
        <item sd="0" x="13402"/>
        <item sd="0" x="13403"/>
        <item sd="0" x="13404"/>
        <item sd="0" x="13405"/>
        <item sd="0" x="13406"/>
        <item sd="0" x="13407"/>
        <item sd="0" x="13191"/>
        <item sd="0" x="13409"/>
        <item sd="0" x="13410"/>
        <item sd="0" x="13411"/>
        <item sd="0" x="13412"/>
        <item sd="0" x="13413"/>
        <item sd="0" x="13414"/>
        <item sd="0" x="13415"/>
        <item sd="0" x="13416"/>
        <item sd="0" x="13417"/>
        <item sd="0" x="13418"/>
        <item sd="0" x="13419"/>
        <item sd="0" x="13420"/>
        <item sd="0" x="13421"/>
        <item sd="0" x="13422"/>
        <item sd="0" x="13205"/>
        <item sd="0" x="13424"/>
        <item sd="0" x="13425"/>
        <item sd="0" x="13426"/>
        <item sd="0" x="13427"/>
        <item sd="0" x="13428"/>
        <item sd="0" x="13429"/>
        <item sd="0" x="13430"/>
        <item sd="0" x="13431"/>
        <item sd="0" x="13432"/>
        <item sd="0" x="13433"/>
        <item sd="0" x="13434"/>
        <item sd="0" x="13435"/>
        <item sd="0" x="13436"/>
        <item sd="0" x="13220"/>
        <item sd="0" x="13438"/>
        <item sd="0" x="13439"/>
        <item sd="0" x="13440"/>
        <item sd="0" x="13441"/>
        <item sd="0" x="13442"/>
        <item sd="0" x="13443"/>
        <item sd="0" x="13444"/>
        <item sd="0" x="13445"/>
        <item sd="0" x="13446"/>
        <item sd="0" x="13447"/>
        <item sd="0" x="13448"/>
        <item sd="0" x="13449"/>
        <item sd="0" x="13450"/>
        <item sd="0" x="13451"/>
        <item sd="0" x="13234"/>
        <item sd="0" x="13453"/>
        <item sd="0" x="13454"/>
        <item sd="0" x="13455"/>
        <item sd="0" x="13456"/>
        <item sd="0" x="13457"/>
        <item sd="0" x="13458"/>
        <item sd="0" x="13459"/>
        <item sd="0" x="13460"/>
        <item sd="0" x="13461"/>
        <item sd="0" x="13462"/>
        <item sd="0" x="13463"/>
        <item sd="0" x="13464"/>
        <item sd="0" x="13465"/>
        <item sd="0" x="13249"/>
        <item sd="0" x="13467"/>
        <item sd="0" x="13468"/>
        <item sd="0" x="13469"/>
        <item sd="0" x="13470"/>
        <item sd="0" x="13471"/>
        <item sd="0" x="13472"/>
        <item sd="0" x="13473"/>
        <item sd="0" x="13474"/>
        <item sd="0" x="13475"/>
        <item sd="0" x="13476"/>
        <item sd="0" x="13477"/>
        <item sd="0" x="13478"/>
        <item sd="0" x="13479"/>
        <item sd="0" x="13480"/>
        <item sd="0" x="13254"/>
        <item sd="0" x="13255"/>
        <item sd="0" x="13256"/>
        <item sd="0" x="13257"/>
        <item sd="0" x="13258"/>
        <item sd="0" x="13259"/>
        <item sd="0" x="13260"/>
        <item sd="0" x="13261"/>
        <item sd="0" x="13262"/>
        <item sd="0" x="13263"/>
        <item sd="0" x="13482"/>
        <item sd="0" x="13483"/>
        <item sd="0" x="13484"/>
        <item sd="0" x="13485"/>
        <item sd="0" x="13269"/>
        <item sd="0" x="13270"/>
        <item sd="0" x="13271"/>
        <item sd="0" x="13272"/>
        <item sd="0" x="13273"/>
        <item sd="0" x="13274"/>
        <item sd="0" x="13275"/>
        <item sd="0" x="13276"/>
        <item sd="0" x="13277"/>
        <item sd="0" x="13278"/>
        <item sd="0" x="13496"/>
        <item sd="0" x="13497"/>
        <item sd="0" x="13498"/>
        <item sd="0" x="13499"/>
        <item sd="0" x="13500"/>
        <item sd="0" x="13524"/>
        <item sd="0" x="13743"/>
        <item sd="0" x="13744"/>
        <item sd="0" x="13745"/>
        <item sd="0" x="13746"/>
        <item sd="0" x="13747"/>
        <item sd="0" x="13748"/>
        <item sd="0" x="13749"/>
        <item sd="0" x="13750"/>
        <item sd="0" x="13751"/>
        <item sd="0" x="13752"/>
        <item sd="0" x="13753"/>
        <item sd="0" x="13754"/>
        <item sd="0" x="13755"/>
        <item sd="0" x="13539"/>
        <item sd="0" x="13757"/>
        <item sd="0" x="13758"/>
        <item sd="0" x="13759"/>
        <item sd="0" x="13760"/>
        <item sd="0" x="13761"/>
        <item sd="0" x="13762"/>
        <item sd="0" x="13763"/>
        <item sd="0" x="13764"/>
        <item sd="0" x="13765"/>
        <item sd="0" x="13766"/>
        <item sd="0" x="13767"/>
        <item sd="0" x="13768"/>
        <item sd="0" x="13769"/>
        <item sd="0" x="13770"/>
        <item sd="0" x="13553"/>
        <item sd="0" x="13772"/>
        <item sd="0" x="13773"/>
        <item sd="0" x="13774"/>
        <item sd="0" x="13775"/>
        <item sd="0" x="13776"/>
        <item sd="0" x="13777"/>
        <item sd="0" x="13778"/>
        <item sd="0" x="13779"/>
        <item sd="0" x="13780"/>
        <item sd="0" x="13781"/>
        <item sd="0" x="13782"/>
        <item sd="0" x="13783"/>
        <item sd="0" x="13784"/>
        <item sd="0" x="13568"/>
        <item sd="0" x="13786"/>
        <item sd="0" x="13787"/>
        <item sd="0" x="13788"/>
        <item sd="0" x="13789"/>
        <item sd="0" x="13790"/>
        <item sd="0" x="13791"/>
        <item sd="0" x="13792"/>
        <item sd="0" x="13793"/>
        <item sd="0" x="13794"/>
        <item sd="0" x="13795"/>
        <item sd="0" x="13796"/>
        <item sd="0" x="13797"/>
        <item sd="0" x="13798"/>
        <item sd="0" x="13799"/>
        <item sd="0" x="13582"/>
        <item sd="0" x="13801"/>
        <item sd="0" x="13802"/>
        <item sd="0" x="13803"/>
        <item sd="0" x="13804"/>
        <item sd="0" x="13805"/>
        <item sd="0" x="13806"/>
        <item sd="0" x="13807"/>
        <item sd="0" x="13808"/>
        <item sd="0" x="13809"/>
        <item sd="0" x="13810"/>
        <item sd="0" x="13811"/>
        <item sd="0" x="13812"/>
        <item sd="0" x="13813"/>
        <item sd="0" x="13365"/>
        <item sd="0" x="13583"/>
        <item sd="0" x="13584"/>
        <item sd="0" x="13585"/>
        <item sd="0" x="13586"/>
        <item sd="0" x="13587"/>
        <item sd="0" x="13588"/>
        <item sd="0" x="13589"/>
        <item sd="0" x="13590"/>
        <item sd="0" x="13591"/>
        <item sd="0" x="13592"/>
        <item sd="0" x="13593"/>
        <item sd="0" x="13594"/>
        <item sd="0" x="13595"/>
        <item sd="0" x="13596"/>
        <item sd="0" x="13379"/>
        <item sd="0" x="13598"/>
        <item sd="0" x="13599"/>
        <item sd="0" x="13600"/>
        <item sd="0" x="13601"/>
        <item sd="0" x="13602"/>
        <item sd="0" x="13603"/>
        <item sd="0" x="13604"/>
        <item sd="0" x="13605"/>
        <item sd="0" x="13606"/>
        <item sd="0" x="13607"/>
        <item sd="0" x="13608"/>
        <item sd="0" x="13609"/>
        <item sd="0" x="13610"/>
        <item sd="0" x="13394"/>
        <item sd="0" x="13612"/>
        <item sd="0" x="13613"/>
        <item sd="0" x="13614"/>
        <item sd="0" x="13615"/>
        <item sd="0" x="13616"/>
        <item sd="0" x="13617"/>
        <item sd="0" x="13618"/>
        <item sd="0" x="13619"/>
        <item sd="0" x="13620"/>
        <item sd="0" x="13621"/>
        <item sd="0" x="13622"/>
        <item sd="0" x="13623"/>
        <item sd="0" x="13624"/>
        <item sd="0" x="13625"/>
        <item sd="0" x="13408"/>
        <item sd="0" x="13627"/>
        <item sd="0" x="13628"/>
        <item sd="0" x="13629"/>
        <item sd="0" x="13630"/>
        <item sd="0" x="13631"/>
        <item sd="0" x="13632"/>
        <item sd="0" x="13633"/>
        <item sd="0" x="13634"/>
        <item sd="0" x="13635"/>
        <item sd="0" x="13636"/>
        <item sd="0" x="13637"/>
        <item sd="0" x="13638"/>
        <item sd="0" x="13639"/>
        <item sd="0" x="13423"/>
        <item sd="0" x="13641"/>
        <item sd="0" x="13642"/>
        <item sd="0" x="13643"/>
        <item sd="0" x="13644"/>
        <item sd="0" x="13645"/>
        <item sd="0" x="13646"/>
        <item sd="0" x="13647"/>
        <item sd="0" x="13648"/>
        <item sd="0" x="13649"/>
        <item sd="0" x="13650"/>
        <item sd="0" x="13651"/>
        <item sd="0" x="13652"/>
        <item sd="0" x="13653"/>
        <item sd="0" x="13654"/>
        <item sd="0" x="13437"/>
        <item sd="0" x="13656"/>
        <item sd="0" x="13657"/>
        <item sd="0" x="13658"/>
        <item sd="0" x="13659"/>
        <item sd="0" x="13660"/>
        <item sd="0" x="13661"/>
        <item sd="0" x="13662"/>
        <item sd="0" x="13663"/>
        <item sd="0" x="13664"/>
        <item sd="0" x="13665"/>
        <item sd="0" x="13666"/>
        <item sd="0" x="13667"/>
        <item sd="0" x="13668"/>
        <item sd="0" x="13452"/>
        <item sd="0" x="13670"/>
        <item sd="0" x="13671"/>
        <item sd="0" x="13672"/>
        <item sd="0" x="13673"/>
        <item sd="0" x="13674"/>
        <item sd="0" x="13675"/>
        <item sd="0" x="13676"/>
        <item sd="0" x="13677"/>
        <item sd="0" x="13678"/>
        <item sd="0" x="13679"/>
        <item sd="0" x="13680"/>
        <item sd="0" x="13681"/>
        <item sd="0" x="13682"/>
        <item sd="0" x="13683"/>
        <item sd="0" x="13466"/>
        <item sd="0" x="13685"/>
        <item sd="0" x="13686"/>
        <item sd="0" x="13687"/>
        <item sd="0" x="13688"/>
        <item sd="0" x="13689"/>
        <item sd="0" x="13690"/>
        <item sd="0" x="13691"/>
        <item sd="0" x="13692"/>
        <item sd="0" x="13693"/>
        <item sd="0" x="13694"/>
        <item sd="0" x="13695"/>
        <item sd="0" x="13696"/>
        <item sd="0" x="13697"/>
        <item sd="0" x="13481"/>
        <item sd="0" x="13699"/>
        <item sd="0" x="13700"/>
        <item sd="0" x="13701"/>
        <item sd="0" x="13702"/>
        <item sd="0" x="13703"/>
        <item sd="0" x="13704"/>
        <item sd="0" x="13705"/>
        <item sd="0" x="13706"/>
        <item sd="0" x="13707"/>
        <item sd="0" x="13708"/>
        <item sd="0" x="13709"/>
        <item sd="0" x="13710"/>
        <item sd="0" x="13711"/>
        <item sd="0" x="13712"/>
        <item sd="0" x="13486"/>
        <item sd="0" x="13487"/>
        <item sd="0" x="13488"/>
        <item sd="0" x="13489"/>
        <item sd="0" x="13490"/>
        <item sd="0" x="13491"/>
        <item sd="0" x="13492"/>
        <item sd="0" x="13493"/>
        <item sd="0" x="13494"/>
        <item sd="0" x="13495"/>
        <item sd="0" x="13714"/>
        <item sd="0" x="13715"/>
        <item sd="0" x="13716"/>
        <item sd="0" x="13717"/>
        <item sd="0" x="13501"/>
        <item sd="0" x="13502"/>
        <item sd="0" x="13503"/>
        <item sd="0" x="13504"/>
        <item sd="0" x="13505"/>
        <item sd="0" x="13506"/>
        <item sd="0" x="13507"/>
        <item sd="0" x="13508"/>
        <item sd="0" x="13509"/>
        <item sd="0" x="13510"/>
        <item sd="0" x="13728"/>
        <item sd="0" x="13729"/>
        <item sd="0" x="13730"/>
        <item sd="0" x="13731"/>
        <item sd="0" x="13732"/>
        <item sd="0" x="13756"/>
        <item sd="0" x="13954"/>
        <item sd="0" x="13955"/>
        <item sd="0" x="13956"/>
        <item sd="0" x="13957"/>
        <item sd="0" x="13958"/>
        <item sd="0" x="13959"/>
        <item sd="0" x="13960"/>
        <item sd="0" x="13961"/>
        <item sd="0" x="13962"/>
        <item sd="0" x="13963"/>
        <item sd="0" x="13964"/>
        <item sd="0" x="13965"/>
        <item sd="0" x="13966"/>
        <item sd="0" x="13771"/>
        <item sd="0" x="13968"/>
        <item sd="0" x="13969"/>
        <item sd="0" x="13970"/>
        <item sd="0" x="13971"/>
        <item sd="0" x="13972"/>
        <item sd="0" x="13973"/>
        <item sd="0" x="13974"/>
        <item sd="0" x="13975"/>
        <item sd="0" x="13976"/>
        <item sd="0" x="13977"/>
        <item sd="0" x="13978"/>
        <item sd="0" x="13979"/>
        <item sd="0" x="13980"/>
        <item sd="0" x="13981"/>
        <item sd="0" x="13785"/>
        <item sd="0" x="13983"/>
        <item sd="0" x="13984"/>
        <item sd="0" x="13985"/>
        <item sd="0" x="13986"/>
        <item sd="0" x="13987"/>
        <item sd="0" x="13988"/>
        <item sd="0" x="13989"/>
        <item sd="0" x="13990"/>
        <item sd="0" x="13991"/>
        <item sd="0" x="13992"/>
        <item sd="0" x="13993"/>
        <item sd="0" x="13994"/>
        <item sd="0" x="13995"/>
        <item sd="0" x="13800"/>
        <item sd="0" x="13997"/>
        <item sd="0" x="13998"/>
        <item sd="0" x="13999"/>
        <item sd="0" x="14000"/>
        <item sd="0" x="14001"/>
        <item sd="0" x="14002"/>
        <item sd="0" x="14003"/>
        <item sd="0" x="14004"/>
        <item sd="0" x="14005"/>
        <item sd="0" x="14006"/>
        <item sd="0" x="14007"/>
        <item sd="0" x="14008"/>
        <item sd="0" x="14009"/>
        <item sd="0" x="14010"/>
        <item sd="0" x="13814"/>
        <item sd="0" x="14012"/>
        <item sd="0" x="14013"/>
        <item sd="0" x="14014"/>
        <item sd="0" x="14015"/>
        <item sd="0" x="14016"/>
        <item sd="0" x="14017"/>
        <item sd="0" x="14018"/>
        <item sd="0" x="14019"/>
        <item sd="0" x="14020"/>
        <item sd="0" x="14021"/>
        <item sd="0" x="14022"/>
        <item sd="0" x="14023"/>
        <item sd="0" x="14024"/>
        <item sd="0" x="13597"/>
        <item sd="0" x="13815"/>
        <item sd="0" x="13816"/>
        <item sd="0" x="13817"/>
        <item sd="0" x="13818"/>
        <item sd="0" x="13819"/>
        <item sd="0" x="13820"/>
        <item sd="0" x="13821"/>
        <item sd="0" x="13822"/>
        <item sd="0" x="13823"/>
        <item sd="0" x="13824"/>
        <item sd="0" x="13825"/>
        <item sd="0" x="13826"/>
        <item sd="0" x="13827"/>
        <item sd="0" x="13828"/>
        <item sd="0" x="13611"/>
        <item sd="0" x="13830"/>
        <item sd="0" x="13831"/>
        <item sd="0" x="13832"/>
        <item sd="0" x="13833"/>
        <item sd="0" x="13834"/>
        <item sd="0" x="13835"/>
        <item sd="0" x="13836"/>
        <item sd="0" x="13837"/>
        <item sd="0" x="13838"/>
        <item sd="0" x="13839"/>
        <item sd="0" x="13840"/>
        <item sd="0" x="13841"/>
        <item sd="0" x="13842"/>
        <item sd="0" x="13626"/>
        <item sd="0" x="13844"/>
        <item sd="0" x="13845"/>
        <item sd="0" x="13846"/>
        <item sd="0" x="13847"/>
        <item sd="0" x="13848"/>
        <item sd="0" x="13849"/>
        <item sd="0" x="13850"/>
        <item sd="0" x="13851"/>
        <item sd="0" x="13852"/>
        <item sd="0" x="13853"/>
        <item sd="0" x="13854"/>
        <item sd="0" x="13855"/>
        <item sd="0" x="13856"/>
        <item sd="0" x="13857"/>
        <item sd="0" x="13640"/>
        <item sd="0" x="13859"/>
        <item sd="0" x="13860"/>
        <item sd="0" x="13861"/>
        <item sd="0" x="13862"/>
        <item sd="0" x="13863"/>
        <item sd="0" x="13864"/>
        <item sd="0" x="13865"/>
        <item sd="0" x="13866"/>
        <item sd="0" x="13867"/>
        <item sd="0" x="13868"/>
        <item sd="0" x="13869"/>
        <item sd="0" x="13870"/>
        <item sd="0" x="13871"/>
        <item sd="0" x="13655"/>
        <item sd="0" x="13873"/>
        <item sd="0" x="13874"/>
        <item sd="0" x="13875"/>
        <item sd="0" x="13876"/>
        <item sd="0" x="13877"/>
        <item sd="0" x="13878"/>
        <item sd="0" x="13879"/>
        <item sd="0" x="13880"/>
        <item sd="0" x="13881"/>
        <item sd="0" x="13882"/>
        <item sd="0" x="13883"/>
        <item sd="0" x="13884"/>
        <item sd="0" x="13885"/>
        <item sd="0" x="13886"/>
        <item sd="0" x="13669"/>
        <item sd="0" x="13888"/>
        <item sd="0" x="13889"/>
        <item sd="0" x="13890"/>
        <item sd="0" x="13891"/>
        <item sd="0" x="13892"/>
        <item sd="0" x="13893"/>
        <item sd="0" x="13894"/>
        <item sd="0" x="13895"/>
        <item sd="0" x="13896"/>
        <item sd="0" x="13897"/>
        <item sd="0" x="13898"/>
        <item sd="0" x="13899"/>
        <item sd="0" x="13900"/>
        <item sd="0" x="13684"/>
        <item sd="0" x="13902"/>
        <item sd="0" x="13903"/>
        <item sd="0" x="13904"/>
        <item sd="0" x="13905"/>
        <item sd="0" x="13906"/>
        <item sd="0" x="13907"/>
        <item sd="0" x="13908"/>
        <item sd="0" x="13909"/>
        <item sd="0" x="13910"/>
        <item sd="0" x="13911"/>
        <item sd="0" x="13912"/>
        <item sd="0" x="13913"/>
        <item sd="0" x="13914"/>
        <item sd="0" x="13915"/>
        <item sd="0" x="13698"/>
        <item sd="0" x="13917"/>
        <item sd="0" x="13918"/>
        <item sd="0" x="13919"/>
        <item sd="0" x="13920"/>
        <item sd="0" x="13921"/>
        <item sd="0" x="13922"/>
        <item sd="0" x="13923"/>
        <item sd="0" x="13924"/>
        <item sd="0" x="13925"/>
        <item sd="0" x="13926"/>
        <item sd="0" x="13927"/>
        <item sd="0" x="13928"/>
        <item sd="0" x="13929"/>
        <item sd="0" x="13713"/>
        <item sd="0" x="13931"/>
        <item sd="0" x="13932"/>
        <item sd="0" x="13933"/>
        <item sd="0" x="13934"/>
        <item sd="0" x="13935"/>
        <item sd="0" x="13936"/>
        <item sd="0" x="13937"/>
        <item sd="0" x="13938"/>
        <item sd="0" x="13939"/>
        <item sd="0" x="13940"/>
        <item sd="0" x="13941"/>
        <item sd="0" x="13942"/>
        <item sd="0" x="13943"/>
        <item sd="0" x="13944"/>
        <item sd="0" x="13718"/>
        <item sd="0" x="13719"/>
        <item sd="0" x="13720"/>
        <item sd="0" x="13721"/>
        <item sd="0" x="13722"/>
        <item sd="0" x="13723"/>
        <item sd="0" x="13724"/>
        <item sd="0" x="13725"/>
        <item sd="0" x="13726"/>
        <item sd="0" x="13727"/>
        <item sd="0" x="13945"/>
        <item sd="0" x="13946"/>
        <item sd="0" x="13947"/>
        <item sd="0" x="13948"/>
        <item sd="0" x="13733"/>
        <item sd="0" x="13734"/>
        <item sd="0" x="13735"/>
        <item sd="0" x="13736"/>
        <item sd="0" x="13737"/>
        <item sd="0" x="13738"/>
        <item sd="0" x="13739"/>
        <item sd="0" x="13740"/>
        <item sd="0" x="13741"/>
        <item sd="0" x="13742"/>
        <item sd="0" x="13949"/>
        <item sd="0" x="13950"/>
        <item sd="0" x="13951"/>
        <item sd="0" x="13952"/>
        <item sd="0" x="13953"/>
        <item sd="0" x="13967"/>
        <item sd="0" x="14164"/>
        <item sd="0" x="14165"/>
        <item sd="0" x="14166"/>
        <item sd="0" x="14167"/>
        <item sd="0" x="14168"/>
        <item sd="0" x="14169"/>
        <item sd="0" x="14170"/>
        <item sd="0" x="14171"/>
        <item sd="0" x="14172"/>
        <item sd="0" x="14173"/>
        <item sd="0" x="14174"/>
        <item sd="0" x="14175"/>
        <item sd="0" x="14176"/>
        <item sd="0" x="13982"/>
        <item sd="0" x="14177"/>
        <item sd="0" x="14178"/>
        <item sd="0" x="14179"/>
        <item sd="0" x="14180"/>
        <item sd="0" x="14181"/>
        <item sd="0" x="14182"/>
        <item sd="0" x="14183"/>
        <item sd="0" x="14184"/>
        <item sd="0" x="14185"/>
        <item sd="0" x="14186"/>
        <item sd="0" m="1" x="15162"/>
        <item sd="0" x="14187"/>
        <item sd="0" x="14188"/>
        <item sd="0" x="14189"/>
        <item sd="0" x="14190"/>
        <item sd="0" x="13996"/>
        <item sd="0" x="14191"/>
        <item sd="0" x="14192"/>
        <item sd="0" x="14193"/>
        <item sd="0" x="14194"/>
        <item sd="0" x="14195"/>
        <item sd="0" x="14196"/>
        <item sd="0" x="14197"/>
        <item sd="0" x="14198"/>
        <item sd="0" x="14199"/>
        <item sd="0" x="14200"/>
        <item sd="0" x="14201"/>
        <item sd="0" x="14202"/>
        <item sd="0" x="14203"/>
        <item sd="0" x="14011"/>
        <item sd="0" x="14204"/>
        <item sd="0" x="14205"/>
        <item sd="0" x="14206"/>
        <item sd="0" x="14207"/>
        <item sd="0" x="14208"/>
        <item sd="0" x="14209"/>
        <item sd="0" x="14210"/>
        <item sd="0" x="14211"/>
        <item sd="0" x="14212"/>
        <item sd="0" x="14213"/>
        <item sd="0" x="14214"/>
        <item sd="0" x="14215"/>
        <item sd="0" x="14216"/>
        <item sd="0" x="14217"/>
        <item sd="0" x="14025"/>
        <item sd="0" x="14218"/>
        <item sd="0" x="14219"/>
        <item sd="0" x="14220"/>
        <item sd="0" x="14221"/>
        <item sd="0" x="14222"/>
        <item sd="0" x="14223"/>
        <item sd="0" x="14224"/>
        <item sd="0" x="14225"/>
        <item sd="0" x="14226"/>
        <item sd="0" x="14227"/>
        <item sd="0" x="14228"/>
        <item sd="0" x="14229"/>
        <item sd="0" x="14230"/>
        <item sd="0" x="13829"/>
        <item sd="0" x="14026"/>
        <item sd="0" x="14027"/>
        <item sd="0" x="14028"/>
        <item sd="0" x="14029"/>
        <item sd="0" x="14030"/>
        <item sd="0" x="14031"/>
        <item sd="0" x="14032"/>
        <item sd="0" x="14033"/>
        <item sd="0" x="14034"/>
        <item sd="0" x="14035"/>
        <item sd="0" x="14036"/>
        <item sd="0" x="14037"/>
        <item sd="0" x="14038"/>
        <item sd="0" x="14039"/>
        <item sd="0" x="13843"/>
        <item sd="0" x="14041"/>
        <item sd="0" x="14042"/>
        <item sd="0" x="14043"/>
        <item sd="0" x="14044"/>
        <item sd="0" x="14045"/>
        <item sd="0" x="14046"/>
        <item sd="0" x="14047"/>
        <item sd="0" x="14048"/>
        <item sd="0" x="14049"/>
        <item sd="0" x="14050"/>
        <item sd="0" x="14051"/>
        <item sd="0" x="14052"/>
        <item sd="0" x="14053"/>
        <item sd="0" x="13858"/>
        <item sd="0" x="14055"/>
        <item sd="0" x="14056"/>
        <item sd="0" x="14057"/>
        <item sd="0" x="14058"/>
        <item sd="0" x="14059"/>
        <item sd="0" x="14060"/>
        <item sd="0" x="14061"/>
        <item sd="0" x="14062"/>
        <item sd="0" x="14063"/>
        <item sd="0" x="14064"/>
        <item sd="0" x="14065"/>
        <item sd="0" x="14066"/>
        <item sd="0" x="14067"/>
        <item sd="0" x="14068"/>
        <item sd="0" x="13872"/>
        <item sd="0" x="14070"/>
        <item sd="0" x="14071"/>
        <item sd="0" x="14072"/>
        <item sd="0" x="14073"/>
        <item sd="0" x="14074"/>
        <item sd="0" x="14075"/>
        <item sd="0" x="14076"/>
        <item sd="0" x="14077"/>
        <item sd="0" x="14078"/>
        <item sd="0" x="14079"/>
        <item sd="0" x="14080"/>
        <item sd="0" x="14081"/>
        <item sd="0" x="14082"/>
        <item sd="0" x="13887"/>
        <item sd="0" x="14084"/>
        <item sd="0" x="14085"/>
        <item sd="0" x="14086"/>
        <item sd="0" x="14087"/>
        <item sd="0" x="14088"/>
        <item sd="0" x="14089"/>
        <item sd="0" x="14090"/>
        <item sd="0" x="14091"/>
        <item sd="0" x="14092"/>
        <item sd="0" x="14093"/>
        <item sd="0" x="14094"/>
        <item sd="0" x="14095"/>
        <item sd="0" x="14096"/>
        <item sd="0" x="14097"/>
        <item sd="0" x="13901"/>
        <item sd="0" x="14099"/>
        <item sd="0" x="14100"/>
        <item sd="0" x="14101"/>
        <item sd="0" x="14102"/>
        <item sd="0" x="14103"/>
        <item sd="0" x="14104"/>
        <item sd="0" x="14105"/>
        <item sd="0" x="14106"/>
        <item sd="0" x="14107"/>
        <item sd="0" x="14108"/>
        <item sd="0" x="14109"/>
        <item sd="0" x="14110"/>
        <item sd="0" x="14111"/>
        <item sd="0" x="13916"/>
        <item sd="0" x="14113"/>
        <item sd="0" x="14114"/>
        <item sd="0" x="14115"/>
        <item sd="0" x="14116"/>
        <item sd="0" x="14117"/>
        <item sd="0" x="14118"/>
        <item sd="0" x="14119"/>
        <item sd="0" x="14120"/>
        <item sd="0" x="14121"/>
        <item sd="0" x="14122"/>
        <item sd="0" x="14123"/>
        <item sd="0" x="14124"/>
        <item sd="0" x="14125"/>
        <item sd="0" x="14126"/>
        <item sd="0" x="13930"/>
        <item sd="0" x="14128"/>
        <item sd="0" x="14129"/>
        <item sd="0" x="14130"/>
        <item sd="0" x="14131"/>
        <item sd="0" x="14132"/>
        <item sd="0" x="50"/>
        <item sd="0" x="51"/>
        <item sd="0" x="52"/>
        <item sd="0" x="53"/>
        <item sd="0" x="54"/>
        <item sd="0" x="55"/>
        <item sd="0" x="56"/>
        <item sd="0" x="57"/>
        <item sd="0" x="67"/>
        <item sd="0" x="68"/>
        <item sd="0" x="69"/>
        <item sd="0" x="70"/>
        <item sd="0" x="71"/>
        <item sd="0" x="72"/>
        <item sd="0" m="1" x="15194"/>
        <item sd="0" m="1" x="15207"/>
        <item sd="0" m="1" x="15163"/>
        <item sd="0" x="15104"/>
        <item sd="0" x="15105"/>
        <item sd="0" x="15106"/>
        <item sd="0" x="15107"/>
        <item sd="0" x="15108"/>
        <item sd="0" x="15109"/>
        <item sd="0" x="15110"/>
        <item sd="0" x="15111"/>
        <item sd="0" x="15112"/>
        <item sd="0" x="15113"/>
        <item sd="0" x="15114"/>
        <item sd="0" x="15115"/>
        <item sd="0" x="15116"/>
        <item sd="0" x="15117"/>
        <item sd="0" x="15118"/>
        <item sd="0" x="15119"/>
        <item sd="0" x="15120"/>
        <item sd="0" x="15121"/>
        <item sd="0" x="15122"/>
        <item sd="0" x="15123"/>
        <item sd="0" x="15124"/>
        <item sd="0" x="15125"/>
        <item sd="0" x="15126"/>
        <item sd="0" x="15127"/>
        <item sd="0" x="15128"/>
        <item sd="0" x="15129"/>
        <item sd="0" x="15130"/>
        <item sd="0" x="15131"/>
        <item sd="0" x="15132"/>
        <item sd="0" x="15133"/>
        <item sd="0" x="15134"/>
        <item sd="0" x="15135"/>
        <item sd="0" x="15136"/>
        <item sd="0" x="15137"/>
        <item sd="0" x="15138"/>
        <item sd="0" x="15139"/>
        <item sd="0" x="15140"/>
        <item sd="0" x="15141"/>
        <item sd="0" x="15142"/>
        <item sd="0" x="15143"/>
        <item sd="0" x="78"/>
        <item sd="0" x="79"/>
        <item sd="0" x="80"/>
        <item sd="0" x="81"/>
        <item sd="0" x="82"/>
        <item sd="0" x="83"/>
        <item sd="0" x="84"/>
        <item sd="0" x="85"/>
        <item sd="0" x="22"/>
        <item sd="0" x="23"/>
        <item sd="0" x="24"/>
        <item sd="0" x="25"/>
        <item sd="0" x="26"/>
        <item sd="0" x="27"/>
        <item sd="0" x="28"/>
        <item sd="0" x="29"/>
        <item sd="0" x="30"/>
        <item sd="0" x="31"/>
        <item sd="0" x="32"/>
        <item sd="0" x="11"/>
        <item sd="0" x="12"/>
        <item sd="0" x="13"/>
        <item sd="0" x="14"/>
        <item sd="0" x="15"/>
        <item sd="0" x="16"/>
        <item sd="0" x="17"/>
        <item sd="0" x="18"/>
        <item sd="0" x="19"/>
        <item sd="0" x="20"/>
        <item sd="0" x="21"/>
        <item sd="0" x="1"/>
        <item sd="0" x="2"/>
        <item sd="0" x="3"/>
        <item sd="0" x="4"/>
        <item sd="0" x="5"/>
        <item sd="0" x="6"/>
        <item sd="0" x="7"/>
        <item sd="0" x="8"/>
        <item sd="0" x="9"/>
        <item sd="0" x="10"/>
        <item sd="0" x="33"/>
        <item sd="0" x="34"/>
        <item sd="0" x="35"/>
        <item sd="0" x="36"/>
        <item sd="0" x="37"/>
        <item sd="0" x="38"/>
        <item sd="0" x="39"/>
        <item sd="0" x="40"/>
        <item sd="0" x="41"/>
        <item sd="0" x="42"/>
        <item sd="0" x="43"/>
        <item sd="0" x="44"/>
        <item sd="0" x="45"/>
        <item sd="0" x="46"/>
        <item sd="0" x="47"/>
        <item sd="0" x="48"/>
        <item sd="0" x="49"/>
        <item sd="0" x="58"/>
        <item sd="0" x="59"/>
        <item sd="0" x="60"/>
        <item sd="0" x="61"/>
        <item sd="0" x="62"/>
        <item sd="0" x="63"/>
        <item sd="0" x="64"/>
        <item sd="0" x="65"/>
        <item sd="0" x="66"/>
        <item sd="0" x="73"/>
        <item sd="0" x="74"/>
        <item sd="0" x="75"/>
        <item sd="0" x="76"/>
        <item sd="0" x="77"/>
        <item sd="0" x="0"/>
        <item sd="0" m="1" x="15225"/>
        <item sd="0" m="1" x="15226"/>
        <item sd="0" m="1" x="15228"/>
        <item sd="0" m="1" x="15230"/>
        <item sd="0" m="1" x="15232"/>
        <item sd="0" m="1" x="15234"/>
        <item sd="0" m="1" x="15236"/>
        <item sd="0" m="1" x="15154"/>
        <item sd="0" m="1" x="15167"/>
        <item sd="0" m="1" x="15227"/>
        <item sd="0" m="1" x="15229"/>
        <item sd="0" m="1" x="15231"/>
        <item sd="0" m="1" x="15233"/>
        <item sd="0" m="1" x="15223"/>
        <item sd="0" m="1" x="15150"/>
        <item sd="0" m="1" x="15166"/>
        <item sd="0" m="1" x="15210"/>
        <item sd="0" m="1" x="15205"/>
        <item sd="0" m="1" x="15208"/>
        <item sd="0" m="1" x="15191"/>
        <item sd="0" m="1" x="15203"/>
        <item sd="0" m="1" x="15190"/>
        <item sd="0" m="1" x="15197"/>
        <item sd="0" m="1" x="15176"/>
        <item sd="0" m="1" x="15212"/>
        <item sd="0" m="1" x="15155"/>
        <item sd="0" m="1" x="15213"/>
        <item sd="0" m="1" x="15222"/>
        <item sd="0" m="1" x="15196"/>
        <item sd="0" m="1" x="15211"/>
        <item sd="0" m="1" x="15164"/>
        <item sd="0" m="1" x="15158"/>
        <item sd="0" m="1" x="15204"/>
        <item sd="0" m="1" x="15198"/>
        <item sd="0" m="1" x="15156"/>
        <item sd="0" m="1" x="15168"/>
        <item sd="0" m="1" x="15165"/>
        <item sd="0" m="1" x="15169"/>
        <item sd="0" m="1" x="15214"/>
        <item sd="0" m="1" x="15159"/>
        <item sd="0" m="1" x="15153"/>
        <item sd="0" m="1" x="15235"/>
        <item sd="0" m="1" x="15192"/>
        <item sd="0" m="1" x="15224"/>
        <item sd="0" m="1" x="15215"/>
        <item sd="0" m="1" x="15195"/>
        <item sd="0" m="1" x="15144"/>
      </items>
    </pivotField>
    <pivotField showAll="0">
      <items count="11">
        <item x="2"/>
        <item x="3"/>
        <item x="0"/>
        <item x="1"/>
        <item m="1" x="9"/>
        <item m="1" x="4"/>
        <item m="1" x="5"/>
        <item m="1" x="6"/>
        <item m="1" x="7"/>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73">
    <i>
      <x v="15118"/>
    </i>
    <i>
      <x v="15119"/>
    </i>
    <i>
      <x v="15120"/>
    </i>
    <i>
      <x v="15121"/>
    </i>
    <i>
      <x v="15122"/>
    </i>
    <i>
      <x v="15123"/>
    </i>
    <i>
      <x v="15124"/>
    </i>
    <i>
      <x v="15125"/>
    </i>
    <i>
      <x v="15126"/>
    </i>
    <i>
      <x v="15127"/>
    </i>
    <i>
      <x v="15128"/>
    </i>
    <i>
      <x v="15129"/>
    </i>
    <i>
      <x v="15130"/>
    </i>
    <i>
      <x v="15131"/>
    </i>
    <i>
      <x v="15132"/>
    </i>
    <i>
      <x v="15133"/>
    </i>
    <i>
      <x v="15134"/>
    </i>
    <i>
      <x v="15135"/>
    </i>
    <i>
      <x v="15136"/>
    </i>
    <i>
      <x v="15137"/>
    </i>
    <i>
      <x v="15138"/>
    </i>
    <i>
      <x v="15139"/>
    </i>
    <i>
      <x v="15140"/>
    </i>
    <i>
      <x v="15141"/>
    </i>
    <i>
      <x v="15142"/>
    </i>
    <i>
      <x v="15143"/>
    </i>
    <i>
      <x v="15144"/>
    </i>
    <i>
      <x v="15145"/>
    </i>
    <i>
      <x v="15146"/>
    </i>
    <i>
      <x v="15147"/>
    </i>
    <i>
      <x v="15148"/>
    </i>
    <i>
      <x v="15149"/>
    </i>
    <i>
      <x v="15150"/>
    </i>
    <i>
      <x v="15151"/>
    </i>
    <i>
      <x v="15152"/>
    </i>
    <i>
      <x v="15153"/>
    </i>
    <i>
      <x v="15154"/>
    </i>
    <i>
      <x v="15155"/>
    </i>
    <i>
      <x v="15156"/>
    </i>
    <i>
      <x v="15157"/>
    </i>
    <i>
      <x v="15158"/>
    </i>
    <i>
      <x v="15159"/>
    </i>
    <i>
      <x v="15160"/>
    </i>
    <i>
      <x v="15161"/>
    </i>
    <i>
      <x v="15162"/>
    </i>
    <i>
      <x v="15163"/>
    </i>
    <i>
      <x v="15164"/>
    </i>
    <i>
      <x v="15165"/>
    </i>
    <i>
      <x v="15166"/>
    </i>
    <i>
      <x v="15167"/>
    </i>
    <i>
      <x v="15168"/>
    </i>
    <i>
      <x v="15169"/>
    </i>
    <i>
      <x v="15170"/>
    </i>
    <i>
      <x v="15171"/>
    </i>
    <i>
      <x v="15172"/>
    </i>
    <i>
      <x v="15173"/>
    </i>
    <i>
      <x v="15174"/>
    </i>
    <i>
      <x v="15175"/>
    </i>
    <i>
      <x v="15176"/>
    </i>
    <i>
      <x v="15177"/>
    </i>
    <i>
      <x v="15178"/>
    </i>
    <i>
      <x v="15179"/>
    </i>
    <i>
      <x v="15180"/>
    </i>
    <i>
      <x v="15181"/>
    </i>
    <i>
      <x v="15182"/>
    </i>
    <i>
      <x v="15183"/>
    </i>
    <i>
      <x v="15184"/>
    </i>
    <i>
      <x v="15185"/>
    </i>
    <i>
      <x v="15186"/>
    </i>
    <i>
      <x v="15187"/>
    </i>
    <i>
      <x v="15188"/>
    </i>
    <i>
      <x v="15189"/>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91"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1" fieldListSortAscending="1">
  <location ref="A2:D27" firstHeaderRow="0" firstDataRow="1" firstDataCol="1"/>
  <pivotFields count="11">
    <pivotField showAll="0">
      <items count="238">
        <item m="1" x="201"/>
        <item m="1" x="24"/>
        <item m="1" x="33"/>
        <item m="1" x="211"/>
        <item m="1" x="202"/>
        <item m="1" x="101"/>
        <item m="1" x="187"/>
        <item m="1" x="76"/>
        <item m="1" x="4"/>
        <item m="1" x="68"/>
        <item m="1" x="191"/>
        <item m="1" x="105"/>
        <item m="1" x="228"/>
        <item m="1" x="88"/>
        <item m="1" x="192"/>
        <item m="1" x="29"/>
        <item m="1" x="102"/>
        <item m="1" x="120"/>
        <item m="1" x="178"/>
        <item m="1" x="127"/>
        <item m="1" x="152"/>
        <item m="1" x="93"/>
        <item m="1" x="144"/>
        <item m="1" x="203"/>
        <item m="1" x="18"/>
        <item m="1" x="62"/>
        <item m="1" x="109"/>
        <item m="1" x="157"/>
        <item m="1" x="212"/>
        <item m="1" x="193"/>
        <item m="1" x="51"/>
        <item m="1" x="121"/>
        <item m="1" x="11"/>
        <item m="1" x="34"/>
        <item m="1" x="188"/>
        <item m="1" x="114"/>
        <item m="1" x="59"/>
        <item m="1" x="145"/>
        <item m="1" x="204"/>
        <item m="1" x="154"/>
        <item m="1" x="52"/>
        <item m="1" x="110"/>
        <item m="1" x="72"/>
        <item m="1" x="205"/>
        <item m="1" x="213"/>
        <item m="1" x="226"/>
        <item m="1" x="129"/>
        <item m="1" x="122"/>
        <item m="1" x="138"/>
        <item m="1" x="170"/>
        <item m="1" x="149"/>
        <item m="1" x="229"/>
        <item m="1" x="132"/>
        <item m="1" x="46"/>
        <item m="1" x="181"/>
        <item m="1" x="89"/>
        <item m="1" x="1"/>
        <item m="1" x="63"/>
        <item m="1" x="182"/>
        <item m="1" x="194"/>
        <item m="1" x="215"/>
        <item m="1" x="209"/>
        <item m="1" x="42"/>
        <item m="1" x="30"/>
        <item m="1" x="57"/>
        <item m="1" x="98"/>
        <item m="1" x="115"/>
        <item m="1" x="174"/>
        <item m="1" x="139"/>
        <item m="1" x="133"/>
        <item m="1" x="47"/>
        <item m="1" x="146"/>
        <item m="1" x="25"/>
        <item m="1" x="12"/>
        <item m="1" x="106"/>
        <item m="1" x="206"/>
        <item m="1" x="70"/>
        <item m="1" x="155"/>
        <item m="1" x="230"/>
        <item m="1" x="180"/>
        <item m="1" x="13"/>
        <item m="1" x="171"/>
        <item m="1" x="71"/>
        <item m="1" x="37"/>
        <item m="1" x="90"/>
        <item m="1" x="99"/>
        <item m="1" x="79"/>
        <item m="1" x="81"/>
        <item m="1" x="53"/>
        <item m="1" x="123"/>
        <item m="1" x="38"/>
        <item m="1" x="142"/>
        <item m="1" x="84"/>
        <item m="1" x="82"/>
        <item m="1" x="175"/>
        <item m="1" x="2"/>
        <item m="1" x="85"/>
        <item m="1" x="39"/>
        <item m="1" x="158"/>
        <item m="1" x="189"/>
        <item m="1" x="216"/>
        <item m="1" x="163"/>
        <item m="1" x="195"/>
        <item m="1" x="58"/>
        <item m="1" x="26"/>
        <item m="1" x="190"/>
        <item m="1" x="166"/>
        <item m="1" x="31"/>
        <item m="1" x="124"/>
        <item m="1" x="91"/>
        <item m="1" x="153"/>
        <item m="1" x="217"/>
        <item m="1" x="172"/>
        <item m="1" x="227"/>
        <item m="1" x="86"/>
        <item m="1" x="233"/>
        <item m="1" x="94"/>
        <item m="1" x="77"/>
        <item m="1" x="140"/>
        <item m="1" x="40"/>
        <item m="1" x="134"/>
        <item m="1" x="5"/>
        <item m="1" x="116"/>
        <item m="1" x="223"/>
        <item m="1" x="44"/>
        <item m="1" x="117"/>
        <item m="1" x="218"/>
        <item m="1" x="135"/>
        <item m="1" x="64"/>
        <item m="1" x="159"/>
        <item m="1" x="111"/>
        <item m="1" x="219"/>
        <item m="1" x="214"/>
        <item m="1" x="150"/>
        <item m="1" x="103"/>
        <item m="1" x="95"/>
        <item m="1" x="14"/>
        <item m="1" x="73"/>
        <item m="1" x="35"/>
        <item m="1" x="55"/>
        <item m="1" x="69"/>
        <item m="1" x="220"/>
        <item m="1" x="96"/>
        <item m="1" x="54"/>
        <item m="1" x="6"/>
        <item m="1" x="196"/>
        <item m="1" x="143"/>
        <item m="1" x="100"/>
        <item m="1" x="56"/>
        <item m="1" x="9"/>
        <item m="1" x="198"/>
        <item m="1" x="43"/>
        <item m="1" x="224"/>
        <item m="1" x="128"/>
        <item m="1" x="179"/>
        <item m="1" x="231"/>
        <item m="1" x="97"/>
        <item m="1" x="15"/>
        <item m="1" x="107"/>
        <item m="1" x="183"/>
        <item m="1" x="160"/>
        <item m="1" x="7"/>
        <item m="1" x="60"/>
        <item m="1" x="167"/>
        <item m="1" x="125"/>
        <item m="1" x="65"/>
        <item m="1" x="48"/>
        <item m="1" x="130"/>
        <item m="1" x="136"/>
        <item m="1" x="19"/>
        <item m="1" x="36"/>
        <item m="1" x="118"/>
        <item m="1" x="27"/>
        <item m="1" x="74"/>
        <item m="1" x="173"/>
        <item m="1" x="184"/>
        <item m="1" x="66"/>
        <item m="1" x="176"/>
        <item m="1" x="119"/>
        <item m="1" x="41"/>
        <item m="1" x="112"/>
        <item m="1" x="8"/>
        <item m="1" x="147"/>
        <item x="0"/>
        <item m="1" x="210"/>
        <item m="1" x="221"/>
        <item m="1" x="80"/>
        <item m="1" x="131"/>
        <item m="1" x="156"/>
        <item m="1" x="164"/>
        <item m="1" x="168"/>
        <item m="1" x="108"/>
        <item m="1" x="3"/>
        <item m="1" x="151"/>
        <item m="1" x="197"/>
        <item m="1" x="16"/>
        <item m="1" x="75"/>
        <item m="1" x="49"/>
        <item m="1" x="28"/>
        <item m="1" x="234"/>
        <item m="1" x="161"/>
        <item m="1" x="177"/>
        <item m="1" x="87"/>
        <item m="1" x="67"/>
        <item m="1" x="23"/>
        <item m="1" x="92"/>
        <item m="1" x="199"/>
        <item m="1" x="17"/>
        <item m="1" x="61"/>
        <item m="1" x="83"/>
        <item m="1" x="235"/>
        <item m="1" x="185"/>
        <item m="1" x="113"/>
        <item m="1" x="162"/>
        <item m="1" x="141"/>
        <item m="1" x="222"/>
        <item m="1" x="207"/>
        <item m="1" x="20"/>
        <item m="1" x="208"/>
        <item m="1" x="225"/>
        <item m="1" x="50"/>
        <item m="1" x="236"/>
        <item m="1" x="32"/>
        <item m="1" x="104"/>
        <item m="1" x="165"/>
        <item m="1" x="10"/>
        <item m="1" x="200"/>
        <item m="1" x="186"/>
        <item m="1" x="169"/>
        <item m="1" x="126"/>
        <item m="1" x="45"/>
        <item m="1" x="148"/>
        <item m="1" x="21"/>
        <item m="1" x="22"/>
        <item m="1" x="78"/>
        <item m="1" x="232"/>
        <item m="1" x="137"/>
        <item t="default"/>
      </items>
    </pivotField>
    <pivotField showAll="0" defaultSubtotal="0">
      <items count="243">
        <item m="1" x="217"/>
        <item m="1" x="124"/>
        <item m="1" x="128"/>
        <item m="1" x="191"/>
        <item m="1" x="13"/>
        <item m="1" x="201"/>
        <item m="1" x="38"/>
        <item m="1" x="231"/>
        <item m="1" x="11"/>
        <item m="1" x="225"/>
        <item m="1" x="129"/>
        <item m="1" x="5"/>
        <item m="1" x="80"/>
        <item m="1" x="8"/>
        <item m="1" x="57"/>
        <item m="1" x="204"/>
        <item m="1" x="88"/>
        <item m="1" x="39"/>
        <item m="1" x="152"/>
        <item m="1" x="119"/>
        <item m="1" x="58"/>
        <item m="1" x="193"/>
        <item m="1" x="96"/>
        <item m="1" x="14"/>
        <item x="0"/>
        <item m="1" x="130"/>
        <item m="1" x="221"/>
        <item m="1" x="232"/>
        <item m="1" x="89"/>
        <item m="1" x="236"/>
        <item m="1" x="15"/>
        <item m="1" x="43"/>
        <item m="1" x="206"/>
        <item m="1" x="212"/>
        <item m="1" x="194"/>
        <item m="1" x="120"/>
        <item m="1" x="161"/>
        <item m="1" x="141"/>
        <item m="1" x="174"/>
        <item m="1" x="131"/>
        <item m="1" x="142"/>
        <item m="1" x="137"/>
        <item m="1" x="153"/>
        <item m="1" x="36"/>
        <item m="1" x="51"/>
        <item m="1" x="16"/>
        <item m="1" x="20"/>
        <item m="1" x="239"/>
        <item m="1" x="186"/>
        <item m="1" x="63"/>
        <item m="1" x="147"/>
        <item m="1" x="22"/>
        <item m="1" x="67"/>
        <item m="1" x="208"/>
        <item m="1" x="6"/>
        <item m="1" x="52"/>
        <item m="1" x="213"/>
        <item m="1" x="81"/>
        <item m="1" x="234"/>
        <item m="1" x="30"/>
        <item m="1" x="82"/>
        <item m="1" x="218"/>
        <item m="1" x="25"/>
        <item m="1" x="166"/>
        <item m="1" x="175"/>
        <item m="1" x="157"/>
        <item m="1" x="106"/>
        <item m="1" x="71"/>
        <item m="1" x="59"/>
        <item m="1" x="226"/>
        <item m="1" x="167"/>
        <item m="1" x="187"/>
        <item m="1" x="162"/>
        <item m="1" x="12"/>
        <item m="1" x="7"/>
        <item m="1" x="227"/>
        <item m="1" x="154"/>
        <item m="1" x="115"/>
        <item m="1" x="121"/>
        <item m="1" x="198"/>
        <item m="1" x="90"/>
        <item m="1" x="143"/>
        <item m="1" x="91"/>
        <item m="1" x="49"/>
        <item m="1" x="97"/>
        <item m="1" x="112"/>
        <item m="1" x="72"/>
        <item m="1" x="107"/>
        <item m="1" x="26"/>
        <item m="1" x="240"/>
        <item m="1" x="138"/>
        <item m="1" x="222"/>
        <item m="1" x="86"/>
        <item m="1" x="40"/>
        <item m="1" x="134"/>
        <item m="1" x="139"/>
        <item m="1" x="195"/>
        <item m="1" x="98"/>
        <item m="1" x="113"/>
        <item m="1" x="68"/>
        <item m="1" x="233"/>
        <item m="1" x="73"/>
        <item m="1" x="188"/>
        <item m="1" x="228"/>
        <item m="1" x="53"/>
        <item m="1" x="199"/>
        <item m="1" x="214"/>
        <item m="1" x="27"/>
        <item m="1" x="192"/>
        <item m="1" x="92"/>
        <item m="1" x="21"/>
        <item m="1" x="37"/>
        <item m="1" x="177"/>
        <item m="1" x="93"/>
        <item m="1" x="190"/>
        <item m="1" x="132"/>
        <item m="1" x="144"/>
        <item m="1" x="123"/>
        <item m="1" x="31"/>
        <item m="1" x="125"/>
        <item m="1" x="176"/>
        <item m="1" x="41"/>
        <item m="1" x="32"/>
        <item m="1" x="241"/>
        <item m="1" x="158"/>
        <item m="1" x="69"/>
        <item m="1" x="9"/>
        <item m="1" x="219"/>
        <item m="1" x="99"/>
        <item m="1" x="114"/>
        <item m="1" x="64"/>
        <item m="1" x="108"/>
        <item m="1" x="171"/>
        <item m="1" x="28"/>
        <item m="1" x="242"/>
        <item m="1" x="29"/>
        <item m="1" x="209"/>
        <item m="1" x="116"/>
        <item m="1" x="94"/>
        <item m="1" x="168"/>
        <item m="1" x="122"/>
        <item m="1" x="110"/>
        <item m="1" x="215"/>
        <item m="1" x="50"/>
        <item m="1" x="65"/>
        <item m="1" x="74"/>
        <item m="1" x="76"/>
        <item m="1" x="100"/>
        <item m="1" x="1"/>
        <item m="1" x="133"/>
        <item m="1" x="126"/>
        <item m="1" x="145"/>
        <item m="1" x="104"/>
        <item m="1" x="172"/>
        <item m="1" x="178"/>
        <item m="1" x="135"/>
        <item m="1" x="44"/>
        <item m="1" x="54"/>
        <item m="1" x="237"/>
        <item m="1" x="229"/>
        <item m="1" x="136"/>
        <item m="1" x="146"/>
        <item m="1" x="18"/>
        <item m="1" x="10"/>
        <item m="1" x="75"/>
        <item m="1" x="159"/>
        <item m="1" x="66"/>
        <item m="1" x="111"/>
        <item m="1" x="83"/>
        <item m="1" x="70"/>
        <item m="1" x="23"/>
        <item m="1" x="216"/>
        <item m="1" x="181"/>
        <item m="1" x="140"/>
        <item m="1" x="202"/>
        <item m="1" x="223"/>
        <item m="1" x="230"/>
        <item m="1" x="205"/>
        <item m="1" x="109"/>
        <item m="1" x="19"/>
        <item m="1" x="163"/>
        <item m="1" x="164"/>
        <item m="1" x="77"/>
        <item m="1" x="33"/>
        <item m="1" x="46"/>
        <item m="1" x="210"/>
        <item m="1" x="207"/>
        <item m="1" x="182"/>
        <item m="1" x="148"/>
        <item m="1" x="2"/>
        <item m="1" x="155"/>
        <item m="1" x="87"/>
        <item m="1" x="47"/>
        <item m="1" x="117"/>
        <item m="1" x="179"/>
        <item m="1" x="180"/>
        <item m="1" x="169"/>
        <item m="1" x="149"/>
        <item m="1" x="102"/>
        <item m="1" x="60"/>
        <item m="1" x="118"/>
        <item m="1" x="101"/>
        <item m="1" x="61"/>
        <item m="1" x="24"/>
        <item m="1" x="55"/>
        <item m="1" x="34"/>
        <item m="1" x="95"/>
        <item m="1" x="17"/>
        <item m="1" x="156"/>
        <item m="1" x="150"/>
        <item m="1" x="48"/>
        <item m="1" x="151"/>
        <item m="1" x="103"/>
        <item m="1" x="170"/>
        <item m="1" x="35"/>
        <item m="1" x="165"/>
        <item m="1" x="185"/>
        <item m="1" x="84"/>
        <item m="1" x="3"/>
        <item m="1" x="42"/>
        <item m="1" x="196"/>
        <item m="1" x="183"/>
        <item m="1" x="45"/>
        <item m="1" x="127"/>
        <item m="1" x="189"/>
        <item m="1" x="79"/>
        <item m="1" x="197"/>
        <item m="1" x="220"/>
        <item m="1" x="224"/>
        <item m="1" x="78"/>
        <item m="1" x="4"/>
        <item m="1" x="173"/>
        <item m="1" x="105"/>
        <item m="1" x="85"/>
        <item m="1" x="62"/>
        <item m="1" x="184"/>
        <item m="1" x="56"/>
        <item m="1" x="235"/>
        <item m="1" x="238"/>
        <item m="1" x="211"/>
        <item m="1" x="203"/>
        <item m="1" x="200"/>
        <item m="1" x="160"/>
      </items>
    </pivotField>
    <pivotField showAll="0"/>
    <pivotField showAll="0" defaultSubtotal="0">
      <items count="48">
        <item m="1" x="11"/>
        <item m="1" x="36"/>
        <item m="1" x="14"/>
        <item m="1" x="37"/>
        <item m="1" x="33"/>
        <item m="1" x="38"/>
        <item m="1" x="15"/>
        <item m="1" x="35"/>
        <item m="1" x="3"/>
        <item m="1" x="42"/>
        <item m="1" x="32"/>
        <item m="1" x="12"/>
        <item m="1" x="2"/>
        <item m="1" x="9"/>
        <item m="1" x="34"/>
        <item m="1" x="43"/>
        <item m="1" x="8"/>
        <item m="1" x="44"/>
        <item m="1" x="16"/>
        <item m="1" x="40"/>
        <item m="1" x="21"/>
        <item m="1" x="23"/>
        <item m="1" x="6"/>
        <item m="1" x="41"/>
        <item m="1" x="27"/>
        <item m="1" x="28"/>
        <item m="1" x="46"/>
        <item m="1" x="31"/>
        <item m="1" x="26"/>
        <item m="1" x="7"/>
        <item m="1" x="13"/>
        <item m="1" x="22"/>
        <item m="1" x="18"/>
        <item m="1" x="29"/>
        <item m="1" x="1"/>
        <item m="1" x="39"/>
        <item m="1" x="24"/>
        <item m="1" x="19"/>
        <item m="1" x="47"/>
        <item m="1" x="30"/>
        <item m="1" x="10"/>
        <item m="1" x="45"/>
        <item m="1" x="17"/>
        <item m="1" x="4"/>
        <item m="1" x="20"/>
        <item x="0"/>
        <item m="1" x="25"/>
        <item m="1" x="5"/>
      </items>
    </pivotField>
    <pivotField axis="axisRow" numFmtId="22" showAll="0" sortType="ascending" defaultSubtotal="0">
      <items count="1866">
        <item m="1" x="770"/>
        <item m="1" x="1052"/>
        <item m="1" x="1054"/>
        <item m="1" x="1056"/>
        <item m="1" x="1057"/>
        <item m="1" x="1059"/>
        <item m="1" x="1060"/>
        <item m="1" x="1062"/>
        <item m="1" x="1064"/>
        <item m="1" x="1066"/>
        <item m="1" x="1068"/>
        <item m="1" x="1071"/>
        <item m="1" x="1073"/>
        <item m="1" x="1075"/>
        <item m="1" x="1077"/>
        <item m="1" x="1079"/>
        <item m="1" x="1081"/>
        <item m="1" x="1083"/>
        <item m="1" x="1085"/>
        <item m="1" x="1087"/>
        <item m="1" x="153"/>
        <item m="1" x="155"/>
        <item m="1" x="157"/>
        <item m="1" x="160"/>
        <item m="1" x="161"/>
        <item m="1" x="164"/>
        <item m="1" x="166"/>
        <item m="1" x="168"/>
        <item m="1" x="170"/>
        <item m="1" x="172"/>
        <item m="1" x="175"/>
        <item m="1" x="177"/>
        <item m="1" x="179"/>
        <item m="1" x="181"/>
        <item m="1" x="183"/>
        <item m="1" x="184"/>
        <item m="1" x="188"/>
        <item m="1" x="1091"/>
        <item m="1" x="1092"/>
        <item m="1" x="1094"/>
        <item m="1" x="1097"/>
        <item m="1" x="1102"/>
        <item m="1" x="1106"/>
        <item m="1" x="1109"/>
        <item m="1" x="1113"/>
        <item m="1" x="1117"/>
        <item m="1" x="1121"/>
        <item m="1" x="1124"/>
        <item m="1" x="1128"/>
        <item m="1" x="1132"/>
        <item m="1" x="1136"/>
        <item m="1" x="1140"/>
        <item m="1" x="1144"/>
        <item m="1" x="1148"/>
        <item m="1" x="1155"/>
        <item m="1" x="1158"/>
        <item m="1" x="1161"/>
        <item m="1" x="190"/>
        <item m="1" x="192"/>
        <item m="1" x="193"/>
        <item m="1" x="196"/>
        <item m="1" x="198"/>
        <item m="1" x="200"/>
        <item m="1" x="203"/>
        <item m="1" x="206"/>
        <item m="1" x="209"/>
        <item m="1" x="213"/>
        <item m="1" x="218"/>
        <item m="1" x="221"/>
        <item m="1" x="225"/>
        <item m="1" x="228"/>
        <item m="1" x="231"/>
        <item m="1" x="233"/>
        <item m="1" x="237"/>
        <item m="1" x="241"/>
        <item m="1" x="245"/>
        <item m="1" x="250"/>
        <item m="1" x="1169"/>
        <item m="1" x="1170"/>
        <item m="1" x="1171"/>
        <item m="1" x="1174"/>
        <item m="1" x="1175"/>
        <item m="1" x="1178"/>
        <item m="1" x="1179"/>
        <item m="1" x="1181"/>
        <item m="1" x="1182"/>
        <item m="1" x="1183"/>
        <item m="1" x="1185"/>
        <item m="1" x="1187"/>
        <item m="1" x="1189"/>
        <item m="1" x="1191"/>
        <item m="1" x="1193"/>
        <item m="1" x="1194"/>
        <item m="1" x="269"/>
        <item m="1" x="275"/>
        <item m="1" x="279"/>
        <item m="1" x="282"/>
        <item m="1" x="285"/>
        <item m="1" x="287"/>
        <item m="1" x="289"/>
        <item m="1" x="291"/>
        <item m="1" x="293"/>
        <item m="1" x="295"/>
        <item m="1" x="297"/>
        <item m="1" x="301"/>
        <item m="1" x="1222"/>
        <item m="1" x="1226"/>
        <item m="1" x="1234"/>
        <item m="1" x="1241"/>
        <item m="1" x="1246"/>
        <item m="1" x="1253"/>
        <item m="1" x="1256"/>
        <item m="1" x="1260"/>
        <item m="1" x="1263"/>
        <item m="1" x="1512"/>
        <item m="1" x="599"/>
        <item m="1" x="601"/>
        <item m="1" x="603"/>
        <item m="1" x="605"/>
        <item m="1" x="608"/>
        <item m="1" x="611"/>
        <item m="1" x="614"/>
        <item m="1" x="616"/>
        <item m="1" x="618"/>
        <item m="1" x="621"/>
        <item m="1" x="624"/>
        <item m="1" x="627"/>
        <item m="1" x="631"/>
        <item m="1" x="635"/>
        <item m="1" x="639"/>
        <item m="1" x="643"/>
        <item m="1" x="646"/>
        <item m="1" x="650"/>
        <item m="1" x="654"/>
        <item m="1" x="658"/>
        <item m="1" x="662"/>
        <item m="1" x="666"/>
        <item m="1" x="670"/>
        <item m="1" x="674"/>
        <item m="1" x="1591"/>
        <item m="1" x="1593"/>
        <item m="1" x="1596"/>
        <item m="1" x="1598"/>
        <item m="1" x="1601"/>
        <item m="1" x="1603"/>
        <item m="1" x="1605"/>
        <item m="1" x="1607"/>
        <item m="1" x="1609"/>
        <item m="1" x="1612"/>
        <item m="1" x="1615"/>
        <item m="1" x="1618"/>
        <item m="1" x="1622"/>
        <item m="1" x="1626"/>
        <item m="1" x="1630"/>
        <item m="1" x="1634"/>
        <item m="1" x="1638"/>
        <item m="1" x="1642"/>
        <item m="1" x="1645"/>
        <item m="1" x="1649"/>
        <item m="1" x="1653"/>
        <item m="1" x="1657"/>
        <item m="1" x="1661"/>
        <item m="1" x="1666"/>
        <item m="1" x="692"/>
        <item m="1" x="696"/>
        <item m="1" x="699"/>
        <item m="1" x="702"/>
        <item m="1" x="705"/>
        <item m="1" x="707"/>
        <item m="1" x="709"/>
        <item m="1" x="712"/>
        <item m="1" x="715"/>
        <item m="1" x="719"/>
        <item m="1" x="722"/>
        <item m="1" x="726"/>
        <item m="1" x="730"/>
        <item m="1" x="734"/>
        <item m="1" x="739"/>
        <item m="1" x="744"/>
        <item m="1" x="747"/>
        <item m="1" x="752"/>
        <item m="1" x="756"/>
        <item m="1" x="761"/>
        <item m="1" x="765"/>
        <item m="1" x="771"/>
        <item m="1" x="775"/>
        <item m="1" x="779"/>
        <item m="1" x="1685"/>
        <item m="1" x="1687"/>
        <item m="1" x="1690"/>
        <item m="1" x="1692"/>
        <item m="1" x="1695"/>
        <item m="1" x="1697"/>
        <item m="1" x="1699"/>
        <item m="1" x="1701"/>
        <item m="1" x="1704"/>
        <item m="1" x="1707"/>
        <item m="1" x="1709"/>
        <item m="1" x="1711"/>
        <item m="1" x="1714"/>
        <item m="1" x="1716"/>
        <item m="1" x="1720"/>
        <item m="1" x="1723"/>
        <item m="1" x="1726"/>
        <item m="1" x="1729"/>
        <item m="1" x="1732"/>
        <item m="1" x="1734"/>
        <item m="1" x="1737"/>
        <item m="1" x="1740"/>
        <item m="1" x="1744"/>
        <item m="1" x="798"/>
        <item m="1" x="800"/>
        <item m="1" x="801"/>
        <item m="1" x="802"/>
        <item m="1" x="804"/>
        <item m="1" x="805"/>
        <item m="1" x="810"/>
        <item m="1" x="813"/>
        <item m="1" x="814"/>
        <item m="1" x="816"/>
        <item m="1" x="818"/>
        <item m="1" x="819"/>
        <item m="1" x="821"/>
        <item m="1" x="823"/>
        <item m="1" x="827"/>
        <item m="1" x="1787"/>
        <item m="1" x="1788"/>
        <item m="1" x="1790"/>
        <item m="1" x="1792"/>
        <item m="1" x="1802"/>
        <item m="1" x="1804"/>
        <item m="1" x="1806"/>
        <item m="1" x="1808"/>
        <item m="1" x="1811"/>
        <item m="1" x="1813"/>
        <item m="1" x="1816"/>
        <item m="1" x="1098"/>
        <item m="1" x="1100"/>
        <item m="1" x="1103"/>
        <item m="1" x="1110"/>
        <item m="1" x="1114"/>
        <item m="1" x="1118"/>
        <item m="1" x="1125"/>
        <item m="1" x="1129"/>
        <item m="1" x="1133"/>
        <item m="1" x="1137"/>
        <item m="1" x="1141"/>
        <item m="1" x="1145"/>
        <item m="1" x="1149"/>
        <item m="1" x="1152"/>
        <item m="1" x="1162"/>
        <item m="1" x="207"/>
        <item m="1" x="210"/>
        <item m="1" x="215"/>
        <item m="1" x="222"/>
        <item m="1" x="226"/>
        <item m="1" x="234"/>
        <item m="1" x="238"/>
        <item m="1" x="242"/>
        <item m="1" x="251"/>
        <item m="1" x="255"/>
        <item m="1" x="1173"/>
        <item m="1" x="1176"/>
        <item m="1" x="1177"/>
        <item m="1" x="1180"/>
        <item m="1" x="1184"/>
        <item m="1" x="1186"/>
        <item m="1" x="1188"/>
        <item m="1" x="1190"/>
        <item m="1" x="1192"/>
        <item m="1" x="1195"/>
        <item m="1" x="259"/>
        <item m="1" x="260"/>
        <item m="1" x="261"/>
        <item m="1" x="262"/>
        <item m="1" x="263"/>
        <item m="1" x="264"/>
        <item m="1" x="265"/>
        <item m="1" x="266"/>
        <item m="1" x="267"/>
        <item m="1" x="1223"/>
        <item m="1" x="1227"/>
        <item m="1" x="1229"/>
        <item m="1" x="1231"/>
        <item m="1" x="1236"/>
        <item m="1" x="1243"/>
        <item m="1" x="1247"/>
        <item m="1" x="1250"/>
        <item m="1" x="1254"/>
        <item m="1" x="1257"/>
        <item m="1" x="1261"/>
        <item m="1" x="1264"/>
        <item m="1" x="313"/>
        <item m="1" x="318"/>
        <item m="1" x="327"/>
        <item m="1" x="332"/>
        <item m="1" x="336"/>
        <item m="1" x="338"/>
        <item m="1" x="340"/>
        <item m="1" x="342"/>
        <item m="1" x="345"/>
        <item m="1" x="347"/>
        <item m="1" x="1281"/>
        <item m="1" x="1283"/>
        <item m="1" x="1286"/>
        <item m="1" x="1292"/>
        <item m="1" x="1297"/>
        <item m="1" x="1299"/>
        <item m="1" x="1301"/>
        <item m="1" x="1303"/>
        <item m="1" x="1306"/>
        <item m="1" x="1309"/>
        <item m="1" x="1311"/>
        <item m="1" x="1313"/>
        <item m="1" x="1315"/>
        <item m="1" x="1317"/>
        <item m="1" x="1319"/>
        <item m="1" x="1321"/>
        <item m="1" x="356"/>
        <item m="1" x="357"/>
        <item m="1" x="358"/>
        <item m="1" x="359"/>
        <item m="1" x="360"/>
        <item m="1" x="361"/>
        <item m="1" x="362"/>
        <item m="1" x="363"/>
        <item m="1" x="364"/>
        <item m="1" x="365"/>
        <item m="1" x="366"/>
        <item m="1" x="367"/>
        <item m="1" x="1325"/>
        <item m="1" x="1326"/>
        <item m="1" x="1327"/>
        <item m="1" x="1328"/>
        <item m="1" x="1329"/>
        <item m="1" x="1331"/>
        <item m="1" x="1333"/>
        <item m="1" x="1335"/>
        <item m="1" x="1337"/>
        <item m="1" x="1339"/>
        <item m="1" x="1341"/>
        <item m="1" x="1343"/>
        <item m="1" x="1345"/>
        <item m="1" x="417"/>
        <item m="1" x="420"/>
        <item m="1" x="423"/>
        <item m="1" x="430"/>
        <item m="1" x="433"/>
        <item m="1" x="436"/>
        <item m="1" x="439"/>
        <item m="1" x="442"/>
        <item m="1" x="447"/>
        <item m="1" x="458"/>
        <item m="1" x="461"/>
        <item m="1" x="464"/>
        <item m="1" x="1406"/>
        <item m="1" x="1411"/>
        <item m="1" x="1417"/>
        <item m="1" x="1421"/>
        <item m="1" x="1424"/>
        <item m="1" x="1428"/>
        <item m="1" x="1432"/>
        <item m="1" x="1436"/>
        <item m="1" x="1440"/>
        <item m="1" x="1445"/>
        <item m="1" x="1452"/>
        <item m="1" x="1458"/>
        <item m="1" x="477"/>
        <item m="1" x="479"/>
        <item m="1" x="491"/>
        <item m="1" x="493"/>
        <item m="1" x="495"/>
        <item m="1" x="497"/>
        <item m="1" x="500"/>
        <item m="1" x="502"/>
        <item m="1" x="505"/>
        <item m="1" x="514"/>
        <item m="1" x="517"/>
        <item m="1" x="522"/>
        <item m="1" x="527"/>
        <item m="1" x="532"/>
        <item m="1" x="1479"/>
        <item m="1" x="1481"/>
        <item m="1" x="1482"/>
        <item m="1" x="1484"/>
        <item m="1" x="1485"/>
        <item m="1" x="1489"/>
        <item m="1" x="1492"/>
        <item m="1" x="1493"/>
        <item m="1" x="1496"/>
        <item m="1" x="1498"/>
        <item m="1" x="1500"/>
        <item m="1" x="1504"/>
        <item m="1" x="1506"/>
        <item m="1" x="1507"/>
        <item m="1" x="1513"/>
        <item m="1" x="1516"/>
        <item m="1" x="538"/>
        <item m="1" x="539"/>
        <item m="1" x="540"/>
        <item m="1" x="547"/>
        <item m="1" x="553"/>
        <item m="1" x="556"/>
        <item m="1" x="559"/>
        <item m="1" x="562"/>
        <item m="1" x="565"/>
        <item m="1" x="568"/>
        <item m="1" x="571"/>
        <item m="1" x="574"/>
        <item m="1" x="577"/>
        <item m="1" x="580"/>
        <item m="1" x="587"/>
        <item m="1" x="1289"/>
        <item m="1" x="1293"/>
        <item m="1" x="1304"/>
        <item m="1" x="1307"/>
        <item m="1" x="1330"/>
        <item m="1" x="1332"/>
        <item m="1" x="1334"/>
        <item m="1" x="1336"/>
        <item m="1" x="1338"/>
        <item m="1" x="1340"/>
        <item m="1" x="1342"/>
        <item m="1" x="1344"/>
        <item m="1" x="1346"/>
        <item m="1" x="1347"/>
        <item m="1" x="1348"/>
        <item m="1" x="1349"/>
        <item m="1" x="1350"/>
        <item m="1" x="374"/>
        <item m="1" x="378"/>
        <item m="1" x="381"/>
        <item m="1" x="383"/>
        <item m="1" x="385"/>
        <item m="1" x="387"/>
        <item m="1" x="389"/>
        <item m="1" x="391"/>
        <item m="1" x="393"/>
        <item m="1" x="395"/>
        <item m="1" x="397"/>
        <item m="1" x="399"/>
        <item m="1" x="401"/>
        <item m="1" x="403"/>
        <item m="1" x="405"/>
        <item m="1" x="407"/>
        <item m="1" x="409"/>
        <item m="1" x="411"/>
        <item m="1" x="413"/>
        <item m="1" x="414"/>
        <item m="1" x="1356"/>
        <item m="1" x="1408"/>
        <item m="1" x="1414"/>
        <item m="1" x="1418"/>
        <item m="1" x="1425"/>
        <item m="1" x="1429"/>
        <item m="1" x="1433"/>
        <item m="1" x="1437"/>
        <item m="1" x="1441"/>
        <item m="1" x="1446"/>
        <item m="1" x="1455"/>
        <item m="1" x="1459"/>
        <item m="1" x="1462"/>
        <item m="1" x="1467"/>
        <item m="1" x="1471"/>
        <item m="1" x="488"/>
        <item m="1" x="498"/>
        <item m="1" x="503"/>
        <item m="1" x="508"/>
        <item m="1" x="511"/>
        <item m="1" x="518"/>
        <item m="1" x="523"/>
        <item m="1" x="528"/>
        <item m="1" x="533"/>
        <item m="1" x="535"/>
        <item m="1" x="537"/>
        <item m="1" x="1483"/>
        <item m="1" x="1486"/>
        <item m="1" x="1494"/>
        <item m="1" x="1497"/>
        <item m="1" x="1501"/>
        <item m="1" x="1505"/>
        <item m="1" x="1508"/>
        <item m="1" x="1510"/>
        <item m="1" x="1514"/>
        <item m="1" x="1517"/>
        <item m="1" x="1518"/>
        <item m="1" x="1520"/>
        <item m="1" x="1522"/>
        <item m="1" x="541"/>
        <item m="1" x="542"/>
        <item m="1" x="543"/>
        <item m="1" x="544"/>
        <item m="1" x="545"/>
        <item m="1" x="548"/>
        <item m="1" x="551"/>
        <item m="1" x="554"/>
        <item m="1" x="557"/>
        <item m="1" x="560"/>
        <item m="1" x="563"/>
        <item m="1" x="566"/>
        <item m="1" x="569"/>
        <item m="1" x="572"/>
        <item m="1" x="575"/>
        <item m="1" x="578"/>
        <item m="1" x="581"/>
        <item m="1" x="583"/>
        <item m="1" x="585"/>
        <item m="1" x="588"/>
        <item m="1" x="590"/>
        <item m="1" x="592"/>
        <item m="1" x="594"/>
        <item m="1" x="1532"/>
        <item m="1" x="1536"/>
        <item m="1" x="1540"/>
        <item m="1" x="1547"/>
        <item m="1" x="1554"/>
        <item m="1" x="1559"/>
        <item m="1" x="1562"/>
        <item m="1" x="1565"/>
        <item m="1" x="1568"/>
        <item m="1" x="1571"/>
        <item m="1" x="1574"/>
        <item m="1" x="1577"/>
        <item m="1" x="1582"/>
        <item m="1" x="1584"/>
        <item m="1" x="1586"/>
        <item m="1" x="609"/>
        <item m="1" x="612"/>
        <item m="1" x="710"/>
        <item m="1" x="713"/>
        <item m="1" x="716"/>
        <item m="1" x="735"/>
        <item m="1" x="740"/>
        <item m="1" x="748"/>
        <item m="1" x="757"/>
        <item m="1" x="766"/>
        <item m="1" x="776"/>
        <item m="1" x="783"/>
        <item m="1" x="786"/>
        <item m="1" x="790"/>
        <item m="1" x="1702"/>
        <item m="1" x="1717"/>
        <item m="1" x="1721"/>
        <item m="1" x="1724"/>
        <item m="1" x="1727"/>
        <item m="1" x="1730"/>
        <item m="1" x="1738"/>
        <item m="1" x="1741"/>
        <item m="1" x="1745"/>
        <item m="1" x="1749"/>
        <item m="1" x="1752"/>
        <item m="1" x="1754"/>
        <item m="1" x="803"/>
        <item m="1" x="806"/>
        <item m="1" x="811"/>
        <item m="1" x="815"/>
        <item m="1" x="817"/>
        <item m="1" x="820"/>
        <item m="1" x="824"/>
        <item m="1" x="825"/>
        <item m="1" x="832"/>
        <item m="1" x="834"/>
        <item m="1" x="1761"/>
        <item m="1" x="1360"/>
        <item m="1" x="1362"/>
        <item m="1" x="1364"/>
        <item m="1" x="1366"/>
        <item m="1" x="1368"/>
        <item m="1" x="1370"/>
        <item m="1" x="1372"/>
        <item m="1" x="1374"/>
        <item m="1" x="1376"/>
        <item m="1" x="1378"/>
        <item m="1" x="1380"/>
        <item m="1" x="1382"/>
        <item m="1" x="1384"/>
        <item m="1" x="1386"/>
        <item m="1" x="1388"/>
        <item m="1" x="1390"/>
        <item m="1" x="1392"/>
        <item m="1" x="1394"/>
        <item m="1" x="1395"/>
        <item m="1" x="1396"/>
        <item m="1" x="1397"/>
        <item m="1" x="1398"/>
        <item m="1" x="1399"/>
        <item m="1" x="1400"/>
        <item m="1" x="426"/>
        <item m="1" x="428"/>
        <item m="1" x="431"/>
        <item m="1" x="434"/>
        <item m="1" x="437"/>
        <item m="1" x="440"/>
        <item m="1" x="443"/>
        <item m="1" x="445"/>
        <item m="1" x="448"/>
        <item m="1" x="450"/>
        <item m="1" x="452"/>
        <item m="1" x="454"/>
        <item m="1" x="456"/>
        <item m="1" x="459"/>
        <item m="1" x="462"/>
        <item m="1" x="465"/>
        <item m="1" x="467"/>
        <item m="1" x="469"/>
        <item m="1" x="470"/>
        <item m="1" x="471"/>
        <item m="1" x="472"/>
        <item m="1" x="473"/>
        <item m="1" x="474"/>
        <item m="1" x="475"/>
        <item m="1" x="1412"/>
        <item m="1" x="1415"/>
        <item m="1" x="1419"/>
        <item m="1" x="1422"/>
        <item m="1" x="1426"/>
        <item m="1" x="1430"/>
        <item m="1" x="1434"/>
        <item m="1" x="1438"/>
        <item m="1" x="1442"/>
        <item m="1" x="1447"/>
        <item m="1" x="1450"/>
        <item m="1" x="1453"/>
        <item m="1" x="1456"/>
        <item m="1" x="1460"/>
        <item m="1" x="1463"/>
        <item m="1" x="1465"/>
        <item m="1" x="1468"/>
        <item m="1" x="1470"/>
        <item m="1" x="1472"/>
        <item m="1" x="1473"/>
        <item m="1" x="1474"/>
        <item m="1" x="1475"/>
        <item m="1" x="1476"/>
        <item m="1" x="1477"/>
        <item m="1" x="546"/>
        <item m="1" x="549"/>
        <item m="1" x="552"/>
        <item m="1" x="555"/>
        <item m="1" x="558"/>
        <item m="1" x="561"/>
        <item m="1" x="564"/>
        <item m="1" x="567"/>
        <item m="1" x="570"/>
        <item m="1" x="573"/>
        <item m="1" x="576"/>
        <item m="1" x="579"/>
        <item m="1" x="582"/>
        <item m="1" x="584"/>
        <item m="1" x="586"/>
        <item m="1" x="589"/>
        <item m="1" x="591"/>
        <item m="1" x="593"/>
        <item m="1" x="595"/>
        <item m="1" x="596"/>
        <item m="1" x="597"/>
        <item m="1" x="598"/>
        <item m="1" x="600"/>
        <item m="1" x="1538"/>
        <item m="1" x="1541"/>
        <item m="1" x="1543"/>
        <item m="1" x="1545"/>
        <item m="1" x="1548"/>
        <item m="1" x="1550"/>
        <item m="1" x="1552"/>
        <item m="1" x="1555"/>
        <item m="1" x="1557"/>
        <item m="1" x="1560"/>
        <item m="1" x="1563"/>
        <item m="1" x="1566"/>
        <item m="1" x="1569"/>
        <item m="1" x="1572"/>
        <item m="1" x="1575"/>
        <item m="1" x="1578"/>
        <item m="1" x="1580"/>
        <item m="1" x="1583"/>
        <item m="1" x="1585"/>
        <item m="1" x="1587"/>
        <item m="1" x="1588"/>
        <item m="1" x="1589"/>
        <item m="1" x="1590"/>
        <item m="1" x="1592"/>
        <item m="1" x="619"/>
        <item m="1" x="622"/>
        <item m="1" x="625"/>
        <item m="1" x="628"/>
        <item m="1" x="632"/>
        <item m="1" x="636"/>
        <item m="1" x="640"/>
        <item m="1" x="644"/>
        <item m="1" x="647"/>
        <item m="1" x="651"/>
        <item m="1" x="655"/>
        <item m="1" x="659"/>
        <item m="1" x="663"/>
        <item m="1" x="667"/>
        <item m="1" x="671"/>
        <item m="1" x="675"/>
        <item m="1" x="677"/>
        <item m="1" x="680"/>
        <item m="1" x="682"/>
        <item m="1" x="684"/>
        <item m="1" x="686"/>
        <item m="1" x="688"/>
        <item m="1" x="690"/>
        <item m="1" x="693"/>
        <item m="1" x="1610"/>
        <item m="1" x="1613"/>
        <item m="1" x="1616"/>
        <item m="1" x="1619"/>
        <item m="1" x="1623"/>
        <item m="1" x="1627"/>
        <item m="1" x="1631"/>
        <item m="1" x="1635"/>
        <item m="1" x="1639"/>
        <item m="1" x="1643"/>
        <item m="1" x="1646"/>
        <item m="1" x="1650"/>
        <item m="1" x="1654"/>
        <item m="1" x="1658"/>
        <item m="1" x="1662"/>
        <item m="1" x="1667"/>
        <item m="1" x="1670"/>
        <item m="1" x="1673"/>
        <item m="1" x="1675"/>
        <item m="1" x="1677"/>
        <item m="1" x="1679"/>
        <item m="1" x="1681"/>
        <item m="1" x="1683"/>
        <item m="1" x="1686"/>
        <item m="1" x="717"/>
        <item m="1" x="720"/>
        <item m="1" x="723"/>
        <item m="1" x="727"/>
        <item m="1" x="731"/>
        <item m="1" x="736"/>
        <item m="1" x="741"/>
        <item m="1" x="745"/>
        <item m="1" x="749"/>
        <item m="1" x="753"/>
        <item m="1" x="758"/>
        <item m="1" x="762"/>
        <item m="1" x="767"/>
        <item m="1" x="772"/>
        <item m="1" x="777"/>
        <item m="1" x="780"/>
        <item m="1" x="784"/>
        <item m="1" x="787"/>
        <item m="1" x="788"/>
        <item m="1" x="791"/>
        <item m="1" x="793"/>
        <item m="1" x="794"/>
        <item m="1" x="796"/>
        <item m="1" x="797"/>
        <item m="1" x="1705"/>
        <item m="1" x="1762"/>
        <item m="1" x="1763"/>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845"/>
        <item m="1" x="847"/>
        <item m="1" x="849"/>
        <item m="1" x="851"/>
        <item m="1" x="853"/>
        <item m="1" x="855"/>
        <item m="1" x="857"/>
        <item m="1" x="859"/>
        <item m="1" x="861"/>
        <item m="1" x="863"/>
        <item m="1" x="865"/>
        <item m="1" x="867"/>
        <item m="1" x="869"/>
        <item m="1" x="871"/>
        <item m="1" x="873"/>
        <item m="1" x="875"/>
        <item m="1" x="878"/>
        <item m="1" x="879"/>
        <item m="1" x="880"/>
        <item m="1" x="881"/>
        <item m="1" x="882"/>
        <item m="1" x="883"/>
        <item m="1" x="884"/>
        <item m="1" x="885"/>
        <item m="1" x="1791"/>
        <item m="1" x="1793"/>
        <item m="1" x="1794"/>
        <item m="1" x="1795"/>
        <item m="1" x="1797"/>
        <item m="1" x="1799"/>
        <item m="1" x="1800"/>
        <item m="1" x="1801"/>
        <item m="1" x="1803"/>
        <item m="1" x="1805"/>
        <item m="1" x="1807"/>
        <item m="1" x="1809"/>
        <item m="1" x="1812"/>
        <item m="1" x="1814"/>
        <item m="1" x="1817"/>
        <item m="1" x="1818"/>
        <item m="1" x="1820"/>
        <item m="1" x="1822"/>
        <item m="1" x="1823"/>
        <item m="1" x="1825"/>
        <item m="1" x="1827"/>
        <item m="1" x="1829"/>
        <item m="1" x="1831"/>
        <item m="1" x="887"/>
        <item m="1" x="888"/>
        <item m="1" x="889"/>
        <item m="1" x="890"/>
        <item m="1" x="892"/>
        <item m="1" x="894"/>
        <item m="1" x="895"/>
        <item m="1" x="896"/>
        <item m="1" x="898"/>
        <item m="1" x="899"/>
        <item m="1" x="900"/>
        <item m="1" x="902"/>
        <item m="1" x="904"/>
        <item m="1" x="906"/>
        <item m="1" x="907"/>
        <item m="1" x="909"/>
        <item m="1" x="911"/>
        <item m="1" x="913"/>
        <item m="1" x="915"/>
        <item m="1" x="917"/>
        <item m="1" x="919"/>
        <item m="1" x="921"/>
        <item m="1" x="923"/>
        <item m="1" x="1833"/>
        <item m="1" x="1834"/>
        <item m="1" x="1835"/>
        <item m="1" x="1837"/>
        <item m="1" x="1838"/>
        <item m="1" x="1839"/>
        <item m="1" x="1840"/>
        <item m="1" x="1841"/>
        <item m="1" x="1842"/>
        <item m="1" x="1844"/>
        <item m="1" x="1846"/>
        <item m="1" x="1848"/>
        <item m="1" x="1849"/>
        <item m="1" x="1851"/>
        <item m="1" x="1853"/>
        <item m="1" x="1855"/>
        <item m="1" x="1857"/>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36"/>
        <item m="1" x="37"/>
        <item m="1" x="38"/>
        <item m="1" x="39"/>
        <item m="1" x="40"/>
        <item m="1" x="41"/>
        <item m="1" x="42"/>
        <item m="1" x="43"/>
        <item m="1" x="44"/>
        <item m="1" x="45"/>
        <item m="1" x="46"/>
        <item m="1" x="47"/>
        <item m="1" x="48"/>
        <item m="1" x="49"/>
        <item m="1" x="50"/>
        <item m="1" x="51"/>
        <item m="1" x="52"/>
        <item m="1" x="53"/>
        <item m="1" x="54"/>
        <item m="1" x="55"/>
        <item m="1" x="56"/>
        <item m="1" x="57"/>
        <item m="1" x="966"/>
        <item m="1" x="967"/>
        <item m="1" x="968"/>
        <item m="1" x="969"/>
        <item m="1" x="971"/>
        <item m="1" x="973"/>
        <item m="1" x="974"/>
        <item m="1" x="975"/>
        <item m="1" x="977"/>
        <item m="1" x="978"/>
        <item m="1" x="979"/>
        <item m="1" x="981"/>
        <item m="1" x="982"/>
        <item m="1" x="985"/>
        <item m="1" x="987"/>
        <item m="1" x="989"/>
        <item m="1" x="991"/>
        <item m="1" x="993"/>
        <item m="1" x="995"/>
        <item m="1" x="997"/>
        <item m="1" x="999"/>
        <item m="1" x="1001"/>
        <item m="1" x="1002"/>
        <item m="1" x="58"/>
        <item m="1" x="59"/>
        <item m="1" x="60"/>
        <item m="1" x="61"/>
        <item m="1" x="63"/>
        <item m="1" x="64"/>
        <item m="1" x="66"/>
        <item m="1" x="67"/>
        <item m="1" x="69"/>
        <item m="1" x="70"/>
        <item m="1" x="71"/>
        <item m="1" x="73"/>
        <item m="1" x="74"/>
        <item m="1" x="75"/>
        <item m="1" x="76"/>
        <item m="1" x="78"/>
        <item m="1" x="79"/>
        <item m="1" x="80"/>
        <item m="1" x="82"/>
        <item m="1" x="84"/>
        <item m="1" x="86"/>
        <item m="1" x="88"/>
        <item m="1" x="90"/>
        <item m="1" x="92"/>
        <item m="1" x="1004"/>
        <item m="1" x="1005"/>
        <item m="1" x="1007"/>
        <item m="1" x="1009"/>
        <item m="1" x="1010"/>
        <item m="1" x="1011"/>
        <item m="1" x="1012"/>
        <item m="1" x="1013"/>
        <item m="1" x="1014"/>
        <item m="1" x="1015"/>
        <item m="1" x="1016"/>
        <item m="1" x="1017"/>
        <item m="1" x="1018"/>
        <item m="1" x="1019"/>
        <item m="1" x="94"/>
        <item m="1" x="96"/>
        <item m="1" x="97"/>
        <item m="1" x="98"/>
        <item m="1" x="99"/>
        <item m="1" x="100"/>
        <item m="1" x="101"/>
        <item m="1" x="102"/>
        <item m="1" x="103"/>
        <item m="1" x="104"/>
        <item m="1" x="105"/>
        <item m="1" x="106"/>
        <item m="1" x="107"/>
        <item m="1" x="108"/>
        <item m="1" x="1021"/>
        <item m="1" x="1022"/>
        <item m="1" x="1023"/>
        <item m="1" x="1024"/>
        <item m="1" x="1025"/>
        <item m="1" x="1026"/>
        <item m="1" x="1027"/>
        <item m="1" x="1028"/>
        <item m="1" x="1029"/>
        <item m="1" x="1030"/>
        <item m="1" x="1031"/>
        <item m="1" x="1032"/>
        <item m="1" x="1033"/>
        <item m="1" x="1034"/>
        <item m="1" x="1035"/>
        <item m="1" x="109"/>
        <item m="1" x="110"/>
        <item m="1" x="111"/>
        <item m="1" x="112"/>
        <item m="1" x="113"/>
        <item m="1" x="114"/>
        <item m="1" x="115"/>
        <item m="1" x="116"/>
        <item m="1" x="117"/>
        <item m="1" x="118"/>
        <item m="1" x="119"/>
        <item m="1" x="120"/>
        <item m="1" x="121"/>
        <item m="1" x="122"/>
        <item m="1" x="123"/>
        <item m="1" x="124"/>
        <item m="1" x="125"/>
        <item m="1" x="126"/>
        <item m="1" x="1036"/>
        <item m="1" x="1037"/>
        <item m="1" x="1039"/>
        <item m="1" x="1040"/>
        <item m="1" x="1041"/>
        <item m="1" x="1042"/>
        <item m="1" x="1043"/>
        <item m="1" x="1044"/>
        <item m="1" x="1045"/>
        <item m="1" x="1046"/>
        <item m="1" x="1047"/>
        <item m="1" x="1048"/>
        <item m="1" x="1049"/>
        <item m="1" x="1050"/>
        <item m="1" x="1487"/>
        <item m="1" x="1488"/>
        <item m="1" x="1490"/>
        <item m="1" x="1491"/>
        <item m="1" x="1495"/>
        <item m="1" x="1502"/>
        <item m="1" x="1509"/>
        <item m="1" x="1511"/>
        <item m="1" x="1515"/>
        <item m="1" x="1519"/>
        <item m="1" x="1521"/>
        <item m="1" x="1523"/>
        <item m="1" x="1524"/>
        <item m="1" x="1525"/>
        <item m="1" x="1526"/>
        <item m="1" x="1527"/>
        <item m="1" x="1529"/>
        <item m="1" x="550"/>
        <item m="1" x="629"/>
        <item m="1" x="633"/>
        <item m="1" x="637"/>
        <item m="1" x="641"/>
        <item m="1" x="648"/>
        <item m="1" x="652"/>
        <item m="1" x="656"/>
        <item m="1" x="660"/>
        <item m="1" x="664"/>
        <item m="1" x="668"/>
        <item m="1" x="672"/>
        <item m="1" x="678"/>
        <item m="1" x="681"/>
        <item m="1" x="683"/>
        <item m="1" x="685"/>
        <item m="1" x="687"/>
        <item m="1" x="689"/>
        <item m="1" x="691"/>
        <item m="1" x="694"/>
        <item m="1" x="697"/>
        <item m="1" x="700"/>
        <item m="1" x="1620"/>
        <item m="1" x="1624"/>
        <item m="1" x="1628"/>
        <item m="1" x="1632"/>
        <item m="1" x="1636"/>
        <item m="1" x="1640"/>
        <item m="1" x="1647"/>
        <item m="1" x="1651"/>
        <item m="1" x="1655"/>
        <item m="1" x="1659"/>
        <item m="1" x="1663"/>
        <item m="1" x="1668"/>
        <item m="1" x="1671"/>
        <item m="1" x="1674"/>
        <item m="1" x="1676"/>
        <item m="1" x="1678"/>
        <item m="1" x="1680"/>
        <item m="1" x="1682"/>
        <item m="1" x="1684"/>
        <item m="1" x="1688"/>
        <item m="1" x="724"/>
        <item m="1" x="728"/>
        <item m="1" x="732"/>
        <item m="1" x="737"/>
        <item m="1" x="742"/>
        <item m="1" x="750"/>
        <item m="1" x="754"/>
        <item m="1" x="759"/>
        <item m="1" x="763"/>
        <item m="1" x="768"/>
        <item m="1" x="773"/>
        <item m="1" x="781"/>
        <item m="1" x="785"/>
        <item m="1" x="789"/>
        <item m="1" x="792"/>
        <item m="1" x="795"/>
        <item m="1" x="1712"/>
        <item m="1" x="1718"/>
        <item m="1" x="1735"/>
        <item m="1" x="1742"/>
        <item m="1" x="1746"/>
        <item m="1" x="1747"/>
        <item m="1" x="1750"/>
        <item m="1" x="1753"/>
        <item m="1" x="1755"/>
        <item m="1" x="1756"/>
        <item m="1" x="1757"/>
        <item m="1" x="1758"/>
        <item m="1" x="1759"/>
        <item m="1" x="1760"/>
        <item m="1" x="807"/>
        <item m="1" x="808"/>
        <item m="1" x="809"/>
        <item m="1" x="812"/>
        <item m="1" x="822"/>
        <item m="1" x="826"/>
        <item m="1" x="828"/>
        <item m="1" x="829"/>
        <item m="1" x="830"/>
        <item m="1" x="831"/>
        <item m="1" x="833"/>
        <item m="1" x="835"/>
        <item m="1" x="836"/>
        <item m="1" x="837"/>
        <item m="1" x="838"/>
        <item m="1" x="1764"/>
        <item m="1" x="1796"/>
        <item m="1" x="1798"/>
        <item m="1" x="1810"/>
        <item m="1" x="1815"/>
        <item m="1" x="1824"/>
        <item m="1" x="1826"/>
        <item m="1" x="1828"/>
        <item m="1" x="1830"/>
        <item m="1" x="1832"/>
        <item m="1" x="891"/>
        <item m="1" x="893"/>
        <item m="1" x="897"/>
        <item m="1" x="901"/>
        <item m="1" x="903"/>
        <item m="1" x="905"/>
        <item m="1" x="908"/>
        <item m="1" x="910"/>
        <item m="1" x="912"/>
        <item m="1" x="914"/>
        <item m="1" x="916"/>
        <item m="1" x="918"/>
        <item m="1" x="920"/>
        <item m="1" x="922"/>
        <item m="1" x="924"/>
        <item m="1" x="1836"/>
        <item m="1" x="1843"/>
        <item m="1" x="1845"/>
        <item m="1" x="1847"/>
        <item m="1" x="1850"/>
        <item m="1" x="1852"/>
        <item m="1" x="1854"/>
        <item m="1" x="1856"/>
        <item m="1" x="1858"/>
        <item m="1" x="1859"/>
        <item m="1" x="1860"/>
        <item m="1" x="925"/>
        <item m="1" x="926"/>
        <item m="1" x="927"/>
        <item m="1" x="928"/>
        <item m="1" x="929"/>
        <item m="1" x="930"/>
        <item m="1" x="931"/>
        <item m="1" x="932"/>
        <item m="1" x="933"/>
        <item m="1" x="934"/>
        <item m="1" x="935"/>
        <item m="1" x="936"/>
        <item m="1" x="937"/>
        <item m="1" x="938"/>
        <item m="1" x="939"/>
        <item m="1" x="940"/>
        <item m="1" x="941"/>
        <item m="1" x="942"/>
        <item m="1" x="1861"/>
        <item m="1" x="1862"/>
        <item m="1" x="1863"/>
        <item m="1" x="1864"/>
        <item m="1" x="1865"/>
        <item m="1" x="25"/>
        <item m="1" x="26"/>
        <item m="1" x="27"/>
        <item m="1" x="28"/>
        <item m="1" x="29"/>
        <item m="1" x="30"/>
        <item m="1" x="31"/>
        <item m="1" x="32"/>
        <item m="1" x="33"/>
        <item m="1" x="34"/>
        <item m="1" x="35"/>
        <item m="1" x="970"/>
        <item m="1" x="972"/>
        <item m="1" x="976"/>
        <item m="1" x="980"/>
        <item m="1" x="983"/>
        <item m="1" x="984"/>
        <item m="1" x="986"/>
        <item m="1" x="988"/>
        <item m="1" x="990"/>
        <item m="1" x="992"/>
        <item m="1" x="994"/>
        <item m="1" x="996"/>
        <item m="1" x="998"/>
        <item m="1" x="1000"/>
        <item m="1" x="1003"/>
        <item m="1" x="62"/>
        <item m="1" x="65"/>
        <item m="1" x="68"/>
        <item m="1" x="72"/>
        <item m="1" x="77"/>
        <item m="1" x="81"/>
        <item m="1" x="83"/>
        <item m="1" x="85"/>
        <item m="1" x="87"/>
        <item m="1" x="89"/>
        <item m="1" x="91"/>
        <item m="1" x="93"/>
        <item m="1" x="1006"/>
        <item m="1" x="1008"/>
        <item m="1" x="95"/>
        <item m="1" x="1020"/>
        <item m="1" x="1038"/>
        <item m="1" x="127"/>
        <item m="1" x="1594"/>
        <item m="1" x="1664"/>
        <item m="1" x="695"/>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051"/>
        <item m="1" x="1053"/>
        <item m="1" x="1055"/>
        <item m="1" x="1058"/>
        <item m="1" x="1061"/>
        <item m="1" x="1063"/>
        <item m="1" x="1065"/>
        <item m="1" x="1067"/>
        <item m="1" x="1069"/>
        <item m="1" x="1070"/>
        <item m="1" x="1072"/>
        <item m="1" x="1074"/>
        <item m="1" x="1076"/>
        <item m="1" x="1078"/>
        <item m="1" x="1080"/>
        <item m="1" x="1082"/>
        <item m="1" x="1084"/>
        <item m="1" x="1086"/>
        <item m="1" x="1088"/>
        <item m="1" x="1089"/>
        <item m="1" x="1090"/>
        <item m="1" x="154"/>
        <item m="1" x="156"/>
        <item m="1" x="158"/>
        <item m="1" x="159"/>
        <item m="1" x="162"/>
        <item m="1" x="163"/>
        <item m="1" x="165"/>
        <item m="1" x="167"/>
        <item m="1" x="169"/>
        <item m="1" x="171"/>
        <item m="1" x="173"/>
        <item m="1" x="174"/>
        <item m="1" x="176"/>
        <item m="1" x="178"/>
        <item m="1" x="180"/>
        <item m="1" x="182"/>
        <item m="1" x="185"/>
        <item m="1" x="186"/>
        <item m="1" x="187"/>
        <item m="1" x="189"/>
        <item m="1" x="1093"/>
        <item m="1" x="1095"/>
        <item m="1" x="1104"/>
        <item m="1" x="1111"/>
        <item m="1" x="1115"/>
        <item m="1" x="1119"/>
        <item m="1" x="1122"/>
        <item m="1" x="1126"/>
        <item m="1" x="1130"/>
        <item m="1" x="1134"/>
        <item m="1" x="1138"/>
        <item m="1" x="1142"/>
        <item m="1" x="1146"/>
        <item m="1" x="1150"/>
        <item m="1" x="1153"/>
        <item m="1" x="1156"/>
        <item m="1" x="1159"/>
        <item m="1" x="1163"/>
        <item m="1" x="1165"/>
        <item m="1" x="191"/>
        <item m="1" x="194"/>
        <item m="1" x="201"/>
        <item m="1" x="204"/>
        <item m="1" x="211"/>
        <item m="1" x="216"/>
        <item m="1" x="219"/>
        <item m="1" x="223"/>
        <item m="1" x="229"/>
        <item m="1" x="235"/>
        <item m="1" x="239"/>
        <item m="1" x="243"/>
        <item m="1" x="246"/>
        <item m="1" x="248"/>
        <item m="1" x="252"/>
        <item m="1" x="256"/>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268"/>
        <item m="1" x="270"/>
        <item m="1" x="271"/>
        <item m="1" x="273"/>
        <item m="1" x="274"/>
        <item m="1" x="276"/>
        <item m="1" x="277"/>
        <item m="1" x="280"/>
        <item m="1" x="283"/>
        <item m="1" x="286"/>
        <item m="1" x="288"/>
        <item m="1" x="290"/>
        <item m="1" x="292"/>
        <item m="1" x="294"/>
        <item m="1" x="296"/>
        <item m="1" x="298"/>
        <item m="1" x="299"/>
        <item m="1" x="300"/>
        <item m="1" x="302"/>
        <item m="1" x="303"/>
        <item m="1" x="304"/>
        <item m="1" x="305"/>
        <item m="1" x="306"/>
        <item m="1" x="307"/>
        <item m="1" x="1220"/>
        <item m="1" x="1221"/>
        <item m="1" x="1224"/>
        <item m="1" x="1228"/>
        <item m="1" x="1230"/>
        <item m="1" x="1232"/>
        <item m="1" x="1235"/>
        <item m="1" x="1237"/>
        <item m="1" x="1239"/>
        <item m="1" x="1242"/>
        <item m="1" x="1244"/>
        <item m="1" x="1248"/>
        <item m="1" x="1251"/>
        <item m="1" x="1255"/>
        <item m="1" x="1258"/>
        <item m="1" x="1262"/>
        <item m="1" x="1265"/>
        <item m="1" x="1267"/>
        <item m="1" x="1268"/>
        <item m="1" x="1269"/>
        <item m="1" x="1270"/>
        <item m="1" x="1271"/>
        <item m="1" x="1272"/>
        <item m="1" x="1273"/>
        <item m="1" x="311"/>
        <item m="1" x="312"/>
        <item m="1" x="314"/>
        <item m="1" x="316"/>
        <item m="1" x="317"/>
        <item m="1" x="319"/>
        <item m="1" x="321"/>
        <item m="1" x="323"/>
        <item m="1" x="324"/>
        <item m="1" x="325"/>
        <item m="1" x="326"/>
        <item m="1" x="328"/>
        <item m="1" x="329"/>
        <item m="1" x="330"/>
        <item m="1" x="331"/>
        <item m="1" x="333"/>
        <item m="1" x="334"/>
        <item m="1" x="335"/>
        <item m="1" x="337"/>
        <item m="1" x="339"/>
        <item m="1" x="341"/>
        <item m="1" x="343"/>
        <item m="1" x="346"/>
        <item m="1" x="348"/>
        <item m="1" x="1276"/>
        <item m="1" x="1277"/>
        <item m="1" x="1278"/>
        <item m="1" x="1280"/>
        <item m="1" x="1282"/>
        <item m="1" x="1284"/>
        <item m="1" x="1287"/>
        <item m="1" x="1290"/>
        <item m="1" x="1294"/>
        <item m="1" x="1295"/>
        <item m="1" x="1296"/>
        <item m="1" x="1298"/>
        <item m="1" x="1300"/>
        <item m="1" x="1302"/>
        <item m="1" x="1305"/>
        <item m="1" x="1308"/>
        <item m="1" x="1310"/>
        <item m="1" x="1312"/>
        <item m="1" x="1314"/>
        <item m="1" x="1316"/>
        <item m="1" x="1318"/>
        <item m="1" x="1320"/>
        <item m="1" x="1322"/>
        <item m="1" x="1323"/>
        <item m="1" x="371"/>
        <item m="1" x="372"/>
        <item m="1" x="373"/>
        <item m="1" x="375"/>
        <item m="1" x="376"/>
        <item m="1" x="377"/>
        <item m="1" x="379"/>
        <item m="1" x="380"/>
        <item m="1" x="382"/>
        <item m="1" x="384"/>
        <item m="1" x="386"/>
        <item m="1" x="388"/>
        <item m="1" x="390"/>
        <item m="1" x="392"/>
        <item m="1" x="394"/>
        <item m="1" x="396"/>
        <item m="1" x="398"/>
        <item m="1" x="400"/>
        <item m="1" x="402"/>
        <item m="1" x="404"/>
        <item m="1" x="406"/>
        <item m="1" x="408"/>
        <item m="1" x="410"/>
        <item m="1" x="412"/>
        <item m="1" x="1351"/>
        <item m="1" x="1352"/>
        <item m="1" x="1353"/>
        <item m="1" x="1355"/>
        <item m="1" x="1357"/>
        <item m="1" x="1358"/>
        <item m="1" x="1359"/>
        <item m="1" x="1361"/>
        <item m="1" x="1363"/>
        <item m="1" x="1365"/>
        <item m="1" x="1367"/>
        <item m="1" x="1369"/>
        <item m="1" x="1371"/>
        <item m="1" x="1373"/>
        <item m="1" x="1375"/>
        <item m="1" x="1377"/>
        <item m="1" x="1379"/>
        <item m="1" x="1381"/>
        <item m="1" x="1383"/>
        <item m="1" x="1385"/>
        <item m="1" x="1387"/>
        <item m="1" x="1389"/>
        <item m="1" x="1391"/>
        <item m="1" x="1393"/>
        <item m="1" x="415"/>
        <item m="1" x="416"/>
        <item m="1" x="418"/>
        <item m="1" x="421"/>
        <item m="1" x="422"/>
        <item m="1" x="424"/>
        <item m="1" x="425"/>
        <item m="1" x="427"/>
        <item m="1" x="429"/>
        <item m="1" x="432"/>
        <item m="1" x="435"/>
        <item m="1" x="438"/>
        <item m="1" x="441"/>
        <item m="1" x="444"/>
        <item m="1" x="446"/>
        <item m="1" x="449"/>
        <item m="1" x="451"/>
        <item m="1" x="453"/>
        <item m="1" x="455"/>
        <item m="1" x="457"/>
        <item m="1" x="460"/>
        <item m="1" x="463"/>
        <item m="1" x="466"/>
        <item m="1" x="468"/>
        <item m="1" x="1401"/>
        <item m="1" x="1402"/>
        <item m="1" x="1403"/>
        <item m="1" x="1405"/>
        <item m="1" x="1407"/>
        <item m="1" x="1409"/>
        <item m="1" x="1410"/>
        <item m="1" x="1413"/>
        <item m="1" x="1416"/>
        <item m="1" x="1420"/>
        <item m="1" x="1423"/>
        <item m="1" x="1427"/>
        <item m="1" x="1431"/>
        <item m="1" x="1435"/>
        <item m="1" x="1439"/>
        <item m="1" x="1443"/>
        <item m="1" x="1448"/>
        <item m="1" x="1451"/>
        <item m="1" x="1454"/>
        <item m="1" x="1457"/>
        <item m="1" x="1461"/>
        <item m="1" x="1464"/>
        <item m="1" x="1466"/>
        <item m="1" x="1469"/>
        <item m="1" x="476"/>
        <item m="1" x="478"/>
        <item m="1" x="480"/>
        <item m="1" x="482"/>
        <item m="1" x="483"/>
        <item m="1" x="484"/>
        <item m="1" x="485"/>
        <item m="1" x="486"/>
        <item m="1" x="487"/>
        <item m="1" x="489"/>
        <item m="1" x="490"/>
        <item m="1" x="492"/>
        <item m="1" x="494"/>
        <item m="1" x="496"/>
        <item m="1" x="499"/>
        <item m="1" x="501"/>
        <item m="1" x="504"/>
        <item m="1" x="506"/>
        <item m="1" x="509"/>
        <item m="1" x="512"/>
        <item m="1" x="515"/>
        <item m="1" x="519"/>
        <item m="1" x="524"/>
        <item m="1" x="529"/>
        <item m="1" x="1478"/>
        <item m="1" x="1528"/>
        <item m="1" x="1530"/>
        <item m="1" x="1531"/>
        <item m="1" x="1533"/>
        <item m="1" x="1534"/>
        <item m="1" x="1535"/>
        <item m="1" x="1537"/>
        <item m="1" x="1539"/>
        <item m="1" x="1542"/>
        <item m="1" x="1544"/>
        <item m="1" x="1546"/>
        <item m="1" x="1549"/>
        <item m="1" x="1551"/>
        <item m="1" x="1553"/>
        <item m="1" x="1556"/>
        <item m="1" x="1558"/>
        <item m="1" x="1561"/>
        <item m="1" x="1564"/>
        <item m="1" x="1567"/>
        <item m="1" x="1570"/>
        <item m="1" x="1573"/>
        <item m="1" x="1576"/>
        <item m="1" x="1579"/>
        <item m="1" x="1581"/>
        <item m="1" x="602"/>
        <item m="1" x="604"/>
        <item m="1" x="606"/>
        <item m="1" x="610"/>
        <item m="1" x="613"/>
        <item m="1" x="615"/>
        <item m="1" x="617"/>
        <item m="1" x="620"/>
        <item m="1" x="623"/>
        <item m="1" x="626"/>
        <item m="1" x="630"/>
        <item m="1" x="634"/>
        <item m="1" x="638"/>
        <item m="1" x="642"/>
        <item m="1" x="645"/>
        <item m="1" x="649"/>
        <item m="1" x="653"/>
        <item m="1" x="657"/>
        <item m="1" x="661"/>
        <item m="1" x="665"/>
        <item m="1" x="669"/>
        <item m="1" x="673"/>
        <item m="1" x="676"/>
        <item m="1" x="679"/>
        <item m="1" x="1595"/>
        <item m="1" x="1597"/>
        <item m="1" x="1599"/>
        <item m="1" x="1602"/>
        <item m="1" x="1604"/>
        <item m="1" x="1606"/>
        <item m="1" x="1608"/>
        <item m="1" x="1611"/>
        <item m="1" x="1614"/>
        <item m="1" x="1617"/>
        <item m="1" x="1621"/>
        <item m="1" x="1625"/>
        <item m="1" x="1629"/>
        <item m="1" x="1633"/>
        <item m="1" x="1637"/>
        <item m="1" x="1641"/>
        <item m="1" x="1644"/>
        <item m="1" x="1648"/>
        <item m="1" x="1652"/>
        <item m="1" x="1656"/>
        <item m="1" x="1660"/>
        <item m="1" x="1665"/>
        <item m="1" x="1669"/>
        <item m="1" x="1672"/>
        <item m="1" x="698"/>
        <item m="1" x="701"/>
        <item m="1" x="703"/>
        <item m="1" x="706"/>
        <item m="1" x="708"/>
        <item m="1" x="711"/>
        <item m="1" x="714"/>
        <item m="1" x="718"/>
        <item m="1" x="721"/>
        <item m="1" x="725"/>
        <item m="1" x="729"/>
        <item m="1" x="733"/>
        <item m="1" x="738"/>
        <item m="1" x="743"/>
        <item m="1" x="746"/>
        <item m="1" x="751"/>
        <item m="1" x="755"/>
        <item m="1" x="760"/>
        <item m="1" x="764"/>
        <item m="1" x="769"/>
        <item m="1" x="774"/>
        <item m="1" x="778"/>
        <item m="1" x="782"/>
        <item m="1" x="1689"/>
        <item m="1" x="1691"/>
        <item m="1" x="1693"/>
        <item m="1" x="1696"/>
        <item m="1" x="1698"/>
        <item m="1" x="1700"/>
        <item m="1" x="1703"/>
        <item m="1" x="1706"/>
        <item m="1" x="1708"/>
        <item m="1" x="1710"/>
        <item m="1" x="1713"/>
        <item m="1" x="1715"/>
        <item m="1" x="1719"/>
        <item m="1" x="1722"/>
        <item m="1" x="1725"/>
        <item m="1" x="1728"/>
        <item m="1" x="1731"/>
        <item m="1" x="1733"/>
        <item m="1" x="1736"/>
        <item m="1" x="1739"/>
        <item m="1" x="1743"/>
        <item x="0"/>
        <item x="1"/>
        <item x="2"/>
        <item x="3"/>
        <item x="4"/>
        <item x="5"/>
        <item x="6"/>
        <item x="7"/>
        <item x="8"/>
        <item x="9"/>
        <item x="10"/>
        <item x="11"/>
        <item x="12"/>
        <item x="13"/>
        <item x="14"/>
        <item x="15"/>
        <item x="16"/>
        <item x="17"/>
        <item x="18"/>
        <item x="19"/>
        <item x="20"/>
        <item x="21"/>
        <item x="22"/>
        <item x="23"/>
        <item x="24"/>
        <item m="1" x="876"/>
        <item m="1" x="1786"/>
        <item m="1" x="1819"/>
        <item m="1" x="1821"/>
        <item m="1" x="1096"/>
        <item m="1" x="1099"/>
        <item m="1" x="1101"/>
        <item m="1" x="1105"/>
        <item m="1" x="1107"/>
        <item m="1" x="1108"/>
        <item m="1" x="1112"/>
        <item m="1" x="1116"/>
        <item m="1" x="1120"/>
        <item m="1" x="1123"/>
        <item m="1" x="1127"/>
        <item m="1" x="1131"/>
        <item m="1" x="1135"/>
        <item m="1" x="1139"/>
        <item m="1" x="1143"/>
        <item m="1" x="1147"/>
        <item m="1" x="1151"/>
        <item m="1" x="1154"/>
        <item m="1" x="1157"/>
        <item m="1" x="1160"/>
        <item m="1" x="1164"/>
        <item m="1" x="1166"/>
        <item m="1" x="1167"/>
        <item m="1" x="1168"/>
        <item m="1" x="195"/>
        <item m="1" x="197"/>
        <item m="1" x="199"/>
        <item m="1" x="202"/>
        <item m="1" x="205"/>
        <item m="1" x="208"/>
        <item m="1" x="212"/>
        <item m="1" x="214"/>
        <item m="1" x="217"/>
        <item m="1" x="220"/>
        <item m="1" x="224"/>
        <item m="1" x="227"/>
        <item m="1" x="230"/>
        <item m="1" x="232"/>
        <item m="1" x="236"/>
        <item m="1" x="240"/>
        <item m="1" x="244"/>
        <item m="1" x="247"/>
        <item m="1" x="249"/>
        <item m="1" x="253"/>
        <item m="1" x="254"/>
        <item m="1" x="257"/>
        <item m="1" x="258"/>
        <item m="1" x="1172"/>
        <item m="1" x="272"/>
        <item m="1" x="1225"/>
        <item m="1" x="315"/>
        <item m="1" x="1279"/>
        <item m="1" x="355"/>
        <item m="1" x="1354"/>
        <item m="1" x="419"/>
        <item m="1" x="1404"/>
        <item m="1" x="481"/>
        <item m="1" x="1480"/>
        <item m="1" x="607"/>
        <item m="1" x="1600"/>
        <item m="1" x="704"/>
        <item m="1" x="1694"/>
        <item m="1" x="799"/>
        <item m="1" x="1789"/>
        <item m="1" x="886"/>
        <item m="1" x="128"/>
        <item m="1" x="1748"/>
        <item m="1" x="1751"/>
        <item m="1" x="839"/>
        <item m="1" x="840"/>
        <item m="1" x="841"/>
        <item m="1" x="842"/>
        <item m="1" x="843"/>
        <item m="1" x="844"/>
        <item m="1" x="846"/>
        <item m="1" x="848"/>
        <item m="1" x="850"/>
        <item m="1" x="852"/>
        <item m="1" x="854"/>
        <item m="1" x="856"/>
        <item m="1" x="858"/>
        <item m="1" x="860"/>
        <item m="1" x="862"/>
        <item m="1" x="864"/>
        <item m="1" x="866"/>
        <item m="1" x="868"/>
        <item m="1" x="870"/>
        <item m="1" x="872"/>
        <item m="1" x="874"/>
        <item m="1" x="877"/>
        <item m="1" x="278"/>
        <item m="1" x="281"/>
        <item m="1" x="284"/>
        <item m="1" x="308"/>
        <item m="1" x="309"/>
        <item m="1" x="310"/>
        <item m="1" x="1233"/>
        <item m="1" x="1238"/>
        <item m="1" x="1240"/>
        <item m="1" x="1245"/>
        <item m="1" x="1249"/>
        <item m="1" x="1252"/>
        <item m="1" x="1259"/>
        <item m="1" x="1266"/>
        <item m="1" x="1274"/>
        <item m="1" x="1275"/>
        <item m="1" x="320"/>
        <item m="1" x="322"/>
        <item m="1" x="344"/>
        <item m="1" x="349"/>
        <item m="1" x="350"/>
        <item m="1" x="351"/>
        <item m="1" x="352"/>
        <item m="1" x="353"/>
        <item m="1" x="354"/>
        <item m="1" x="1285"/>
        <item m="1" x="1288"/>
        <item m="1" x="1291"/>
        <item m="1" x="1324"/>
        <item m="1" x="368"/>
        <item m="1" x="369"/>
        <item m="1" x="370"/>
        <item m="1" x="1444"/>
        <item m="1" x="1449"/>
        <item m="1" x="520"/>
        <item m="1" x="525"/>
        <item m="1" x="530"/>
        <item m="1" x="534"/>
        <item m="1" x="536"/>
        <item m="1" x="1499"/>
        <item m="1" x="1503"/>
        <item m="1" x="507"/>
        <item m="1" x="510"/>
        <item m="1" x="513"/>
        <item m="1" x="516"/>
        <item m="1" x="521"/>
        <item m="1" x="526"/>
        <item m="1" x="531"/>
      </items>
    </pivotField>
    <pivotField dataField="1" showAll="0"/>
    <pivotField showAll="0"/>
    <pivotField dataField="1" showAll="0" defaultSubtotal="0"/>
    <pivotField showAll="0" defaultSubtotal="0"/>
    <pivotField dragToRow="0" dragToCol="0" dragToPage="0" showAll="0" defaultSubtotal="0"/>
    <pivotField dataField="1" dragToRow="0" dragToCol="0" dragToPage="0" showAll="0" defaultSubtotal="0"/>
  </pivotFields>
  <rowFields count="1">
    <field x="4"/>
  </rowFields>
  <rowItems count="25">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rowItems>
  <colFields count="1">
    <field x="-2"/>
  </colFields>
  <colItems count="3">
    <i>
      <x/>
    </i>
    <i i="1">
      <x v="1"/>
    </i>
    <i i="2">
      <x v="2"/>
    </i>
  </colItems>
  <dataFields count="3">
    <dataField name="Average of LASTBARH" fld="5" subtotal="average" baseField="4" baseItem="1712" numFmtId="164"/>
    <dataField name="Average of FORECASTH_PREV" fld="7" subtotal="average" baseField="4" baseItem="1708" numFmtId="164"/>
    <dataField name="Average of errH" fld="10" subtotal="average" baseField="4" baseItem="1711"/>
  </dataFields>
  <formats count="5">
    <format dxfId="48">
      <pivotArea dataOnly="0" fieldPosition="0">
        <references count="1">
          <reference field="4" count="1">
            <x v="1609"/>
          </reference>
        </references>
      </pivotArea>
    </format>
    <format dxfId="47">
      <pivotArea dataOnly="0" fieldPosition="0">
        <references count="1">
          <reference field="4" count="1">
            <x v="1310"/>
          </reference>
        </references>
      </pivotArea>
    </format>
    <format dxfId="46">
      <pivotArea collapsedLevelsAreSubtotals="1" fieldPosition="0">
        <references count="2">
          <reference field="4294967294" count="1" selected="0">
            <x v="2"/>
          </reference>
          <reference field="4" count="0"/>
        </references>
      </pivotArea>
    </format>
    <format dxfId="45">
      <pivotArea outline="0" fieldPosition="0">
        <references count="1">
          <reference field="4294967294" count="1">
            <x v="1"/>
          </reference>
        </references>
      </pivotArea>
    </format>
    <format dxfId="44">
      <pivotArea outline="0" fieldPosition="0">
        <references count="1">
          <reference field="4294967294" count="1">
            <x v="0"/>
          </reference>
        </references>
      </pivotArea>
    </format>
  </formats>
  <chartFormats count="3">
    <chartFormat chart="0" format="26" series="1">
      <pivotArea type="data" outline="0" fieldPosition="0">
        <references count="1">
          <reference field="4294967294" count="1" selected="0">
            <x v="0"/>
          </reference>
        </references>
      </pivotArea>
    </chartFormat>
    <chartFormat chart="0" format="27" series="1">
      <pivotArea type="data" outline="0" fieldPosition="0">
        <references count="1">
          <reference field="4294967294" count="1" selected="0">
            <x v="1"/>
          </reference>
        </references>
      </pivotArea>
    </chartFormat>
    <chartFormat chart="0" format="2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89"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15" firstHeaderRow="1" firstDataRow="2" firstDataCol="1"/>
  <pivotFields count="20">
    <pivotField compact="0" outline="0" showAll="0">
      <items count="313">
        <item m="1" x="303"/>
        <item m="1" x="272"/>
        <item m="1" x="136"/>
        <item m="1" x="42"/>
        <item m="1" x="114"/>
        <item m="1" x="279"/>
        <item m="1" x="304"/>
        <item m="1" x="26"/>
        <item m="1" x="268"/>
        <item m="1" x="88"/>
        <item m="1" x="225"/>
        <item m="1" x="141"/>
        <item x="4"/>
        <item m="1" x="84"/>
        <item x="1"/>
        <item m="1" x="299"/>
        <item m="1" x="124"/>
        <item m="1" x="31"/>
        <item m="1" x="234"/>
        <item m="1" x="115"/>
        <item m="1" x="172"/>
        <item m="1" x="226"/>
        <item m="1" x="147"/>
        <item x="10"/>
        <item m="1" x="93"/>
        <item m="1" x="237"/>
        <item m="1" x="273"/>
        <item m="1" x="153"/>
        <item m="1" x="195"/>
        <item m="1" x="125"/>
        <item m="1" x="235"/>
        <item m="1" x="21"/>
        <item m="1" x="67"/>
        <item m="1" x="94"/>
        <item m="1" x="264"/>
        <item m="1" x="305"/>
        <item m="1" x="101"/>
        <item m="1" x="27"/>
        <item m="1" x="296"/>
        <item m="1" x="95"/>
        <item m="1" x="148"/>
        <item m="1" x="107"/>
        <item m="1" x="160"/>
        <item m="1" x="168"/>
        <item m="1" x="79"/>
        <item m="1" x="126"/>
        <item m="1" x="48"/>
        <item m="1" x="258"/>
        <item x="7"/>
        <item m="1" x="64"/>
        <item m="1" x="68"/>
        <item m="1" x="242"/>
        <item m="1" x="173"/>
        <item m="1" x="116"/>
        <item m="1" x="212"/>
        <item m="1" x="306"/>
        <item m="1" x="243"/>
        <item m="1" x="174"/>
        <item m="1" x="280"/>
        <item m="1" x="214"/>
        <item m="1" x="137"/>
        <item m="1" x="85"/>
        <item m="1" x="32"/>
        <item m="1" x="46"/>
        <item m="1" x="215"/>
        <item m="1" x="161"/>
        <item m="1" x="185"/>
        <item m="1" x="108"/>
        <item m="1" x="300"/>
        <item m="1" x="162"/>
        <item m="1" x="244"/>
        <item m="1" x="247"/>
        <item m="1" x="189"/>
        <item m="1" x="142"/>
        <item m="1" x="163"/>
        <item m="1" x="154"/>
        <item m="1" x="61"/>
        <item m="1" x="307"/>
        <item m="1" x="122"/>
        <item x="3"/>
        <item m="1" x="190"/>
        <item m="1" x="297"/>
        <item m="1" x="28"/>
        <item m="1" x="213"/>
        <item m="1" x="23"/>
        <item m="1" x="179"/>
        <item m="1" x="308"/>
        <item m="1" x="43"/>
        <item m="1" x="155"/>
        <item m="1" x="196"/>
        <item m="1" x="24"/>
        <item m="1" x="285"/>
        <item m="1" x="149"/>
        <item m="1" x="253"/>
        <item m="1" x="127"/>
        <item m="1" x="249"/>
        <item m="1" x="238"/>
        <item m="1" x="255"/>
        <item x="2"/>
        <item m="1" x="164"/>
        <item x="11"/>
        <item m="1" x="123"/>
        <item m="1" x="256"/>
        <item m="1" x="236"/>
        <item m="1" x="80"/>
        <item m="1" x="269"/>
        <item m="1" x="287"/>
        <item m="1" x="49"/>
        <item m="1" x="201"/>
        <item m="1" x="218"/>
        <item m="1" x="230"/>
        <item m="1" x="259"/>
        <item m="1" x="281"/>
        <item m="1" x="63"/>
        <item m="1" x="265"/>
        <item m="1" x="180"/>
        <item m="1" x="309"/>
        <item m="1" x="219"/>
        <item m="1" x="274"/>
        <item m="1" x="96"/>
        <item m="1" x="69"/>
        <item m="1" x="128"/>
        <item m="1" x="44"/>
        <item m="1" x="181"/>
        <item m="1" x="260"/>
        <item m="1" x="175"/>
        <item m="1" x="81"/>
        <item m="1" x="248"/>
        <item m="1" x="130"/>
        <item m="1" x="70"/>
        <item m="1" x="165"/>
        <item m="1" x="250"/>
        <item m="1" x="131"/>
        <item m="1" x="120"/>
        <item m="1" x="288"/>
        <item m="1" x="310"/>
        <item m="1" x="15"/>
        <item m="1" x="282"/>
        <item m="1" x="117"/>
        <item m="1" x="311"/>
        <item m="1" x="220"/>
        <item m="1" x="227"/>
        <item m="1" x="231"/>
        <item x="5"/>
        <item m="1" x="55"/>
        <item m="1" x="261"/>
        <item m="1" x="223"/>
        <item m="1" x="89"/>
        <item m="1" x="132"/>
        <item m="1" x="239"/>
        <item m="1" x="197"/>
        <item m="1" x="71"/>
        <item m="1" x="216"/>
        <item x="9"/>
        <item m="1" x="109"/>
        <item m="1" x="156"/>
        <item m="1" x="138"/>
        <item m="1" x="90"/>
        <item m="1" x="36"/>
        <item m="1" x="157"/>
        <item m="1" x="198"/>
        <item m="1" x="110"/>
        <item m="1" x="262"/>
        <item m="1" x="150"/>
        <item m="1" x="133"/>
        <item m="1" x="158"/>
        <item m="1" x="102"/>
        <item m="1" x="245"/>
        <item m="1" x="166"/>
        <item m="1" x="86"/>
        <item m="1" x="56"/>
        <item m="1" x="111"/>
        <item m="1" x="16"/>
        <item m="1" x="65"/>
        <item m="1" x="47"/>
        <item m="1" x="25"/>
        <item m="1" x="221"/>
        <item m="1" x="275"/>
        <item m="1" x="50"/>
        <item m="1" x="207"/>
        <item m="1" x="151"/>
        <item m="1" x="91"/>
        <item m="1" x="59"/>
        <item m="1" x="118"/>
        <item x="12"/>
        <item m="1" x="72"/>
        <item m="1" x="217"/>
        <item m="1" x="270"/>
        <item m="1" x="103"/>
        <item m="1" x="57"/>
        <item m="1" x="112"/>
        <item m="1" x="208"/>
        <item m="1" x="33"/>
        <item m="1" x="224"/>
        <item m="1" x="283"/>
        <item m="1" x="191"/>
        <item m="1" x="17"/>
        <item m="1" x="251"/>
        <item m="1" x="82"/>
        <item m="1" x="74"/>
        <item m="1" x="40"/>
        <item m="1" x="34"/>
        <item m="1" x="176"/>
        <item m="1" x="134"/>
        <item m="1" x="135"/>
        <item m="1" x="73"/>
        <item m="1" x="139"/>
        <item m="1" x="38"/>
        <item m="1" x="289"/>
        <item m="1" x="292"/>
        <item m="1" x="186"/>
        <item m="1" x="45"/>
        <item m="1" x="58"/>
        <item m="1" x="240"/>
        <item m="1" x="97"/>
        <item m="1" x="51"/>
        <item m="1" x="182"/>
        <item m="1" x="246"/>
        <item m="1" x="202"/>
        <item m="1" x="75"/>
        <item m="1" x="293"/>
        <item m="1" x="18"/>
        <item m="1" x="192"/>
        <item m="1" x="98"/>
        <item m="1" x="290"/>
        <item m="1" x="203"/>
        <item m="1" x="29"/>
        <item m="1" x="276"/>
        <item m="1" x="41"/>
        <item m="1" x="87"/>
        <item m="1" x="169"/>
        <item m="1" x="129"/>
        <item m="1" x="209"/>
        <item m="1" x="263"/>
        <item m="1" x="177"/>
        <item m="1" x="193"/>
        <item m="1" x="99"/>
        <item m="1" x="252"/>
        <item m="1" x="199"/>
        <item m="1" x="39"/>
        <item m="1" x="104"/>
        <item m="1" x="37"/>
        <item m="1" x="83"/>
        <item x="13"/>
        <item m="1" x="100"/>
        <item m="1" x="119"/>
        <item m="1" x="271"/>
        <item m="1" x="52"/>
        <item m="1" x="183"/>
        <item m="1" x="204"/>
        <item m="1" x="76"/>
        <item m="1" x="222"/>
        <item m="1" x="210"/>
        <item m="1" x="159"/>
        <item x="0"/>
        <item m="1" x="140"/>
        <item m="1" x="167"/>
        <item m="1" x="53"/>
        <item m="1" x="105"/>
        <item m="1" x="143"/>
        <item m="1" x="277"/>
        <item m="1" x="170"/>
        <item x="14"/>
        <item m="1" x="22"/>
        <item m="1" x="66"/>
        <item m="1" x="241"/>
        <item m="1" x="301"/>
        <item m="1" x="121"/>
        <item m="1" x="200"/>
        <item m="1" x="228"/>
        <item m="1" x="54"/>
        <item m="1" x="144"/>
        <item m="1" x="278"/>
        <item m="1" x="171"/>
        <item m="1" x="232"/>
        <item m="1" x="187"/>
        <item x="8"/>
        <item m="1" x="211"/>
        <item m="1" x="60"/>
        <item m="1" x="194"/>
        <item m="1" x="205"/>
        <item m="1" x="145"/>
        <item m="1" x="294"/>
        <item m="1" x="284"/>
        <item m="1" x="206"/>
        <item m="1" x="30"/>
        <item m="1" x="233"/>
        <item m="1" x="295"/>
        <item m="1" x="106"/>
        <item m="1" x="19"/>
        <item m="1" x="298"/>
        <item m="1" x="62"/>
        <item m="1" x="229"/>
        <item m="1" x="113"/>
        <item m="1" x="35"/>
        <item m="1" x="178"/>
        <item m="1" x="266"/>
        <item m="1" x="254"/>
        <item m="1" x="286"/>
        <item m="1" x="20"/>
        <item x="6"/>
        <item m="1" x="92"/>
        <item m="1" x="257"/>
        <item m="1" x="77"/>
        <item m="1" x="78"/>
        <item m="1" x="152"/>
        <item m="1" x="302"/>
        <item m="1" x="291"/>
        <item m="1" x="184"/>
        <item m="1" x="146"/>
        <item m="1" x="188"/>
        <item m="1" x="267"/>
        <item t="default"/>
      </items>
    </pivotField>
    <pivotField compact="0" outline="0" showAll="0">
      <items count="671">
        <item m="1" x="486"/>
        <item m="1" x="72"/>
        <item m="1" x="212"/>
        <item m="1" x="57"/>
        <item m="1" x="535"/>
        <item m="1" x="501"/>
        <item m="1" x="77"/>
        <item m="1" x="377"/>
        <item m="1" x="271"/>
        <item m="1" x="522"/>
        <item m="1" x="358"/>
        <item m="1" x="235"/>
        <item m="1" x="398"/>
        <item m="1" x="567"/>
        <item m="1" x="419"/>
        <item m="1" x="84"/>
        <item m="1" x="275"/>
        <item m="1" x="294"/>
        <item m="1" x="547"/>
        <item m="1" x="218"/>
        <item m="1" x="645"/>
        <item m="1" x="119"/>
        <item m="1" x="246"/>
        <item m="1" x="611"/>
        <item m="1" x="137"/>
        <item m="1" x="483"/>
        <item m="1" x="625"/>
        <item m="1" x="42"/>
        <item m="1" x="187"/>
        <item m="1" x="229"/>
        <item m="1" x="497"/>
        <item m="1" x="653"/>
        <item m="1" x="374"/>
        <item m="1" x="457"/>
        <item m="1" x="620"/>
        <item m="1" x="641"/>
        <item m="1" x="184"/>
        <item m="1" x="513"/>
        <item m="1" x="540"/>
        <item m="1" x="110"/>
        <item m="1" x="183"/>
        <item m="1" x="197"/>
        <item m="1" x="243"/>
        <item m="1" x="284"/>
        <item m="1" x="293"/>
        <item m="1" x="496"/>
        <item m="1" x="573"/>
        <item m="1" x="659"/>
        <item m="1" x="22"/>
        <item m="1" x="64"/>
        <item m="1" x="144"/>
        <item m="1" x="213"/>
        <item m="1" x="237"/>
        <item m="1" x="291"/>
        <item m="1" x="442"/>
        <item m="1" x="524"/>
        <item m="1" x="89"/>
        <item m="1" x="155"/>
        <item m="1" x="224"/>
        <item m="1" x="282"/>
        <item m="1" x="455"/>
        <item m="1" x="476"/>
        <item x="7"/>
        <item m="1" x="636"/>
        <item m="1" x="39"/>
        <item m="1" x="61"/>
        <item m="1" x="180"/>
        <item m="1" x="194"/>
        <item m="1" x="222"/>
        <item m="1" x="559"/>
        <item m="1" x="569"/>
        <item m="1" x="74"/>
        <item m="1" x="99"/>
        <item m="1" x="193"/>
        <item m="1" x="220"/>
        <item m="1" x="537"/>
        <item m="1" x="616"/>
        <item x="12"/>
        <item m="1" x="153"/>
        <item m="1" x="164"/>
        <item m="1" x="179"/>
        <item m="1" x="249"/>
        <item m="1" x="384"/>
        <item m="1" x="472"/>
        <item m="1" x="519"/>
        <item m="1" x="628"/>
        <item m="1" x="142"/>
        <item m="1" x="278"/>
        <item m="1" x="314"/>
        <item m="1" x="357"/>
        <item m="1" x="503"/>
        <item m="1" x="548"/>
        <item m="1" x="568"/>
        <item m="1" x="591"/>
        <item m="1" x="87"/>
        <item m="1" x="141"/>
        <item m="1" x="323"/>
        <item m="1" x="332"/>
        <item m="1" x="397"/>
        <item m="1" x="86"/>
        <item m="1" x="406"/>
        <item m="1" x="108"/>
        <item m="1" x="439"/>
        <item m="1" x="127"/>
        <item m="1" x="276"/>
        <item x="9"/>
        <item m="1" x="346"/>
        <item m="1" x="369"/>
        <item m="1" x="382"/>
        <item m="1" x="122"/>
        <item m="1" x="438"/>
        <item m="1" x="234"/>
        <item m="1" x="600"/>
        <item m="1" x="647"/>
        <item m="1" x="657"/>
        <item m="1" x="36"/>
        <item m="1" x="368"/>
        <item m="1" x="85"/>
        <item m="1" x="404"/>
        <item m="1" x="140"/>
        <item m="1" x="488"/>
        <item m="1" x="533"/>
        <item m="1" x="288"/>
        <item m="1" x="69"/>
        <item m="1" x="403"/>
        <item m="1" x="437"/>
        <item m="1" x="532"/>
        <item m="1" x="202"/>
        <item m="1" x="209"/>
        <item x="0"/>
        <item m="1" x="106"/>
        <item m="1" x="121"/>
        <item m="1" x="190"/>
        <item m="1" x="665"/>
        <item m="1" x="19"/>
        <item m="1" x="336"/>
        <item m="1" x="33"/>
        <item m="1" x="436"/>
        <item m="1" x="139"/>
        <item m="1" x="500"/>
        <item m="1" x="557"/>
        <item m="1" x="232"/>
        <item m="1" x="579"/>
        <item m="1" x="241"/>
        <item m="1" x="311"/>
        <item m="1" x="18"/>
        <item m="1" x="96"/>
        <item m="1" x="105"/>
        <item m="1" x="461"/>
        <item m="1" x="247"/>
        <item m="1" x="274"/>
        <item m="1" x="634"/>
        <item m="1" x="301"/>
        <item m="1" x="335"/>
        <item m="1" x="44"/>
        <item m="1" x="435"/>
        <item m="1" x="152"/>
        <item m="1" x="161"/>
        <item m="1" x="499"/>
        <item m="1" x="168"/>
        <item m="1" x="544"/>
        <item m="1" x="217"/>
        <item m="1" x="565"/>
        <item m="1" x="589"/>
        <item m="1" x="260"/>
        <item m="1" x="643"/>
        <item m="1" x="353"/>
        <item m="1" x="54"/>
        <item m="1" x="95"/>
        <item m="1" x="410"/>
        <item m="1" x="434"/>
        <item m="1" x="447"/>
        <item m="1" x="508"/>
        <item m="1" x="543"/>
        <item m="1" x="633"/>
        <item m="1" x="344"/>
        <item m="1" x="68"/>
        <item m="1" x="94"/>
        <item m="1" x="424"/>
        <item m="1" x="484"/>
        <item x="5"/>
        <item m="1" x="239"/>
        <item m="1" x="258"/>
        <item m="1" x="626"/>
        <item m="1" x="654"/>
        <item m="1" x="16"/>
        <item m="1" x="25"/>
        <item m="1" x="378"/>
        <item m="1" x="402"/>
        <item m="1" x="409"/>
        <item m="1" x="446"/>
        <item m="1" x="459"/>
        <item m="1" x="467"/>
        <item m="1" x="188"/>
        <item m="1" x="542"/>
        <item m="1" x="553"/>
        <item m="1" x="256"/>
        <item x="3"/>
        <item m="1" x="423"/>
        <item m="1" x="158"/>
        <item m="1" x="199"/>
        <item m="1" x="244"/>
        <item m="1" x="309"/>
        <item m="1" x="662"/>
        <item m="1" x="93"/>
        <item m="1" x="417"/>
        <item m="1" x="157"/>
        <item m="1" x="515"/>
        <item m="1" x="186"/>
        <item m="1" x="551"/>
        <item m="1" x="216"/>
        <item m="1" x="227"/>
        <item m="1" x="622"/>
        <item m="1" x="30"/>
        <item m="1" x="390"/>
        <item m="1" x="174"/>
        <item m="1" x="205"/>
        <item m="1" x="214"/>
        <item m="1" x="576"/>
        <item m="1" x="286"/>
        <item m="1" x="298"/>
        <item m="1" x="40"/>
        <item m="1" x="389"/>
        <item m="1" x="92"/>
        <item m="1" x="407"/>
        <item m="1" x="445"/>
        <item m="1" x="128"/>
        <item m="1" x="527"/>
        <item m="1" x="575"/>
        <item m="1" x="586"/>
        <item m="1" x="285"/>
        <item m="1" x="29"/>
        <item m="1" x="362"/>
        <item m="1" x="91"/>
        <item m="1" x="432"/>
        <item m="1" x="479"/>
        <item m="1" x="198"/>
        <item m="1" x="574"/>
        <item m="1" x="350"/>
        <item m="1" x="558"/>
        <item m="1" x="388"/>
        <item m="1" x="401"/>
        <item m="1" x="581"/>
        <item m="1" x="602"/>
        <item m="1" x="262"/>
        <item m="1" x="277"/>
        <item m="1" x="444"/>
        <item m="1" x="649"/>
        <item m="1" x="303"/>
        <item m="1" x="313"/>
        <item m="1" x="156"/>
        <item m="1" x="20"/>
        <item m="1" x="337"/>
        <item m="1" x="356"/>
        <item m="1" x="539"/>
        <item m="1" x="550"/>
        <item m="1" x="78"/>
        <item m="1" x="396"/>
        <item m="1" x="115"/>
        <item m="1" x="270"/>
        <item m="1" x="639"/>
        <item m="1" x="465"/>
        <item m="1" x="660"/>
        <item m="1" x="318"/>
        <item m="1" x="191"/>
        <item m="1" x="65"/>
        <item m="1" x="566"/>
        <item m="1" x="400"/>
        <item m="1" x="601"/>
        <item m="1" x="289"/>
        <item m="1" x="443"/>
        <item m="1" x="648"/>
        <item m="1" x="146"/>
        <item m="1" x="345"/>
        <item m="1" x="196"/>
        <item m="1" x="355"/>
        <item m="1" x="56"/>
        <item m="1" x="395"/>
        <item x="6"/>
        <item m="1" x="405"/>
        <item m="1" x="254"/>
        <item m="1" x="418"/>
        <item m="1" x="607"/>
        <item m="1" x="638"/>
        <item m="1" x="464"/>
        <item m="1" x="652"/>
        <item m="1" x="502"/>
        <item m="1" x="361"/>
        <item m="1" x="210"/>
        <item m="1" x="373"/>
        <item m="1" x="219"/>
        <item m="1" x="102"/>
        <item m="1" x="599"/>
        <item m="1" x="614"/>
        <item m="1" x="133"/>
        <item m="1" x="145"/>
        <item m="1" x="478"/>
        <item m="1" x="35"/>
        <item m="1" x="381"/>
        <item m="1" x="561"/>
        <item m="1" x="226"/>
        <item m="1" x="411"/>
        <item m="1" x="253"/>
        <item m="1" x="631"/>
        <item m="1" x="292"/>
        <item m="1" x="637"/>
        <item m="1" x="651"/>
        <item m="1" x="329"/>
        <item m="1" x="28"/>
        <item m="1" x="360"/>
        <item m="1" x="233"/>
        <item m="1" x="580"/>
        <item m="1" x="90"/>
        <item m="1" x="590"/>
        <item m="1" x="416"/>
        <item m="1" x="287"/>
        <item x="1"/>
        <item m="1" x="322"/>
        <item m="1" x="495"/>
        <item m="1" x="182"/>
        <item m="1" x="525"/>
        <item m="1" x="47"/>
        <item m="1" x="55"/>
        <item m="1" x="560"/>
        <item m="1" x="585"/>
        <item m="1" x="107"/>
        <item m="1" x="252"/>
        <item m="1" x="269"/>
        <item m="1" x="630"/>
        <item m="1" x="450"/>
        <item m="1" x="463"/>
        <item m="1" x="469"/>
        <item m="1" x="51"/>
        <item m="1" x="201"/>
        <item m="1" x="359"/>
        <item m="1" x="63"/>
        <item m="1" x="372"/>
        <item m="1" x="399"/>
        <item m="1" x="598"/>
        <item m="1" x="261"/>
        <item m="1" x="422"/>
        <item m="1" x="613"/>
        <item m="1" x="431"/>
        <item m="1" x="627"/>
        <item m="1" x="126"/>
        <item m="1" x="466"/>
        <item m="1" x="312"/>
        <item m="1" x="666"/>
        <item m="1" x="321"/>
        <item m="1" x="166"/>
        <item m="1" x="26"/>
        <item m="1" x="173"/>
        <item m="1" x="34"/>
        <item m="1" x="181"/>
        <item m="1" x="195"/>
        <item m="1" x="225"/>
        <item m="1" x="394"/>
        <item m="1" x="572"/>
        <item m="1" x="242"/>
        <item m="1" x="619"/>
        <item m="1" x="120"/>
        <item m="1" x="283"/>
        <item m="1" x="297"/>
        <item m="1" x="462"/>
        <item m="1" x="307"/>
        <item m="1" x="468"/>
        <item m="1" x="669"/>
        <item m="1" x="328"/>
        <item m="1" x="341"/>
        <item m="1" x="50"/>
        <item m="1" x="76"/>
        <item m="1" x="101"/>
        <item m="1" x="597"/>
        <item m="1" x="646"/>
        <item m="1" x="656"/>
        <item m="1" x="477"/>
        <item x="14"/>
        <item m="1" x="494"/>
        <item m="1" x="46"/>
        <item m="1" x="393"/>
        <item m="1" x="83"/>
        <item m="1" x="584"/>
        <item m="1" x="606"/>
        <item m="1" x="114"/>
        <item m="1" x="268"/>
        <item m="1" x="427"/>
        <item m="1" x="290"/>
        <item m="1" x="138"/>
        <item m="1" x="306"/>
        <item m="1" x="487"/>
        <item m="1" x="162"/>
        <item m="1" x="327"/>
        <item m="1" x="509"/>
        <item m="1" x="178"/>
        <item m="1" x="517"/>
        <item m="1" x="546"/>
        <item m="1" x="62"/>
        <item m="1" x="208"/>
        <item m="1" x="556"/>
        <item m="1" x="75"/>
        <item m="1" x="387"/>
        <item m="1" x="231"/>
        <item m="1" x="248"/>
        <item m="1" x="415"/>
        <item m="1" x="596"/>
        <item m="1" x="612"/>
        <item m="1" x="302"/>
        <item m="1" x="154"/>
        <item m="1" x="493"/>
        <item m="1" x="331"/>
        <item m="1" x="512"/>
        <item m="1" x="32"/>
        <item m="1" x="523"/>
        <item m="1" x="45"/>
        <item m="1" x="354"/>
        <item m="1" x="549"/>
        <item m="1" x="223"/>
        <item m="1" x="392"/>
        <item m="1" x="571"/>
        <item m="1" x="605"/>
        <item m="1" x="113"/>
        <item m="1" x="267"/>
        <item m="1" x="426"/>
        <item m="1" x="618"/>
        <item m="1" x="118"/>
        <item m="1" x="449"/>
        <item m="1" x="130"/>
        <item m="1" x="305"/>
        <item m="1" x="668"/>
        <item m="1" x="169"/>
        <item m="1" x="177"/>
        <item m="1" x="200"/>
        <item m="1" x="545"/>
        <item x="11"/>
        <item x="2"/>
        <item m="1" x="240"/>
        <item m="1" x="100"/>
        <item m="1" x="245"/>
        <item m="1" x="414"/>
        <item m="1" x="595"/>
        <item m="1" x="441"/>
        <item m="1" x="644"/>
        <item m="1" x="475"/>
        <item m="1" x="17"/>
        <item m="1" x="165"/>
        <item m="1" x="43"/>
        <item m="1" x="204"/>
        <item m="1" x="367"/>
        <item m="1" x="380"/>
        <item m="1" x="570"/>
        <item m="1" x="236"/>
        <item m="1" x="583"/>
        <item m="1" x="251"/>
        <item m="1" x="425"/>
        <item m="1" x="281"/>
        <item m="1" x="448"/>
        <item m="1" x="296"/>
        <item m="1" x="460"/>
        <item m="1" x="151"/>
        <item m="1" x="333"/>
        <item m="1" x="176"/>
        <item m="1" x="340"/>
        <item m="1" x="516"/>
        <item m="1" x="349"/>
        <item m="1" x="49"/>
        <item m="1" x="555"/>
        <item m="1" x="386"/>
        <item m="1" x="564"/>
        <item m="1" x="80"/>
        <item m="1" x="230"/>
        <item m="1" x="109"/>
        <item m="1" x="273"/>
        <item m="1" x="125"/>
        <item m="1" x="440"/>
        <item m="1" x="454"/>
        <item m="1" x="300"/>
        <item m="1" x="655"/>
        <item m="1" x="143"/>
        <item m="1" x="310"/>
        <item m="1" x="474"/>
        <item m="1" x="172"/>
        <item m="1" x="538"/>
        <item m="1" x="53"/>
        <item m="1" x="366"/>
        <item m="1" x="221"/>
        <item m="1" x="391"/>
        <item m="1" x="82"/>
        <item m="1" x="593"/>
        <item m="1" x="112"/>
        <item m="1" x="266"/>
        <item m="1" x="433"/>
        <item x="13"/>
        <item m="1" x="295"/>
        <item m="1" x="136"/>
        <item m="1" x="485"/>
        <item m="1" x="667"/>
        <item m="1" x="175"/>
        <item m="1" x="348"/>
        <item m="1" x="207"/>
        <item m="1" x="73"/>
        <item m="1" x="578"/>
        <item m="1" x="413"/>
        <item m="1" x="259"/>
        <item m="1" x="421"/>
        <item m="1" x="124"/>
        <item m="1" x="453"/>
        <item m="1" x="642"/>
        <item m="1" x="473"/>
        <item m="1" x="664"/>
        <item m="1" x="320"/>
        <item m="1" x="492"/>
        <item m="1" x="506"/>
        <item m="1" x="343"/>
        <item m="1" x="521"/>
        <item m="1" x="192"/>
        <item m="1" x="379"/>
        <item m="1" x="104"/>
        <item m="1" x="250"/>
        <item m="1" x="604"/>
        <item m="1" x="617"/>
        <item m="1" x="117"/>
        <item m="1" x="280"/>
        <item m="1" x="150"/>
        <item m="1" x="317"/>
        <item m="1" x="482"/>
        <item m="1" x="160"/>
        <item m="1" x="498"/>
        <item m="1" x="21"/>
        <item m="1" x="189"/>
        <item m="1" x="531"/>
        <item m="1" x="48"/>
        <item m="1" x="60"/>
        <item m="1" x="206"/>
        <item m="1" x="371"/>
        <item m="1" x="554"/>
        <item m="1" x="563"/>
        <item m="1" x="588"/>
        <item m="1" x="594"/>
        <item m="1" x="257"/>
        <item m="1" x="610"/>
        <item m="1" x="632"/>
        <item m="1" x="452"/>
        <item m="1" x="132"/>
        <item m="1" x="491"/>
        <item m="1" x="505"/>
        <item m="1" x="24"/>
        <item m="1" x="171"/>
        <item m="1" x="520"/>
        <item m="1" x="41"/>
        <item m="1" x="352"/>
        <item m="1" x="365"/>
        <item m="1" x="67"/>
        <item m="1" x="103"/>
        <item m="1" x="265"/>
        <item m="1" x="635"/>
        <item m="1" x="458"/>
        <item m="1" x="149"/>
        <item m="1" x="316"/>
        <item m="1" x="159"/>
        <item m="1" x="167"/>
        <item m="1" x="507"/>
        <item m="1" x="530"/>
        <item m="1" x="541"/>
        <item m="1" x="59"/>
        <item m="1" x="370"/>
        <item m="1" x="552"/>
        <item m="1" x="71"/>
        <item m="1" x="385"/>
        <item m="1" x="562"/>
        <item m="1" x="577"/>
        <item m="1" x="238"/>
        <item m="1" x="98"/>
        <item m="1" x="609"/>
        <item m="1" x="116"/>
        <item m="1" x="272"/>
        <item m="1" x="430"/>
        <item m="1" x="624"/>
        <item m="1" x="131"/>
        <item m="1" x="299"/>
        <item m="1" x="663"/>
        <item m="1" x="319"/>
        <item m="1" x="490"/>
        <item x="4"/>
        <item m="1" x="170"/>
        <item m="1" x="31"/>
        <item m="1" x="211"/>
        <item m="1" x="376"/>
        <item m="1" x="81"/>
        <item m="1" x="408"/>
        <item m="1" x="615"/>
        <item m="1" x="629"/>
        <item m="1" x="129"/>
        <item m="1" x="326"/>
        <item m="1" x="339"/>
        <item m="1" x="38"/>
        <item m="1" x="347"/>
        <item m="1" x="529"/>
        <item m="1" x="58"/>
        <item m="1" x="228"/>
        <item m="1" x="97"/>
        <item m="1" x="412"/>
        <item m="1" x="255"/>
        <item m="1" x="608"/>
        <item m="1" x="623"/>
        <item m="1" x="451"/>
        <item m="1" x="504"/>
        <item m="1" x="536"/>
        <item m="1" x="52"/>
        <item m="1" x="66"/>
        <item m="1" x="375"/>
        <item m="1" x="603"/>
        <item m="1" x="111"/>
        <item m="1" x="264"/>
        <item m="1" x="279"/>
        <item m="1" x="135"/>
        <item m="1" x="658"/>
        <item m="1" x="148"/>
        <item m="1" x="315"/>
        <item m="1" x="481"/>
        <item m="1" x="325"/>
        <item m="1" x="27"/>
        <item m="1" x="514"/>
        <item m="1" x="215"/>
        <item m="1" x="79"/>
        <item m="1" x="88"/>
        <item m="1" x="587"/>
        <item m="1" x="429"/>
        <item m="1" x="621"/>
        <item m="1" x="308"/>
        <item m="1" x="471"/>
        <item m="1" x="163"/>
        <item m="1" x="334"/>
        <item m="1" x="511"/>
        <item m="1" x="342"/>
        <item m="1" x="364"/>
        <item m="1" x="592"/>
        <item m="1" x="263"/>
        <item m="1" x="304"/>
        <item m="1" x="480"/>
        <item m="1" x="324"/>
        <item m="1" x="338"/>
        <item m="1" x="37"/>
        <item m="1" x="185"/>
        <item m="1" x="528"/>
        <item m="1" x="70"/>
        <item m="1" x="383"/>
        <item x="10"/>
        <item m="1" x="661"/>
        <item m="1" x="15"/>
        <item m="1" x="330"/>
        <item m="1" x="23"/>
        <item m="1" x="510"/>
        <item m="1" x="518"/>
        <item m="1" x="351"/>
        <item m="1" x="534"/>
        <item m="1" x="203"/>
        <item m="1" x="363"/>
        <item m="1" x="582"/>
        <item x="8"/>
        <item m="1" x="456"/>
        <item m="1" x="650"/>
        <item m="1" x="134"/>
        <item m="1" x="147"/>
        <item m="1" x="526"/>
        <item m="1" x="420"/>
        <item m="1" x="428"/>
        <item m="1" x="123"/>
        <item m="1" x="640"/>
        <item m="1" x="470"/>
        <item m="1" x="489"/>
        <item t="default"/>
      </items>
    </pivotField>
    <pivotField compact="0" outline="0" showAll="0" defaultSubtotal="0"/>
    <pivotField compact="0" outline="0" showAll="0">
      <items count="139">
        <item m="1" x="2"/>
        <item m="1" x="132"/>
        <item m="1" x="120"/>
        <item m="1" x="9"/>
        <item m="1" x="133"/>
        <item m="1" x="5"/>
        <item m="1" x="32"/>
        <item m="1" x="100"/>
        <item m="1" x="55"/>
        <item x="0"/>
        <item m="1" x="130"/>
        <item m="1" x="46"/>
        <item m="1" x="7"/>
        <item m="1" x="101"/>
        <item m="1" x="58"/>
        <item m="1" x="63"/>
        <item m="1" x="24"/>
        <item m="1" x="134"/>
        <item m="1" x="6"/>
        <item m="1" x="128"/>
        <item m="1" x="59"/>
        <item m="1" x="66"/>
        <item m="1" x="71"/>
        <item m="1" x="47"/>
        <item m="1" x="11"/>
        <item m="1" x="114"/>
        <item m="1" x="106"/>
        <item m="1" x="74"/>
        <item m="1" x="135"/>
        <item m="1" x="75"/>
        <item m="1" x="123"/>
        <item m="1" x="95"/>
        <item m="1" x="83"/>
        <item m="1" x="108"/>
        <item m="1" x="85"/>
        <item m="1" x="56"/>
        <item m="1" x="67"/>
        <item m="1" x="64"/>
        <item m="1" x="21"/>
        <item m="1" x="44"/>
        <item m="1" x="129"/>
        <item m="1" x="136"/>
        <item m="1" x="88"/>
        <item m="1" x="111"/>
        <item m="1" x="110"/>
        <item m="1" x="10"/>
        <item m="1" x="68"/>
        <item m="1" x="45"/>
        <item m="1" x="104"/>
        <item m="1" x="28"/>
        <item m="1" x="119"/>
        <item m="1" x="12"/>
        <item m="1" x="90"/>
        <item m="1" x="102"/>
        <item m="1" x="115"/>
        <item m="1" x="124"/>
        <item m="1" x="98"/>
        <item m="1" x="25"/>
        <item m="1" x="80"/>
        <item m="1" x="76"/>
        <item m="1" x="29"/>
        <item m="1" x="109"/>
        <item m="1" x="26"/>
        <item m="1" x="69"/>
        <item m="1" x="49"/>
        <item m="1" x="42"/>
        <item m="1" x="137"/>
        <item m="1" x="3"/>
        <item m="1" x="103"/>
        <item m="1" x="15"/>
        <item m="1" x="116"/>
        <item m="1" x="50"/>
        <item m="1" x="96"/>
        <item m="1" x="65"/>
        <item m="1" x="52"/>
        <item m="1" x="33"/>
        <item m="1" x="38"/>
        <item m="1" x="117"/>
        <item m="1" x="60"/>
        <item m="1" x="36"/>
        <item m="1" x="16"/>
        <item m="1" x="39"/>
        <item m="1" x="4"/>
        <item m="1" x="92"/>
        <item m="1" x="61"/>
        <item m="1" x="19"/>
        <item m="1" x="41"/>
        <item m="1" x="27"/>
        <item m="1" x="97"/>
        <item m="1" x="17"/>
        <item m="1" x="93"/>
        <item m="1" x="30"/>
        <item m="1" x="126"/>
        <item m="1" x="77"/>
        <item m="1" x="51"/>
        <item m="1" x="53"/>
        <item m="1" x="125"/>
        <item m="1" x="84"/>
        <item m="1" x="18"/>
        <item m="1" x="105"/>
        <item m="1" x="34"/>
        <item m="1" x="13"/>
        <item m="1" x="107"/>
        <item m="1" x="91"/>
        <item m="1" x="127"/>
        <item m="1" x="86"/>
        <item m="1" x="121"/>
        <item m="1" x="8"/>
        <item m="1" x="31"/>
        <item m="1" x="72"/>
        <item m="1" x="48"/>
        <item m="1" x="94"/>
        <item m="1" x="118"/>
        <item m="1" x="78"/>
        <item m="1" x="87"/>
        <item m="1" x="35"/>
        <item m="1" x="81"/>
        <item m="1" x="99"/>
        <item m="1" x="54"/>
        <item m="1" x="70"/>
        <item m="1" x="14"/>
        <item m="1" x="37"/>
        <item m="1" x="122"/>
        <item m="1" x="23"/>
        <item m="1" x="131"/>
        <item m="1" x="43"/>
        <item m="1" x="89"/>
        <item m="1" x="57"/>
        <item m="1" x="73"/>
        <item x="1"/>
        <item m="1" x="20"/>
        <item m="1" x="22"/>
        <item m="1" x="40"/>
        <item m="1" x="79"/>
        <item m="1" x="112"/>
        <item m="1" x="113"/>
        <item m="1" x="62"/>
        <item m="1" x="82"/>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539">
        <item m="1" x="172"/>
        <item m="1" x="155"/>
        <item m="1" x="145"/>
        <item m="1" x="153"/>
        <item m="1" x="144"/>
        <item m="1" x="162"/>
        <item m="1" x="178"/>
        <item m="1" x="202"/>
        <item m="1" x="143"/>
        <item m="1" x="151"/>
        <item m="1" x="160"/>
        <item m="1" x="187"/>
        <item m="1" x="201"/>
        <item m="1" x="141"/>
        <item m="1" x="177"/>
        <item m="1" x="200"/>
        <item m="1" x="186"/>
        <item m="1" x="199"/>
        <item m="1" x="150"/>
        <item m="1" x="157"/>
        <item m="1" x="185"/>
        <item m="1" x="337"/>
        <item m="1" x="347"/>
        <item m="1" x="367"/>
        <item m="1" x="358"/>
        <item m="1" x="331"/>
        <item m="1" x="306"/>
        <item m="1" x="305"/>
        <item m="1" x="317"/>
        <item m="1" x="356"/>
        <item m="1" x="292"/>
        <item m="1" x="355"/>
        <item m="1" x="364"/>
        <item m="1" x="316"/>
        <item m="1" x="354"/>
        <item m="1" x="282"/>
        <item m="1" x="353"/>
        <item m="1" x="315"/>
        <item m="1" x="327"/>
        <item m="1" x="302"/>
        <item m="1" x="350"/>
        <item m="1" x="301"/>
        <item m="1" x="326"/>
        <item m="1" x="300"/>
        <item m="1" x="325"/>
        <item m="1" x="336"/>
        <item m="1" x="313"/>
        <item m="1" x="348"/>
        <item m="1" x="17"/>
        <item m="1" x="468"/>
        <item m="1" x="106"/>
        <item m="1" x="397"/>
        <item x="2"/>
        <item x="1"/>
        <item m="1" x="108"/>
        <item m="1" x="122"/>
        <item m="1" x="427"/>
        <item m="1" x="382"/>
        <item m="1" x="283"/>
        <item m="1" x="188"/>
        <item m="1" x="521"/>
        <item m="1" x="27"/>
        <item m="1" x="471"/>
        <item m="1" x="173"/>
        <item m="1" x="487"/>
        <item m="1" x="114"/>
        <item m="1" x="11"/>
        <item m="1" x="181"/>
        <item m="1" x="500"/>
        <item m="1" x="260"/>
        <item m="1" x="277"/>
        <item m="1" x="508"/>
        <item m="1" x="47"/>
        <item m="1" x="87"/>
        <item m="1" x="233"/>
        <item m="1" x="78"/>
        <item m="1" x="333"/>
        <item m="1" x="361"/>
        <item m="1" x="37"/>
        <item m="1" x="463"/>
        <item m="1" x="170"/>
        <item m="1" x="308"/>
        <item m="1" x="436"/>
        <item m="1" x="477"/>
        <item m="1" x="480"/>
        <item m="1" x="265"/>
        <item m="1" x="142"/>
        <item m="1" x="259"/>
        <item m="1" x="217"/>
        <item m="1" x="507"/>
        <item m="1" x="388"/>
        <item m="1" x="464"/>
        <item m="1" x="22"/>
        <item m="1" x="211"/>
        <item m="1" x="530"/>
        <item m="1" x="85"/>
        <item m="1" x="446"/>
        <item m="1" x="426"/>
        <item m="1" x="534"/>
        <item m="1" x="479"/>
        <item m="1" x="138"/>
        <item m="1" x="29"/>
        <item m="1" x="13"/>
        <item m="1" x="40"/>
        <item m="1" x="270"/>
        <item m="1" x="532"/>
        <item m="1" x="131"/>
        <item m="1" x="215"/>
        <item m="1" x="424"/>
        <item m="1" x="467"/>
        <item m="1" x="103"/>
        <item m="1" x="412"/>
        <item m="1" x="167"/>
        <item m="1" x="372"/>
        <item m="1" x="223"/>
        <item m="1" x="525"/>
        <item m="1" x="520"/>
        <item m="1" x="130"/>
        <item m="1" x="92"/>
        <item m="1" x="457"/>
        <item m="1" x="189"/>
        <item m="1" x="15"/>
        <item m="1" x="332"/>
        <item m="1" x="239"/>
        <item m="1" x="35"/>
        <item m="1" x="409"/>
        <item m="1" x="403"/>
        <item m="1" x="100"/>
        <item m="1" x="414"/>
        <item m="1" x="129"/>
        <item m="1" x="120"/>
        <item m="1" x="466"/>
        <item m="1" x="527"/>
        <item m="1" x="193"/>
        <item m="1" x="163"/>
        <item m="1" x="299"/>
        <item m="1" x="319"/>
        <item m="1" x="52"/>
        <item m="1" x="396"/>
        <item m="1" x="443"/>
        <item m="1" x="56"/>
        <item m="1" x="533"/>
        <item m="1" x="214"/>
        <item m="1" x="449"/>
        <item m="1" x="45"/>
        <item m="1" x="14"/>
        <item m="1" x="322"/>
        <item m="1" x="61"/>
        <item m="1" x="34"/>
        <item m="1" x="370"/>
        <item m="1" x="291"/>
        <item m="1" x="285"/>
        <item m="1" x="531"/>
        <item m="1" x="204"/>
        <item m="1" x="529"/>
        <item m="1" x="505"/>
        <item m="1" x="224"/>
        <item m="1" x="237"/>
        <item m="1" x="248"/>
        <item m="1" x="235"/>
        <item m="1" x="523"/>
        <item m="1" x="94"/>
        <item m="1" x="111"/>
        <item m="1" x="346"/>
        <item m="1" x="526"/>
        <item m="1" x="174"/>
        <item m="1" x="455"/>
        <item m="1" x="244"/>
        <item m="1" x="411"/>
        <item m="1" x="389"/>
        <item m="1" x="41"/>
        <item m="1" x="261"/>
        <item m="1" x="137"/>
        <item m="1" x="320"/>
        <item m="1" x="221"/>
        <item m="1" x="152"/>
        <item m="1" x="460"/>
        <item m="1" x="357"/>
        <item m="1" x="352"/>
        <item m="1" x="405"/>
        <item m="1" x="489"/>
        <item m="1" x="159"/>
        <item m="1" x="400"/>
        <item m="1" x="362"/>
        <item m="1" x="384"/>
        <item m="1" x="64"/>
        <item m="1" x="216"/>
        <item m="1" x="51"/>
        <item m="1" x="236"/>
        <item m="1" x="220"/>
        <item m="1" x="154"/>
        <item m="1" x="404"/>
        <item m="1" x="334"/>
        <item m="1" x="134"/>
        <item m="1" x="252"/>
        <item m="1" x="447"/>
        <item m="1" x="395"/>
        <item m="1" x="73"/>
        <item m="1" x="456"/>
        <item m="1" x="365"/>
        <item m="1" x="321"/>
        <item m="1" x="378"/>
        <item m="1" x="359"/>
        <item m="1" x="25"/>
        <item m="1" x="439"/>
        <item m="1" x="374"/>
        <item m="1" x="360"/>
        <item m="1" x="288"/>
        <item m="1" x="254"/>
        <item m="1" x="219"/>
        <item m="1" x="126"/>
        <item m="1" x="453"/>
        <item m="1" x="267"/>
        <item m="1" x="180"/>
        <item m="1" x="510"/>
        <item m="1" x="38"/>
        <item m="1" x="398"/>
        <item m="1" x="470"/>
        <item m="1" x="495"/>
        <item m="1" x="517"/>
        <item m="1" x="198"/>
        <item m="1" x="375"/>
        <item m="1" x="478"/>
        <item m="1" x="203"/>
        <item m="1" x="518"/>
        <item m="1" x="257"/>
        <item m="1" x="43"/>
        <item m="1" x="97"/>
        <item m="1" x="311"/>
        <item m="1" x="275"/>
        <item m="1" x="434"/>
        <item m="1" x="42"/>
        <item m="1" x="55"/>
        <item m="1" x="369"/>
        <item m="1" x="385"/>
        <item m="1" x="433"/>
        <item m="1" x="340"/>
        <item m="1" x="444"/>
        <item m="1" x="450"/>
        <item m="1" x="432"/>
        <item m="1" x="31"/>
        <item m="1" x="128"/>
        <item m="1" x="401"/>
        <item m="1" x="89"/>
        <item m="1" x="279"/>
        <item m="1" x="80"/>
        <item m="1" x="437"/>
        <item m="1" x="231"/>
        <item m="1" x="241"/>
        <item m="1" x="70"/>
        <item m="1" x="379"/>
        <item m="1" x="247"/>
        <item m="1" x="513"/>
        <item m="1" x="99"/>
        <item m="1" x="156"/>
        <item m="1" x="294"/>
        <item m="1" x="512"/>
        <item m="1" x="110"/>
        <item m="1" x="504"/>
        <item m="1" x="416"/>
        <item m="1" x="24"/>
        <item m="1" x="147"/>
        <item m="1" x="506"/>
        <item m="1" x="123"/>
        <item m="1" x="290"/>
        <item m="1" x="33"/>
        <item m="1" x="394"/>
        <item m="1" x="496"/>
        <item m="1" x="499"/>
        <item m="1" x="136"/>
        <item m="1" x="304"/>
        <item m="1" x="399"/>
        <item m="1" x="376"/>
        <item m="1" x="246"/>
        <item m="1" x="524"/>
        <item m="1" x="258"/>
        <item m="1" x="486"/>
        <item m="1" x="109"/>
        <item m="1" x="307"/>
        <item m="1" x="435"/>
        <item m="1" x="497"/>
        <item m="1" x="86"/>
        <item m="1" x="21"/>
        <item m="1" x="213"/>
        <item m="1" x="119"/>
        <item m="1" x="429"/>
        <item m="1" x="36"/>
        <item m="1" x="419"/>
        <item m="1" x="105"/>
        <item m="1" x="451"/>
        <item m="1" x="121"/>
        <item m="1" x="492"/>
        <item m="1" x="501"/>
        <item m="1" x="95"/>
        <item m="1" x="242"/>
        <item m="1" x="79"/>
        <item m="1" x="53"/>
        <item m="1" x="286"/>
        <item m="1" x="351"/>
        <item m="1" x="339"/>
        <item m="1" x="472"/>
        <item m="1" x="23"/>
        <item m="1" x="516"/>
        <item m="1" x="230"/>
        <item m="1" x="96"/>
        <item m="1" x="65"/>
        <item m="1" x="515"/>
        <item m="1" x="218"/>
        <item m="1" x="342"/>
        <item m="1" x="90"/>
        <item m="1" x="323"/>
        <item m="1" x="314"/>
        <item m="1" x="74"/>
        <item m="1" x="373"/>
        <item m="1" x="19"/>
        <item m="1" x="176"/>
        <item m="1" x="383"/>
        <item m="1" x="59"/>
        <item m="1" x="511"/>
        <item m="1" x="503"/>
        <item m="1" x="16"/>
        <item m="1" x="191"/>
        <item m="1" x="82"/>
        <item m="1" x="459"/>
        <item m="1" x="287"/>
        <item m="1" x="69"/>
        <item m="1" x="84"/>
        <item m="1" x="522"/>
        <item m="1" x="329"/>
        <item m="1" x="452"/>
        <item m="1" x="207"/>
        <item m="1" x="171"/>
        <item m="1" x="448"/>
        <item m="1" x="179"/>
        <item m="1" x="139"/>
        <item m="1" x="20"/>
        <item m="1" x="161"/>
        <item m="1" x="380"/>
        <item m="1" x="30"/>
        <item m="1" x="112"/>
        <item m="1" x="406"/>
        <item m="1" x="281"/>
        <item m="1" x="298"/>
        <item m="1" x="44"/>
        <item m="1" x="206"/>
        <item m="1" x="164"/>
        <item m="1" x="328"/>
        <item m="1" x="75"/>
        <item m="1" x="473"/>
        <item m="1" x="418"/>
        <item m="1" x="442"/>
        <item m="1" x="124"/>
        <item m="1" x="127"/>
        <item m="1" x="393"/>
        <item m="1" x="118"/>
        <item m="1" x="57"/>
        <item m="1" x="263"/>
        <item m="1" x="415"/>
        <item m="1" x="249"/>
        <item m="1" x="266"/>
        <item m="1" x="484"/>
        <item m="1" x="387"/>
        <item m="1" x="91"/>
        <item m="1" x="62"/>
        <item m="1" x="330"/>
        <item m="1" x="222"/>
        <item m="1" x="101"/>
        <item m="1" x="386"/>
        <item m="1" x="377"/>
        <item m="1" x="381"/>
        <item m="1" x="10"/>
        <item m="1" x="428"/>
        <item m="1" x="77"/>
        <item m="1" x="243"/>
        <item m="1" x="494"/>
        <item m="1" x="423"/>
        <item m="1" x="420"/>
        <item m="1" x="335"/>
        <item m="1" x="66"/>
        <item m="1" x="441"/>
        <item m="1" x="190"/>
        <item m="1" x="28"/>
        <item m="1" x="392"/>
        <item m="1" x="175"/>
        <item m="1" x="293"/>
        <item m="1" x="475"/>
        <item m="1" x="465"/>
        <item m="1" x="343"/>
        <item m="1" x="269"/>
        <item m="1" x="210"/>
        <item m="1" x="67"/>
        <item m="1" x="363"/>
        <item m="1" x="49"/>
        <item m="1" x="410"/>
        <item m="1" x="209"/>
        <item m="1" x="50"/>
        <item m="1" x="371"/>
        <item m="1" x="310"/>
        <item m="1" x="251"/>
        <item m="1" x="194"/>
        <item m="1" x="58"/>
        <item m="1" x="12"/>
        <item m="1" x="183"/>
        <item m="1" x="32"/>
        <item m="1" x="368"/>
        <item m="1" x="81"/>
        <item m="1" x="519"/>
        <item m="1" x="407"/>
        <item m="1" x="54"/>
        <item m="1" x="528"/>
        <item m="1" x="26"/>
        <item m="1" x="76"/>
        <item m="1" x="93"/>
        <item m="1" x="391"/>
        <item m="1" x="345"/>
        <item m="1" x="197"/>
        <item m="1" x="488"/>
        <item m="1" x="469"/>
        <item m="1" x="39"/>
        <item m="1" x="324"/>
        <item m="1" x="341"/>
        <item m="1" x="349"/>
        <item m="1" x="208"/>
        <item m="1" x="264"/>
        <item m="1" x="256"/>
        <item x="4"/>
        <item m="1" x="498"/>
        <item m="1" x="48"/>
        <item m="1" x="490"/>
        <item m="1" x="303"/>
        <item m="1" x="413"/>
        <item m="1" x="425"/>
        <item m="1" x="366"/>
        <item m="1" x="240"/>
        <item m="1" x="205"/>
        <item m="1" x="135"/>
        <item m="1" x="46"/>
        <item m="1" x="271"/>
        <item m="1" x="514"/>
        <item m="1" x="537"/>
        <item m="1" x="268"/>
        <item m="1" x="182"/>
        <item m="1" x="195"/>
        <item m="1" x="485"/>
        <item m="1" x="421"/>
        <item m="1" x="68"/>
        <item m="1" x="132"/>
        <item m="1" x="117"/>
        <item m="1" x="509"/>
        <item m="1" x="250"/>
        <item m="1" x="229"/>
        <item m="1" x="445"/>
        <item m="1" x="454"/>
        <item m="1" x="125"/>
        <item m="1" x="148"/>
        <item m="1" x="273"/>
        <item m="1" x="113"/>
        <item m="1" x="297"/>
        <item m="1" x="168"/>
        <item m="1" x="431"/>
        <item x="0"/>
        <item m="1" x="462"/>
        <item m="1" x="72"/>
        <item x="7"/>
        <item m="1" x="493"/>
        <item m="1" x="169"/>
        <item m="1" x="390"/>
        <item m="1" x="535"/>
        <item m="1" x="60"/>
        <item m="1" x="226"/>
        <item m="1" x="318"/>
        <item m="1" x="225"/>
        <item m="1" x="140"/>
        <item m="1" x="438"/>
        <item m="1" x="458"/>
        <item m="1" x="476"/>
        <item m="1" x="289"/>
        <item m="1" x="238"/>
        <item m="1" x="88"/>
        <item m="1" x="234"/>
        <item m="1" x="295"/>
        <item m="1" x="402"/>
        <item m="1" x="483"/>
        <item m="1" x="338"/>
        <item m="1" x="440"/>
        <item m="1" x="272"/>
        <item m="1" x="116"/>
        <item m="1" x="276"/>
        <item m="1" x="133"/>
        <item m="1" x="278"/>
        <item x="8"/>
        <item m="1" x="461"/>
        <item x="9"/>
        <item m="1" x="280"/>
        <item m="1" x="192"/>
        <item m="1" x="296"/>
        <item m="1" x="312"/>
        <item m="1" x="253"/>
        <item x="3"/>
        <item x="5"/>
        <item m="1" x="255"/>
        <item m="1" x="196"/>
        <item m="1" x="227"/>
        <item m="1" x="107"/>
        <item m="1" x="102"/>
        <item m="1" x="344"/>
        <item m="1" x="245"/>
        <item m="1" x="158"/>
        <item m="1" x="274"/>
        <item m="1" x="18"/>
        <item m="1" x="491"/>
        <item m="1" x="430"/>
        <item m="1" x="166"/>
        <item x="6"/>
        <item m="1" x="474"/>
        <item m="1" x="502"/>
        <item m="1" x="98"/>
        <item m="1" x="482"/>
        <item m="1" x="284"/>
        <item m="1" x="83"/>
        <item m="1" x="408"/>
        <item m="1" x="63"/>
        <item m="1" x="212"/>
        <item m="1" x="146"/>
        <item m="1" x="417"/>
        <item m="1" x="228"/>
        <item m="1" x="262"/>
        <item m="1" x="184"/>
        <item m="1" x="165"/>
        <item m="1" x="149"/>
        <item m="1" x="104"/>
        <item m="1" x="115"/>
        <item m="1" x="422"/>
        <item m="1" x="309"/>
        <item m="1" x="481"/>
        <item m="1" x="536"/>
        <item m="1" x="232"/>
        <item m="1" x="71"/>
        <item t="default"/>
      </items>
    </pivotField>
    <pivotField compact="0" outline="0" showAll="0" sortType="ascending"/>
    <pivotField compact="0" outline="0" showAll="0" sortType="ascending"/>
    <pivotField compact="0" outline="0" showAll="0">
      <items count="11">
        <item x="2"/>
        <item x="3"/>
        <item x="0"/>
        <item x="1"/>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1">
    <i>
      <x v="52"/>
    </i>
    <i>
      <x v="53"/>
    </i>
    <i>
      <x v="425"/>
    </i>
    <i>
      <x v="460"/>
    </i>
    <i>
      <x v="463"/>
    </i>
    <i>
      <x v="490"/>
    </i>
    <i>
      <x v="492"/>
    </i>
    <i>
      <x v="498"/>
    </i>
    <i>
      <x v="499"/>
    </i>
    <i>
      <x v="513"/>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28" firstHeaderRow="2" firstDataRow="2" firstDataCol="4"/>
  <pivotFields count="14">
    <pivotField axis="axisRow" dataField="1" compact="0" outline="0" showAll="0">
      <items count="26">
        <item x="3"/>
        <item x="18"/>
        <item x="22"/>
        <item x="0"/>
        <item x="6"/>
        <item x="24"/>
        <item x="16"/>
        <item x="9"/>
        <item x="12"/>
        <item x="21"/>
        <item x="15"/>
        <item x="23"/>
        <item x="7"/>
        <item x="19"/>
        <item x="1"/>
        <item x="2"/>
        <item x="10"/>
        <item x="17"/>
        <item x="8"/>
        <item x="20"/>
        <item x="11"/>
        <item x="13"/>
        <item x="5"/>
        <item x="4"/>
        <item x="14"/>
        <item t="default"/>
      </items>
    </pivotField>
    <pivotField compact="0" outline="0" showAll="0"/>
    <pivotField axis="axisRow" compact="0" outline="0" showAll="0" defaultSubtotal="0">
      <items count="3">
        <item x="2"/>
        <item x="0"/>
        <item x="1"/>
      </items>
    </pivotField>
    <pivotField axis="axisRow" compact="0" outline="0" showAll="0" defaultSubtotal="0">
      <items count="4">
        <item x="3"/>
        <item x="1"/>
        <item x="0"/>
        <item x="2"/>
      </items>
    </pivotField>
    <pivotField compact="0" outline="0" showAll="0"/>
    <pivotField axis="axisRow" compact="0" outline="0" showAll="0" defaultSubtotal="0">
      <items count="4">
        <item x="0"/>
        <item x="3"/>
        <item x="2"/>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26">
    <i>
      <x/>
      <x v="1"/>
      <x v="2"/>
      <x v="7"/>
    </i>
    <i r="3">
      <x v="16"/>
    </i>
    <i r="1">
      <x v="3"/>
      <x/>
      <x v="17"/>
    </i>
    <i r="2">
      <x v="1"/>
      <x v="20"/>
    </i>
    <i r="2">
      <x v="2"/>
      <x v="6"/>
    </i>
    <i r="3">
      <x v="10"/>
    </i>
    <i r="3">
      <x v="13"/>
    </i>
    <i>
      <x v="1"/>
      <x/>
      <x v="2"/>
      <x v="11"/>
    </i>
    <i r="1">
      <x v="1"/>
      <x v="2"/>
      <x/>
    </i>
    <i r="3">
      <x v="4"/>
    </i>
    <i r="3">
      <x v="9"/>
    </i>
    <i r="3">
      <x v="12"/>
    </i>
    <i r="3">
      <x v="18"/>
    </i>
    <i r="3">
      <x v="22"/>
    </i>
    <i r="3">
      <x v="23"/>
    </i>
    <i r="2">
      <x v="3"/>
      <x v="1"/>
    </i>
    <i r="3">
      <x v="14"/>
    </i>
    <i r="1">
      <x v="2"/>
      <x/>
      <x v="3"/>
    </i>
    <i r="3">
      <x v="21"/>
    </i>
    <i r="2">
      <x v="2"/>
      <x v="5"/>
    </i>
    <i r="3">
      <x v="8"/>
    </i>
    <i>
      <x v="2"/>
      <x v="1"/>
      <x v="2"/>
      <x v="19"/>
    </i>
    <i r="3">
      <x v="24"/>
    </i>
    <i r="1">
      <x v="3"/>
      <x v="2"/>
      <x v="2"/>
    </i>
    <i r="3">
      <x v="15"/>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43">
      <pivotArea dataOnly="0" labelOnly="1" fieldPosition="0">
        <references count="1">
          <reference field="9" count="0"/>
        </references>
      </pivotArea>
    </format>
    <format dxfId="42">
      <pivotArea dataOnly="0" labelOnly="1" grandCol="1" outline="0" fieldPosition="0"/>
    </format>
    <format dxfId="41">
      <pivotArea collapsedLevelsAreSubtotals="1" fieldPosition="0">
        <references count="3">
          <reference field="4294967294" count="1" selected="0">
            <x v="0"/>
          </reference>
          <reference field="4" count="1">
            <x v="46"/>
          </reference>
          <reference field="9" count="0" selected="0"/>
        </references>
      </pivotArea>
    </format>
    <format dxfId="40">
      <pivotArea collapsedLevelsAreSubtotals="1" fieldPosition="0">
        <references count="3">
          <reference field="4294967294" count="1" selected="0">
            <x v="0"/>
          </reference>
          <reference field="4" count="1">
            <x v="48"/>
          </reference>
          <reference field="9" count="0" selected="0"/>
        </references>
      </pivotArea>
    </format>
    <format dxfId="39">
      <pivotArea collapsedLevelsAreSubtotals="1" fieldPosition="0">
        <references count="3">
          <reference field="4294967294" count="1" selected="0">
            <x v="0"/>
          </reference>
          <reference field="4" count="1">
            <x v="49"/>
          </reference>
          <reference field="9" count="0" selected="0"/>
        </references>
      </pivotArea>
    </format>
    <format dxfId="38">
      <pivotArea collapsedLevelsAreSubtotals="1" fieldPosition="0">
        <references count="3">
          <reference field="4294967294" count="1" selected="0">
            <x v="0"/>
          </reference>
          <reference field="4" count="1">
            <x v="131"/>
          </reference>
          <reference field="9" count="0" selected="0"/>
        </references>
      </pivotArea>
    </format>
    <format dxfId="37">
      <pivotArea collapsedLevelsAreSubtotals="1" fieldPosition="0">
        <references count="3">
          <reference field="4294967294" count="1" selected="0">
            <x v="0"/>
          </reference>
          <reference field="4" count="1">
            <x v="133"/>
          </reference>
          <reference field="9" count="0" selected="0"/>
        </references>
      </pivotArea>
    </format>
    <format dxfId="36">
      <pivotArea collapsedLevelsAreSubtotals="1" fieldPosition="0">
        <references count="3">
          <reference field="4294967294" count="1" selected="0">
            <x v="0"/>
          </reference>
          <reference field="4" count="1">
            <x v="137"/>
          </reference>
          <reference field="9" count="0" selected="0"/>
        </references>
      </pivotArea>
    </format>
    <format dxfId="35">
      <pivotArea collapsedLevelsAreSubtotals="1" fieldPosition="0">
        <references count="3">
          <reference field="4294967294" count="1" selected="0">
            <x v="0"/>
          </reference>
          <reference field="4" count="1">
            <x v="159"/>
          </reference>
          <reference field="9" count="0" selected="0"/>
        </references>
      </pivotArea>
    </format>
    <format dxfId="34">
      <pivotArea collapsedLevelsAreSubtotals="1" fieldPosition="0">
        <references count="3">
          <reference field="4294967294" count="1" selected="0">
            <x v="0"/>
          </reference>
          <reference field="4" count="1">
            <x v="162"/>
          </reference>
          <reference field="9" count="0" selected="0"/>
        </references>
      </pivotArea>
    </format>
    <format dxfId="33">
      <pivotArea collapsedLevelsAreSubtotals="1" fieldPosition="0">
        <references count="3">
          <reference field="4294967294" count="1" selected="0">
            <x v="0"/>
          </reference>
          <reference field="4" count="1">
            <x v="167"/>
          </reference>
          <reference field="9" count="0" selected="0"/>
        </references>
      </pivotArea>
    </format>
    <format dxfId="32">
      <pivotArea collapsedLevelsAreSubtotals="1" fieldPosition="0">
        <references count="3">
          <reference field="4294967294" count="1" selected="0">
            <x v="0"/>
          </reference>
          <reference field="4" count="1">
            <x v="171"/>
          </reference>
          <reference field="9" count="0" selected="0"/>
        </references>
      </pivotArea>
    </format>
    <format dxfId="31">
      <pivotArea collapsedLevelsAreSubtotals="1" fieldPosition="0">
        <references count="3">
          <reference field="4294967294" count="1" selected="0">
            <x v="0"/>
          </reference>
          <reference field="4" count="1">
            <x v="174"/>
          </reference>
          <reference field="9" count="0" selected="0"/>
        </references>
      </pivotArea>
    </format>
    <format dxfId="30">
      <pivotArea collapsedLevelsAreSubtotals="1" fieldPosition="0">
        <references count="3">
          <reference field="4294967294" count="1" selected="0">
            <x v="0"/>
          </reference>
          <reference field="4" count="1">
            <x v="178"/>
          </reference>
          <reference field="9" count="0" selected="0"/>
        </references>
      </pivotArea>
    </format>
    <format dxfId="29">
      <pivotArea collapsedLevelsAreSubtotals="1" fieldPosition="0">
        <references count="3">
          <reference field="4294967294" count="1" selected="0">
            <x v="0"/>
          </reference>
          <reference field="4" count="1">
            <x v="197"/>
          </reference>
          <reference field="9" count="0" selected="0"/>
        </references>
      </pivotArea>
    </format>
    <format dxfId="28">
      <pivotArea collapsedLevelsAreSubtotals="1" fieldPosition="0">
        <references count="3">
          <reference field="4294967294" count="1" selected="0">
            <x v="0"/>
          </reference>
          <reference field="4" count="1">
            <x v="199"/>
          </reference>
          <reference field="9" count="0" selected="0"/>
        </references>
      </pivotArea>
    </format>
    <format dxfId="27">
      <pivotArea collapsedLevelsAreSubtotals="1" fieldPosition="0">
        <references count="3">
          <reference field="4294967294" count="1" selected="0">
            <x v="0"/>
          </reference>
          <reference field="4" count="1">
            <x v="203"/>
          </reference>
          <reference field="9" count="0" selected="0"/>
        </references>
      </pivotArea>
    </format>
    <format dxfId="26">
      <pivotArea collapsedLevelsAreSubtotals="1" fieldPosition="0">
        <references count="3">
          <reference field="4294967294" count="1" selected="0">
            <x v="0"/>
          </reference>
          <reference field="4" count="1">
            <x v="212"/>
          </reference>
          <reference field="9" count="0" selected="0"/>
        </references>
      </pivotArea>
    </format>
    <format dxfId="25">
      <pivotArea collapsedLevelsAreSubtotals="1" fieldPosition="0">
        <references count="3">
          <reference field="4294967294" count="1" selected="0">
            <x v="0"/>
          </reference>
          <reference field="4" count="1">
            <x v="218"/>
          </reference>
          <reference field="9" count="0" selected="0"/>
        </references>
      </pivotArea>
    </format>
    <format dxfId="24">
      <pivotArea collapsedLevelsAreSubtotals="1" fieldPosition="0">
        <references count="3">
          <reference field="4294967294" count="1" selected="0">
            <x v="0"/>
          </reference>
          <reference field="4" count="1">
            <x v="224"/>
          </reference>
          <reference field="9" count="0" selected="0"/>
        </references>
      </pivotArea>
    </format>
    <format dxfId="23">
      <pivotArea dataOnly="0" labelOnly="1" fieldPosition="0">
        <references count="1">
          <reference field="4" count="0"/>
        </references>
      </pivotArea>
    </format>
    <format dxfId="22">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614">
        <i x="0"/>
        <i x="1"/>
        <i x="2"/>
        <i x="3"/>
        <i x="4"/>
        <i x="5"/>
        <i x="6"/>
        <i x="7"/>
        <i x="8"/>
        <i x="9"/>
        <i x="10"/>
        <i x="11"/>
        <i x="12"/>
        <i x="13"/>
        <i x="14"/>
        <i x="15"/>
        <i x="16"/>
        <i x="17"/>
        <i x="18"/>
        <i x="19"/>
        <i x="20"/>
        <i x="21"/>
        <i x="22"/>
        <i x="23"/>
        <i x="24"/>
        <i x="25"/>
        <i x="26"/>
        <i x="27"/>
        <i x="28" s="1"/>
        <i x="29"/>
        <i x="324" nd="1"/>
        <i x="208" nd="1"/>
        <i x="403" nd="1"/>
        <i x="77" nd="1"/>
        <i x="209" nd="1"/>
        <i x="599" nd="1"/>
        <i x="541" nd="1"/>
        <i x="532" nd="1"/>
        <i x="162" nd="1"/>
        <i x="149" nd="1"/>
        <i x="193" nd="1"/>
        <i x="303" nd="1"/>
        <i x="344" nd="1"/>
        <i x="444" nd="1"/>
        <i x="183" nd="1"/>
        <i x="435" nd="1"/>
        <i x="236" nd="1"/>
        <i x="405" nd="1"/>
        <i x="393" nd="1"/>
        <i x="492" nd="1"/>
        <i x="156" nd="1"/>
        <i x="75" nd="1"/>
        <i x="123" nd="1"/>
        <i x="422" nd="1"/>
        <i x="556" nd="1"/>
        <i x="48" nd="1"/>
        <i x="200" nd="1"/>
        <i x="309" nd="1"/>
        <i x="381" nd="1"/>
        <i x="95" nd="1"/>
        <i x="431" nd="1"/>
        <i x="120" nd="1"/>
        <i x="166" nd="1"/>
        <i x="186" nd="1"/>
        <i x="210" nd="1"/>
        <i x="410" nd="1"/>
        <i x="490" nd="1"/>
        <i x="524" nd="1"/>
        <i x="43" nd="1"/>
        <i x="255" nd="1"/>
        <i x="398" nd="1"/>
        <i x="533" nd="1"/>
        <i x="56" nd="1"/>
        <i x="228" nd="1"/>
        <i x="295" nd="1"/>
        <i x="195" nd="1"/>
        <i x="218" nd="1"/>
        <i x="270" nd="1"/>
        <i x="380" nd="1"/>
        <i x="464" nd="1"/>
        <i x="596" nd="1"/>
        <i x="407" nd="1"/>
        <i x="474" nd="1"/>
        <i x="520" nd="1"/>
        <i x="37" nd="1"/>
        <i x="102" nd="1"/>
        <i x="126" nd="1"/>
        <i x="267" nd="1"/>
        <i x="426" nd="1"/>
        <i x="480" nd="1"/>
        <i x="553" nd="1"/>
        <i x="608" nd="1"/>
        <i x="35" nd="1"/>
        <i x="62" nd="1"/>
        <i x="115" nd="1"/>
        <i x="334" nd="1"/>
        <i x="385" nd="1"/>
        <i x="518" nd="1"/>
        <i x="60" nd="1"/>
        <i x="82" nd="1"/>
        <i x="135" nd="1"/>
        <i x="159" nd="1"/>
        <i x="223" nd="1"/>
        <i x="237" nd="1"/>
        <i x="355" nd="1"/>
        <i x="361" nd="1"/>
        <i x="433" nd="1"/>
        <i x="473" nd="1"/>
        <i x="551" nd="1"/>
        <i x="81" nd="1"/>
        <i x="584" nd="1"/>
        <i x="179" nd="1"/>
        <i x="477" nd="1"/>
        <i x="486" nd="1"/>
        <i x="517" nd="1"/>
        <i x="538" nd="1"/>
        <i x="70" nd="1"/>
        <i x="215" nd="1"/>
        <i x="376" nd="1"/>
        <i x="406" nd="1"/>
        <i x="417" nd="1"/>
        <i x="442" nd="1"/>
        <i x="470" nd="1"/>
        <i x="506" nd="1"/>
        <i x="550" nd="1"/>
        <i x="558" nd="1"/>
        <i x="170" nd="1"/>
        <i x="214" nd="1"/>
        <i x="259" nd="1"/>
        <i x="280" nd="1"/>
        <i x="310" nd="1"/>
        <i x="448" nd="1"/>
        <i x="549" nd="1"/>
        <i x="587" nd="1"/>
        <i x="80" nd="1"/>
        <i x="114" nd="1"/>
        <i x="134" nd="1"/>
        <i x="264" nd="1"/>
        <i x="288" nd="1"/>
        <i x="340" nd="1"/>
        <i x="375" nd="1"/>
        <i x="461" nd="1"/>
        <i x="594" nd="1"/>
        <i x="613" nd="1"/>
        <i x="33" nd="1"/>
        <i x="98" nd="1"/>
        <i x="133" nd="1"/>
        <i x="145" nd="1"/>
        <i x="168" nd="1"/>
        <i x="191" nd="1"/>
        <i x="252" nd="1"/>
        <i x="287" nd="1"/>
        <i x="322" nd="1"/>
        <i x="331" nd="1"/>
        <i x="367" nd="1"/>
        <i x="423" nd="1"/>
        <i x="491" nd="1"/>
        <i x="387" nd="1"/>
        <i x="51" nd="1"/>
        <i x="69" nd="1"/>
        <i x="76" nd="1"/>
        <i x="177" nd="1"/>
        <i x="221" nd="1"/>
        <i x="274" nd="1"/>
        <i x="298" nd="1"/>
        <i x="59" nd="1"/>
        <i x="392" nd="1"/>
        <i x="113" nd="1"/>
        <i x="432" nd="1"/>
        <i x="441" nd="1"/>
        <i x="144" nd="1"/>
        <i x="234" nd="1"/>
        <i x="548" nd="1"/>
        <i x="603" nd="1"/>
        <i x="50" nd="1"/>
        <i x="112" nd="1"/>
        <i x="188" nd="1"/>
        <i x="201" nd="1"/>
        <i x="49" nd="1"/>
        <i x="374" nd="1"/>
        <i x="58" nd="1"/>
        <i x="143" nd="1"/>
        <i x="459" nd="1"/>
        <i x="243" nd="1"/>
        <i x="284" nd="1"/>
        <i x="297" nd="1"/>
        <i x="601" nd="1"/>
        <i x="611" nd="1"/>
        <i x="68" nd="1"/>
        <i x="74" nd="1"/>
        <i x="96" nd="1"/>
        <i x="121" nd="1"/>
        <i x="39" nd="1"/>
        <i x="131" nd="1"/>
        <i x="483" nd="1"/>
        <i x="219" nd="1"/>
        <i x="503" nd="1"/>
        <i x="262" nd="1"/>
        <i x="574" nd="1"/>
        <i x="307" nd="1"/>
        <i x="581" nd="1"/>
        <i x="415" nd="1"/>
        <i x="130" nd="1"/>
        <i x="153" nd="1"/>
        <i x="456" nd="1"/>
        <i x="211" nd="1"/>
        <i x="250" nd="1"/>
        <i x="547" nd="1"/>
        <i x="306" nd="1"/>
        <i x="78" nd="1"/>
        <i x="328" nd="1"/>
        <i x="600" nd="1"/>
        <i x="350" nd="1"/>
        <i x="46" nd="1"/>
        <i x="372" nd="1"/>
        <i x="108" nd="1"/>
        <i x="513" nd="1"/>
        <i x="273" nd="1"/>
        <i x="327" nd="1"/>
        <i x="365" nd="1"/>
        <i x="371" nd="1"/>
        <i x="409" nd="1"/>
        <i x="93" nd="1"/>
        <i x="421" nd="1"/>
        <i x="64" nd="1"/>
        <i x="152" nd="1"/>
        <i x="175" nd="1"/>
        <i x="476" nd="1"/>
        <i x="198" nd="1"/>
        <i x="489" nd="1"/>
        <i x="497" nd="1"/>
        <i x="242" nd="1"/>
        <i x="256" nd="1"/>
        <i x="261" nd="1"/>
        <i x="282" nd="1"/>
        <i x="566" nd="1"/>
        <i x="571" nd="1"/>
        <i x="348" nd="1"/>
        <i x="57" nd="1"/>
        <i x="390" nd="1"/>
        <i x="399" nd="1"/>
        <i x="86" nd="1"/>
        <i x="106" nd="1"/>
        <i x="151" nd="1"/>
        <i x="229" nd="1"/>
        <i x="555" nd="1"/>
        <i x="296" nd="1"/>
        <i x="347" nd="1"/>
        <i x="364" nd="1"/>
        <i x="42" nd="1"/>
        <i x="370" nd="1"/>
        <i x="408" nd="1"/>
        <i x="164" nd="1"/>
        <i x="466" nd="1"/>
        <i x="496" nd="1"/>
        <i x="137" nd="1"/>
        <i x="241" nd="1"/>
        <i x="523" nd="1"/>
        <i x="281" nd="1"/>
        <i x="580" nd="1"/>
        <i x="326" nd="1"/>
        <i x="592" nd="1"/>
        <i x="292" nd="1"/>
        <i x="66" nd="1"/>
        <i x="397" nd="1"/>
        <i x="119" nd="1"/>
        <i x="34" nd="1"/>
        <i x="129" nd="1"/>
        <i x="446" nd="1"/>
        <i x="488" nd="1"/>
        <i x="207" nd="1"/>
        <i x="495" nd="1"/>
        <i x="502" nd="1"/>
        <i x="463" nd="1"/>
        <i x="271" nd="1"/>
        <i x="305" nd="1"/>
        <i x="579" nd="1"/>
        <i x="316" nd="1"/>
        <i x="527" nd="1"/>
        <i x="337" nd="1"/>
        <i x="41" nd="1"/>
        <i x="389" nd="1"/>
        <i x="105" nd="1"/>
        <i x="117" nd="1"/>
        <i x="141" nd="1"/>
        <i x="163" nd="1"/>
        <i x="465" nd="1"/>
        <i x="475" nd="1"/>
        <i x="196" nd="1"/>
        <i x="136" nd="1"/>
        <i x="227" nd="1"/>
        <i x="542" nd="1"/>
        <i x="260" nd="1"/>
        <i x="560" nd="1"/>
        <i x="293" nd="1"/>
        <i x="591" nd="1"/>
        <i x="336" nd="1"/>
        <i x="346" nd="1"/>
        <i x="40" nd="1"/>
        <i x="72" nd="1"/>
        <i x="91" nd="1"/>
        <i x="437" nd="1"/>
        <i x="194" nd="1"/>
        <i x="206" nd="1"/>
        <i x="226" nd="1"/>
        <i x="248" nd="1"/>
        <i x="570" nd="1"/>
        <i x="325" nd="1"/>
        <i x="597" nd="1"/>
        <i x="345" nd="1"/>
        <i x="65" nd="1"/>
        <i x="388" nd="1"/>
        <i x="90" nd="1"/>
        <i x="104" nd="1"/>
        <i x="420" nd="1"/>
        <i x="116" nd="1"/>
        <i x="53" nd="1"/>
        <i x="140" nd="1"/>
        <i x="455" nd="1"/>
        <i x="184" nd="1"/>
        <i x="522" nd="1"/>
        <i x="247" nd="1"/>
        <i x="540" nd="1"/>
        <i x="216" nd="1"/>
        <i x="507" nd="1"/>
        <i x="590" nd="1"/>
        <i x="335" nd="1"/>
        <i x="358" nd="1"/>
        <i x="31" nd="1"/>
        <i x="38" nd="1"/>
        <i x="369" nd="1"/>
        <i x="84" nd="1"/>
        <i x="89" nd="1"/>
        <i x="103" nd="1"/>
        <i x="419" nd="1"/>
        <i x="428" nd="1"/>
        <i x="128" nd="1"/>
        <i x="172" nd="1"/>
        <i x="481" nd="1"/>
        <i x="511" nd="1"/>
        <i x="240" nd="1"/>
        <i x="521" nd="1"/>
        <i x="531" nd="1"/>
        <i x="539" nd="1"/>
        <i x="269" nd="1"/>
        <i x="277" nd="1"/>
        <i x="315" nd="1"/>
        <i x="609" nd="1"/>
        <i x="275" nd="1"/>
        <i x="396" nd="1"/>
        <i x="127" nd="1"/>
        <i x="445" nd="1"/>
        <i x="161" nd="1"/>
        <i x="217" nd="1"/>
        <i x="225" nd="1"/>
        <i x="239" nd="1"/>
        <i x="246" nd="1"/>
        <i x="530" nd="1"/>
        <i x="268" nd="1"/>
        <i x="554" nd="1"/>
        <i x="569" nd="1"/>
        <i x="578" nd="1"/>
        <i x="357" nd="1"/>
        <i x="386" nd="1"/>
        <i x="427" nd="1"/>
        <i x="139" nd="1"/>
        <i x="150" nd="1"/>
        <i x="510" nd="1"/>
        <i x="146" nd="1"/>
        <i x="519" nd="1"/>
        <i x="245" nd="1"/>
        <i x="529" nd="1"/>
        <i x="545" nd="1"/>
        <i x="266" nd="1"/>
        <i x="411" nd="1"/>
        <i x="568" nd="1"/>
        <i x="304" nd="1"/>
        <i x="577" nd="1"/>
        <i x="167" nd="1"/>
        <i x="468" nd="1"/>
        <i x="176" nd="1"/>
        <i x="213" nd="1"/>
        <i x="363" nd="1"/>
        <i x="498" nd="1"/>
        <i x="36" nd="1"/>
        <i x="505" nd="1"/>
        <i x="63" nd="1"/>
        <i x="525" nd="1"/>
        <i x="251" nd="1"/>
        <i x="537" nd="1"/>
        <i x="258" nd="1"/>
        <i x="263" nd="1"/>
        <i x="557" nd="1"/>
        <i x="425" nd="1"/>
        <i x="286" nd="1"/>
        <i x="138" nd="1"/>
        <i x="454" nd="1"/>
        <i x="321" nd="1"/>
        <i x="586" nd="1"/>
        <i x="330" nd="1"/>
        <i x="339" nd="1"/>
        <i x="604" nd="1"/>
        <i x="352" nd="1"/>
        <i x="359" nd="1"/>
        <i x="366" nd="1"/>
        <i x="501" nd="1"/>
        <i x="509" nd="1"/>
        <i x="528" nd="1"/>
        <i x="253" nd="1"/>
        <i x="402" nd="1"/>
        <i x="122" nd="1"/>
        <i x="132" nd="1"/>
        <i x="314" nd="1"/>
        <i x="460" nd="1"/>
        <i x="189" nd="1"/>
        <i x="202" nd="1"/>
        <i x="30" nd="1"/>
        <i x="212" nd="1"/>
        <i x="379" nd="1"/>
        <i x="605" nd="1"/>
        <i x="61" nd="1"/>
        <i x="536" nd="1"/>
        <i x="83" nd="1"/>
        <i x="88" nd="1"/>
        <i x="101" nd="1"/>
        <i x="424" nd="1"/>
        <i x="567" nd="1"/>
        <i x="576" nd="1"/>
        <i x="148" nd="1"/>
        <i x="338" nd="1"/>
        <i x="479" nd="1"/>
        <i x="192" nd="1"/>
        <i x="452" nd="1"/>
        <i x="224" nd="1"/>
        <i x="238" nd="1"/>
        <i x="383" nd="1"/>
        <i x="44" nd="1"/>
        <i x="412" nd="1"/>
        <i x="544" nd="1"/>
        <i x="265" nd="1"/>
        <i x="111" nd="1"/>
        <i x="291" nd="1"/>
        <i x="440" nd="1"/>
        <i x="302" nd="1"/>
        <i x="155" nd="1"/>
        <i x="589" nd="1"/>
        <i x="343" nd="1"/>
        <i x="362" nd="1"/>
        <i x="220" nd="1"/>
        <i x="55" nd="1"/>
        <i x="233" nd="1"/>
        <i x="515" nd="1"/>
        <i x="100" nd="1"/>
        <i x="285" nd="1"/>
        <i x="436" nd="1"/>
        <i x="575" nd="1"/>
        <i x="160" nd="1"/>
        <i x="329" nd="1"/>
        <i x="182" nd="1"/>
        <i x="478" nd="1"/>
        <i x="602" nd="1"/>
        <i x="351" nd="1"/>
        <i x="612" nd="1"/>
        <i x="205" nd="1"/>
        <i x="47" nd="1"/>
        <i x="373" nd="1"/>
        <i x="382" nd="1"/>
        <i x="97" nd="1"/>
        <i x="110" nd="1"/>
        <i x="276" nd="1"/>
        <i x="559" nd="1"/>
        <i x="290" nd="1"/>
        <i x="301" nd="1"/>
        <i x="154" nd="1"/>
        <i x="313" nd="1"/>
        <i x="458" nd="1"/>
        <i x="333" nd="1"/>
        <i x="342" nd="1"/>
        <i x="484" nd="1"/>
        <i x="356" nd="1"/>
        <i x="504" nd="1"/>
        <i x="54" nd="1"/>
        <i x="232" nd="1"/>
        <i x="378" nd="1"/>
        <i x="543" nd="1"/>
        <i x="87" nd="1"/>
        <i x="418" nd="1"/>
        <i x="562" nd="1"/>
        <i x="125" nd="1"/>
        <i x="283" nd="1"/>
        <i x="434" nd="1"/>
        <i x="308" nd="1"/>
        <i x="582" nd="1"/>
        <i x="320" nd="1"/>
        <i x="181" nd="1"/>
        <i x="487" nd="1"/>
        <i x="494" nd="1"/>
        <i x="32" nd="1"/>
        <i x="500" nd="1"/>
        <i x="508" nd="1"/>
        <i x="67" nd="1"/>
        <i x="401" nd="1"/>
        <i x="94" nd="1"/>
        <i x="416" nd="1"/>
        <i x="552" nd="1"/>
        <i x="109" nd="1"/>
        <i x="430" nd="1"/>
        <i x="289" nd="1"/>
        <i x="312" nd="1"/>
        <i x="457" nd="1"/>
        <i x="588" nd="1"/>
        <i x="187" nd="1"/>
        <i x="447" nd="1"/>
        <i x="607" nd="1"/>
        <i x="199" nd="1"/>
        <i x="514" nd="1"/>
        <i x="257" nd="1"/>
        <i x="279" nd="1"/>
        <i x="443" nd="1"/>
        <i x="453" nd="1"/>
        <i x="319" nd="1"/>
        <i x="585" nd="1"/>
        <i x="171" nd="1"/>
        <i x="472" nd="1"/>
        <i x="180" nd="1"/>
        <i x="222" nd="1"/>
        <i x="429" nd="1"/>
        <i x="439" nd="1"/>
        <i x="165" nd="1"/>
        <i x="606" nd="1"/>
        <i x="231" nd="1"/>
        <i x="377" nd="1"/>
        <i x="384" nd="1"/>
        <i x="71" nd="1"/>
        <i x="395" nd="1"/>
        <i x="535" nd="1"/>
        <i x="546" nd="1"/>
        <i x="573" nd="1"/>
        <i x="593" nd="1"/>
        <i x="349" nd="1"/>
        <i x="169" nd="1"/>
        <i x="45" nd="1"/>
        <i x="73" nd="1"/>
        <i x="414" nd="1"/>
        <i x="107" nd="1"/>
        <i x="354" nd="1"/>
        <i x="52" nd="1"/>
        <i x="512" nd="1"/>
        <i x="272" nd="1"/>
        <i x="572" nd="1"/>
        <i x="318" nd="1"/>
        <i x="471" nd="1"/>
        <i x="204" nd="1"/>
        <i x="244" nd="1"/>
        <i x="391" nd="1"/>
        <i x="526" nd="1"/>
        <i x="400" nd="1"/>
        <i x="438" nd="1"/>
        <i x="311" nd="1"/>
        <i x="323" nd="1"/>
        <i x="467" nd="1"/>
        <i x="595" nd="1"/>
        <i x="185" nd="1"/>
        <i x="341" nd="1"/>
        <i x="230" nd="1"/>
        <i x="534" nd="1"/>
        <i x="561" nd="1"/>
        <i x="450" nd="1"/>
        <i x="158" nd="1"/>
        <i x="178" nd="1"/>
        <i x="485" nd="1"/>
        <i x="85" nd="1"/>
        <i x="174" nd="1"/>
        <i x="449" nd="1"/>
        <i x="610" nd="1"/>
        <i x="516" nd="1"/>
        <i x="92" nd="1"/>
        <i x="300" nd="1"/>
        <i x="173" nd="1"/>
        <i x="482" nd="1"/>
        <i x="249" nd="1"/>
        <i x="565" nd="1"/>
        <i x="294" nd="1"/>
        <i x="317" nd="1"/>
        <i x="469" nd="1"/>
        <i x="598" nd="1"/>
        <i x="203" nd="1"/>
        <i x="118" nd="1"/>
        <i x="142" nd="1"/>
        <i x="197" nd="1"/>
        <i x="394" nd="1"/>
        <i x="564" nd="1"/>
        <i x="157" nd="1"/>
        <i x="413" nd="1"/>
        <i x="299" nd="1"/>
        <i x="332" nd="1"/>
        <i x="368" nd="1"/>
        <i x="404" nd="1"/>
        <i x="278" nd="1"/>
        <i x="124" nd="1"/>
        <i x="462" nd="1"/>
        <i x="493" nd="1"/>
        <i x="499" nd="1"/>
        <i x="79" nd="1"/>
        <i x="99" nd="1"/>
        <i x="235" nd="1"/>
        <i x="563" nd="1"/>
        <i x="254" nd="1"/>
        <i x="190" nd="1"/>
        <i x="583" nd="1"/>
        <i x="360" nd="1"/>
        <i x="353" nd="1"/>
        <i x="147" nd="1"/>
        <i x="45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6">
        <i x="8" s="1"/>
        <i x="28" s="1" nd="1"/>
        <i x="18" s="1" nd="1"/>
        <i x="29" s="1" nd="1"/>
        <i x="43" s="1" nd="1"/>
        <i x="13" s="1" nd="1"/>
        <i x="20" s="1" nd="1"/>
        <i x="23" s="1" nd="1"/>
        <i x="30" s="1" nd="1"/>
        <i x="33" s="1" nd="1"/>
        <i x="35" s="1" nd="1"/>
        <i x="39" s="1" nd="1"/>
        <i x="44" s="1" nd="1"/>
        <i x="16" s="1" nd="1"/>
        <i x="3" s="1" nd="1"/>
        <i x="25" s="1" nd="1"/>
        <i x="27" s="1" nd="1"/>
        <i x="1" s="1" nd="1"/>
        <i x="42" s="1" nd="1"/>
        <i x="45" s="1" nd="1"/>
        <i x="4" s="1" nd="1"/>
        <i x="21" s="1" nd="1"/>
        <i x="37" s="1" nd="1"/>
        <i x="6" s="1" nd="1"/>
        <i x="40" s="1" nd="1"/>
        <i x="15" s="1" nd="1"/>
        <i x="2" s="1" nd="1"/>
        <i x="5" s="1" nd="1"/>
        <i x="7" s="1" nd="1"/>
        <i x="9" s="1" nd="1"/>
        <i x="0" s="1" nd="1"/>
        <i x="38" s="1" nd="1"/>
        <i x="31" s="1" nd="1"/>
        <i x="22" s="1" nd="1"/>
        <i x="14" s="1" nd="1"/>
        <i x="41" s="1" nd="1"/>
        <i x="32" s="1" nd="1"/>
        <i x="10" s="1" nd="1"/>
        <i x="24" s="1" nd="1"/>
        <i x="17" s="1" nd="1"/>
        <i x="11" s="1" nd="1"/>
        <i x="34" s="1" nd="1"/>
        <i x="26" s="1" nd="1"/>
        <i x="19" s="1" nd="1"/>
        <i x="12" s="1" nd="1"/>
        <i x="3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237">
        <i x="0" s="1"/>
        <i x="201" s="1" nd="1"/>
        <i x="24" s="1" nd="1"/>
        <i x="33" s="1" nd="1"/>
        <i x="211" s="1" nd="1"/>
        <i x="202" s="1" nd="1"/>
        <i x="101" s="1" nd="1"/>
        <i x="187" s="1" nd="1"/>
        <i x="76" s="1" nd="1"/>
        <i x="4" s="1" nd="1"/>
        <i x="68" s="1" nd="1"/>
        <i x="191" s="1" nd="1"/>
        <i x="105" s="1" nd="1"/>
        <i x="228" s="1" nd="1"/>
        <i x="88" s="1" nd="1"/>
        <i x="192" s="1" nd="1"/>
        <i x="29" s="1" nd="1"/>
        <i x="102" s="1" nd="1"/>
        <i x="120" s="1" nd="1"/>
        <i x="178" s="1" nd="1"/>
        <i x="127" s="1" nd="1"/>
        <i x="152" s="1" nd="1"/>
        <i x="93" s="1" nd="1"/>
        <i x="144" s="1" nd="1"/>
        <i x="203" s="1" nd="1"/>
        <i x="18" s="1" nd="1"/>
        <i x="62" s="1" nd="1"/>
        <i x="109" s="1" nd="1"/>
        <i x="157" s="1" nd="1"/>
        <i x="212" s="1" nd="1"/>
        <i x="193" s="1" nd="1"/>
        <i x="51" s="1" nd="1"/>
        <i x="121" s="1" nd="1"/>
        <i x="11" s="1" nd="1"/>
        <i x="34" s="1" nd="1"/>
        <i x="188" s="1" nd="1"/>
        <i x="114" s="1" nd="1"/>
        <i x="59" s="1" nd="1"/>
        <i x="145" s="1" nd="1"/>
        <i x="204" s="1" nd="1"/>
        <i x="154" s="1" nd="1"/>
        <i x="52" s="1" nd="1"/>
        <i x="110" s="1" nd="1"/>
        <i x="72" s="1" nd="1"/>
        <i x="205" s="1" nd="1"/>
        <i x="213" s="1" nd="1"/>
        <i x="226" s="1" nd="1"/>
        <i x="129" s="1" nd="1"/>
        <i x="122" s="1" nd="1"/>
        <i x="138" s="1" nd="1"/>
        <i x="170" s="1" nd="1"/>
        <i x="149" s="1" nd="1"/>
        <i x="229" s="1" nd="1"/>
        <i x="132" s="1" nd="1"/>
        <i x="46" s="1" nd="1"/>
        <i x="181" s="1" nd="1"/>
        <i x="89" s="1" nd="1"/>
        <i x="1" s="1" nd="1"/>
        <i x="63" s="1" nd="1"/>
        <i x="182" s="1" nd="1"/>
        <i x="194" s="1" nd="1"/>
        <i x="215" s="1" nd="1"/>
        <i x="209" s="1" nd="1"/>
        <i x="42" s="1" nd="1"/>
        <i x="30" s="1" nd="1"/>
        <i x="57" s="1" nd="1"/>
        <i x="98" s="1" nd="1"/>
        <i x="115" s="1" nd="1"/>
        <i x="174" s="1" nd="1"/>
        <i x="139" s="1" nd="1"/>
        <i x="133" s="1" nd="1"/>
        <i x="47" s="1" nd="1"/>
        <i x="146" s="1" nd="1"/>
        <i x="25" s="1" nd="1"/>
        <i x="12" s="1" nd="1"/>
        <i x="106" s="1" nd="1"/>
        <i x="206" s="1" nd="1"/>
        <i x="70" s="1" nd="1"/>
        <i x="155" s="1" nd="1"/>
        <i x="230" s="1" nd="1"/>
        <i x="180" s="1" nd="1"/>
        <i x="13" s="1" nd="1"/>
        <i x="171" s="1" nd="1"/>
        <i x="71" s="1" nd="1"/>
        <i x="37" s="1" nd="1"/>
        <i x="90" s="1" nd="1"/>
        <i x="99" s="1" nd="1"/>
        <i x="79" s="1" nd="1"/>
        <i x="81" s="1" nd="1"/>
        <i x="53" s="1" nd="1"/>
        <i x="123" s="1" nd="1"/>
        <i x="38" s="1" nd="1"/>
        <i x="142" s="1" nd="1"/>
        <i x="84" s="1" nd="1"/>
        <i x="82" s="1" nd="1"/>
        <i x="175" s="1" nd="1"/>
        <i x="2" s="1" nd="1"/>
        <i x="85" s="1" nd="1"/>
        <i x="39" s="1" nd="1"/>
        <i x="158" s="1" nd="1"/>
        <i x="189" s="1" nd="1"/>
        <i x="216" s="1" nd="1"/>
        <i x="163" s="1" nd="1"/>
        <i x="195" s="1" nd="1"/>
        <i x="58" s="1" nd="1"/>
        <i x="26" s="1" nd="1"/>
        <i x="190" s="1" nd="1"/>
        <i x="166" s="1" nd="1"/>
        <i x="31" s="1" nd="1"/>
        <i x="124" s="1" nd="1"/>
        <i x="91" s="1" nd="1"/>
        <i x="153" s="1" nd="1"/>
        <i x="217" s="1" nd="1"/>
        <i x="172" s="1" nd="1"/>
        <i x="227" s="1" nd="1"/>
        <i x="86" s="1" nd="1"/>
        <i x="233" s="1" nd="1"/>
        <i x="94" s="1" nd="1"/>
        <i x="77" s="1" nd="1"/>
        <i x="140" s="1" nd="1"/>
        <i x="40" s="1" nd="1"/>
        <i x="134" s="1" nd="1"/>
        <i x="5" s="1" nd="1"/>
        <i x="116" s="1" nd="1"/>
        <i x="223" s="1" nd="1"/>
        <i x="44" s="1" nd="1"/>
        <i x="117" s="1" nd="1"/>
        <i x="218" s="1" nd="1"/>
        <i x="135" s="1" nd="1"/>
        <i x="64" s="1" nd="1"/>
        <i x="159" s="1" nd="1"/>
        <i x="111" s="1" nd="1"/>
        <i x="219" s="1" nd="1"/>
        <i x="214" s="1" nd="1"/>
        <i x="150" s="1" nd="1"/>
        <i x="103" s="1" nd="1"/>
        <i x="95" s="1" nd="1"/>
        <i x="14" s="1" nd="1"/>
        <i x="73" s="1" nd="1"/>
        <i x="35" s="1" nd="1"/>
        <i x="55" s="1" nd="1"/>
        <i x="69" s="1" nd="1"/>
        <i x="220" s="1" nd="1"/>
        <i x="96" s="1" nd="1"/>
        <i x="54" s="1" nd="1"/>
        <i x="6" s="1" nd="1"/>
        <i x="196" s="1" nd="1"/>
        <i x="143" s="1" nd="1"/>
        <i x="100" s="1" nd="1"/>
        <i x="56" s="1" nd="1"/>
        <i x="9" s="1" nd="1"/>
        <i x="198" s="1" nd="1"/>
        <i x="43" s="1" nd="1"/>
        <i x="224" s="1" nd="1"/>
        <i x="128" s="1" nd="1"/>
        <i x="179" s="1" nd="1"/>
        <i x="231" s="1" nd="1"/>
        <i x="97" s="1" nd="1"/>
        <i x="15" s="1" nd="1"/>
        <i x="107" s="1" nd="1"/>
        <i x="183" s="1" nd="1"/>
        <i x="160" s="1" nd="1"/>
        <i x="7" s="1" nd="1"/>
        <i x="60" s="1" nd="1"/>
        <i x="167" s="1" nd="1"/>
        <i x="125" s="1" nd="1"/>
        <i x="65" s="1" nd="1"/>
        <i x="48" s="1" nd="1"/>
        <i x="130" s="1" nd="1"/>
        <i x="136" s="1" nd="1"/>
        <i x="19" s="1" nd="1"/>
        <i x="36" s="1" nd="1"/>
        <i x="118" s="1" nd="1"/>
        <i x="27" s="1" nd="1"/>
        <i x="74" s="1" nd="1"/>
        <i x="173" s="1" nd="1"/>
        <i x="184" s="1" nd="1"/>
        <i x="66" s="1" nd="1"/>
        <i x="176" s="1" nd="1"/>
        <i x="119" s="1" nd="1"/>
        <i x="41" s="1" nd="1"/>
        <i x="112" s="1" nd="1"/>
        <i x="8" s="1" nd="1"/>
        <i x="147" s="1" nd="1"/>
        <i x="210" s="1" nd="1"/>
        <i x="221" s="1" nd="1"/>
        <i x="80" s="1" nd="1"/>
        <i x="131" s="1" nd="1"/>
        <i x="156" s="1" nd="1"/>
        <i x="164" s="1" nd="1"/>
        <i x="168" s="1" nd="1"/>
        <i x="108" s="1" nd="1"/>
        <i x="3" s="1" nd="1"/>
        <i x="151" s="1" nd="1"/>
        <i x="197" s="1" nd="1"/>
        <i x="16" s="1" nd="1"/>
        <i x="75" s="1" nd="1"/>
        <i x="49" s="1" nd="1"/>
        <i x="28" s="1" nd="1"/>
        <i x="234" s="1" nd="1"/>
        <i x="161" s="1" nd="1"/>
        <i x="177" s="1" nd="1"/>
        <i x="87" s="1" nd="1"/>
        <i x="67" s="1" nd="1"/>
        <i x="23" s="1" nd="1"/>
        <i x="92" s="1" nd="1"/>
        <i x="199" s="1" nd="1"/>
        <i x="17" s="1" nd="1"/>
        <i x="61" s="1" nd="1"/>
        <i x="83" s="1" nd="1"/>
        <i x="235" s="1" nd="1"/>
        <i x="185" s="1" nd="1"/>
        <i x="113" s="1" nd="1"/>
        <i x="162" s="1" nd="1"/>
        <i x="141" s="1" nd="1"/>
        <i x="222" s="1" nd="1"/>
        <i x="207" s="1" nd="1"/>
        <i x="20" s="1" nd="1"/>
        <i x="208" s="1" nd="1"/>
        <i x="225" s="1" nd="1"/>
        <i x="50" s="1" nd="1"/>
        <i x="236" s="1" nd="1"/>
        <i x="32" s="1" nd="1"/>
        <i x="104" s="1" nd="1"/>
        <i x="165" s="1" nd="1"/>
        <i x="10" s="1" nd="1"/>
        <i x="200" s="1" nd="1"/>
        <i x="186" s="1" nd="1"/>
        <i x="169" s="1" nd="1"/>
        <i x="126" s="1" nd="1"/>
        <i x="45" s="1" nd="1"/>
        <i x="148" s="1" nd="1"/>
        <i x="21" s="1" nd="1"/>
        <i x="22" s="1" nd="1"/>
        <i x="78" s="1" nd="1"/>
        <i x="232" s="1" nd="1"/>
        <i x="137"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48">
        <i x="0" s="1"/>
        <i x="11" s="1" nd="1"/>
        <i x="36" s="1" nd="1"/>
        <i x="14" s="1" nd="1"/>
        <i x="37" s="1" nd="1"/>
        <i x="33" s="1" nd="1"/>
        <i x="38" s="1" nd="1"/>
        <i x="15" s="1" nd="1"/>
        <i x="35" s="1" nd="1"/>
        <i x="3" s="1" nd="1"/>
        <i x="42" s="1" nd="1"/>
        <i x="32" s="1" nd="1"/>
        <i x="12" s="1" nd="1"/>
        <i x="2" s="1" nd="1"/>
        <i x="9" s="1" nd="1"/>
        <i x="34" s="1" nd="1"/>
        <i x="43" s="1" nd="1"/>
        <i x="8" s="1" nd="1"/>
        <i x="44" s="1" nd="1"/>
        <i x="16" s="1" nd="1"/>
        <i x="40" s="1" nd="1"/>
        <i x="21" s="1" nd="1"/>
        <i x="23" s="1" nd="1"/>
        <i x="6" s="1" nd="1"/>
        <i x="41" s="1" nd="1"/>
        <i x="27" s="1" nd="1"/>
        <i x="28" s="1" nd="1"/>
        <i x="46" s="1" nd="1"/>
        <i x="31" s="1" nd="1"/>
        <i x="26" s="1" nd="1"/>
        <i x="7" s="1" nd="1"/>
        <i x="13" s="1" nd="1"/>
        <i x="22" s="1" nd="1"/>
        <i x="18" s="1" nd="1"/>
        <i x="29" s="1" nd="1"/>
        <i x="1" s="1" nd="1"/>
        <i x="39" s="1" nd="1"/>
        <i x="24" s="1" nd="1"/>
        <i x="19" s="1" nd="1"/>
        <i x="47" s="1" nd="1"/>
        <i x="30" s="1" nd="1"/>
        <i x="10" s="1" nd="1"/>
        <i x="45" s="1" nd="1"/>
        <i x="17" s="1" nd="1"/>
        <i x="4" s="1" nd="1"/>
        <i x="20" s="1" nd="1"/>
        <i x="25" s="1" nd="1"/>
        <i x="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43">
        <i x="0" s="1"/>
        <i x="217" s="1" nd="1"/>
        <i x="124" s="1" nd="1"/>
        <i x="128" s="1" nd="1"/>
        <i x="191" s="1" nd="1"/>
        <i x="13" s="1" nd="1"/>
        <i x="201" s="1" nd="1"/>
        <i x="38" s="1" nd="1"/>
        <i x="231" s="1" nd="1"/>
        <i x="11" s="1" nd="1"/>
        <i x="225" s="1" nd="1"/>
        <i x="129" s="1" nd="1"/>
        <i x="5" s="1" nd="1"/>
        <i x="80" s="1" nd="1"/>
        <i x="8" s="1" nd="1"/>
        <i x="57" s="1" nd="1"/>
        <i x="204" s="1" nd="1"/>
        <i x="88" s="1" nd="1"/>
        <i x="39" s="1" nd="1"/>
        <i x="152" s="1" nd="1"/>
        <i x="119" s="1" nd="1"/>
        <i x="58" s="1" nd="1"/>
        <i x="193" s="1" nd="1"/>
        <i x="96" s="1" nd="1"/>
        <i x="14" s="1" nd="1"/>
        <i x="130" s="1" nd="1"/>
        <i x="221" s="1" nd="1"/>
        <i x="232" s="1" nd="1"/>
        <i x="89" s="1" nd="1"/>
        <i x="236" s="1" nd="1"/>
        <i x="15" s="1" nd="1"/>
        <i x="43" s="1" nd="1"/>
        <i x="206" s="1" nd="1"/>
        <i x="212" s="1" nd="1"/>
        <i x="194" s="1" nd="1"/>
        <i x="120" s="1" nd="1"/>
        <i x="161" s="1" nd="1"/>
        <i x="141" s="1" nd="1"/>
        <i x="174" s="1" nd="1"/>
        <i x="131" s="1" nd="1"/>
        <i x="142" s="1" nd="1"/>
        <i x="137" s="1" nd="1"/>
        <i x="153" s="1" nd="1"/>
        <i x="36" s="1" nd="1"/>
        <i x="51" s="1" nd="1"/>
        <i x="16" s="1" nd="1"/>
        <i x="20" s="1" nd="1"/>
        <i x="239" s="1" nd="1"/>
        <i x="186" s="1" nd="1"/>
        <i x="63" s="1" nd="1"/>
        <i x="147" s="1" nd="1"/>
        <i x="22" s="1" nd="1"/>
        <i x="67" s="1" nd="1"/>
        <i x="208" s="1" nd="1"/>
        <i x="6" s="1" nd="1"/>
        <i x="52" s="1" nd="1"/>
        <i x="213" s="1" nd="1"/>
        <i x="81" s="1" nd="1"/>
        <i x="234" s="1" nd="1"/>
        <i x="30" s="1" nd="1"/>
        <i x="82" s="1" nd="1"/>
        <i x="218" s="1" nd="1"/>
        <i x="25" s="1" nd="1"/>
        <i x="166" s="1" nd="1"/>
        <i x="175" s="1" nd="1"/>
        <i x="157" s="1" nd="1"/>
        <i x="106" s="1" nd="1"/>
        <i x="71" s="1" nd="1"/>
        <i x="59" s="1" nd="1"/>
        <i x="226" s="1" nd="1"/>
        <i x="167" s="1" nd="1"/>
        <i x="187" s="1" nd="1"/>
        <i x="162" s="1" nd="1"/>
        <i x="12" s="1" nd="1"/>
        <i x="7" s="1" nd="1"/>
        <i x="227" s="1" nd="1"/>
        <i x="154" s="1" nd="1"/>
        <i x="115" s="1" nd="1"/>
        <i x="121" s="1" nd="1"/>
        <i x="198" s="1" nd="1"/>
        <i x="90" s="1" nd="1"/>
        <i x="143" s="1" nd="1"/>
        <i x="91" s="1" nd="1"/>
        <i x="49" s="1" nd="1"/>
        <i x="97" s="1" nd="1"/>
        <i x="112" s="1" nd="1"/>
        <i x="72" s="1" nd="1"/>
        <i x="107" s="1" nd="1"/>
        <i x="26" s="1" nd="1"/>
        <i x="240" s="1" nd="1"/>
        <i x="138" s="1" nd="1"/>
        <i x="222" s="1" nd="1"/>
        <i x="86" s="1" nd="1"/>
        <i x="40" s="1" nd="1"/>
        <i x="134" s="1" nd="1"/>
        <i x="139" s="1" nd="1"/>
        <i x="195" s="1" nd="1"/>
        <i x="98" s="1" nd="1"/>
        <i x="113" s="1" nd="1"/>
        <i x="68" s="1" nd="1"/>
        <i x="233" s="1" nd="1"/>
        <i x="73" s="1" nd="1"/>
        <i x="188" s="1" nd="1"/>
        <i x="228" s="1" nd="1"/>
        <i x="53" s="1" nd="1"/>
        <i x="199" s="1" nd="1"/>
        <i x="214" s="1" nd="1"/>
        <i x="27" s="1" nd="1"/>
        <i x="192" s="1" nd="1"/>
        <i x="92" s="1" nd="1"/>
        <i x="21" s="1" nd="1"/>
        <i x="37" s="1" nd="1"/>
        <i x="177" s="1" nd="1"/>
        <i x="93" s="1" nd="1"/>
        <i x="190" s="1" nd="1"/>
        <i x="132" s="1" nd="1"/>
        <i x="144" s="1" nd="1"/>
        <i x="123" s="1" nd="1"/>
        <i x="31" s="1" nd="1"/>
        <i x="125" s="1" nd="1"/>
        <i x="176" s="1" nd="1"/>
        <i x="41" s="1" nd="1"/>
        <i x="32" s="1" nd="1"/>
        <i x="241" s="1" nd="1"/>
        <i x="158" s="1" nd="1"/>
        <i x="69" s="1" nd="1"/>
        <i x="9" s="1" nd="1"/>
        <i x="219" s="1" nd="1"/>
        <i x="99" s="1" nd="1"/>
        <i x="114" s="1" nd="1"/>
        <i x="64" s="1" nd="1"/>
        <i x="108" s="1" nd="1"/>
        <i x="171" s="1" nd="1"/>
        <i x="28" s="1" nd="1"/>
        <i x="242" s="1" nd="1"/>
        <i x="29" s="1" nd="1"/>
        <i x="209" s="1" nd="1"/>
        <i x="116" s="1" nd="1"/>
        <i x="94" s="1" nd="1"/>
        <i x="168" s="1" nd="1"/>
        <i x="122" s="1" nd="1"/>
        <i x="110" s="1" nd="1"/>
        <i x="215" s="1" nd="1"/>
        <i x="50" s="1" nd="1"/>
        <i x="65" s="1" nd="1"/>
        <i x="74" s="1" nd="1"/>
        <i x="76" s="1" nd="1"/>
        <i x="100" s="1" nd="1"/>
        <i x="1" s="1" nd="1"/>
        <i x="133" s="1" nd="1"/>
        <i x="126" s="1" nd="1"/>
        <i x="145" s="1" nd="1"/>
        <i x="104" s="1" nd="1"/>
        <i x="172" s="1" nd="1"/>
        <i x="178" s="1" nd="1"/>
        <i x="135" s="1" nd="1"/>
        <i x="44" s="1" nd="1"/>
        <i x="54" s="1" nd="1"/>
        <i x="237" s="1" nd="1"/>
        <i x="229" s="1" nd="1"/>
        <i x="136" s="1" nd="1"/>
        <i x="146" s="1" nd="1"/>
        <i x="18" s="1" nd="1"/>
        <i x="10" s="1" nd="1"/>
        <i x="75" s="1" nd="1"/>
        <i x="159" s="1" nd="1"/>
        <i x="66" s="1" nd="1"/>
        <i x="111" s="1" nd="1"/>
        <i x="83" s="1" nd="1"/>
        <i x="70" s="1" nd="1"/>
        <i x="23" s="1" nd="1"/>
        <i x="216" s="1" nd="1"/>
        <i x="181" s="1" nd="1"/>
        <i x="140" s="1" nd="1"/>
        <i x="202" s="1" nd="1"/>
        <i x="223" s="1" nd="1"/>
        <i x="230" s="1" nd="1"/>
        <i x="205" s="1" nd="1"/>
        <i x="109" s="1" nd="1"/>
        <i x="19" s="1" nd="1"/>
        <i x="163" s="1" nd="1"/>
        <i x="164" s="1" nd="1"/>
        <i x="77" s="1" nd="1"/>
        <i x="33" s="1" nd="1"/>
        <i x="46" s="1" nd="1"/>
        <i x="210" s="1" nd="1"/>
        <i x="207" s="1" nd="1"/>
        <i x="182" s="1" nd="1"/>
        <i x="148" s="1" nd="1"/>
        <i x="2" s="1" nd="1"/>
        <i x="155" s="1" nd="1"/>
        <i x="87" s="1" nd="1"/>
        <i x="47" s="1" nd="1"/>
        <i x="117" s="1" nd="1"/>
        <i x="179" s="1" nd="1"/>
        <i x="180" s="1" nd="1"/>
        <i x="169" s="1" nd="1"/>
        <i x="149" s="1" nd="1"/>
        <i x="102" s="1" nd="1"/>
        <i x="60" s="1" nd="1"/>
        <i x="118" s="1" nd="1"/>
        <i x="101" s="1" nd="1"/>
        <i x="61" s="1" nd="1"/>
        <i x="24" s="1" nd="1"/>
        <i x="55" s="1" nd="1"/>
        <i x="34" s="1" nd="1"/>
        <i x="95" s="1" nd="1"/>
        <i x="17" s="1" nd="1"/>
        <i x="156" s="1" nd="1"/>
        <i x="150" s="1" nd="1"/>
        <i x="48" s="1" nd="1"/>
        <i x="151" s="1" nd="1"/>
        <i x="103" s="1" nd="1"/>
        <i x="170" s="1" nd="1"/>
        <i x="35" s="1" nd="1"/>
        <i x="165" s="1" nd="1"/>
        <i x="185" s="1" nd="1"/>
        <i x="84" s="1" nd="1"/>
        <i x="3" s="1" nd="1"/>
        <i x="42" s="1" nd="1"/>
        <i x="196" s="1" nd="1"/>
        <i x="183" s="1" nd="1"/>
        <i x="45" s="1" nd="1"/>
        <i x="127" s="1" nd="1"/>
        <i x="189" s="1" nd="1"/>
        <i x="79" s="1" nd="1"/>
        <i x="197" s="1" nd="1"/>
        <i x="220" s="1" nd="1"/>
        <i x="224" s="1" nd="1"/>
        <i x="78" s="1" nd="1"/>
        <i x="4" s="1" nd="1"/>
        <i x="173" s="1" nd="1"/>
        <i x="105" s="1" nd="1"/>
        <i x="85" s="1" nd="1"/>
        <i x="62" s="1" nd="1"/>
        <i x="184" s="1" nd="1"/>
        <i x="56" s="1" nd="1"/>
        <i x="235" s="1" nd="1"/>
        <i x="238" s="1" nd="1"/>
        <i x="211" s="1" nd="1"/>
        <i x="203" s="1" nd="1"/>
        <i x="200" s="1" nd="1"/>
        <i x="16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312">
        <i x="4"/>
        <i x="1"/>
        <i x="10"/>
        <i x="7"/>
        <i x="3"/>
        <i x="2"/>
        <i x="11"/>
        <i x="5"/>
        <i x="9" s="1"/>
        <i x="12"/>
        <i x="13"/>
        <i x="0"/>
        <i x="14"/>
        <i x="8"/>
        <i x="6"/>
        <i x="303" nd="1"/>
        <i x="272" nd="1"/>
        <i x="136" nd="1"/>
        <i x="42" nd="1"/>
        <i x="114" nd="1"/>
        <i x="279" nd="1"/>
        <i x="304" nd="1"/>
        <i x="26" nd="1"/>
        <i x="268" nd="1"/>
        <i x="88" nd="1"/>
        <i x="225" nd="1"/>
        <i x="141" nd="1"/>
        <i x="84" nd="1"/>
        <i x="299" nd="1"/>
        <i x="124" nd="1"/>
        <i x="31" nd="1"/>
        <i x="234" nd="1"/>
        <i x="115" nd="1"/>
        <i x="172" nd="1"/>
        <i x="226" nd="1"/>
        <i x="147" nd="1"/>
        <i x="93" nd="1"/>
        <i x="237" nd="1"/>
        <i x="273" nd="1"/>
        <i x="153" nd="1"/>
        <i x="195" nd="1"/>
        <i x="125" nd="1"/>
        <i x="235" nd="1"/>
        <i x="21" nd="1"/>
        <i x="67" nd="1"/>
        <i x="94" nd="1"/>
        <i x="264" nd="1"/>
        <i x="305" nd="1"/>
        <i x="101" nd="1"/>
        <i x="27" nd="1"/>
        <i x="296" nd="1"/>
        <i x="95" nd="1"/>
        <i x="148" nd="1"/>
        <i x="107" nd="1"/>
        <i x="160" nd="1"/>
        <i x="168" nd="1"/>
        <i x="79" nd="1"/>
        <i x="126" nd="1"/>
        <i x="48" nd="1"/>
        <i x="258" nd="1"/>
        <i x="64" nd="1"/>
        <i x="68" nd="1"/>
        <i x="242" nd="1"/>
        <i x="173" nd="1"/>
        <i x="116" nd="1"/>
        <i x="212" nd="1"/>
        <i x="306" nd="1"/>
        <i x="243" nd="1"/>
        <i x="174" nd="1"/>
        <i x="280" nd="1"/>
        <i x="214" nd="1"/>
        <i x="137" nd="1"/>
        <i x="85" nd="1"/>
        <i x="32" nd="1"/>
        <i x="46" nd="1"/>
        <i x="215" nd="1"/>
        <i x="161" nd="1"/>
        <i x="185" nd="1"/>
        <i x="108" nd="1"/>
        <i x="300" nd="1"/>
        <i x="162" nd="1"/>
        <i x="244" nd="1"/>
        <i x="247" nd="1"/>
        <i x="189" nd="1"/>
        <i x="142" nd="1"/>
        <i x="163" nd="1"/>
        <i x="154" nd="1"/>
        <i x="61" nd="1"/>
        <i x="307" nd="1"/>
        <i x="122" nd="1"/>
        <i x="190" nd="1"/>
        <i x="297" nd="1"/>
        <i x="28" nd="1"/>
        <i x="213" nd="1"/>
        <i x="23" nd="1"/>
        <i x="179" nd="1"/>
        <i x="308" nd="1"/>
        <i x="43" nd="1"/>
        <i x="155" nd="1"/>
        <i x="196" nd="1"/>
        <i x="24" nd="1"/>
        <i x="285" nd="1"/>
        <i x="149" nd="1"/>
        <i x="253" nd="1"/>
        <i x="127" nd="1"/>
        <i x="249" nd="1"/>
        <i x="238" nd="1"/>
        <i x="255" nd="1"/>
        <i x="164" nd="1"/>
        <i x="123" nd="1"/>
        <i x="256" nd="1"/>
        <i x="236" nd="1"/>
        <i x="80" nd="1"/>
        <i x="269" nd="1"/>
        <i x="287" nd="1"/>
        <i x="49" nd="1"/>
        <i x="201" nd="1"/>
        <i x="218" nd="1"/>
        <i x="230" nd="1"/>
        <i x="259" nd="1"/>
        <i x="281" nd="1"/>
        <i x="63" nd="1"/>
        <i x="265" nd="1"/>
        <i x="180" nd="1"/>
        <i x="309" nd="1"/>
        <i x="219" nd="1"/>
        <i x="274" nd="1"/>
        <i x="96" nd="1"/>
        <i x="69" nd="1"/>
        <i x="128" nd="1"/>
        <i x="44" nd="1"/>
        <i x="181" nd="1"/>
        <i x="260" nd="1"/>
        <i x="175" nd="1"/>
        <i x="81" nd="1"/>
        <i x="248" nd="1"/>
        <i x="130" nd="1"/>
        <i x="70" nd="1"/>
        <i x="165" nd="1"/>
        <i x="250" nd="1"/>
        <i x="131" nd="1"/>
        <i x="120" nd="1"/>
        <i x="288" nd="1"/>
        <i x="310" nd="1"/>
        <i x="15" nd="1"/>
        <i x="282" nd="1"/>
        <i x="117" nd="1"/>
        <i x="311" nd="1"/>
        <i x="220" nd="1"/>
        <i x="227" nd="1"/>
        <i x="231" nd="1"/>
        <i x="55" nd="1"/>
        <i x="261" nd="1"/>
        <i x="223" nd="1"/>
        <i x="89" nd="1"/>
        <i x="132" nd="1"/>
        <i x="239" nd="1"/>
        <i x="197" nd="1"/>
        <i x="71" nd="1"/>
        <i x="216" nd="1"/>
        <i x="109" nd="1"/>
        <i x="156" nd="1"/>
        <i x="138" nd="1"/>
        <i x="90" nd="1"/>
        <i x="36" nd="1"/>
        <i x="157" nd="1"/>
        <i x="198" nd="1"/>
        <i x="110" nd="1"/>
        <i x="262" nd="1"/>
        <i x="150" nd="1"/>
        <i x="133" nd="1"/>
        <i x="158" nd="1"/>
        <i x="102" nd="1"/>
        <i x="245" nd="1"/>
        <i x="166" nd="1"/>
        <i x="86" nd="1"/>
        <i x="56" nd="1"/>
        <i x="111" nd="1"/>
        <i x="16" nd="1"/>
        <i x="65" nd="1"/>
        <i x="47" nd="1"/>
        <i x="25" nd="1"/>
        <i x="221" nd="1"/>
        <i x="275" nd="1"/>
        <i x="50" nd="1"/>
        <i x="207" nd="1"/>
        <i x="151" nd="1"/>
        <i x="91" nd="1"/>
        <i x="59" nd="1"/>
        <i x="118" nd="1"/>
        <i x="72" nd="1"/>
        <i x="217" nd="1"/>
        <i x="270" nd="1"/>
        <i x="103" nd="1"/>
        <i x="57" nd="1"/>
        <i x="112" nd="1"/>
        <i x="208" nd="1"/>
        <i x="33" nd="1"/>
        <i x="224" nd="1"/>
        <i x="283" nd="1"/>
        <i x="191" nd="1"/>
        <i x="17" nd="1"/>
        <i x="251" nd="1"/>
        <i x="82" nd="1"/>
        <i x="74" nd="1"/>
        <i x="40" nd="1"/>
        <i x="34" nd="1"/>
        <i x="176" nd="1"/>
        <i x="134" nd="1"/>
        <i x="135" nd="1"/>
        <i x="73" nd="1"/>
        <i x="139" nd="1"/>
        <i x="38" nd="1"/>
        <i x="289" nd="1"/>
        <i x="292" nd="1"/>
        <i x="186" nd="1"/>
        <i x="45" nd="1"/>
        <i x="58" nd="1"/>
        <i x="240" nd="1"/>
        <i x="97" nd="1"/>
        <i x="51" nd="1"/>
        <i x="182" nd="1"/>
        <i x="246" nd="1"/>
        <i x="202" nd="1"/>
        <i x="75" nd="1"/>
        <i x="293" nd="1"/>
        <i x="18" nd="1"/>
        <i x="192" nd="1"/>
        <i x="98" nd="1"/>
        <i x="290" nd="1"/>
        <i x="203" nd="1"/>
        <i x="29" nd="1"/>
        <i x="276" nd="1"/>
        <i x="41" nd="1"/>
        <i x="87" nd="1"/>
        <i x="169" nd="1"/>
        <i x="129" nd="1"/>
        <i x="209" nd="1"/>
        <i x="263" nd="1"/>
        <i x="177" nd="1"/>
        <i x="193" nd="1"/>
        <i x="99" nd="1"/>
        <i x="252" nd="1"/>
        <i x="199" nd="1"/>
        <i x="39" nd="1"/>
        <i x="104" nd="1"/>
        <i x="37" nd="1"/>
        <i x="83" nd="1"/>
        <i x="100" nd="1"/>
        <i x="119" nd="1"/>
        <i x="271" nd="1"/>
        <i x="52" nd="1"/>
        <i x="183" nd="1"/>
        <i x="204" nd="1"/>
        <i x="76" nd="1"/>
        <i x="222" nd="1"/>
        <i x="210" nd="1"/>
        <i x="159" nd="1"/>
        <i x="140" nd="1"/>
        <i x="167" nd="1"/>
        <i x="53" nd="1"/>
        <i x="105" nd="1"/>
        <i x="143" nd="1"/>
        <i x="277" nd="1"/>
        <i x="170" nd="1"/>
        <i x="22" nd="1"/>
        <i x="66" nd="1"/>
        <i x="241" nd="1"/>
        <i x="301" nd="1"/>
        <i x="121" nd="1"/>
        <i x="200" nd="1"/>
        <i x="228" nd="1"/>
        <i x="54" nd="1"/>
        <i x="144" nd="1"/>
        <i x="278" nd="1"/>
        <i x="171" nd="1"/>
        <i x="232" nd="1"/>
        <i x="187" nd="1"/>
        <i x="211" nd="1"/>
        <i x="60" nd="1"/>
        <i x="194" nd="1"/>
        <i x="205" nd="1"/>
        <i x="145" nd="1"/>
        <i x="294" nd="1"/>
        <i x="284" nd="1"/>
        <i x="206" nd="1"/>
        <i x="30" nd="1"/>
        <i x="233" nd="1"/>
        <i x="295" nd="1"/>
        <i x="106" nd="1"/>
        <i x="19" nd="1"/>
        <i x="298" nd="1"/>
        <i x="62" nd="1"/>
        <i x="229" nd="1"/>
        <i x="113" nd="1"/>
        <i x="35" nd="1"/>
        <i x="178" nd="1"/>
        <i x="266" nd="1"/>
        <i x="254" nd="1"/>
        <i x="286" nd="1"/>
        <i x="20" nd="1"/>
        <i x="92" nd="1"/>
        <i x="257" nd="1"/>
        <i x="77" nd="1"/>
        <i x="78" nd="1"/>
        <i x="152" nd="1"/>
        <i x="302" nd="1"/>
        <i x="291" nd="1"/>
        <i x="184" nd="1"/>
        <i x="146" nd="1"/>
        <i x="188" nd="1"/>
        <i x="267"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2" s="1"/>
        <i x="3" s="1"/>
        <i x="0" s="1"/>
        <i x="1"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538">
        <i x="6" s="1"/>
        <i x="71" s="1" nd="1"/>
        <i x="232" s="1" nd="1"/>
        <i x="536" s="1" nd="1"/>
        <i x="481" s="1" nd="1"/>
        <i x="309" s="1" nd="1"/>
        <i x="422" s="1" nd="1"/>
        <i x="115" s="1" nd="1"/>
        <i x="104" s="1" nd="1"/>
        <i x="149" s="1" nd="1"/>
        <i x="165" s="1" nd="1"/>
        <i x="184" s="1" nd="1"/>
        <i x="262" s="1" nd="1"/>
        <i x="228" s="1" nd="1"/>
        <i x="417" s="1" nd="1"/>
        <i x="146" s="1" nd="1"/>
        <i x="212" s="1" nd="1"/>
        <i x="63" s="1" nd="1"/>
        <i x="408" s="1" nd="1"/>
        <i x="83" s="1" nd="1"/>
        <i x="284" s="1" nd="1"/>
        <i x="482" s="1" nd="1"/>
        <i x="98" s="1" nd="1"/>
        <i x="502" s="1" nd="1"/>
        <i x="474" s="1" nd="1"/>
        <i x="166" s="1" nd="1"/>
        <i x="430" s="1" nd="1"/>
        <i x="491" s="1" nd="1"/>
        <i x="18" s="1" nd="1"/>
        <i x="274" s="1" nd="1"/>
        <i x="158" s="1" nd="1"/>
        <i x="245" s="1" nd="1"/>
        <i x="344" s="1" nd="1"/>
        <i x="102" s="1" nd="1"/>
        <i x="107" s="1" nd="1"/>
        <i x="227" s="1" nd="1"/>
        <i x="196" s="1" nd="1"/>
        <i x="255" s="1" nd="1"/>
        <i x="5" s="1" nd="1"/>
        <i x="3" s="1" nd="1"/>
        <i x="253" s="1" nd="1"/>
        <i x="312" s="1" nd="1"/>
        <i x="296" s="1" nd="1"/>
        <i x="192" s="1" nd="1"/>
        <i x="280" s="1" nd="1"/>
        <i x="9" s="1" nd="1"/>
        <i x="461" s="1" nd="1"/>
        <i x="8" s="1" nd="1"/>
        <i x="278" s="1" nd="1"/>
        <i x="133" s="1" nd="1"/>
        <i x="276" s="1" nd="1"/>
        <i x="116" s="1" nd="1"/>
        <i x="272" s="1" nd="1"/>
        <i x="440" s="1" nd="1"/>
        <i x="338" s="1" nd="1"/>
        <i x="483" s="1" nd="1"/>
        <i x="402" s="1" nd="1"/>
        <i x="295" s="1" nd="1"/>
        <i x="234" s="1" nd="1"/>
        <i x="88" s="1" nd="1"/>
        <i x="238" s="1" nd="1"/>
        <i x="289" s="1" nd="1"/>
        <i x="476" s="1" nd="1"/>
        <i x="458" s="1" nd="1"/>
        <i x="438" s="1" nd="1"/>
        <i x="140" s="1" nd="1"/>
        <i x="225" s="1" nd="1"/>
        <i x="318" s="1" nd="1"/>
        <i x="226" s="1" nd="1"/>
        <i x="60" s="1" nd="1"/>
        <i x="535" s="1" nd="1"/>
        <i x="390" s="1" nd="1"/>
        <i x="169" s="1" nd="1"/>
        <i x="493" s="1" nd="1"/>
        <i x="7" s="1" nd="1"/>
        <i x="72" s="1" nd="1"/>
        <i x="462" s="1" nd="1"/>
        <i x="0" s="1" nd="1"/>
        <i x="431" s="1" nd="1"/>
        <i x="168" s="1" nd="1"/>
        <i x="297" s="1" nd="1"/>
        <i x="113" s="1" nd="1"/>
        <i x="273" s="1" nd="1"/>
        <i x="148" s="1" nd="1"/>
        <i x="125" s="1" nd="1"/>
        <i x="454" s="1" nd="1"/>
        <i x="445" s="1" nd="1"/>
        <i x="229" s="1" nd="1"/>
        <i x="250" s="1" nd="1"/>
        <i x="509" s="1" nd="1"/>
        <i x="117" s="1" nd="1"/>
        <i x="132" s="1" nd="1"/>
        <i x="68" s="1" nd="1"/>
        <i x="421" s="1" nd="1"/>
        <i x="485" s="1" nd="1"/>
        <i x="195" s="1" nd="1"/>
        <i x="182" s="1" nd="1"/>
        <i x="268" s="1" nd="1"/>
        <i x="537" s="1" nd="1"/>
        <i x="514" s="1" nd="1"/>
        <i x="271" s="1" nd="1"/>
        <i x="46" s="1" nd="1"/>
        <i x="135" s="1" nd="1"/>
        <i x="205" s="1" nd="1"/>
        <i x="240" s="1" nd="1"/>
        <i x="366" s="1" nd="1"/>
        <i x="425" s="1" nd="1"/>
        <i x="413" s="1" nd="1"/>
        <i x="303" s="1" nd="1"/>
        <i x="490" s="1" nd="1"/>
        <i x="48" s="1" nd="1"/>
        <i x="498" s="1" nd="1"/>
        <i x="4" s="1" nd="1"/>
        <i x="256" s="1" nd="1"/>
        <i x="264" s="1" nd="1"/>
        <i x="208" s="1" nd="1"/>
        <i x="349" s="1" nd="1"/>
        <i x="341" s="1" nd="1"/>
        <i x="324" s="1" nd="1"/>
        <i x="39" s="1" nd="1"/>
        <i x="469" s="1" nd="1"/>
        <i x="488" s="1" nd="1"/>
        <i x="197" s="1" nd="1"/>
        <i x="345" s="1" nd="1"/>
        <i x="391" s="1" nd="1"/>
        <i x="93" s="1" nd="1"/>
        <i x="76" s="1" nd="1"/>
        <i x="26" s="1" nd="1"/>
        <i x="528" s="1" nd="1"/>
        <i x="54" s="1" nd="1"/>
        <i x="407" s="1" nd="1"/>
        <i x="519" s="1" nd="1"/>
        <i x="81" s="1" nd="1"/>
        <i x="368" s="1" nd="1"/>
        <i x="32" s="1" nd="1"/>
        <i x="183" s="1" nd="1"/>
        <i x="12" s="1" nd="1"/>
        <i x="58" s="1" nd="1"/>
        <i x="194" s="1" nd="1"/>
        <i x="251" s="1" nd="1"/>
        <i x="310" s="1" nd="1"/>
        <i x="371" s="1" nd="1"/>
        <i x="50" s="1" nd="1"/>
        <i x="209" s="1" nd="1"/>
        <i x="410" s="1" nd="1"/>
        <i x="49" s="1" nd="1"/>
        <i x="363" s="1" nd="1"/>
        <i x="67" s="1" nd="1"/>
        <i x="210" s="1" nd="1"/>
        <i x="269" s="1" nd="1"/>
        <i x="343" s="1" nd="1"/>
        <i x="465" s="1" nd="1"/>
        <i x="475" s="1" nd="1"/>
        <i x="293" s="1" nd="1"/>
        <i x="175" s="1" nd="1"/>
        <i x="392" s="1" nd="1"/>
        <i x="28" s="1" nd="1"/>
        <i x="190" s="1" nd="1"/>
        <i x="441" s="1" nd="1"/>
        <i x="66" s="1" nd="1"/>
        <i x="335" s="1" nd="1"/>
        <i x="420" s="1" nd="1"/>
        <i x="423" s="1" nd="1"/>
        <i x="494" s="1" nd="1"/>
        <i x="243" s="1" nd="1"/>
        <i x="77" s="1" nd="1"/>
        <i x="428" s="1" nd="1"/>
        <i x="10" s="1" nd="1"/>
        <i x="381" s="1" nd="1"/>
        <i x="377" s="1" nd="1"/>
        <i x="386" s="1" nd="1"/>
        <i x="101" s="1" nd="1"/>
        <i x="222" s="1" nd="1"/>
        <i x="330" s="1" nd="1"/>
        <i x="62" s="1" nd="1"/>
        <i x="91" s="1" nd="1"/>
        <i x="387" s="1" nd="1"/>
        <i x="484" s="1" nd="1"/>
        <i x="266" s="1" nd="1"/>
        <i x="249" s="1" nd="1"/>
        <i x="415" s="1" nd="1"/>
        <i x="263" s="1" nd="1"/>
        <i x="57" s="1" nd="1"/>
        <i x="118" s="1" nd="1"/>
        <i x="393" s="1" nd="1"/>
        <i x="127" s="1" nd="1"/>
        <i x="124" s="1" nd="1"/>
        <i x="442" s="1" nd="1"/>
        <i x="418" s="1" nd="1"/>
        <i x="473" s="1" nd="1"/>
        <i x="75" s="1" nd="1"/>
        <i x="328" s="1" nd="1"/>
        <i x="164" s="1" nd="1"/>
        <i x="206" s="1" nd="1"/>
        <i x="44" s="1" nd="1"/>
        <i x="298" s="1" nd="1"/>
        <i x="281" s="1" nd="1"/>
        <i x="406" s="1" nd="1"/>
        <i x="112" s="1" nd="1"/>
        <i x="30" s="1" nd="1"/>
        <i x="380" s="1" nd="1"/>
        <i x="161" s="1" nd="1"/>
        <i x="20" s="1" nd="1"/>
        <i x="139" s="1" nd="1"/>
        <i x="179" s="1" nd="1"/>
        <i x="448" s="1" nd="1"/>
        <i x="171" s="1" nd="1"/>
        <i x="207" s="1" nd="1"/>
        <i x="452" s="1" nd="1"/>
        <i x="329" s="1" nd="1"/>
        <i x="522" s="1" nd="1"/>
        <i x="84" s="1" nd="1"/>
        <i x="69" s="1" nd="1"/>
        <i x="287" s="1" nd="1"/>
        <i x="459" s="1" nd="1"/>
        <i x="82" s="1" nd="1"/>
        <i x="191" s="1" nd="1"/>
        <i x="16" s="1" nd="1"/>
        <i x="503" s="1" nd="1"/>
        <i x="511" s="1" nd="1"/>
        <i x="59" s="1" nd="1"/>
        <i x="383" s="1" nd="1"/>
        <i x="176" s="1" nd="1"/>
        <i x="19" s="1" nd="1"/>
        <i x="373" s="1" nd="1"/>
        <i x="74" s="1" nd="1"/>
        <i x="314" s="1" nd="1"/>
        <i x="323" s="1" nd="1"/>
        <i x="90" s="1" nd="1"/>
        <i x="342" s="1" nd="1"/>
        <i x="218" s="1" nd="1"/>
        <i x="515" s="1" nd="1"/>
        <i x="65" s="1" nd="1"/>
        <i x="96" s="1" nd="1"/>
        <i x="230" s="1" nd="1"/>
        <i x="516" s="1" nd="1"/>
        <i x="23" s="1" nd="1"/>
        <i x="472" s="1" nd="1"/>
        <i x="339" s="1" nd="1"/>
        <i x="351" s="1" nd="1"/>
        <i x="286" s="1" nd="1"/>
        <i x="53" s="1" nd="1"/>
        <i x="79" s="1" nd="1"/>
        <i x="242" s="1" nd="1"/>
        <i x="95" s="1" nd="1"/>
        <i x="501" s="1" nd="1"/>
        <i x="492" s="1" nd="1"/>
        <i x="121" s="1" nd="1"/>
        <i x="451" s="1" nd="1"/>
        <i x="105" s="1" nd="1"/>
        <i x="419" s="1" nd="1"/>
        <i x="36" s="1" nd="1"/>
        <i x="429" s="1" nd="1"/>
        <i x="119" s="1" nd="1"/>
        <i x="213" s="1" nd="1"/>
        <i x="21" s="1" nd="1"/>
        <i x="86" s="1" nd="1"/>
        <i x="497" s="1" nd="1"/>
        <i x="435" s="1" nd="1"/>
        <i x="307" s="1" nd="1"/>
        <i x="109" s="1" nd="1"/>
        <i x="486" s="1" nd="1"/>
        <i x="258" s="1" nd="1"/>
        <i x="524" s="1" nd="1"/>
        <i x="246" s="1" nd="1"/>
        <i x="376" s="1" nd="1"/>
        <i x="399" s="1" nd="1"/>
        <i x="304" s="1" nd="1"/>
        <i x="136" s="1" nd="1"/>
        <i x="499" s="1" nd="1"/>
        <i x="496" s="1" nd="1"/>
        <i x="394" s="1" nd="1"/>
        <i x="33" s="1" nd="1"/>
        <i x="290" s="1" nd="1"/>
        <i x="123" s="1" nd="1"/>
        <i x="506" s="1" nd="1"/>
        <i x="147" s="1" nd="1"/>
        <i x="24" s="1" nd="1"/>
        <i x="416" s="1" nd="1"/>
        <i x="504" s="1" nd="1"/>
        <i x="110" s="1" nd="1"/>
        <i x="512" s="1" nd="1"/>
        <i x="294" s="1" nd="1"/>
        <i x="156" s="1" nd="1"/>
        <i x="99" s="1" nd="1"/>
        <i x="513" s="1" nd="1"/>
        <i x="247" s="1" nd="1"/>
        <i x="379" s="1" nd="1"/>
        <i x="70" s="1" nd="1"/>
        <i x="241" s="1" nd="1"/>
        <i x="231" s="1" nd="1"/>
        <i x="437" s="1" nd="1"/>
        <i x="80" s="1" nd="1"/>
        <i x="279" s="1" nd="1"/>
        <i x="89" s="1" nd="1"/>
        <i x="401" s="1" nd="1"/>
        <i x="128" s="1" nd="1"/>
        <i x="31" s="1" nd="1"/>
        <i x="432" s="1" nd="1"/>
        <i x="450" s="1" nd="1"/>
        <i x="444" s="1" nd="1"/>
        <i x="340" s="1" nd="1"/>
        <i x="433" s="1" nd="1"/>
        <i x="385" s="1" nd="1"/>
        <i x="369" s="1" nd="1"/>
        <i x="55" s="1" nd="1"/>
        <i x="42" s="1" nd="1"/>
        <i x="434" s="1" nd="1"/>
        <i x="275" s="1" nd="1"/>
        <i x="311" s="1" nd="1"/>
        <i x="97" s="1" nd="1"/>
        <i x="43" s="1" nd="1"/>
        <i x="257" s="1" nd="1"/>
        <i x="518" s="1" nd="1"/>
        <i x="203" s="1" nd="1"/>
        <i x="478" s="1" nd="1"/>
        <i x="375" s="1" nd="1"/>
        <i x="198" s="1" nd="1"/>
        <i x="517" s="1" nd="1"/>
        <i x="495" s="1" nd="1"/>
        <i x="470" s="1" nd="1"/>
        <i x="398" s="1" nd="1"/>
        <i x="38" s="1" nd="1"/>
        <i x="510" s="1" nd="1"/>
        <i x="180" s="1" nd="1"/>
        <i x="267" s="1" nd="1"/>
        <i x="453" s="1" nd="1"/>
        <i x="126" s="1" nd="1"/>
        <i x="219" s="1" nd="1"/>
        <i x="254" s="1" nd="1"/>
        <i x="288" s="1" nd="1"/>
        <i x="360" s="1" nd="1"/>
        <i x="374" s="1" nd="1"/>
        <i x="439" s="1" nd="1"/>
        <i x="25" s="1" nd="1"/>
        <i x="359" s="1" nd="1"/>
        <i x="378" s="1" nd="1"/>
        <i x="321" s="1" nd="1"/>
        <i x="365" s="1" nd="1"/>
        <i x="456" s="1" nd="1"/>
        <i x="73" s="1" nd="1"/>
        <i x="395" s="1" nd="1"/>
        <i x="447" s="1" nd="1"/>
        <i x="252" s="1" nd="1"/>
        <i x="134" s="1" nd="1"/>
        <i x="334" s="1" nd="1"/>
        <i x="404" s="1" nd="1"/>
        <i x="154" s="1" nd="1"/>
        <i x="220" s="1" nd="1"/>
        <i x="236" s="1" nd="1"/>
        <i x="51" s="1" nd="1"/>
        <i x="216" s="1" nd="1"/>
        <i x="64" s="1" nd="1"/>
        <i x="384" s="1" nd="1"/>
        <i x="362" s="1" nd="1"/>
        <i x="400" s="1" nd="1"/>
        <i x="159" s="1" nd="1"/>
        <i x="489" s="1" nd="1"/>
        <i x="405" s="1" nd="1"/>
        <i x="352" s="1" nd="1"/>
        <i x="357" s="1" nd="1"/>
        <i x="460" s="1" nd="1"/>
        <i x="152" s="1" nd="1"/>
        <i x="221" s="1" nd="1"/>
        <i x="320" s="1" nd="1"/>
        <i x="137" s="1" nd="1"/>
        <i x="261" s="1" nd="1"/>
        <i x="41" s="1" nd="1"/>
        <i x="389" s="1" nd="1"/>
        <i x="411" s="1" nd="1"/>
        <i x="244" s="1" nd="1"/>
        <i x="455" s="1" nd="1"/>
        <i x="174" s="1" nd="1"/>
        <i x="526" s="1" nd="1"/>
        <i x="346" s="1" nd="1"/>
        <i x="111" s="1" nd="1"/>
        <i x="94" s="1" nd="1"/>
        <i x="523" s="1" nd="1"/>
        <i x="235" s="1" nd="1"/>
        <i x="248" s="1" nd="1"/>
        <i x="237" s="1" nd="1"/>
        <i x="224" s="1" nd="1"/>
        <i x="505" s="1" nd="1"/>
        <i x="529" s="1" nd="1"/>
        <i x="204" s="1" nd="1"/>
        <i x="531" s="1" nd="1"/>
        <i x="285" s="1" nd="1"/>
        <i x="291" s="1" nd="1"/>
        <i x="370" s="1" nd="1"/>
        <i x="34" s="1" nd="1"/>
        <i x="61" s="1" nd="1"/>
        <i x="322" s="1" nd="1"/>
        <i x="14" s="1" nd="1"/>
        <i x="45" s="1" nd="1"/>
        <i x="449" s="1" nd="1"/>
        <i x="214" s="1" nd="1"/>
        <i x="533" s="1" nd="1"/>
        <i x="56" s="1" nd="1"/>
        <i x="443" s="1" nd="1"/>
        <i x="396" s="1" nd="1"/>
        <i x="52" s="1" nd="1"/>
        <i x="319" s="1" nd="1"/>
        <i x="299" s="1" nd="1"/>
        <i x="163" s="1" nd="1"/>
        <i x="193" s="1" nd="1"/>
        <i x="527" s="1" nd="1"/>
        <i x="466" s="1" nd="1"/>
        <i x="120" s="1" nd="1"/>
        <i x="129" s="1" nd="1"/>
        <i x="414" s="1" nd="1"/>
        <i x="100" s="1" nd="1"/>
        <i x="403" s="1" nd="1"/>
        <i x="409" s="1" nd="1"/>
        <i x="35" s="1" nd="1"/>
        <i x="239" s="1" nd="1"/>
        <i x="332" s="1" nd="1"/>
        <i x="15" s="1" nd="1"/>
        <i x="189" s="1" nd="1"/>
        <i x="457" s="1" nd="1"/>
        <i x="92" s="1" nd="1"/>
        <i x="130" s="1" nd="1"/>
        <i x="520" s="1" nd="1"/>
        <i x="525" s="1" nd="1"/>
        <i x="223" s="1" nd="1"/>
        <i x="372" s="1" nd="1"/>
        <i x="167" s="1" nd="1"/>
        <i x="412" s="1" nd="1"/>
        <i x="103" s="1" nd="1"/>
        <i x="467" s="1" nd="1"/>
        <i x="424" s="1" nd="1"/>
        <i x="215" s="1" nd="1"/>
        <i x="131" s="1" nd="1"/>
        <i x="532" s="1" nd="1"/>
        <i x="270" s="1" nd="1"/>
        <i x="40" s="1" nd="1"/>
        <i x="13" s="1" nd="1"/>
        <i x="29" s="1" nd="1"/>
        <i x="138" s="1" nd="1"/>
        <i x="479" s="1" nd="1"/>
        <i x="534" s="1" nd="1"/>
        <i x="426" s="1" nd="1"/>
        <i x="446" s="1" nd="1"/>
        <i x="85" s="1" nd="1"/>
        <i x="530" s="1" nd="1"/>
        <i x="211" s="1" nd="1"/>
        <i x="22" s="1" nd="1"/>
        <i x="464" s="1" nd="1"/>
        <i x="388" s="1" nd="1"/>
        <i x="507" s="1" nd="1"/>
        <i x="217" s="1" nd="1"/>
        <i x="259" s="1" nd="1"/>
        <i x="142" s="1" nd="1"/>
        <i x="265" s="1" nd="1"/>
        <i x="480" s="1" nd="1"/>
        <i x="477" s="1" nd="1"/>
        <i x="436" s="1" nd="1"/>
        <i x="308" s="1" nd="1"/>
        <i x="170" s="1" nd="1"/>
        <i x="463" s="1" nd="1"/>
        <i x="37" s="1" nd="1"/>
        <i x="361" s="1" nd="1"/>
        <i x="333" s="1" nd="1"/>
        <i x="78" s="1" nd="1"/>
        <i x="233" s="1" nd="1"/>
        <i x="87" s="1" nd="1"/>
        <i x="47" s="1" nd="1"/>
        <i x="508" s="1" nd="1"/>
        <i x="277" s="1" nd="1"/>
        <i x="260" s="1" nd="1"/>
        <i x="500" s="1" nd="1"/>
        <i x="181" s="1" nd="1"/>
        <i x="11" s="1" nd="1"/>
        <i x="114" s="1" nd="1"/>
        <i x="487" s="1" nd="1"/>
        <i x="173" s="1" nd="1"/>
        <i x="471" s="1" nd="1"/>
        <i x="27" s="1" nd="1"/>
        <i x="521" s="1" nd="1"/>
        <i x="188" s="1" nd="1"/>
        <i x="283" s="1" nd="1"/>
        <i x="382" s="1" nd="1"/>
        <i x="427" s="1" nd="1"/>
        <i x="122" s="1" nd="1"/>
        <i x="108" s="1" nd="1"/>
        <i x="1" s="1" nd="1"/>
        <i x="2" s="1" nd="1"/>
        <i x="397" s="1" nd="1"/>
        <i x="106" s="1" nd="1"/>
        <i x="468" s="1" nd="1"/>
        <i x="17" s="1" nd="1"/>
        <i x="348" s="1" nd="1"/>
        <i x="313" s="1" nd="1"/>
        <i x="336" s="1" nd="1"/>
        <i x="325" s="1" nd="1"/>
        <i x="300" s="1" nd="1"/>
        <i x="326" s="1" nd="1"/>
        <i x="301" s="1" nd="1"/>
        <i x="350" s="1" nd="1"/>
        <i x="302" s="1" nd="1"/>
        <i x="327" s="1" nd="1"/>
        <i x="315" s="1" nd="1"/>
        <i x="353" s="1" nd="1"/>
        <i x="282" s="1" nd="1"/>
        <i x="354" s="1" nd="1"/>
        <i x="316" s="1" nd="1"/>
        <i x="364" s="1" nd="1"/>
        <i x="355" s="1" nd="1"/>
        <i x="292" s="1" nd="1"/>
        <i x="356" s="1" nd="1"/>
        <i x="317" s="1" nd="1"/>
        <i x="305" s="1" nd="1"/>
        <i x="306" s="1" nd="1"/>
        <i x="331" s="1" nd="1"/>
        <i x="358" s="1" nd="1"/>
        <i x="367" s="1" nd="1"/>
        <i x="347" s="1" nd="1"/>
        <i x="337" s="1" nd="1"/>
        <i x="185" s="1" nd="1"/>
        <i x="157" s="1" nd="1"/>
        <i x="150" s="1" nd="1"/>
        <i x="199" s="1" nd="1"/>
        <i x="186" s="1" nd="1"/>
        <i x="200" s="1" nd="1"/>
        <i x="177" s="1" nd="1"/>
        <i x="141" s="1" nd="1"/>
        <i x="201" s="1" nd="1"/>
        <i x="187" s="1" nd="1"/>
        <i x="160" s="1" nd="1"/>
        <i x="151" s="1" nd="1"/>
        <i x="143" s="1" nd="1"/>
        <i x="202" s="1" nd="1"/>
        <i x="178" s="1" nd="1"/>
        <i x="162" s="1" nd="1"/>
        <i x="144" s="1" nd="1"/>
        <i x="153" s="1" nd="1"/>
        <i x="145" s="1" nd="1"/>
        <i x="155" s="1" nd="1"/>
        <i x="17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670">
        <i x="9" s="1"/>
        <i x="486" s="1" nd="1"/>
        <i x="72" s="1" nd="1"/>
        <i x="212" s="1" nd="1"/>
        <i x="57" s="1" nd="1"/>
        <i x="535" s="1" nd="1"/>
        <i x="501" s="1" nd="1"/>
        <i x="77" s="1" nd="1"/>
        <i x="377" s="1" nd="1"/>
        <i x="271" s="1" nd="1"/>
        <i x="522" s="1" nd="1"/>
        <i x="358" s="1" nd="1"/>
        <i x="235" s="1" nd="1"/>
        <i x="398" s="1" nd="1"/>
        <i x="567" s="1" nd="1"/>
        <i x="419" s="1" nd="1"/>
        <i x="84" s="1" nd="1"/>
        <i x="275" s="1" nd="1"/>
        <i x="294" s="1" nd="1"/>
        <i x="547" s="1" nd="1"/>
        <i x="218" s="1" nd="1"/>
        <i x="645" s="1" nd="1"/>
        <i x="119" s="1" nd="1"/>
        <i x="246" s="1" nd="1"/>
        <i x="611" s="1" nd="1"/>
        <i x="137" s="1" nd="1"/>
        <i x="483" s="1" nd="1"/>
        <i x="625" s="1" nd="1"/>
        <i x="42" s="1" nd="1"/>
        <i x="187" s="1" nd="1"/>
        <i x="229" s="1" nd="1"/>
        <i x="497" s="1" nd="1"/>
        <i x="653" s="1" nd="1"/>
        <i x="374" s="1" nd="1"/>
        <i x="457" s="1" nd="1"/>
        <i x="620" s="1" nd="1"/>
        <i x="641" s="1" nd="1"/>
        <i x="184" s="1" nd="1"/>
        <i x="513" s="1" nd="1"/>
        <i x="540" s="1" nd="1"/>
        <i x="110" s="1" nd="1"/>
        <i x="183" s="1" nd="1"/>
        <i x="197" s="1" nd="1"/>
        <i x="243" s="1" nd="1"/>
        <i x="284" s="1" nd="1"/>
        <i x="293" s="1" nd="1"/>
        <i x="496" s="1" nd="1"/>
        <i x="573" s="1" nd="1"/>
        <i x="659" s="1" nd="1"/>
        <i x="22" s="1" nd="1"/>
        <i x="64" s="1" nd="1"/>
        <i x="144" s="1" nd="1"/>
        <i x="213" s="1" nd="1"/>
        <i x="237" s="1" nd="1"/>
        <i x="291" s="1" nd="1"/>
        <i x="442" s="1" nd="1"/>
        <i x="524" s="1" nd="1"/>
        <i x="89" s="1" nd="1"/>
        <i x="155" s="1" nd="1"/>
        <i x="224" s="1" nd="1"/>
        <i x="282" s="1" nd="1"/>
        <i x="455" s="1" nd="1"/>
        <i x="476" s="1" nd="1"/>
        <i x="7" s="1" nd="1"/>
        <i x="636" s="1" nd="1"/>
        <i x="39" s="1" nd="1"/>
        <i x="61" s="1" nd="1"/>
        <i x="180" s="1" nd="1"/>
        <i x="194" s="1" nd="1"/>
        <i x="222" s="1" nd="1"/>
        <i x="559" s="1" nd="1"/>
        <i x="569" s="1" nd="1"/>
        <i x="74" s="1" nd="1"/>
        <i x="99" s="1" nd="1"/>
        <i x="193" s="1" nd="1"/>
        <i x="220" s="1" nd="1"/>
        <i x="537" s="1" nd="1"/>
        <i x="616" s="1" nd="1"/>
        <i x="12" s="1" nd="1"/>
        <i x="153" s="1" nd="1"/>
        <i x="164" s="1" nd="1"/>
        <i x="179" s="1" nd="1"/>
        <i x="249" s="1" nd="1"/>
        <i x="384" s="1" nd="1"/>
        <i x="472" s="1" nd="1"/>
        <i x="519" s="1" nd="1"/>
        <i x="628" s="1" nd="1"/>
        <i x="142" s="1" nd="1"/>
        <i x="278" s="1" nd="1"/>
        <i x="314" s="1" nd="1"/>
        <i x="357" s="1" nd="1"/>
        <i x="503" s="1" nd="1"/>
        <i x="548" s="1" nd="1"/>
        <i x="568" s="1" nd="1"/>
        <i x="591" s="1" nd="1"/>
        <i x="87" s="1" nd="1"/>
        <i x="141" s="1" nd="1"/>
        <i x="323" s="1" nd="1"/>
        <i x="332" s="1" nd="1"/>
        <i x="397" s="1" nd="1"/>
        <i x="86" s="1" nd="1"/>
        <i x="406" s="1" nd="1"/>
        <i x="108" s="1" nd="1"/>
        <i x="439" s="1" nd="1"/>
        <i x="127" s="1" nd="1"/>
        <i x="276" s="1" nd="1"/>
        <i x="346" s="1" nd="1"/>
        <i x="369" s="1" nd="1"/>
        <i x="382" s="1" nd="1"/>
        <i x="122" s="1" nd="1"/>
        <i x="438" s="1" nd="1"/>
        <i x="234" s="1" nd="1"/>
        <i x="600" s="1" nd="1"/>
        <i x="647" s="1" nd="1"/>
        <i x="657" s="1" nd="1"/>
        <i x="36" s="1" nd="1"/>
        <i x="368" s="1" nd="1"/>
        <i x="85" s="1" nd="1"/>
        <i x="404" s="1" nd="1"/>
        <i x="140" s="1" nd="1"/>
        <i x="488" s="1" nd="1"/>
        <i x="533" s="1" nd="1"/>
        <i x="288" s="1" nd="1"/>
        <i x="69" s="1" nd="1"/>
        <i x="403" s="1" nd="1"/>
        <i x="437" s="1" nd="1"/>
        <i x="532" s="1" nd="1"/>
        <i x="202" s="1" nd="1"/>
        <i x="209" s="1" nd="1"/>
        <i x="0" s="1" nd="1"/>
        <i x="106" s="1" nd="1"/>
        <i x="121" s="1" nd="1"/>
        <i x="190" s="1" nd="1"/>
        <i x="665" s="1" nd="1"/>
        <i x="19" s="1" nd="1"/>
        <i x="336" s="1" nd="1"/>
        <i x="33" s="1" nd="1"/>
        <i x="436" s="1" nd="1"/>
        <i x="139" s="1" nd="1"/>
        <i x="500" s="1" nd="1"/>
        <i x="557" s="1" nd="1"/>
        <i x="232" s="1" nd="1"/>
        <i x="579" s="1" nd="1"/>
        <i x="241" s="1" nd="1"/>
        <i x="311" s="1" nd="1"/>
        <i x="18" s="1" nd="1"/>
        <i x="96" s="1" nd="1"/>
        <i x="105" s="1" nd="1"/>
        <i x="461" s="1" nd="1"/>
        <i x="247" s="1" nd="1"/>
        <i x="274" s="1" nd="1"/>
        <i x="634" s="1" nd="1"/>
        <i x="301" s="1" nd="1"/>
        <i x="335" s="1" nd="1"/>
        <i x="44" s="1" nd="1"/>
        <i x="435" s="1" nd="1"/>
        <i x="152" s="1" nd="1"/>
        <i x="161" s="1" nd="1"/>
        <i x="499" s="1" nd="1"/>
        <i x="168" s="1" nd="1"/>
        <i x="544" s="1" nd="1"/>
        <i x="217" s="1" nd="1"/>
        <i x="565" s="1" nd="1"/>
        <i x="589" s="1" nd="1"/>
        <i x="260" s="1" nd="1"/>
        <i x="643" s="1" nd="1"/>
        <i x="353" s="1" nd="1"/>
        <i x="54" s="1" nd="1"/>
        <i x="95" s="1" nd="1"/>
        <i x="410" s="1" nd="1"/>
        <i x="434" s="1" nd="1"/>
        <i x="447" s="1" nd="1"/>
        <i x="508" s="1" nd="1"/>
        <i x="543" s="1" nd="1"/>
        <i x="633" s="1" nd="1"/>
        <i x="344" s="1" nd="1"/>
        <i x="68" s="1" nd="1"/>
        <i x="94" s="1" nd="1"/>
        <i x="424" s="1" nd="1"/>
        <i x="484" s="1" nd="1"/>
        <i x="5" s="1" nd="1"/>
        <i x="239" s="1" nd="1"/>
        <i x="258" s="1" nd="1"/>
        <i x="626" s="1" nd="1"/>
        <i x="654" s="1" nd="1"/>
        <i x="16" s="1" nd="1"/>
        <i x="25" s="1" nd="1"/>
        <i x="378" s="1" nd="1"/>
        <i x="402" s="1" nd="1"/>
        <i x="409" s="1" nd="1"/>
        <i x="446" s="1" nd="1"/>
        <i x="459" s="1" nd="1"/>
        <i x="467" s="1" nd="1"/>
        <i x="188" s="1" nd="1"/>
        <i x="542" s="1" nd="1"/>
        <i x="553" s="1" nd="1"/>
        <i x="256" s="1" nd="1"/>
        <i x="3" s="1" nd="1"/>
        <i x="423" s="1" nd="1"/>
        <i x="158" s="1" nd="1"/>
        <i x="199" s="1" nd="1"/>
        <i x="244" s="1" nd="1"/>
        <i x="309" s="1" nd="1"/>
        <i x="662" s="1" nd="1"/>
        <i x="93" s="1" nd="1"/>
        <i x="417" s="1" nd="1"/>
        <i x="157" s="1" nd="1"/>
        <i x="515" s="1" nd="1"/>
        <i x="186" s="1" nd="1"/>
        <i x="551" s="1" nd="1"/>
        <i x="216" s="1" nd="1"/>
        <i x="227" s="1" nd="1"/>
        <i x="622" s="1" nd="1"/>
        <i x="30" s="1" nd="1"/>
        <i x="390" s="1" nd="1"/>
        <i x="174" s="1" nd="1"/>
        <i x="205" s="1" nd="1"/>
        <i x="214" s="1" nd="1"/>
        <i x="576" s="1" nd="1"/>
        <i x="286" s="1" nd="1"/>
        <i x="298" s="1" nd="1"/>
        <i x="40" s="1" nd="1"/>
        <i x="389" s="1" nd="1"/>
        <i x="92" s="1" nd="1"/>
        <i x="407" s="1" nd="1"/>
        <i x="445" s="1" nd="1"/>
        <i x="128" s="1" nd="1"/>
        <i x="527" s="1" nd="1"/>
        <i x="575" s="1" nd="1"/>
        <i x="586" s="1" nd="1"/>
        <i x="285" s="1" nd="1"/>
        <i x="29" s="1" nd="1"/>
        <i x="362" s="1" nd="1"/>
        <i x="91" s="1" nd="1"/>
        <i x="432" s="1" nd="1"/>
        <i x="479" s="1" nd="1"/>
        <i x="198" s="1" nd="1"/>
        <i x="574" s="1" nd="1"/>
        <i x="350" s="1" nd="1"/>
        <i x="558" s="1" nd="1"/>
        <i x="388" s="1" nd="1"/>
        <i x="401" s="1" nd="1"/>
        <i x="581" s="1" nd="1"/>
        <i x="602" s="1" nd="1"/>
        <i x="262" s="1" nd="1"/>
        <i x="277" s="1" nd="1"/>
        <i x="444" s="1" nd="1"/>
        <i x="649" s="1" nd="1"/>
        <i x="303" s="1" nd="1"/>
        <i x="313" s="1" nd="1"/>
        <i x="156" s="1" nd="1"/>
        <i x="20" s="1" nd="1"/>
        <i x="337" s="1" nd="1"/>
        <i x="356" s="1" nd="1"/>
        <i x="539" s="1" nd="1"/>
        <i x="550" s="1" nd="1"/>
        <i x="78" s="1" nd="1"/>
        <i x="396" s="1" nd="1"/>
        <i x="115" s="1" nd="1"/>
        <i x="270" s="1" nd="1"/>
        <i x="639" s="1" nd="1"/>
        <i x="465" s="1" nd="1"/>
        <i x="660" s="1" nd="1"/>
        <i x="318" s="1" nd="1"/>
        <i x="191" s="1" nd="1"/>
        <i x="65" s="1" nd="1"/>
        <i x="566" s="1" nd="1"/>
        <i x="400" s="1" nd="1"/>
        <i x="601" s="1" nd="1"/>
        <i x="289" s="1" nd="1"/>
        <i x="443" s="1" nd="1"/>
        <i x="648" s="1" nd="1"/>
        <i x="146" s="1" nd="1"/>
        <i x="345" s="1" nd="1"/>
        <i x="196" s="1" nd="1"/>
        <i x="355" s="1" nd="1"/>
        <i x="56" s="1" nd="1"/>
        <i x="395" s="1" nd="1"/>
        <i x="6" s="1" nd="1"/>
        <i x="405" s="1" nd="1"/>
        <i x="254" s="1" nd="1"/>
        <i x="418" s="1" nd="1"/>
        <i x="607" s="1" nd="1"/>
        <i x="638" s="1" nd="1"/>
        <i x="464" s="1" nd="1"/>
        <i x="652" s="1" nd="1"/>
        <i x="502" s="1" nd="1"/>
        <i x="361" s="1" nd="1"/>
        <i x="210" s="1" nd="1"/>
        <i x="373" s="1" nd="1"/>
        <i x="219" s="1" nd="1"/>
        <i x="102" s="1" nd="1"/>
        <i x="599" s="1" nd="1"/>
        <i x="614" s="1" nd="1"/>
        <i x="133" s="1" nd="1"/>
        <i x="145" s="1" nd="1"/>
        <i x="478" s="1" nd="1"/>
        <i x="35" s="1" nd="1"/>
        <i x="381" s="1" nd="1"/>
        <i x="561" s="1" nd="1"/>
        <i x="226" s="1" nd="1"/>
        <i x="411" s="1" nd="1"/>
        <i x="253" s="1" nd="1"/>
        <i x="631" s="1" nd="1"/>
        <i x="292" s="1" nd="1"/>
        <i x="637" s="1" nd="1"/>
        <i x="651" s="1" nd="1"/>
        <i x="329" s="1" nd="1"/>
        <i x="28" s="1" nd="1"/>
        <i x="360" s="1" nd="1"/>
        <i x="233" s="1" nd="1"/>
        <i x="580" s="1" nd="1"/>
        <i x="90" s="1" nd="1"/>
        <i x="590" s="1" nd="1"/>
        <i x="416" s="1" nd="1"/>
        <i x="287" s="1" nd="1"/>
        <i x="1" s="1" nd="1"/>
        <i x="322" s="1" nd="1"/>
        <i x="495" s="1" nd="1"/>
        <i x="182" s="1" nd="1"/>
        <i x="525" s="1" nd="1"/>
        <i x="47" s="1" nd="1"/>
        <i x="55" s="1" nd="1"/>
        <i x="560" s="1" nd="1"/>
        <i x="585" s="1" nd="1"/>
        <i x="107" s="1" nd="1"/>
        <i x="252" s="1" nd="1"/>
        <i x="269" s="1" nd="1"/>
        <i x="630" s="1" nd="1"/>
        <i x="450" s="1" nd="1"/>
        <i x="463" s="1" nd="1"/>
        <i x="469" s="1" nd="1"/>
        <i x="51" s="1" nd="1"/>
        <i x="201" s="1" nd="1"/>
        <i x="359" s="1" nd="1"/>
        <i x="63" s="1" nd="1"/>
        <i x="372" s="1" nd="1"/>
        <i x="399" s="1" nd="1"/>
        <i x="598" s="1" nd="1"/>
        <i x="261" s="1" nd="1"/>
        <i x="422" s="1" nd="1"/>
        <i x="613" s="1" nd="1"/>
        <i x="431" s="1" nd="1"/>
        <i x="627" s="1" nd="1"/>
        <i x="126" s="1" nd="1"/>
        <i x="466" s="1" nd="1"/>
        <i x="312" s="1" nd="1"/>
        <i x="666" s="1" nd="1"/>
        <i x="321" s="1" nd="1"/>
        <i x="166" s="1" nd="1"/>
        <i x="26" s="1" nd="1"/>
        <i x="173" s="1" nd="1"/>
        <i x="34" s="1" nd="1"/>
        <i x="181" s="1" nd="1"/>
        <i x="195" s="1" nd="1"/>
        <i x="225" s="1" nd="1"/>
        <i x="394" s="1" nd="1"/>
        <i x="572" s="1" nd="1"/>
        <i x="242" s="1" nd="1"/>
        <i x="619" s="1" nd="1"/>
        <i x="120" s="1" nd="1"/>
        <i x="283" s="1" nd="1"/>
        <i x="297" s="1" nd="1"/>
        <i x="462" s="1" nd="1"/>
        <i x="307" s="1" nd="1"/>
        <i x="468" s="1" nd="1"/>
        <i x="669" s="1" nd="1"/>
        <i x="328" s="1" nd="1"/>
        <i x="341" s="1" nd="1"/>
        <i x="50" s="1" nd="1"/>
        <i x="76" s="1" nd="1"/>
        <i x="101" s="1" nd="1"/>
        <i x="597" s="1" nd="1"/>
        <i x="646" s="1" nd="1"/>
        <i x="656" s="1" nd="1"/>
        <i x="477" s="1" nd="1"/>
        <i x="14" s="1" nd="1"/>
        <i x="494" s="1" nd="1"/>
        <i x="46" s="1" nd="1"/>
        <i x="393" s="1" nd="1"/>
        <i x="83" s="1" nd="1"/>
        <i x="584" s="1" nd="1"/>
        <i x="606" s="1" nd="1"/>
        <i x="114" s="1" nd="1"/>
        <i x="268" s="1" nd="1"/>
        <i x="427" s="1" nd="1"/>
        <i x="290" s="1" nd="1"/>
        <i x="138" s="1" nd="1"/>
        <i x="306" s="1" nd="1"/>
        <i x="487" s="1" nd="1"/>
        <i x="162" s="1" nd="1"/>
        <i x="327" s="1" nd="1"/>
        <i x="509" s="1" nd="1"/>
        <i x="178" s="1" nd="1"/>
        <i x="517" s="1" nd="1"/>
        <i x="546" s="1" nd="1"/>
        <i x="62" s="1" nd="1"/>
        <i x="208" s="1" nd="1"/>
        <i x="556" s="1" nd="1"/>
        <i x="75" s="1" nd="1"/>
        <i x="387" s="1" nd="1"/>
        <i x="231" s="1" nd="1"/>
        <i x="248" s="1" nd="1"/>
        <i x="415" s="1" nd="1"/>
        <i x="596" s="1" nd="1"/>
        <i x="612" s="1" nd="1"/>
        <i x="302" s="1" nd="1"/>
        <i x="154" s="1" nd="1"/>
        <i x="493" s="1" nd="1"/>
        <i x="331" s="1" nd="1"/>
        <i x="512" s="1" nd="1"/>
        <i x="32" s="1" nd="1"/>
        <i x="523" s="1" nd="1"/>
        <i x="45" s="1" nd="1"/>
        <i x="354" s="1" nd="1"/>
        <i x="549" s="1" nd="1"/>
        <i x="223" s="1" nd="1"/>
        <i x="392" s="1" nd="1"/>
        <i x="571" s="1" nd="1"/>
        <i x="605" s="1" nd="1"/>
        <i x="113" s="1" nd="1"/>
        <i x="267" s="1" nd="1"/>
        <i x="426" s="1" nd="1"/>
        <i x="618" s="1" nd="1"/>
        <i x="118" s="1" nd="1"/>
        <i x="449" s="1" nd="1"/>
        <i x="130" s="1" nd="1"/>
        <i x="305" s="1" nd="1"/>
        <i x="668" s="1" nd="1"/>
        <i x="169" s="1" nd="1"/>
        <i x="177" s="1" nd="1"/>
        <i x="200" s="1" nd="1"/>
        <i x="545" s="1" nd="1"/>
        <i x="11" s="1" nd="1"/>
        <i x="2" s="1" nd="1"/>
        <i x="240" s="1" nd="1"/>
        <i x="100" s="1" nd="1"/>
        <i x="245" s="1" nd="1"/>
        <i x="414" s="1" nd="1"/>
        <i x="595" s="1" nd="1"/>
        <i x="441" s="1" nd="1"/>
        <i x="644" s="1" nd="1"/>
        <i x="475" s="1" nd="1"/>
        <i x="17" s="1" nd="1"/>
        <i x="165" s="1" nd="1"/>
        <i x="43" s="1" nd="1"/>
        <i x="204" s="1" nd="1"/>
        <i x="367" s="1" nd="1"/>
        <i x="380" s="1" nd="1"/>
        <i x="570" s="1" nd="1"/>
        <i x="236" s="1" nd="1"/>
        <i x="583" s="1" nd="1"/>
        <i x="251" s="1" nd="1"/>
        <i x="425" s="1" nd="1"/>
        <i x="281" s="1" nd="1"/>
        <i x="448" s="1" nd="1"/>
        <i x="296" s="1" nd="1"/>
        <i x="460" s="1" nd="1"/>
        <i x="151" s="1" nd="1"/>
        <i x="333" s="1" nd="1"/>
        <i x="176" s="1" nd="1"/>
        <i x="340" s="1" nd="1"/>
        <i x="516" s="1" nd="1"/>
        <i x="349" s="1" nd="1"/>
        <i x="49" s="1" nd="1"/>
        <i x="555" s="1" nd="1"/>
        <i x="386" s="1" nd="1"/>
        <i x="564" s="1" nd="1"/>
        <i x="80" s="1" nd="1"/>
        <i x="230" s="1" nd="1"/>
        <i x="109" s="1" nd="1"/>
        <i x="273" s="1" nd="1"/>
        <i x="125" s="1" nd="1"/>
        <i x="440" s="1" nd="1"/>
        <i x="454" s="1" nd="1"/>
        <i x="300" s="1" nd="1"/>
        <i x="655" s="1" nd="1"/>
        <i x="143" s="1" nd="1"/>
        <i x="310" s="1" nd="1"/>
        <i x="474" s="1" nd="1"/>
        <i x="172" s="1" nd="1"/>
        <i x="538" s="1" nd="1"/>
        <i x="53" s="1" nd="1"/>
        <i x="366" s="1" nd="1"/>
        <i x="221" s="1" nd="1"/>
        <i x="391" s="1" nd="1"/>
        <i x="82" s="1" nd="1"/>
        <i x="593" s="1" nd="1"/>
        <i x="112" s="1" nd="1"/>
        <i x="266" s="1" nd="1"/>
        <i x="433" s="1" nd="1"/>
        <i x="13" s="1" nd="1"/>
        <i x="295" s="1" nd="1"/>
        <i x="136" s="1" nd="1"/>
        <i x="485" s="1" nd="1"/>
        <i x="667" s="1" nd="1"/>
        <i x="175" s="1" nd="1"/>
        <i x="348" s="1" nd="1"/>
        <i x="207" s="1" nd="1"/>
        <i x="73" s="1" nd="1"/>
        <i x="578" s="1" nd="1"/>
        <i x="413" s="1" nd="1"/>
        <i x="259" s="1" nd="1"/>
        <i x="421" s="1" nd="1"/>
        <i x="124" s="1" nd="1"/>
        <i x="453" s="1" nd="1"/>
        <i x="642" s="1" nd="1"/>
        <i x="473" s="1" nd="1"/>
        <i x="664" s="1" nd="1"/>
        <i x="320" s="1" nd="1"/>
        <i x="492" s="1" nd="1"/>
        <i x="506" s="1" nd="1"/>
        <i x="343" s="1" nd="1"/>
        <i x="521" s="1" nd="1"/>
        <i x="192" s="1" nd="1"/>
        <i x="379" s="1" nd="1"/>
        <i x="104" s="1" nd="1"/>
        <i x="250" s="1" nd="1"/>
        <i x="604" s="1" nd="1"/>
        <i x="617" s="1" nd="1"/>
        <i x="117" s="1" nd="1"/>
        <i x="280" s="1" nd="1"/>
        <i x="150" s="1" nd="1"/>
        <i x="317" s="1" nd="1"/>
        <i x="482" s="1" nd="1"/>
        <i x="160" s="1" nd="1"/>
        <i x="498" s="1" nd="1"/>
        <i x="21" s="1" nd="1"/>
        <i x="189" s="1" nd="1"/>
        <i x="531" s="1" nd="1"/>
        <i x="48" s="1" nd="1"/>
        <i x="60" s="1" nd="1"/>
        <i x="206" s="1" nd="1"/>
        <i x="371" s="1" nd="1"/>
        <i x="554" s="1" nd="1"/>
        <i x="563" s="1" nd="1"/>
        <i x="588" s="1" nd="1"/>
        <i x="594" s="1" nd="1"/>
        <i x="257" s="1" nd="1"/>
        <i x="610" s="1" nd="1"/>
        <i x="632" s="1" nd="1"/>
        <i x="452" s="1" nd="1"/>
        <i x="132" s="1" nd="1"/>
        <i x="491" s="1" nd="1"/>
        <i x="505" s="1" nd="1"/>
        <i x="24" s="1" nd="1"/>
        <i x="171" s="1" nd="1"/>
        <i x="520" s="1" nd="1"/>
        <i x="41" s="1" nd="1"/>
        <i x="352" s="1" nd="1"/>
        <i x="365" s="1" nd="1"/>
        <i x="67" s="1" nd="1"/>
        <i x="103" s="1" nd="1"/>
        <i x="265" s="1" nd="1"/>
        <i x="635" s="1" nd="1"/>
        <i x="458" s="1" nd="1"/>
        <i x="149" s="1" nd="1"/>
        <i x="316" s="1" nd="1"/>
        <i x="159" s="1" nd="1"/>
        <i x="167" s="1" nd="1"/>
        <i x="507" s="1" nd="1"/>
        <i x="530" s="1" nd="1"/>
        <i x="541" s="1" nd="1"/>
        <i x="59" s="1" nd="1"/>
        <i x="370" s="1" nd="1"/>
        <i x="552" s="1" nd="1"/>
        <i x="71" s="1" nd="1"/>
        <i x="385" s="1" nd="1"/>
        <i x="562" s="1" nd="1"/>
        <i x="577" s="1" nd="1"/>
        <i x="238" s="1" nd="1"/>
        <i x="98" s="1" nd="1"/>
        <i x="609" s="1" nd="1"/>
        <i x="116" s="1" nd="1"/>
        <i x="272" s="1" nd="1"/>
        <i x="430" s="1" nd="1"/>
        <i x="624" s="1" nd="1"/>
        <i x="131" s="1" nd="1"/>
        <i x="299" s="1" nd="1"/>
        <i x="663" s="1" nd="1"/>
        <i x="319" s="1" nd="1"/>
        <i x="490" s="1" nd="1"/>
        <i x="4" s="1" nd="1"/>
        <i x="170" s="1" nd="1"/>
        <i x="31" s="1" nd="1"/>
        <i x="211" s="1" nd="1"/>
        <i x="376" s="1" nd="1"/>
        <i x="81" s="1" nd="1"/>
        <i x="408" s="1" nd="1"/>
        <i x="615" s="1" nd="1"/>
        <i x="629" s="1" nd="1"/>
        <i x="129" s="1" nd="1"/>
        <i x="326" s="1" nd="1"/>
        <i x="339" s="1" nd="1"/>
        <i x="38" s="1" nd="1"/>
        <i x="347" s="1" nd="1"/>
        <i x="529" s="1" nd="1"/>
        <i x="58" s="1" nd="1"/>
        <i x="228" s="1" nd="1"/>
        <i x="97" s="1" nd="1"/>
        <i x="412" s="1" nd="1"/>
        <i x="255" s="1" nd="1"/>
        <i x="608" s="1" nd="1"/>
        <i x="623" s="1" nd="1"/>
        <i x="451" s="1" nd="1"/>
        <i x="504" s="1" nd="1"/>
        <i x="536" s="1" nd="1"/>
        <i x="52" s="1" nd="1"/>
        <i x="66" s="1" nd="1"/>
        <i x="375" s="1" nd="1"/>
        <i x="603" s="1" nd="1"/>
        <i x="111" s="1" nd="1"/>
        <i x="264" s="1" nd="1"/>
        <i x="279" s="1" nd="1"/>
        <i x="135" s="1" nd="1"/>
        <i x="658" s="1" nd="1"/>
        <i x="148" s="1" nd="1"/>
        <i x="315" s="1" nd="1"/>
        <i x="481" s="1" nd="1"/>
        <i x="325" s="1" nd="1"/>
        <i x="27" s="1" nd="1"/>
        <i x="514" s="1" nd="1"/>
        <i x="215" s="1" nd="1"/>
        <i x="79" s="1" nd="1"/>
        <i x="88" s="1" nd="1"/>
        <i x="587" s="1" nd="1"/>
        <i x="429" s="1" nd="1"/>
        <i x="621" s="1" nd="1"/>
        <i x="308" s="1" nd="1"/>
        <i x="471" s="1" nd="1"/>
        <i x="163" s="1" nd="1"/>
        <i x="334" s="1" nd="1"/>
        <i x="511" s="1" nd="1"/>
        <i x="342" s="1" nd="1"/>
        <i x="364" s="1" nd="1"/>
        <i x="592" s="1" nd="1"/>
        <i x="263" s="1" nd="1"/>
        <i x="304" s="1" nd="1"/>
        <i x="480" s="1" nd="1"/>
        <i x="324" s="1" nd="1"/>
        <i x="338" s="1" nd="1"/>
        <i x="37" s="1" nd="1"/>
        <i x="185" s="1" nd="1"/>
        <i x="528" s="1" nd="1"/>
        <i x="70" s="1" nd="1"/>
        <i x="383" s="1" nd="1"/>
        <i x="10" s="1" nd="1"/>
        <i x="661" s="1" nd="1"/>
        <i x="15" s="1" nd="1"/>
        <i x="330" s="1" nd="1"/>
        <i x="23" s="1" nd="1"/>
        <i x="510" s="1" nd="1"/>
        <i x="518" s="1" nd="1"/>
        <i x="351" s="1" nd="1"/>
        <i x="534" s="1" nd="1"/>
        <i x="203" s="1" nd="1"/>
        <i x="363" s="1" nd="1"/>
        <i x="582" s="1" nd="1"/>
        <i x="8" s="1" nd="1"/>
        <i x="456" s="1" nd="1"/>
        <i x="650" s="1" nd="1"/>
        <i x="134" s="1" nd="1"/>
        <i x="147" s="1" nd="1"/>
        <i x="526" s="1" nd="1"/>
        <i x="420" s="1" nd="1"/>
        <i x="428" s="1" nd="1"/>
        <i x="123" s="1" nd="1"/>
        <i x="640" s="1" nd="1"/>
        <i x="470" s="1" nd="1"/>
        <i x="489"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38">
        <i x="1" s="1"/>
        <i x="2" s="1" nd="1"/>
        <i x="132" s="1" nd="1"/>
        <i x="120" s="1" nd="1"/>
        <i x="9" s="1" nd="1"/>
        <i x="133" s="1" nd="1"/>
        <i x="5" s="1" nd="1"/>
        <i x="32" s="1" nd="1"/>
        <i x="100" s="1" nd="1"/>
        <i x="55" s="1" nd="1"/>
        <i x="0" s="1" nd="1"/>
        <i x="130" s="1" nd="1"/>
        <i x="46" s="1" nd="1"/>
        <i x="7" s="1" nd="1"/>
        <i x="101" s="1" nd="1"/>
        <i x="58" s="1" nd="1"/>
        <i x="63" s="1" nd="1"/>
        <i x="24" s="1" nd="1"/>
        <i x="134" s="1" nd="1"/>
        <i x="6" s="1" nd="1"/>
        <i x="128" s="1" nd="1"/>
        <i x="59" s="1" nd="1"/>
        <i x="66" s="1" nd="1"/>
        <i x="71" s="1" nd="1"/>
        <i x="47" s="1" nd="1"/>
        <i x="11" s="1" nd="1"/>
        <i x="114" s="1" nd="1"/>
        <i x="106" s="1" nd="1"/>
        <i x="74" s="1" nd="1"/>
        <i x="135" s="1" nd="1"/>
        <i x="75" s="1" nd="1"/>
        <i x="123" s="1" nd="1"/>
        <i x="95" s="1" nd="1"/>
        <i x="83" s="1" nd="1"/>
        <i x="108" s="1" nd="1"/>
        <i x="85" s="1" nd="1"/>
        <i x="56" s="1" nd="1"/>
        <i x="67" s="1" nd="1"/>
        <i x="64" s="1" nd="1"/>
        <i x="21" s="1" nd="1"/>
        <i x="44" s="1" nd="1"/>
        <i x="129" s="1" nd="1"/>
        <i x="136" s="1" nd="1"/>
        <i x="88" s="1" nd="1"/>
        <i x="111" s="1" nd="1"/>
        <i x="110" s="1" nd="1"/>
        <i x="10" s="1" nd="1"/>
        <i x="68" s="1" nd="1"/>
        <i x="45" s="1" nd="1"/>
        <i x="104" s="1" nd="1"/>
        <i x="28" s="1" nd="1"/>
        <i x="119" s="1" nd="1"/>
        <i x="12" s="1" nd="1"/>
        <i x="90" s="1" nd="1"/>
        <i x="102" s="1" nd="1"/>
        <i x="115" s="1" nd="1"/>
        <i x="124" s="1" nd="1"/>
        <i x="98" s="1" nd="1"/>
        <i x="25" s="1" nd="1"/>
        <i x="80" s="1" nd="1"/>
        <i x="76" s="1" nd="1"/>
        <i x="29" s="1" nd="1"/>
        <i x="109" s="1" nd="1"/>
        <i x="26" s="1" nd="1"/>
        <i x="69" s="1" nd="1"/>
        <i x="49" s="1" nd="1"/>
        <i x="42" s="1" nd="1"/>
        <i x="137" s="1" nd="1"/>
        <i x="3" s="1" nd="1"/>
        <i x="103" s="1" nd="1"/>
        <i x="15" s="1" nd="1"/>
        <i x="116" s="1" nd="1"/>
        <i x="50" s="1" nd="1"/>
        <i x="96" s="1" nd="1"/>
        <i x="65" s="1" nd="1"/>
        <i x="52" s="1" nd="1"/>
        <i x="33" s="1" nd="1"/>
        <i x="38" s="1" nd="1"/>
        <i x="117" s="1" nd="1"/>
        <i x="60" s="1" nd="1"/>
        <i x="36" s="1" nd="1"/>
        <i x="16" s="1" nd="1"/>
        <i x="39" s="1" nd="1"/>
        <i x="4" s="1" nd="1"/>
        <i x="92" s="1" nd="1"/>
        <i x="61" s="1" nd="1"/>
        <i x="19" s="1" nd="1"/>
        <i x="41" s="1" nd="1"/>
        <i x="27" s="1" nd="1"/>
        <i x="97" s="1" nd="1"/>
        <i x="17" s="1" nd="1"/>
        <i x="93" s="1" nd="1"/>
        <i x="30" s="1" nd="1"/>
        <i x="126" s="1" nd="1"/>
        <i x="77" s="1" nd="1"/>
        <i x="51" s="1" nd="1"/>
        <i x="53" s="1" nd="1"/>
        <i x="125" s="1" nd="1"/>
        <i x="84" s="1" nd="1"/>
        <i x="18" s="1" nd="1"/>
        <i x="105" s="1" nd="1"/>
        <i x="34" s="1" nd="1"/>
        <i x="13" s="1" nd="1"/>
        <i x="107" s="1" nd="1"/>
        <i x="91" s="1" nd="1"/>
        <i x="127" s="1" nd="1"/>
        <i x="86" s="1" nd="1"/>
        <i x="121" s="1" nd="1"/>
        <i x="8" s="1" nd="1"/>
        <i x="31" s="1" nd="1"/>
        <i x="72" s="1" nd="1"/>
        <i x="48" s="1" nd="1"/>
        <i x="94" s="1" nd="1"/>
        <i x="118" s="1" nd="1"/>
        <i x="78" s="1" nd="1"/>
        <i x="87" s="1" nd="1"/>
        <i x="35" s="1" nd="1"/>
        <i x="81" s="1" nd="1"/>
        <i x="99" s="1" nd="1"/>
        <i x="54" s="1" nd="1"/>
        <i x="70" s="1" nd="1"/>
        <i x="14" s="1" nd="1"/>
        <i x="37" s="1" nd="1"/>
        <i x="122" s="1" nd="1"/>
        <i x="23" s="1" nd="1"/>
        <i x="131" s="1" nd="1"/>
        <i x="43" s="1" nd="1"/>
        <i x="89" s="1" nd="1"/>
        <i x="57" s="1" nd="1"/>
        <i x="73" s="1" nd="1"/>
        <i x="20" s="1" nd="1"/>
        <i x="22" s="1" nd="1"/>
        <i x="40" s="1" nd="1"/>
        <i x="79" s="1" nd="1"/>
        <i x="112" s="1" nd="1"/>
        <i x="113" s="1" nd="1"/>
        <i x="62" s="1" nd="1"/>
        <i x="82"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312">
        <i x="4"/>
        <i x="1"/>
        <i x="10"/>
        <i x="7"/>
        <i x="3"/>
        <i x="2"/>
        <i x="11"/>
        <i x="5"/>
        <i x="9" s="1"/>
        <i x="12"/>
        <i x="13"/>
        <i x="0"/>
        <i x="14"/>
        <i x="8"/>
        <i x="6"/>
        <i x="303" nd="1"/>
        <i x="272" nd="1"/>
        <i x="136" nd="1"/>
        <i x="42" nd="1"/>
        <i x="114" nd="1"/>
        <i x="279" nd="1"/>
        <i x="304" nd="1"/>
        <i x="26" nd="1"/>
        <i x="268" nd="1"/>
        <i x="88" nd="1"/>
        <i x="225" nd="1"/>
        <i x="141" nd="1"/>
        <i x="84" nd="1"/>
        <i x="299" nd="1"/>
        <i x="124" nd="1"/>
        <i x="31" nd="1"/>
        <i x="234" nd="1"/>
        <i x="115" nd="1"/>
        <i x="172" nd="1"/>
        <i x="226" nd="1"/>
        <i x="147" nd="1"/>
        <i x="93" nd="1"/>
        <i x="237" nd="1"/>
        <i x="273" nd="1"/>
        <i x="153" nd="1"/>
        <i x="195" nd="1"/>
        <i x="125" nd="1"/>
        <i x="235" nd="1"/>
        <i x="21" nd="1"/>
        <i x="67" nd="1"/>
        <i x="94" nd="1"/>
        <i x="264" nd="1"/>
        <i x="305" nd="1"/>
        <i x="101" nd="1"/>
        <i x="27" nd="1"/>
        <i x="296" nd="1"/>
        <i x="95" nd="1"/>
        <i x="148" nd="1"/>
        <i x="107" nd="1"/>
        <i x="160" nd="1"/>
        <i x="168" nd="1"/>
        <i x="79" nd="1"/>
        <i x="126" nd="1"/>
        <i x="48" nd="1"/>
        <i x="258" nd="1"/>
        <i x="64" nd="1"/>
        <i x="68" nd="1"/>
        <i x="242" nd="1"/>
        <i x="173" nd="1"/>
        <i x="116" nd="1"/>
        <i x="212" nd="1"/>
        <i x="306" nd="1"/>
        <i x="243" nd="1"/>
        <i x="174" nd="1"/>
        <i x="280" nd="1"/>
        <i x="214" nd="1"/>
        <i x="137" nd="1"/>
        <i x="85" nd="1"/>
        <i x="32" nd="1"/>
        <i x="46" nd="1"/>
        <i x="215" nd="1"/>
        <i x="161" nd="1"/>
        <i x="185" nd="1"/>
        <i x="108" nd="1"/>
        <i x="300" nd="1"/>
        <i x="162" nd="1"/>
        <i x="244" nd="1"/>
        <i x="247" nd="1"/>
        <i x="189" nd="1"/>
        <i x="142" nd="1"/>
        <i x="163" nd="1"/>
        <i x="154" nd="1"/>
        <i x="61" nd="1"/>
        <i x="307" nd="1"/>
        <i x="122" nd="1"/>
        <i x="190" nd="1"/>
        <i x="297" nd="1"/>
        <i x="28" nd="1"/>
        <i x="213" nd="1"/>
        <i x="23" nd="1"/>
        <i x="179" nd="1"/>
        <i x="308" nd="1"/>
        <i x="43" nd="1"/>
        <i x="155" nd="1"/>
        <i x="196" nd="1"/>
        <i x="24" nd="1"/>
        <i x="285" nd="1"/>
        <i x="149" nd="1"/>
        <i x="253" nd="1"/>
        <i x="127" nd="1"/>
        <i x="249" nd="1"/>
        <i x="238" nd="1"/>
        <i x="255" nd="1"/>
        <i x="164" nd="1"/>
        <i x="123" nd="1"/>
        <i x="256" nd="1"/>
        <i x="236" nd="1"/>
        <i x="80" nd="1"/>
        <i x="269" nd="1"/>
        <i x="287" nd="1"/>
        <i x="49" nd="1"/>
        <i x="201" nd="1"/>
        <i x="218" nd="1"/>
        <i x="230" nd="1"/>
        <i x="259" nd="1"/>
        <i x="281" nd="1"/>
        <i x="63" nd="1"/>
        <i x="265" nd="1"/>
        <i x="180" nd="1"/>
        <i x="309" nd="1"/>
        <i x="219" nd="1"/>
        <i x="274" nd="1"/>
        <i x="96" nd="1"/>
        <i x="69" nd="1"/>
        <i x="128" nd="1"/>
        <i x="44" nd="1"/>
        <i x="181" nd="1"/>
        <i x="260" nd="1"/>
        <i x="175" nd="1"/>
        <i x="81" nd="1"/>
        <i x="248" nd="1"/>
        <i x="130" nd="1"/>
        <i x="70" nd="1"/>
        <i x="165" nd="1"/>
        <i x="250" nd="1"/>
        <i x="131" nd="1"/>
        <i x="120" nd="1"/>
        <i x="288" nd="1"/>
        <i x="310" nd="1"/>
        <i x="15" nd="1"/>
        <i x="282" nd="1"/>
        <i x="117" nd="1"/>
        <i x="311" nd="1"/>
        <i x="220" nd="1"/>
        <i x="227" nd="1"/>
        <i x="231" nd="1"/>
        <i x="55" nd="1"/>
        <i x="261" nd="1"/>
        <i x="223" nd="1"/>
        <i x="89" nd="1"/>
        <i x="132" nd="1"/>
        <i x="239" nd="1"/>
        <i x="197" nd="1"/>
        <i x="71" nd="1"/>
        <i x="216" nd="1"/>
        <i x="109" nd="1"/>
        <i x="156" nd="1"/>
        <i x="138" nd="1"/>
        <i x="90" nd="1"/>
        <i x="36" nd="1"/>
        <i x="157" nd="1"/>
        <i x="198" nd="1"/>
        <i x="110" nd="1"/>
        <i x="262" nd="1"/>
        <i x="150" nd="1"/>
        <i x="133" nd="1"/>
        <i x="158" nd="1"/>
        <i x="102" nd="1"/>
        <i x="245" nd="1"/>
        <i x="166" nd="1"/>
        <i x="86" nd="1"/>
        <i x="56" nd="1"/>
        <i x="111" nd="1"/>
        <i x="16" nd="1"/>
        <i x="65" nd="1"/>
        <i x="47" nd="1"/>
        <i x="25" nd="1"/>
        <i x="221" nd="1"/>
        <i x="275" nd="1"/>
        <i x="50" nd="1"/>
        <i x="207" nd="1"/>
        <i x="151" nd="1"/>
        <i x="91" nd="1"/>
        <i x="59" nd="1"/>
        <i x="118" nd="1"/>
        <i x="72" nd="1"/>
        <i x="217" nd="1"/>
        <i x="270" nd="1"/>
        <i x="103" nd="1"/>
        <i x="57" nd="1"/>
        <i x="112" nd="1"/>
        <i x="208" nd="1"/>
        <i x="33" nd="1"/>
        <i x="224" nd="1"/>
        <i x="283" nd="1"/>
        <i x="191" nd="1"/>
        <i x="17" nd="1"/>
        <i x="251" nd="1"/>
        <i x="82" nd="1"/>
        <i x="74" nd="1"/>
        <i x="40" nd="1"/>
        <i x="34" nd="1"/>
        <i x="176" nd="1"/>
        <i x="134" nd="1"/>
        <i x="135" nd="1"/>
        <i x="73" nd="1"/>
        <i x="139" nd="1"/>
        <i x="38" nd="1"/>
        <i x="289" nd="1"/>
        <i x="292" nd="1"/>
        <i x="186" nd="1"/>
        <i x="45" nd="1"/>
        <i x="58" nd="1"/>
        <i x="240" nd="1"/>
        <i x="97" nd="1"/>
        <i x="51" nd="1"/>
        <i x="182" nd="1"/>
        <i x="246" nd="1"/>
        <i x="202" nd="1"/>
        <i x="75" nd="1"/>
        <i x="293" nd="1"/>
        <i x="18" nd="1"/>
        <i x="192" nd="1"/>
        <i x="98" nd="1"/>
        <i x="290" nd="1"/>
        <i x="203" nd="1"/>
        <i x="29" nd="1"/>
        <i x="276" nd="1"/>
        <i x="41" nd="1"/>
        <i x="87" nd="1"/>
        <i x="169" nd="1"/>
        <i x="129" nd="1"/>
        <i x="209" nd="1"/>
        <i x="263" nd="1"/>
        <i x="177" nd="1"/>
        <i x="193" nd="1"/>
        <i x="99" nd="1"/>
        <i x="252" nd="1"/>
        <i x="199" nd="1"/>
        <i x="39" nd="1"/>
        <i x="104" nd="1"/>
        <i x="37" nd="1"/>
        <i x="83" nd="1"/>
        <i x="100" nd="1"/>
        <i x="119" nd="1"/>
        <i x="271" nd="1"/>
        <i x="52" nd="1"/>
        <i x="183" nd="1"/>
        <i x="204" nd="1"/>
        <i x="76" nd="1"/>
        <i x="222" nd="1"/>
        <i x="210" nd="1"/>
        <i x="159" nd="1"/>
        <i x="140" nd="1"/>
        <i x="167" nd="1"/>
        <i x="53" nd="1"/>
        <i x="105" nd="1"/>
        <i x="143" nd="1"/>
        <i x="277" nd="1"/>
        <i x="170" nd="1"/>
        <i x="22" nd="1"/>
        <i x="66" nd="1"/>
        <i x="241" nd="1"/>
        <i x="301" nd="1"/>
        <i x="121" nd="1"/>
        <i x="200" nd="1"/>
        <i x="228" nd="1"/>
        <i x="54" nd="1"/>
        <i x="144" nd="1"/>
        <i x="278" nd="1"/>
        <i x="171" nd="1"/>
        <i x="232" nd="1"/>
        <i x="187" nd="1"/>
        <i x="211" nd="1"/>
        <i x="60" nd="1"/>
        <i x="194" nd="1"/>
        <i x="205" nd="1"/>
        <i x="145" nd="1"/>
        <i x="294" nd="1"/>
        <i x="284" nd="1"/>
        <i x="206" nd="1"/>
        <i x="30" nd="1"/>
        <i x="233" nd="1"/>
        <i x="295" nd="1"/>
        <i x="106" nd="1"/>
        <i x="19" nd="1"/>
        <i x="298" nd="1"/>
        <i x="62" nd="1"/>
        <i x="229" nd="1"/>
        <i x="113" nd="1"/>
        <i x="35" nd="1"/>
        <i x="178" nd="1"/>
        <i x="266" nd="1"/>
        <i x="254" nd="1"/>
        <i x="286" nd="1"/>
        <i x="20" nd="1"/>
        <i x="92" nd="1"/>
        <i x="257" nd="1"/>
        <i x="77" nd="1"/>
        <i x="78" nd="1"/>
        <i x="152" nd="1"/>
        <i x="302" nd="1"/>
        <i x="291" nd="1"/>
        <i x="184" nd="1"/>
        <i x="146" nd="1"/>
        <i x="188" nd="1"/>
        <i x="267"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2" s="1"/>
        <i x="3" s="1"/>
        <i x="0" s="1"/>
        <i x="1" s="1"/>
        <i x="9" s="1" nd="1"/>
        <i x="4" s="1" nd="1"/>
        <i x="5" s="1" nd="1"/>
        <i x="6" s="1" nd="1"/>
        <i x="7" s="1" nd="1"/>
        <i x="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538">
        <i x="6" s="1"/>
        <i x="71" s="1" nd="1"/>
        <i x="232" s="1" nd="1"/>
        <i x="536" s="1" nd="1"/>
        <i x="481" s="1" nd="1"/>
        <i x="309" s="1" nd="1"/>
        <i x="422" s="1" nd="1"/>
        <i x="115" s="1" nd="1"/>
        <i x="104" s="1" nd="1"/>
        <i x="149" s="1" nd="1"/>
        <i x="165" s="1" nd="1"/>
        <i x="184" s="1" nd="1"/>
        <i x="262" s="1" nd="1"/>
        <i x="228" s="1" nd="1"/>
        <i x="417" s="1" nd="1"/>
        <i x="146" s="1" nd="1"/>
        <i x="212" s="1" nd="1"/>
        <i x="63" s="1" nd="1"/>
        <i x="408" s="1" nd="1"/>
        <i x="83" s="1" nd="1"/>
        <i x="284" s="1" nd="1"/>
        <i x="482" s="1" nd="1"/>
        <i x="98" s="1" nd="1"/>
        <i x="502" s="1" nd="1"/>
        <i x="474" s="1" nd="1"/>
        <i x="166" s="1" nd="1"/>
        <i x="430" s="1" nd="1"/>
        <i x="491" s="1" nd="1"/>
        <i x="18" s="1" nd="1"/>
        <i x="274" s="1" nd="1"/>
        <i x="158" s="1" nd="1"/>
        <i x="245" s="1" nd="1"/>
        <i x="344" s="1" nd="1"/>
        <i x="102" s="1" nd="1"/>
        <i x="107" s="1" nd="1"/>
        <i x="227" s="1" nd="1"/>
        <i x="196" s="1" nd="1"/>
        <i x="255" s="1" nd="1"/>
        <i x="5" s="1" nd="1"/>
        <i x="3" s="1" nd="1"/>
        <i x="253" s="1" nd="1"/>
        <i x="312" s="1" nd="1"/>
        <i x="296" s="1" nd="1"/>
        <i x="192" s="1" nd="1"/>
        <i x="280" s="1" nd="1"/>
        <i x="9" s="1" nd="1"/>
        <i x="461" s="1" nd="1"/>
        <i x="8" s="1" nd="1"/>
        <i x="278" s="1" nd="1"/>
        <i x="133" s="1" nd="1"/>
        <i x="276" s="1" nd="1"/>
        <i x="116" s="1" nd="1"/>
        <i x="272" s="1" nd="1"/>
        <i x="440" s="1" nd="1"/>
        <i x="338" s="1" nd="1"/>
        <i x="483" s="1" nd="1"/>
        <i x="402" s="1" nd="1"/>
        <i x="295" s="1" nd="1"/>
        <i x="234" s="1" nd="1"/>
        <i x="88" s="1" nd="1"/>
        <i x="238" s="1" nd="1"/>
        <i x="289" s="1" nd="1"/>
        <i x="476" s="1" nd="1"/>
        <i x="458" s="1" nd="1"/>
        <i x="438" s="1" nd="1"/>
        <i x="140" s="1" nd="1"/>
        <i x="225" s="1" nd="1"/>
        <i x="318" s="1" nd="1"/>
        <i x="226" s="1" nd="1"/>
        <i x="60" s="1" nd="1"/>
        <i x="535" s="1" nd="1"/>
        <i x="390" s="1" nd="1"/>
        <i x="169" s="1" nd="1"/>
        <i x="493" s="1" nd="1"/>
        <i x="7" s="1" nd="1"/>
        <i x="72" s="1" nd="1"/>
        <i x="462" s="1" nd="1"/>
        <i x="0" s="1" nd="1"/>
        <i x="431" s="1" nd="1"/>
        <i x="168" s="1" nd="1"/>
        <i x="297" s="1" nd="1"/>
        <i x="113" s="1" nd="1"/>
        <i x="273" s="1" nd="1"/>
        <i x="148" s="1" nd="1"/>
        <i x="125" s="1" nd="1"/>
        <i x="454" s="1" nd="1"/>
        <i x="445" s="1" nd="1"/>
        <i x="229" s="1" nd="1"/>
        <i x="250" s="1" nd="1"/>
        <i x="509" s="1" nd="1"/>
        <i x="117" s="1" nd="1"/>
        <i x="132" s="1" nd="1"/>
        <i x="68" s="1" nd="1"/>
        <i x="421" s="1" nd="1"/>
        <i x="485" s="1" nd="1"/>
        <i x="195" s="1" nd="1"/>
        <i x="182" s="1" nd="1"/>
        <i x="268" s="1" nd="1"/>
        <i x="537" s="1" nd="1"/>
        <i x="514" s="1" nd="1"/>
        <i x="271" s="1" nd="1"/>
        <i x="46" s="1" nd="1"/>
        <i x="135" s="1" nd="1"/>
        <i x="205" s="1" nd="1"/>
        <i x="240" s="1" nd="1"/>
        <i x="366" s="1" nd="1"/>
        <i x="425" s="1" nd="1"/>
        <i x="413" s="1" nd="1"/>
        <i x="303" s="1" nd="1"/>
        <i x="490" s="1" nd="1"/>
        <i x="48" s="1" nd="1"/>
        <i x="498" s="1" nd="1"/>
        <i x="4" s="1" nd="1"/>
        <i x="256" s="1" nd="1"/>
        <i x="264" s="1" nd="1"/>
        <i x="208" s="1" nd="1"/>
        <i x="349" s="1" nd="1"/>
        <i x="341" s="1" nd="1"/>
        <i x="324" s="1" nd="1"/>
        <i x="39" s="1" nd="1"/>
        <i x="469" s="1" nd="1"/>
        <i x="488" s="1" nd="1"/>
        <i x="197" s="1" nd="1"/>
        <i x="345" s="1" nd="1"/>
        <i x="391" s="1" nd="1"/>
        <i x="93" s="1" nd="1"/>
        <i x="76" s="1" nd="1"/>
        <i x="26" s="1" nd="1"/>
        <i x="528" s="1" nd="1"/>
        <i x="54" s="1" nd="1"/>
        <i x="407" s="1" nd="1"/>
        <i x="519" s="1" nd="1"/>
        <i x="81" s="1" nd="1"/>
        <i x="368" s="1" nd="1"/>
        <i x="32" s="1" nd="1"/>
        <i x="183" s="1" nd="1"/>
        <i x="12" s="1" nd="1"/>
        <i x="58" s="1" nd="1"/>
        <i x="194" s="1" nd="1"/>
        <i x="251" s="1" nd="1"/>
        <i x="310" s="1" nd="1"/>
        <i x="371" s="1" nd="1"/>
        <i x="50" s="1" nd="1"/>
        <i x="209" s="1" nd="1"/>
        <i x="410" s="1" nd="1"/>
        <i x="49" s="1" nd="1"/>
        <i x="363" s="1" nd="1"/>
        <i x="67" s="1" nd="1"/>
        <i x="210" s="1" nd="1"/>
        <i x="269" s="1" nd="1"/>
        <i x="343" s="1" nd="1"/>
        <i x="465" s="1" nd="1"/>
        <i x="475" s="1" nd="1"/>
        <i x="293" s="1" nd="1"/>
        <i x="175" s="1" nd="1"/>
        <i x="392" s="1" nd="1"/>
        <i x="28" s="1" nd="1"/>
        <i x="190" s="1" nd="1"/>
        <i x="441" s="1" nd="1"/>
        <i x="66" s="1" nd="1"/>
        <i x="335" s="1" nd="1"/>
        <i x="420" s="1" nd="1"/>
        <i x="423" s="1" nd="1"/>
        <i x="494" s="1" nd="1"/>
        <i x="243" s="1" nd="1"/>
        <i x="77" s="1" nd="1"/>
        <i x="428" s="1" nd="1"/>
        <i x="10" s="1" nd="1"/>
        <i x="381" s="1" nd="1"/>
        <i x="377" s="1" nd="1"/>
        <i x="386" s="1" nd="1"/>
        <i x="101" s="1" nd="1"/>
        <i x="222" s="1" nd="1"/>
        <i x="330" s="1" nd="1"/>
        <i x="62" s="1" nd="1"/>
        <i x="91" s="1" nd="1"/>
        <i x="387" s="1" nd="1"/>
        <i x="484" s="1" nd="1"/>
        <i x="266" s="1" nd="1"/>
        <i x="249" s="1" nd="1"/>
        <i x="415" s="1" nd="1"/>
        <i x="263" s="1" nd="1"/>
        <i x="57" s="1" nd="1"/>
        <i x="118" s="1" nd="1"/>
        <i x="393" s="1" nd="1"/>
        <i x="127" s="1" nd="1"/>
        <i x="124" s="1" nd="1"/>
        <i x="442" s="1" nd="1"/>
        <i x="418" s="1" nd="1"/>
        <i x="473" s="1" nd="1"/>
        <i x="75" s="1" nd="1"/>
        <i x="328" s="1" nd="1"/>
        <i x="164" s="1" nd="1"/>
        <i x="206" s="1" nd="1"/>
        <i x="44" s="1" nd="1"/>
        <i x="298" s="1" nd="1"/>
        <i x="281" s="1" nd="1"/>
        <i x="406" s="1" nd="1"/>
        <i x="112" s="1" nd="1"/>
        <i x="30" s="1" nd="1"/>
        <i x="380" s="1" nd="1"/>
        <i x="161" s="1" nd="1"/>
        <i x="20" s="1" nd="1"/>
        <i x="139" s="1" nd="1"/>
        <i x="179" s="1" nd="1"/>
        <i x="448" s="1" nd="1"/>
        <i x="171" s="1" nd="1"/>
        <i x="207" s="1" nd="1"/>
        <i x="452" s="1" nd="1"/>
        <i x="329" s="1" nd="1"/>
        <i x="522" s="1" nd="1"/>
        <i x="84" s="1" nd="1"/>
        <i x="69" s="1" nd="1"/>
        <i x="287" s="1" nd="1"/>
        <i x="459" s="1" nd="1"/>
        <i x="82" s="1" nd="1"/>
        <i x="191" s="1" nd="1"/>
        <i x="16" s="1" nd="1"/>
        <i x="503" s="1" nd="1"/>
        <i x="511" s="1" nd="1"/>
        <i x="59" s="1" nd="1"/>
        <i x="383" s="1" nd="1"/>
        <i x="176" s="1" nd="1"/>
        <i x="19" s="1" nd="1"/>
        <i x="373" s="1" nd="1"/>
        <i x="74" s="1" nd="1"/>
        <i x="314" s="1" nd="1"/>
        <i x="323" s="1" nd="1"/>
        <i x="90" s="1" nd="1"/>
        <i x="342" s="1" nd="1"/>
        <i x="218" s="1" nd="1"/>
        <i x="515" s="1" nd="1"/>
        <i x="65" s="1" nd="1"/>
        <i x="96" s="1" nd="1"/>
        <i x="230" s="1" nd="1"/>
        <i x="516" s="1" nd="1"/>
        <i x="23" s="1" nd="1"/>
        <i x="472" s="1" nd="1"/>
        <i x="339" s="1" nd="1"/>
        <i x="351" s="1" nd="1"/>
        <i x="286" s="1" nd="1"/>
        <i x="53" s="1" nd="1"/>
        <i x="79" s="1" nd="1"/>
        <i x="242" s="1" nd="1"/>
        <i x="95" s="1" nd="1"/>
        <i x="501" s="1" nd="1"/>
        <i x="492" s="1" nd="1"/>
        <i x="121" s="1" nd="1"/>
        <i x="451" s="1" nd="1"/>
        <i x="105" s="1" nd="1"/>
        <i x="419" s="1" nd="1"/>
        <i x="36" s="1" nd="1"/>
        <i x="429" s="1" nd="1"/>
        <i x="119" s="1" nd="1"/>
        <i x="213" s="1" nd="1"/>
        <i x="21" s="1" nd="1"/>
        <i x="86" s="1" nd="1"/>
        <i x="497" s="1" nd="1"/>
        <i x="435" s="1" nd="1"/>
        <i x="307" s="1" nd="1"/>
        <i x="109" s="1" nd="1"/>
        <i x="486" s="1" nd="1"/>
        <i x="258" s="1" nd="1"/>
        <i x="524" s="1" nd="1"/>
        <i x="246" s="1" nd="1"/>
        <i x="376" s="1" nd="1"/>
        <i x="399" s="1" nd="1"/>
        <i x="304" s="1" nd="1"/>
        <i x="136" s="1" nd="1"/>
        <i x="499" s="1" nd="1"/>
        <i x="496" s="1" nd="1"/>
        <i x="394" s="1" nd="1"/>
        <i x="33" s="1" nd="1"/>
        <i x="290" s="1" nd="1"/>
        <i x="123" s="1" nd="1"/>
        <i x="506" s="1" nd="1"/>
        <i x="147" s="1" nd="1"/>
        <i x="24" s="1" nd="1"/>
        <i x="416" s="1" nd="1"/>
        <i x="504" s="1" nd="1"/>
        <i x="110" s="1" nd="1"/>
        <i x="512" s="1" nd="1"/>
        <i x="294" s="1" nd="1"/>
        <i x="156" s="1" nd="1"/>
        <i x="99" s="1" nd="1"/>
        <i x="513" s="1" nd="1"/>
        <i x="247" s="1" nd="1"/>
        <i x="379" s="1" nd="1"/>
        <i x="70" s="1" nd="1"/>
        <i x="241" s="1" nd="1"/>
        <i x="231" s="1" nd="1"/>
        <i x="437" s="1" nd="1"/>
        <i x="80" s="1" nd="1"/>
        <i x="279" s="1" nd="1"/>
        <i x="89" s="1" nd="1"/>
        <i x="401" s="1" nd="1"/>
        <i x="128" s="1" nd="1"/>
        <i x="31" s="1" nd="1"/>
        <i x="432" s="1" nd="1"/>
        <i x="450" s="1" nd="1"/>
        <i x="444" s="1" nd="1"/>
        <i x="340" s="1" nd="1"/>
        <i x="433" s="1" nd="1"/>
        <i x="385" s="1" nd="1"/>
        <i x="369" s="1" nd="1"/>
        <i x="55" s="1" nd="1"/>
        <i x="42" s="1" nd="1"/>
        <i x="434" s="1" nd="1"/>
        <i x="275" s="1" nd="1"/>
        <i x="311" s="1" nd="1"/>
        <i x="97" s="1" nd="1"/>
        <i x="43" s="1" nd="1"/>
        <i x="257" s="1" nd="1"/>
        <i x="518" s="1" nd="1"/>
        <i x="203" s="1" nd="1"/>
        <i x="478" s="1" nd="1"/>
        <i x="375" s="1" nd="1"/>
        <i x="198" s="1" nd="1"/>
        <i x="517" s="1" nd="1"/>
        <i x="495" s="1" nd="1"/>
        <i x="470" s="1" nd="1"/>
        <i x="398" s="1" nd="1"/>
        <i x="38" s="1" nd="1"/>
        <i x="510" s="1" nd="1"/>
        <i x="180" s="1" nd="1"/>
        <i x="267" s="1" nd="1"/>
        <i x="453" s="1" nd="1"/>
        <i x="126" s="1" nd="1"/>
        <i x="219" s="1" nd="1"/>
        <i x="254" s="1" nd="1"/>
        <i x="288" s="1" nd="1"/>
        <i x="360" s="1" nd="1"/>
        <i x="374" s="1" nd="1"/>
        <i x="439" s="1" nd="1"/>
        <i x="25" s="1" nd="1"/>
        <i x="359" s="1" nd="1"/>
        <i x="378" s="1" nd="1"/>
        <i x="321" s="1" nd="1"/>
        <i x="365" s="1" nd="1"/>
        <i x="456" s="1" nd="1"/>
        <i x="73" s="1" nd="1"/>
        <i x="395" s="1" nd="1"/>
        <i x="447" s="1" nd="1"/>
        <i x="252" s="1" nd="1"/>
        <i x="134" s="1" nd="1"/>
        <i x="334" s="1" nd="1"/>
        <i x="404" s="1" nd="1"/>
        <i x="154" s="1" nd="1"/>
        <i x="220" s="1" nd="1"/>
        <i x="236" s="1" nd="1"/>
        <i x="51" s="1" nd="1"/>
        <i x="216" s="1" nd="1"/>
        <i x="64" s="1" nd="1"/>
        <i x="384" s="1" nd="1"/>
        <i x="362" s="1" nd="1"/>
        <i x="400" s="1" nd="1"/>
        <i x="159" s="1" nd="1"/>
        <i x="489" s="1" nd="1"/>
        <i x="405" s="1" nd="1"/>
        <i x="352" s="1" nd="1"/>
        <i x="357" s="1" nd="1"/>
        <i x="460" s="1" nd="1"/>
        <i x="152" s="1" nd="1"/>
        <i x="221" s="1" nd="1"/>
        <i x="320" s="1" nd="1"/>
        <i x="137" s="1" nd="1"/>
        <i x="261" s="1" nd="1"/>
        <i x="41" s="1" nd="1"/>
        <i x="389" s="1" nd="1"/>
        <i x="411" s="1" nd="1"/>
        <i x="244" s="1" nd="1"/>
        <i x="455" s="1" nd="1"/>
        <i x="174" s="1" nd="1"/>
        <i x="526" s="1" nd="1"/>
        <i x="346" s="1" nd="1"/>
        <i x="111" s="1" nd="1"/>
        <i x="94" s="1" nd="1"/>
        <i x="523" s="1" nd="1"/>
        <i x="235" s="1" nd="1"/>
        <i x="248" s="1" nd="1"/>
        <i x="237" s="1" nd="1"/>
        <i x="224" s="1" nd="1"/>
        <i x="505" s="1" nd="1"/>
        <i x="529" s="1" nd="1"/>
        <i x="204" s="1" nd="1"/>
        <i x="531" s="1" nd="1"/>
        <i x="285" s="1" nd="1"/>
        <i x="291" s="1" nd="1"/>
        <i x="370" s="1" nd="1"/>
        <i x="34" s="1" nd="1"/>
        <i x="61" s="1" nd="1"/>
        <i x="322" s="1" nd="1"/>
        <i x="14" s="1" nd="1"/>
        <i x="45" s="1" nd="1"/>
        <i x="449" s="1" nd="1"/>
        <i x="214" s="1" nd="1"/>
        <i x="533" s="1" nd="1"/>
        <i x="56" s="1" nd="1"/>
        <i x="443" s="1" nd="1"/>
        <i x="396" s="1" nd="1"/>
        <i x="52" s="1" nd="1"/>
        <i x="319" s="1" nd="1"/>
        <i x="299" s="1" nd="1"/>
        <i x="163" s="1" nd="1"/>
        <i x="193" s="1" nd="1"/>
        <i x="527" s="1" nd="1"/>
        <i x="466" s="1" nd="1"/>
        <i x="120" s="1" nd="1"/>
        <i x="129" s="1" nd="1"/>
        <i x="414" s="1" nd="1"/>
        <i x="100" s="1" nd="1"/>
        <i x="403" s="1" nd="1"/>
        <i x="409" s="1" nd="1"/>
        <i x="35" s="1" nd="1"/>
        <i x="239" s="1" nd="1"/>
        <i x="332" s="1" nd="1"/>
        <i x="15" s="1" nd="1"/>
        <i x="189" s="1" nd="1"/>
        <i x="457" s="1" nd="1"/>
        <i x="92" s="1" nd="1"/>
        <i x="130" s="1" nd="1"/>
        <i x="520" s="1" nd="1"/>
        <i x="525" s="1" nd="1"/>
        <i x="223" s="1" nd="1"/>
        <i x="372" s="1" nd="1"/>
        <i x="167" s="1" nd="1"/>
        <i x="412" s="1" nd="1"/>
        <i x="103" s="1" nd="1"/>
        <i x="467" s="1" nd="1"/>
        <i x="424" s="1" nd="1"/>
        <i x="215" s="1" nd="1"/>
        <i x="131" s="1" nd="1"/>
        <i x="532" s="1" nd="1"/>
        <i x="270" s="1" nd="1"/>
        <i x="40" s="1" nd="1"/>
        <i x="13" s="1" nd="1"/>
        <i x="29" s="1" nd="1"/>
        <i x="138" s="1" nd="1"/>
        <i x="479" s="1" nd="1"/>
        <i x="534" s="1" nd="1"/>
        <i x="426" s="1" nd="1"/>
        <i x="446" s="1" nd="1"/>
        <i x="85" s="1" nd="1"/>
        <i x="530" s="1" nd="1"/>
        <i x="211" s="1" nd="1"/>
        <i x="22" s="1" nd="1"/>
        <i x="464" s="1" nd="1"/>
        <i x="388" s="1" nd="1"/>
        <i x="507" s="1" nd="1"/>
        <i x="217" s="1" nd="1"/>
        <i x="259" s="1" nd="1"/>
        <i x="142" s="1" nd="1"/>
        <i x="265" s="1" nd="1"/>
        <i x="480" s="1" nd="1"/>
        <i x="477" s="1" nd="1"/>
        <i x="436" s="1" nd="1"/>
        <i x="308" s="1" nd="1"/>
        <i x="170" s="1" nd="1"/>
        <i x="463" s="1" nd="1"/>
        <i x="37" s="1" nd="1"/>
        <i x="361" s="1" nd="1"/>
        <i x="333" s="1" nd="1"/>
        <i x="78" s="1" nd="1"/>
        <i x="233" s="1" nd="1"/>
        <i x="87" s="1" nd="1"/>
        <i x="47" s="1" nd="1"/>
        <i x="508" s="1" nd="1"/>
        <i x="277" s="1" nd="1"/>
        <i x="260" s="1" nd="1"/>
        <i x="500" s="1" nd="1"/>
        <i x="181" s="1" nd="1"/>
        <i x="11" s="1" nd="1"/>
        <i x="114" s="1" nd="1"/>
        <i x="487" s="1" nd="1"/>
        <i x="173" s="1" nd="1"/>
        <i x="471" s="1" nd="1"/>
        <i x="27" s="1" nd="1"/>
        <i x="521" s="1" nd="1"/>
        <i x="188" s="1" nd="1"/>
        <i x="283" s="1" nd="1"/>
        <i x="382" s="1" nd="1"/>
        <i x="427" s="1" nd="1"/>
        <i x="122" s="1" nd="1"/>
        <i x="108" s="1" nd="1"/>
        <i x="1" s="1" nd="1"/>
        <i x="2" s="1" nd="1"/>
        <i x="397" s="1" nd="1"/>
        <i x="106" s="1" nd="1"/>
        <i x="468" s="1" nd="1"/>
        <i x="17" s="1" nd="1"/>
        <i x="348" s="1" nd="1"/>
        <i x="313" s="1" nd="1"/>
        <i x="336" s="1" nd="1"/>
        <i x="325" s="1" nd="1"/>
        <i x="300" s="1" nd="1"/>
        <i x="326" s="1" nd="1"/>
        <i x="301" s="1" nd="1"/>
        <i x="350" s="1" nd="1"/>
        <i x="302" s="1" nd="1"/>
        <i x="327" s="1" nd="1"/>
        <i x="315" s="1" nd="1"/>
        <i x="353" s="1" nd="1"/>
        <i x="282" s="1" nd="1"/>
        <i x="354" s="1" nd="1"/>
        <i x="316" s="1" nd="1"/>
        <i x="364" s="1" nd="1"/>
        <i x="355" s="1" nd="1"/>
        <i x="292" s="1" nd="1"/>
        <i x="356" s="1" nd="1"/>
        <i x="317" s="1" nd="1"/>
        <i x="305" s="1" nd="1"/>
        <i x="306" s="1" nd="1"/>
        <i x="331" s="1" nd="1"/>
        <i x="358" s="1" nd="1"/>
        <i x="367" s="1" nd="1"/>
        <i x="347" s="1" nd="1"/>
        <i x="337" s="1" nd="1"/>
        <i x="185" s="1" nd="1"/>
        <i x="157" s="1" nd="1"/>
        <i x="150" s="1" nd="1"/>
        <i x="199" s="1" nd="1"/>
        <i x="186" s="1" nd="1"/>
        <i x="200" s="1" nd="1"/>
        <i x="177" s="1" nd="1"/>
        <i x="141" s="1" nd="1"/>
        <i x="201" s="1" nd="1"/>
        <i x="187" s="1" nd="1"/>
        <i x="160" s="1" nd="1"/>
        <i x="151" s="1" nd="1"/>
        <i x="143" s="1" nd="1"/>
        <i x="202" s="1" nd="1"/>
        <i x="178" s="1" nd="1"/>
        <i x="162" s="1" nd="1"/>
        <i x="144" s="1" nd="1"/>
        <i x="153" s="1" nd="1"/>
        <i x="145" s="1" nd="1"/>
        <i x="155" s="1" nd="1"/>
        <i x="172"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670">
        <i x="9" s="1"/>
        <i x="486" s="1" nd="1"/>
        <i x="72" s="1" nd="1"/>
        <i x="212" s="1" nd="1"/>
        <i x="57" s="1" nd="1"/>
        <i x="535" s="1" nd="1"/>
        <i x="501" s="1" nd="1"/>
        <i x="77" s="1" nd="1"/>
        <i x="377" s="1" nd="1"/>
        <i x="271" s="1" nd="1"/>
        <i x="522" s="1" nd="1"/>
        <i x="358" s="1" nd="1"/>
        <i x="235" s="1" nd="1"/>
        <i x="398" s="1" nd="1"/>
        <i x="567" s="1" nd="1"/>
        <i x="419" s="1" nd="1"/>
        <i x="84" s="1" nd="1"/>
        <i x="275" s="1" nd="1"/>
        <i x="294" s="1" nd="1"/>
        <i x="547" s="1" nd="1"/>
        <i x="218" s="1" nd="1"/>
        <i x="645" s="1" nd="1"/>
        <i x="119" s="1" nd="1"/>
        <i x="246" s="1" nd="1"/>
        <i x="611" s="1" nd="1"/>
        <i x="137" s="1" nd="1"/>
        <i x="483" s="1" nd="1"/>
        <i x="625" s="1" nd="1"/>
        <i x="42" s="1" nd="1"/>
        <i x="187" s="1" nd="1"/>
        <i x="229" s="1" nd="1"/>
        <i x="497" s="1" nd="1"/>
        <i x="653" s="1" nd="1"/>
        <i x="374" s="1" nd="1"/>
        <i x="457" s="1" nd="1"/>
        <i x="620" s="1" nd="1"/>
        <i x="641" s="1" nd="1"/>
        <i x="184" s="1" nd="1"/>
        <i x="513" s="1" nd="1"/>
        <i x="540" s="1" nd="1"/>
        <i x="110" s="1" nd="1"/>
        <i x="183" s="1" nd="1"/>
        <i x="197" s="1" nd="1"/>
        <i x="243" s="1" nd="1"/>
        <i x="284" s="1" nd="1"/>
        <i x="293" s="1" nd="1"/>
        <i x="496" s="1" nd="1"/>
        <i x="573" s="1" nd="1"/>
        <i x="659" s="1" nd="1"/>
        <i x="22" s="1" nd="1"/>
        <i x="64" s="1" nd="1"/>
        <i x="144" s="1" nd="1"/>
        <i x="213" s="1" nd="1"/>
        <i x="237" s="1" nd="1"/>
        <i x="291" s="1" nd="1"/>
        <i x="442" s="1" nd="1"/>
        <i x="524" s="1" nd="1"/>
        <i x="89" s="1" nd="1"/>
        <i x="155" s="1" nd="1"/>
        <i x="224" s="1" nd="1"/>
        <i x="282" s="1" nd="1"/>
        <i x="455" s="1" nd="1"/>
        <i x="476" s="1" nd="1"/>
        <i x="7" s="1" nd="1"/>
        <i x="636" s="1" nd="1"/>
        <i x="39" s="1" nd="1"/>
        <i x="61" s="1" nd="1"/>
        <i x="180" s="1" nd="1"/>
        <i x="194" s="1" nd="1"/>
        <i x="222" s="1" nd="1"/>
        <i x="559" s="1" nd="1"/>
        <i x="569" s="1" nd="1"/>
        <i x="74" s="1" nd="1"/>
        <i x="99" s="1" nd="1"/>
        <i x="193" s="1" nd="1"/>
        <i x="220" s="1" nd="1"/>
        <i x="537" s="1" nd="1"/>
        <i x="616" s="1" nd="1"/>
        <i x="12" s="1" nd="1"/>
        <i x="153" s="1" nd="1"/>
        <i x="164" s="1" nd="1"/>
        <i x="179" s="1" nd="1"/>
        <i x="249" s="1" nd="1"/>
        <i x="384" s="1" nd="1"/>
        <i x="472" s="1" nd="1"/>
        <i x="519" s="1" nd="1"/>
        <i x="628" s="1" nd="1"/>
        <i x="142" s="1" nd="1"/>
        <i x="278" s="1" nd="1"/>
        <i x="314" s="1" nd="1"/>
        <i x="357" s="1" nd="1"/>
        <i x="503" s="1" nd="1"/>
        <i x="548" s="1" nd="1"/>
        <i x="568" s="1" nd="1"/>
        <i x="591" s="1" nd="1"/>
        <i x="87" s="1" nd="1"/>
        <i x="141" s="1" nd="1"/>
        <i x="323" s="1" nd="1"/>
        <i x="332" s="1" nd="1"/>
        <i x="397" s="1" nd="1"/>
        <i x="86" s="1" nd="1"/>
        <i x="406" s="1" nd="1"/>
        <i x="108" s="1" nd="1"/>
        <i x="439" s="1" nd="1"/>
        <i x="127" s="1" nd="1"/>
        <i x="276" s="1" nd="1"/>
        <i x="346" s="1" nd="1"/>
        <i x="369" s="1" nd="1"/>
        <i x="382" s="1" nd="1"/>
        <i x="122" s="1" nd="1"/>
        <i x="438" s="1" nd="1"/>
        <i x="234" s="1" nd="1"/>
        <i x="600" s="1" nd="1"/>
        <i x="647" s="1" nd="1"/>
        <i x="657" s="1" nd="1"/>
        <i x="36" s="1" nd="1"/>
        <i x="368" s="1" nd="1"/>
        <i x="85" s="1" nd="1"/>
        <i x="404" s="1" nd="1"/>
        <i x="140" s="1" nd="1"/>
        <i x="488" s="1" nd="1"/>
        <i x="533" s="1" nd="1"/>
        <i x="288" s="1" nd="1"/>
        <i x="69" s="1" nd="1"/>
        <i x="403" s="1" nd="1"/>
        <i x="437" s="1" nd="1"/>
        <i x="532" s="1" nd="1"/>
        <i x="202" s="1" nd="1"/>
        <i x="209" s="1" nd="1"/>
        <i x="0" s="1" nd="1"/>
        <i x="106" s="1" nd="1"/>
        <i x="121" s="1" nd="1"/>
        <i x="190" s="1" nd="1"/>
        <i x="665" s="1" nd="1"/>
        <i x="19" s="1" nd="1"/>
        <i x="336" s="1" nd="1"/>
        <i x="33" s="1" nd="1"/>
        <i x="436" s="1" nd="1"/>
        <i x="139" s="1" nd="1"/>
        <i x="500" s="1" nd="1"/>
        <i x="557" s="1" nd="1"/>
        <i x="232" s="1" nd="1"/>
        <i x="579" s="1" nd="1"/>
        <i x="241" s="1" nd="1"/>
        <i x="311" s="1" nd="1"/>
        <i x="18" s="1" nd="1"/>
        <i x="96" s="1" nd="1"/>
        <i x="105" s="1" nd="1"/>
        <i x="461" s="1" nd="1"/>
        <i x="247" s="1" nd="1"/>
        <i x="274" s="1" nd="1"/>
        <i x="634" s="1" nd="1"/>
        <i x="301" s="1" nd="1"/>
        <i x="335" s="1" nd="1"/>
        <i x="44" s="1" nd="1"/>
        <i x="435" s="1" nd="1"/>
        <i x="152" s="1" nd="1"/>
        <i x="161" s="1" nd="1"/>
        <i x="499" s="1" nd="1"/>
        <i x="168" s="1" nd="1"/>
        <i x="544" s="1" nd="1"/>
        <i x="217" s="1" nd="1"/>
        <i x="565" s="1" nd="1"/>
        <i x="589" s="1" nd="1"/>
        <i x="260" s="1" nd="1"/>
        <i x="643" s="1" nd="1"/>
        <i x="353" s="1" nd="1"/>
        <i x="54" s="1" nd="1"/>
        <i x="95" s="1" nd="1"/>
        <i x="410" s="1" nd="1"/>
        <i x="434" s="1" nd="1"/>
        <i x="447" s="1" nd="1"/>
        <i x="508" s="1" nd="1"/>
        <i x="543" s="1" nd="1"/>
        <i x="633" s="1" nd="1"/>
        <i x="344" s="1" nd="1"/>
        <i x="68" s="1" nd="1"/>
        <i x="94" s="1" nd="1"/>
        <i x="424" s="1" nd="1"/>
        <i x="484" s="1" nd="1"/>
        <i x="5" s="1" nd="1"/>
        <i x="239" s="1" nd="1"/>
        <i x="258" s="1" nd="1"/>
        <i x="626" s="1" nd="1"/>
        <i x="654" s="1" nd="1"/>
        <i x="16" s="1" nd="1"/>
        <i x="25" s="1" nd="1"/>
        <i x="378" s="1" nd="1"/>
        <i x="402" s="1" nd="1"/>
        <i x="409" s="1" nd="1"/>
        <i x="446" s="1" nd="1"/>
        <i x="459" s="1" nd="1"/>
        <i x="467" s="1" nd="1"/>
        <i x="188" s="1" nd="1"/>
        <i x="542" s="1" nd="1"/>
        <i x="553" s="1" nd="1"/>
        <i x="256" s="1" nd="1"/>
        <i x="3" s="1" nd="1"/>
        <i x="423" s="1" nd="1"/>
        <i x="158" s="1" nd="1"/>
        <i x="199" s="1" nd="1"/>
        <i x="244" s="1" nd="1"/>
        <i x="309" s="1" nd="1"/>
        <i x="662" s="1" nd="1"/>
        <i x="93" s="1" nd="1"/>
        <i x="417" s="1" nd="1"/>
        <i x="157" s="1" nd="1"/>
        <i x="515" s="1" nd="1"/>
        <i x="186" s="1" nd="1"/>
        <i x="551" s="1" nd="1"/>
        <i x="216" s="1" nd="1"/>
        <i x="227" s="1" nd="1"/>
        <i x="622" s="1" nd="1"/>
        <i x="30" s="1" nd="1"/>
        <i x="390" s="1" nd="1"/>
        <i x="174" s="1" nd="1"/>
        <i x="205" s="1" nd="1"/>
        <i x="214" s="1" nd="1"/>
        <i x="576" s="1" nd="1"/>
        <i x="286" s="1" nd="1"/>
        <i x="298" s="1" nd="1"/>
        <i x="40" s="1" nd="1"/>
        <i x="389" s="1" nd="1"/>
        <i x="92" s="1" nd="1"/>
        <i x="407" s="1" nd="1"/>
        <i x="445" s="1" nd="1"/>
        <i x="128" s="1" nd="1"/>
        <i x="527" s="1" nd="1"/>
        <i x="575" s="1" nd="1"/>
        <i x="586" s="1" nd="1"/>
        <i x="285" s="1" nd="1"/>
        <i x="29" s="1" nd="1"/>
        <i x="362" s="1" nd="1"/>
        <i x="91" s="1" nd="1"/>
        <i x="432" s="1" nd="1"/>
        <i x="479" s="1" nd="1"/>
        <i x="198" s="1" nd="1"/>
        <i x="574" s="1" nd="1"/>
        <i x="350" s="1" nd="1"/>
        <i x="558" s="1" nd="1"/>
        <i x="388" s="1" nd="1"/>
        <i x="401" s="1" nd="1"/>
        <i x="581" s="1" nd="1"/>
        <i x="602" s="1" nd="1"/>
        <i x="262" s="1" nd="1"/>
        <i x="277" s="1" nd="1"/>
        <i x="444" s="1" nd="1"/>
        <i x="649" s="1" nd="1"/>
        <i x="303" s="1" nd="1"/>
        <i x="313" s="1" nd="1"/>
        <i x="156" s="1" nd="1"/>
        <i x="20" s="1" nd="1"/>
        <i x="337" s="1" nd="1"/>
        <i x="356" s="1" nd="1"/>
        <i x="539" s="1" nd="1"/>
        <i x="550" s="1" nd="1"/>
        <i x="78" s="1" nd="1"/>
        <i x="396" s="1" nd="1"/>
        <i x="115" s="1" nd="1"/>
        <i x="270" s="1" nd="1"/>
        <i x="639" s="1" nd="1"/>
        <i x="465" s="1" nd="1"/>
        <i x="660" s="1" nd="1"/>
        <i x="318" s="1" nd="1"/>
        <i x="191" s="1" nd="1"/>
        <i x="65" s="1" nd="1"/>
        <i x="566" s="1" nd="1"/>
        <i x="400" s="1" nd="1"/>
        <i x="601" s="1" nd="1"/>
        <i x="289" s="1" nd="1"/>
        <i x="443" s="1" nd="1"/>
        <i x="648" s="1" nd="1"/>
        <i x="146" s="1" nd="1"/>
        <i x="345" s="1" nd="1"/>
        <i x="196" s="1" nd="1"/>
        <i x="355" s="1" nd="1"/>
        <i x="56" s="1" nd="1"/>
        <i x="395" s="1" nd="1"/>
        <i x="6" s="1" nd="1"/>
        <i x="405" s="1" nd="1"/>
        <i x="254" s="1" nd="1"/>
        <i x="418" s="1" nd="1"/>
        <i x="607" s="1" nd="1"/>
        <i x="638" s="1" nd="1"/>
        <i x="464" s="1" nd="1"/>
        <i x="652" s="1" nd="1"/>
        <i x="502" s="1" nd="1"/>
        <i x="361" s="1" nd="1"/>
        <i x="210" s="1" nd="1"/>
        <i x="373" s="1" nd="1"/>
        <i x="219" s="1" nd="1"/>
        <i x="102" s="1" nd="1"/>
        <i x="599" s="1" nd="1"/>
        <i x="614" s="1" nd="1"/>
        <i x="133" s="1" nd="1"/>
        <i x="145" s="1" nd="1"/>
        <i x="478" s="1" nd="1"/>
        <i x="35" s="1" nd="1"/>
        <i x="381" s="1" nd="1"/>
        <i x="561" s="1" nd="1"/>
        <i x="226" s="1" nd="1"/>
        <i x="411" s="1" nd="1"/>
        <i x="253" s="1" nd="1"/>
        <i x="631" s="1" nd="1"/>
        <i x="292" s="1" nd="1"/>
        <i x="637" s="1" nd="1"/>
        <i x="651" s="1" nd="1"/>
        <i x="329" s="1" nd="1"/>
        <i x="28" s="1" nd="1"/>
        <i x="360" s="1" nd="1"/>
        <i x="233" s="1" nd="1"/>
        <i x="580" s="1" nd="1"/>
        <i x="90" s="1" nd="1"/>
        <i x="590" s="1" nd="1"/>
        <i x="416" s="1" nd="1"/>
        <i x="287" s="1" nd="1"/>
        <i x="1" s="1" nd="1"/>
        <i x="322" s="1" nd="1"/>
        <i x="495" s="1" nd="1"/>
        <i x="182" s="1" nd="1"/>
        <i x="525" s="1" nd="1"/>
        <i x="47" s="1" nd="1"/>
        <i x="55" s="1" nd="1"/>
        <i x="560" s="1" nd="1"/>
        <i x="585" s="1" nd="1"/>
        <i x="107" s="1" nd="1"/>
        <i x="252" s="1" nd="1"/>
        <i x="269" s="1" nd="1"/>
        <i x="630" s="1" nd="1"/>
        <i x="450" s="1" nd="1"/>
        <i x="463" s="1" nd="1"/>
        <i x="469" s="1" nd="1"/>
        <i x="51" s="1" nd="1"/>
        <i x="201" s="1" nd="1"/>
        <i x="359" s="1" nd="1"/>
        <i x="63" s="1" nd="1"/>
        <i x="372" s="1" nd="1"/>
        <i x="399" s="1" nd="1"/>
        <i x="598" s="1" nd="1"/>
        <i x="261" s="1" nd="1"/>
        <i x="422" s="1" nd="1"/>
        <i x="613" s="1" nd="1"/>
        <i x="431" s="1" nd="1"/>
        <i x="627" s="1" nd="1"/>
        <i x="126" s="1" nd="1"/>
        <i x="466" s="1" nd="1"/>
        <i x="312" s="1" nd="1"/>
        <i x="666" s="1" nd="1"/>
        <i x="321" s="1" nd="1"/>
        <i x="166" s="1" nd="1"/>
        <i x="26" s="1" nd="1"/>
        <i x="173" s="1" nd="1"/>
        <i x="34" s="1" nd="1"/>
        <i x="181" s="1" nd="1"/>
        <i x="195" s="1" nd="1"/>
        <i x="225" s="1" nd="1"/>
        <i x="394" s="1" nd="1"/>
        <i x="572" s="1" nd="1"/>
        <i x="242" s="1" nd="1"/>
        <i x="619" s="1" nd="1"/>
        <i x="120" s="1" nd="1"/>
        <i x="283" s="1" nd="1"/>
        <i x="297" s="1" nd="1"/>
        <i x="462" s="1" nd="1"/>
        <i x="307" s="1" nd="1"/>
        <i x="468" s="1" nd="1"/>
        <i x="669" s="1" nd="1"/>
        <i x="328" s="1" nd="1"/>
        <i x="341" s="1" nd="1"/>
        <i x="50" s="1" nd="1"/>
        <i x="76" s="1" nd="1"/>
        <i x="101" s="1" nd="1"/>
        <i x="597" s="1" nd="1"/>
        <i x="646" s="1" nd="1"/>
        <i x="656" s="1" nd="1"/>
        <i x="477" s="1" nd="1"/>
        <i x="14" s="1" nd="1"/>
        <i x="494" s="1" nd="1"/>
        <i x="46" s="1" nd="1"/>
        <i x="393" s="1" nd="1"/>
        <i x="83" s="1" nd="1"/>
        <i x="584" s="1" nd="1"/>
        <i x="606" s="1" nd="1"/>
        <i x="114" s="1" nd="1"/>
        <i x="268" s="1" nd="1"/>
        <i x="427" s="1" nd="1"/>
        <i x="290" s="1" nd="1"/>
        <i x="138" s="1" nd="1"/>
        <i x="306" s="1" nd="1"/>
        <i x="487" s="1" nd="1"/>
        <i x="162" s="1" nd="1"/>
        <i x="327" s="1" nd="1"/>
        <i x="509" s="1" nd="1"/>
        <i x="178" s="1" nd="1"/>
        <i x="517" s="1" nd="1"/>
        <i x="546" s="1" nd="1"/>
        <i x="62" s="1" nd="1"/>
        <i x="208" s="1" nd="1"/>
        <i x="556" s="1" nd="1"/>
        <i x="75" s="1" nd="1"/>
        <i x="387" s="1" nd="1"/>
        <i x="231" s="1" nd="1"/>
        <i x="248" s="1" nd="1"/>
        <i x="415" s="1" nd="1"/>
        <i x="596" s="1" nd="1"/>
        <i x="612" s="1" nd="1"/>
        <i x="302" s="1" nd="1"/>
        <i x="154" s="1" nd="1"/>
        <i x="493" s="1" nd="1"/>
        <i x="331" s="1" nd="1"/>
        <i x="512" s="1" nd="1"/>
        <i x="32" s="1" nd="1"/>
        <i x="523" s="1" nd="1"/>
        <i x="45" s="1" nd="1"/>
        <i x="354" s="1" nd="1"/>
        <i x="549" s="1" nd="1"/>
        <i x="223" s="1" nd="1"/>
        <i x="392" s="1" nd="1"/>
        <i x="571" s="1" nd="1"/>
        <i x="605" s="1" nd="1"/>
        <i x="113" s="1" nd="1"/>
        <i x="267" s="1" nd="1"/>
        <i x="426" s="1" nd="1"/>
        <i x="618" s="1" nd="1"/>
        <i x="118" s="1" nd="1"/>
        <i x="449" s="1" nd="1"/>
        <i x="130" s="1" nd="1"/>
        <i x="305" s="1" nd="1"/>
        <i x="668" s="1" nd="1"/>
        <i x="169" s="1" nd="1"/>
        <i x="177" s="1" nd="1"/>
        <i x="200" s="1" nd="1"/>
        <i x="545" s="1" nd="1"/>
        <i x="11" s="1" nd="1"/>
        <i x="2" s="1" nd="1"/>
        <i x="240" s="1" nd="1"/>
        <i x="100" s="1" nd="1"/>
        <i x="245" s="1" nd="1"/>
        <i x="414" s="1" nd="1"/>
        <i x="595" s="1" nd="1"/>
        <i x="441" s="1" nd="1"/>
        <i x="644" s="1" nd="1"/>
        <i x="475" s="1" nd="1"/>
        <i x="17" s="1" nd="1"/>
        <i x="165" s="1" nd="1"/>
        <i x="43" s="1" nd="1"/>
        <i x="204" s="1" nd="1"/>
        <i x="367" s="1" nd="1"/>
        <i x="380" s="1" nd="1"/>
        <i x="570" s="1" nd="1"/>
        <i x="236" s="1" nd="1"/>
        <i x="583" s="1" nd="1"/>
        <i x="251" s="1" nd="1"/>
        <i x="425" s="1" nd="1"/>
        <i x="281" s="1" nd="1"/>
        <i x="448" s="1" nd="1"/>
        <i x="296" s="1" nd="1"/>
        <i x="460" s="1" nd="1"/>
        <i x="151" s="1" nd="1"/>
        <i x="333" s="1" nd="1"/>
        <i x="176" s="1" nd="1"/>
        <i x="340" s="1" nd="1"/>
        <i x="516" s="1" nd="1"/>
        <i x="349" s="1" nd="1"/>
        <i x="49" s="1" nd="1"/>
        <i x="555" s="1" nd="1"/>
        <i x="386" s="1" nd="1"/>
        <i x="564" s="1" nd="1"/>
        <i x="80" s="1" nd="1"/>
        <i x="230" s="1" nd="1"/>
        <i x="109" s="1" nd="1"/>
        <i x="273" s="1" nd="1"/>
        <i x="125" s="1" nd="1"/>
        <i x="440" s="1" nd="1"/>
        <i x="454" s="1" nd="1"/>
        <i x="300" s="1" nd="1"/>
        <i x="655" s="1" nd="1"/>
        <i x="143" s="1" nd="1"/>
        <i x="310" s="1" nd="1"/>
        <i x="474" s="1" nd="1"/>
        <i x="172" s="1" nd="1"/>
        <i x="538" s="1" nd="1"/>
        <i x="53" s="1" nd="1"/>
        <i x="366" s="1" nd="1"/>
        <i x="221" s="1" nd="1"/>
        <i x="391" s="1" nd="1"/>
        <i x="82" s="1" nd="1"/>
        <i x="593" s="1" nd="1"/>
        <i x="112" s="1" nd="1"/>
        <i x="266" s="1" nd="1"/>
        <i x="433" s="1" nd="1"/>
        <i x="13" s="1" nd="1"/>
        <i x="295" s="1" nd="1"/>
        <i x="136" s="1" nd="1"/>
        <i x="485" s="1" nd="1"/>
        <i x="667" s="1" nd="1"/>
        <i x="175" s="1" nd="1"/>
        <i x="348" s="1" nd="1"/>
        <i x="207" s="1" nd="1"/>
        <i x="73" s="1" nd="1"/>
        <i x="578" s="1" nd="1"/>
        <i x="413" s="1" nd="1"/>
        <i x="259" s="1" nd="1"/>
        <i x="421" s="1" nd="1"/>
        <i x="124" s="1" nd="1"/>
        <i x="453" s="1" nd="1"/>
        <i x="642" s="1" nd="1"/>
        <i x="473" s="1" nd="1"/>
        <i x="664" s="1" nd="1"/>
        <i x="320" s="1" nd="1"/>
        <i x="492" s="1" nd="1"/>
        <i x="506" s="1" nd="1"/>
        <i x="343" s="1" nd="1"/>
        <i x="521" s="1" nd="1"/>
        <i x="192" s="1" nd="1"/>
        <i x="379" s="1" nd="1"/>
        <i x="104" s="1" nd="1"/>
        <i x="250" s="1" nd="1"/>
        <i x="604" s="1" nd="1"/>
        <i x="617" s="1" nd="1"/>
        <i x="117" s="1" nd="1"/>
        <i x="280" s="1" nd="1"/>
        <i x="150" s="1" nd="1"/>
        <i x="317" s="1" nd="1"/>
        <i x="482" s="1" nd="1"/>
        <i x="160" s="1" nd="1"/>
        <i x="498" s="1" nd="1"/>
        <i x="21" s="1" nd="1"/>
        <i x="189" s="1" nd="1"/>
        <i x="531" s="1" nd="1"/>
        <i x="48" s="1" nd="1"/>
        <i x="60" s="1" nd="1"/>
        <i x="206" s="1" nd="1"/>
        <i x="371" s="1" nd="1"/>
        <i x="554" s="1" nd="1"/>
        <i x="563" s="1" nd="1"/>
        <i x="588" s="1" nd="1"/>
        <i x="594" s="1" nd="1"/>
        <i x="257" s="1" nd="1"/>
        <i x="610" s="1" nd="1"/>
        <i x="632" s="1" nd="1"/>
        <i x="452" s="1" nd="1"/>
        <i x="132" s="1" nd="1"/>
        <i x="491" s="1" nd="1"/>
        <i x="505" s="1" nd="1"/>
        <i x="24" s="1" nd="1"/>
        <i x="171" s="1" nd="1"/>
        <i x="520" s="1" nd="1"/>
        <i x="41" s="1" nd="1"/>
        <i x="352" s="1" nd="1"/>
        <i x="365" s="1" nd="1"/>
        <i x="67" s="1" nd="1"/>
        <i x="103" s="1" nd="1"/>
        <i x="265" s="1" nd="1"/>
        <i x="635" s="1" nd="1"/>
        <i x="458" s="1" nd="1"/>
        <i x="149" s="1" nd="1"/>
        <i x="316" s="1" nd="1"/>
        <i x="159" s="1" nd="1"/>
        <i x="167" s="1" nd="1"/>
        <i x="507" s="1" nd="1"/>
        <i x="530" s="1" nd="1"/>
        <i x="541" s="1" nd="1"/>
        <i x="59" s="1" nd="1"/>
        <i x="370" s="1" nd="1"/>
        <i x="552" s="1" nd="1"/>
        <i x="71" s="1" nd="1"/>
        <i x="385" s="1" nd="1"/>
        <i x="562" s="1" nd="1"/>
        <i x="577" s="1" nd="1"/>
        <i x="238" s="1" nd="1"/>
        <i x="98" s="1" nd="1"/>
        <i x="609" s="1" nd="1"/>
        <i x="116" s="1" nd="1"/>
        <i x="272" s="1" nd="1"/>
        <i x="430" s="1" nd="1"/>
        <i x="624" s="1" nd="1"/>
        <i x="131" s="1" nd="1"/>
        <i x="299" s="1" nd="1"/>
        <i x="663" s="1" nd="1"/>
        <i x="319" s="1" nd="1"/>
        <i x="490" s="1" nd="1"/>
        <i x="4" s="1" nd="1"/>
        <i x="170" s="1" nd="1"/>
        <i x="31" s="1" nd="1"/>
        <i x="211" s="1" nd="1"/>
        <i x="376" s="1" nd="1"/>
        <i x="81" s="1" nd="1"/>
        <i x="408" s="1" nd="1"/>
        <i x="615" s="1" nd="1"/>
        <i x="629" s="1" nd="1"/>
        <i x="129" s="1" nd="1"/>
        <i x="326" s="1" nd="1"/>
        <i x="339" s="1" nd="1"/>
        <i x="38" s="1" nd="1"/>
        <i x="347" s="1" nd="1"/>
        <i x="529" s="1" nd="1"/>
        <i x="58" s="1" nd="1"/>
        <i x="228" s="1" nd="1"/>
        <i x="97" s="1" nd="1"/>
        <i x="412" s="1" nd="1"/>
        <i x="255" s="1" nd="1"/>
        <i x="608" s="1" nd="1"/>
        <i x="623" s="1" nd="1"/>
        <i x="451" s="1" nd="1"/>
        <i x="504" s="1" nd="1"/>
        <i x="536" s="1" nd="1"/>
        <i x="52" s="1" nd="1"/>
        <i x="66" s="1" nd="1"/>
        <i x="375" s="1" nd="1"/>
        <i x="603" s="1" nd="1"/>
        <i x="111" s="1" nd="1"/>
        <i x="264" s="1" nd="1"/>
        <i x="279" s="1" nd="1"/>
        <i x="135" s="1" nd="1"/>
        <i x="658" s="1" nd="1"/>
        <i x="148" s="1" nd="1"/>
        <i x="315" s="1" nd="1"/>
        <i x="481" s="1" nd="1"/>
        <i x="325" s="1" nd="1"/>
        <i x="27" s="1" nd="1"/>
        <i x="514" s="1" nd="1"/>
        <i x="215" s="1" nd="1"/>
        <i x="79" s="1" nd="1"/>
        <i x="88" s="1" nd="1"/>
        <i x="587" s="1" nd="1"/>
        <i x="429" s="1" nd="1"/>
        <i x="621" s="1" nd="1"/>
        <i x="308" s="1" nd="1"/>
        <i x="471" s="1" nd="1"/>
        <i x="163" s="1" nd="1"/>
        <i x="334" s="1" nd="1"/>
        <i x="511" s="1" nd="1"/>
        <i x="342" s="1" nd="1"/>
        <i x="364" s="1" nd="1"/>
        <i x="592" s="1" nd="1"/>
        <i x="263" s="1" nd="1"/>
        <i x="304" s="1" nd="1"/>
        <i x="480" s="1" nd="1"/>
        <i x="324" s="1" nd="1"/>
        <i x="338" s="1" nd="1"/>
        <i x="37" s="1" nd="1"/>
        <i x="185" s="1" nd="1"/>
        <i x="528" s="1" nd="1"/>
        <i x="70" s="1" nd="1"/>
        <i x="383" s="1" nd="1"/>
        <i x="10" s="1" nd="1"/>
        <i x="661" s="1" nd="1"/>
        <i x="15" s="1" nd="1"/>
        <i x="330" s="1" nd="1"/>
        <i x="23" s="1" nd="1"/>
        <i x="510" s="1" nd="1"/>
        <i x="518" s="1" nd="1"/>
        <i x="351" s="1" nd="1"/>
        <i x="534" s="1" nd="1"/>
        <i x="203" s="1" nd="1"/>
        <i x="363" s="1" nd="1"/>
        <i x="582" s="1" nd="1"/>
        <i x="8" s="1" nd="1"/>
        <i x="456" s="1" nd="1"/>
        <i x="650" s="1" nd="1"/>
        <i x="134" s="1" nd="1"/>
        <i x="147" s="1" nd="1"/>
        <i x="526" s="1" nd="1"/>
        <i x="420" s="1" nd="1"/>
        <i x="428" s="1" nd="1"/>
        <i x="123" s="1" nd="1"/>
        <i x="640" s="1" nd="1"/>
        <i x="470" s="1" nd="1"/>
        <i x="489"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2" s="1"/>
        <i x="3" s="1"/>
        <i x="0" s="1"/>
        <i x="1" s="1"/>
        <i x="9" s="1" nd="1"/>
        <i x="4" s="1" nd="1"/>
        <i x="5" s="1" nd="1"/>
        <i x="6" s="1" nd="1"/>
        <i x="7" s="1" nd="1"/>
        <i x="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538">
        <i x="6" s="1"/>
        <i x="71" s="1" nd="1"/>
        <i x="232" s="1" nd="1"/>
        <i x="536" s="1" nd="1"/>
        <i x="481" s="1" nd="1"/>
        <i x="309" s="1" nd="1"/>
        <i x="422" s="1" nd="1"/>
        <i x="115" s="1" nd="1"/>
        <i x="104" s="1" nd="1"/>
        <i x="149" s="1" nd="1"/>
        <i x="165" s="1" nd="1"/>
        <i x="184" s="1" nd="1"/>
        <i x="262" s="1" nd="1"/>
        <i x="228" s="1" nd="1"/>
        <i x="417" s="1" nd="1"/>
        <i x="146" s="1" nd="1"/>
        <i x="212" s="1" nd="1"/>
        <i x="63" s="1" nd="1"/>
        <i x="408" s="1" nd="1"/>
        <i x="83" s="1" nd="1"/>
        <i x="284" s="1" nd="1"/>
        <i x="482" s="1" nd="1"/>
        <i x="98" s="1" nd="1"/>
        <i x="502" s="1" nd="1"/>
        <i x="474" s="1" nd="1"/>
        <i x="166" s="1" nd="1"/>
        <i x="430" s="1" nd="1"/>
        <i x="491" s="1" nd="1"/>
        <i x="18" s="1" nd="1"/>
        <i x="274" s="1" nd="1"/>
        <i x="158" s="1" nd="1"/>
        <i x="245" s="1" nd="1"/>
        <i x="344" s="1" nd="1"/>
        <i x="102" s="1" nd="1"/>
        <i x="107" s="1" nd="1"/>
        <i x="227" s="1" nd="1"/>
        <i x="196" s="1" nd="1"/>
        <i x="255" s="1" nd="1"/>
        <i x="5" s="1" nd="1"/>
        <i x="3" s="1" nd="1"/>
        <i x="253" s="1" nd="1"/>
        <i x="312" s="1" nd="1"/>
        <i x="296" s="1" nd="1"/>
        <i x="192" s="1" nd="1"/>
        <i x="280" s="1" nd="1"/>
        <i x="9" s="1" nd="1"/>
        <i x="461" s="1" nd="1"/>
        <i x="8" s="1" nd="1"/>
        <i x="278" s="1" nd="1"/>
        <i x="133" s="1" nd="1"/>
        <i x="276" s="1" nd="1"/>
        <i x="116" s="1" nd="1"/>
        <i x="272" s="1" nd="1"/>
        <i x="440" s="1" nd="1"/>
        <i x="338" s="1" nd="1"/>
        <i x="483" s="1" nd="1"/>
        <i x="402" s="1" nd="1"/>
        <i x="295" s="1" nd="1"/>
        <i x="234" s="1" nd="1"/>
        <i x="88" s="1" nd="1"/>
        <i x="238" s="1" nd="1"/>
        <i x="289" s="1" nd="1"/>
        <i x="476" s="1" nd="1"/>
        <i x="458" s="1" nd="1"/>
        <i x="438" s="1" nd="1"/>
        <i x="140" s="1" nd="1"/>
        <i x="225" s="1" nd="1"/>
        <i x="318" s="1" nd="1"/>
        <i x="226" s="1" nd="1"/>
        <i x="60" s="1" nd="1"/>
        <i x="535" s="1" nd="1"/>
        <i x="390" s="1" nd="1"/>
        <i x="169" s="1" nd="1"/>
        <i x="493" s="1" nd="1"/>
        <i x="7" s="1" nd="1"/>
        <i x="72" s="1" nd="1"/>
        <i x="462" s="1" nd="1"/>
        <i x="0" s="1" nd="1"/>
        <i x="431" s="1" nd="1"/>
        <i x="168" s="1" nd="1"/>
        <i x="297" s="1" nd="1"/>
        <i x="113" s="1" nd="1"/>
        <i x="273" s="1" nd="1"/>
        <i x="148" s="1" nd="1"/>
        <i x="125" s="1" nd="1"/>
        <i x="454" s="1" nd="1"/>
        <i x="445" s="1" nd="1"/>
        <i x="229" s="1" nd="1"/>
        <i x="250" s="1" nd="1"/>
        <i x="509" s="1" nd="1"/>
        <i x="117" s="1" nd="1"/>
        <i x="132" s="1" nd="1"/>
        <i x="68" s="1" nd="1"/>
        <i x="421" s="1" nd="1"/>
        <i x="485" s="1" nd="1"/>
        <i x="195" s="1" nd="1"/>
        <i x="182" s="1" nd="1"/>
        <i x="268" s="1" nd="1"/>
        <i x="537" s="1" nd="1"/>
        <i x="514" s="1" nd="1"/>
        <i x="271" s="1" nd="1"/>
        <i x="46" s="1" nd="1"/>
        <i x="135" s="1" nd="1"/>
        <i x="205" s="1" nd="1"/>
        <i x="240" s="1" nd="1"/>
        <i x="366" s="1" nd="1"/>
        <i x="425" s="1" nd="1"/>
        <i x="413" s="1" nd="1"/>
        <i x="303" s="1" nd="1"/>
        <i x="490" s="1" nd="1"/>
        <i x="48" s="1" nd="1"/>
        <i x="498" s="1" nd="1"/>
        <i x="4" s="1" nd="1"/>
        <i x="256" s="1" nd="1"/>
        <i x="264" s="1" nd="1"/>
        <i x="208" s="1" nd="1"/>
        <i x="349" s="1" nd="1"/>
        <i x="341" s="1" nd="1"/>
        <i x="324" s="1" nd="1"/>
        <i x="39" s="1" nd="1"/>
        <i x="469" s="1" nd="1"/>
        <i x="488" s="1" nd="1"/>
        <i x="197" s="1" nd="1"/>
        <i x="345" s="1" nd="1"/>
        <i x="391" s="1" nd="1"/>
        <i x="93" s="1" nd="1"/>
        <i x="76" s="1" nd="1"/>
        <i x="26" s="1" nd="1"/>
        <i x="528" s="1" nd="1"/>
        <i x="54" s="1" nd="1"/>
        <i x="407" s="1" nd="1"/>
        <i x="519" s="1" nd="1"/>
        <i x="81" s="1" nd="1"/>
        <i x="368" s="1" nd="1"/>
        <i x="32" s="1" nd="1"/>
        <i x="183" s="1" nd="1"/>
        <i x="12" s="1" nd="1"/>
        <i x="58" s="1" nd="1"/>
        <i x="194" s="1" nd="1"/>
        <i x="251" s="1" nd="1"/>
        <i x="310" s="1" nd="1"/>
        <i x="371" s="1" nd="1"/>
        <i x="50" s="1" nd="1"/>
        <i x="209" s="1" nd="1"/>
        <i x="410" s="1" nd="1"/>
        <i x="49" s="1" nd="1"/>
        <i x="363" s="1" nd="1"/>
        <i x="67" s="1" nd="1"/>
        <i x="210" s="1" nd="1"/>
        <i x="269" s="1" nd="1"/>
        <i x="343" s="1" nd="1"/>
        <i x="465" s="1" nd="1"/>
        <i x="475" s="1" nd="1"/>
        <i x="293" s="1" nd="1"/>
        <i x="175" s="1" nd="1"/>
        <i x="392" s="1" nd="1"/>
        <i x="28" s="1" nd="1"/>
        <i x="190" s="1" nd="1"/>
        <i x="441" s="1" nd="1"/>
        <i x="66" s="1" nd="1"/>
        <i x="335" s="1" nd="1"/>
        <i x="420" s="1" nd="1"/>
        <i x="423" s="1" nd="1"/>
        <i x="494" s="1" nd="1"/>
        <i x="243" s="1" nd="1"/>
        <i x="77" s="1" nd="1"/>
        <i x="428" s="1" nd="1"/>
        <i x="10" s="1" nd="1"/>
        <i x="381" s="1" nd="1"/>
        <i x="377" s="1" nd="1"/>
        <i x="386" s="1" nd="1"/>
        <i x="101" s="1" nd="1"/>
        <i x="222" s="1" nd="1"/>
        <i x="330" s="1" nd="1"/>
        <i x="62" s="1" nd="1"/>
        <i x="91" s="1" nd="1"/>
        <i x="387" s="1" nd="1"/>
        <i x="484" s="1" nd="1"/>
        <i x="266" s="1" nd="1"/>
        <i x="249" s="1" nd="1"/>
        <i x="415" s="1" nd="1"/>
        <i x="263" s="1" nd="1"/>
        <i x="57" s="1" nd="1"/>
        <i x="118" s="1" nd="1"/>
        <i x="393" s="1" nd="1"/>
        <i x="127" s="1" nd="1"/>
        <i x="124" s="1" nd="1"/>
        <i x="442" s="1" nd="1"/>
        <i x="418" s="1" nd="1"/>
        <i x="473" s="1" nd="1"/>
        <i x="75" s="1" nd="1"/>
        <i x="328" s="1" nd="1"/>
        <i x="164" s="1" nd="1"/>
        <i x="206" s="1" nd="1"/>
        <i x="44" s="1" nd="1"/>
        <i x="298" s="1" nd="1"/>
        <i x="281" s="1" nd="1"/>
        <i x="406" s="1" nd="1"/>
        <i x="112" s="1" nd="1"/>
        <i x="30" s="1" nd="1"/>
        <i x="380" s="1" nd="1"/>
        <i x="161" s="1" nd="1"/>
        <i x="20" s="1" nd="1"/>
        <i x="139" s="1" nd="1"/>
        <i x="179" s="1" nd="1"/>
        <i x="448" s="1" nd="1"/>
        <i x="171" s="1" nd="1"/>
        <i x="207" s="1" nd="1"/>
        <i x="452" s="1" nd="1"/>
        <i x="329" s="1" nd="1"/>
        <i x="522" s="1" nd="1"/>
        <i x="84" s="1" nd="1"/>
        <i x="69" s="1" nd="1"/>
        <i x="287" s="1" nd="1"/>
        <i x="459" s="1" nd="1"/>
        <i x="82" s="1" nd="1"/>
        <i x="191" s="1" nd="1"/>
        <i x="16" s="1" nd="1"/>
        <i x="503" s="1" nd="1"/>
        <i x="511" s="1" nd="1"/>
        <i x="59" s="1" nd="1"/>
        <i x="383" s="1" nd="1"/>
        <i x="176" s="1" nd="1"/>
        <i x="19" s="1" nd="1"/>
        <i x="373" s="1" nd="1"/>
        <i x="74" s="1" nd="1"/>
        <i x="314" s="1" nd="1"/>
        <i x="323" s="1" nd="1"/>
        <i x="90" s="1" nd="1"/>
        <i x="342" s="1" nd="1"/>
        <i x="218" s="1" nd="1"/>
        <i x="515" s="1" nd="1"/>
        <i x="65" s="1" nd="1"/>
        <i x="96" s="1" nd="1"/>
        <i x="230" s="1" nd="1"/>
        <i x="516" s="1" nd="1"/>
        <i x="23" s="1" nd="1"/>
        <i x="472" s="1" nd="1"/>
        <i x="339" s="1" nd="1"/>
        <i x="351" s="1" nd="1"/>
        <i x="286" s="1" nd="1"/>
        <i x="53" s="1" nd="1"/>
        <i x="79" s="1" nd="1"/>
        <i x="242" s="1" nd="1"/>
        <i x="95" s="1" nd="1"/>
        <i x="501" s="1" nd="1"/>
        <i x="492" s="1" nd="1"/>
        <i x="121" s="1" nd="1"/>
        <i x="451" s="1" nd="1"/>
        <i x="105" s="1" nd="1"/>
        <i x="419" s="1" nd="1"/>
        <i x="36" s="1" nd="1"/>
        <i x="429" s="1" nd="1"/>
        <i x="119" s="1" nd="1"/>
        <i x="213" s="1" nd="1"/>
        <i x="21" s="1" nd="1"/>
        <i x="86" s="1" nd="1"/>
        <i x="497" s="1" nd="1"/>
        <i x="435" s="1" nd="1"/>
        <i x="307" s="1" nd="1"/>
        <i x="109" s="1" nd="1"/>
        <i x="486" s="1" nd="1"/>
        <i x="258" s="1" nd="1"/>
        <i x="524" s="1" nd="1"/>
        <i x="246" s="1" nd="1"/>
        <i x="376" s="1" nd="1"/>
        <i x="399" s="1" nd="1"/>
        <i x="304" s="1" nd="1"/>
        <i x="136" s="1" nd="1"/>
        <i x="499" s="1" nd="1"/>
        <i x="496" s="1" nd="1"/>
        <i x="394" s="1" nd="1"/>
        <i x="33" s="1" nd="1"/>
        <i x="290" s="1" nd="1"/>
        <i x="123" s="1" nd="1"/>
        <i x="506" s="1" nd="1"/>
        <i x="147" s="1" nd="1"/>
        <i x="24" s="1" nd="1"/>
        <i x="416" s="1" nd="1"/>
        <i x="504" s="1" nd="1"/>
        <i x="110" s="1" nd="1"/>
        <i x="512" s="1" nd="1"/>
        <i x="294" s="1" nd="1"/>
        <i x="156" s="1" nd="1"/>
        <i x="99" s="1" nd="1"/>
        <i x="513" s="1" nd="1"/>
        <i x="247" s="1" nd="1"/>
        <i x="379" s="1" nd="1"/>
        <i x="70" s="1" nd="1"/>
        <i x="241" s="1" nd="1"/>
        <i x="231" s="1" nd="1"/>
        <i x="437" s="1" nd="1"/>
        <i x="80" s="1" nd="1"/>
        <i x="279" s="1" nd="1"/>
        <i x="89" s="1" nd="1"/>
        <i x="401" s="1" nd="1"/>
        <i x="128" s="1" nd="1"/>
        <i x="31" s="1" nd="1"/>
        <i x="432" s="1" nd="1"/>
        <i x="450" s="1" nd="1"/>
        <i x="444" s="1" nd="1"/>
        <i x="340" s="1" nd="1"/>
        <i x="433" s="1" nd="1"/>
        <i x="385" s="1" nd="1"/>
        <i x="369" s="1" nd="1"/>
        <i x="55" s="1" nd="1"/>
        <i x="42" s="1" nd="1"/>
        <i x="434" s="1" nd="1"/>
        <i x="275" s="1" nd="1"/>
        <i x="311" s="1" nd="1"/>
        <i x="97" s="1" nd="1"/>
        <i x="43" s="1" nd="1"/>
        <i x="257" s="1" nd="1"/>
        <i x="518" s="1" nd="1"/>
        <i x="203" s="1" nd="1"/>
        <i x="478" s="1" nd="1"/>
        <i x="375" s="1" nd="1"/>
        <i x="198" s="1" nd="1"/>
        <i x="517" s="1" nd="1"/>
        <i x="495" s="1" nd="1"/>
        <i x="470" s="1" nd="1"/>
        <i x="398" s="1" nd="1"/>
        <i x="38" s="1" nd="1"/>
        <i x="510" s="1" nd="1"/>
        <i x="180" s="1" nd="1"/>
        <i x="267" s="1" nd="1"/>
        <i x="453" s="1" nd="1"/>
        <i x="126" s="1" nd="1"/>
        <i x="219" s="1" nd="1"/>
        <i x="254" s="1" nd="1"/>
        <i x="288" s="1" nd="1"/>
        <i x="360" s="1" nd="1"/>
        <i x="374" s="1" nd="1"/>
        <i x="439" s="1" nd="1"/>
        <i x="25" s="1" nd="1"/>
        <i x="359" s="1" nd="1"/>
        <i x="378" s="1" nd="1"/>
        <i x="321" s="1" nd="1"/>
        <i x="365" s="1" nd="1"/>
        <i x="456" s="1" nd="1"/>
        <i x="73" s="1" nd="1"/>
        <i x="395" s="1" nd="1"/>
        <i x="447" s="1" nd="1"/>
        <i x="252" s="1" nd="1"/>
        <i x="134" s="1" nd="1"/>
        <i x="334" s="1" nd="1"/>
        <i x="404" s="1" nd="1"/>
        <i x="154" s="1" nd="1"/>
        <i x="220" s="1" nd="1"/>
        <i x="236" s="1" nd="1"/>
        <i x="51" s="1" nd="1"/>
        <i x="216" s="1" nd="1"/>
        <i x="64" s="1" nd="1"/>
        <i x="384" s="1" nd="1"/>
        <i x="362" s="1" nd="1"/>
        <i x="400" s="1" nd="1"/>
        <i x="159" s="1" nd="1"/>
        <i x="489" s="1" nd="1"/>
        <i x="405" s="1" nd="1"/>
        <i x="352" s="1" nd="1"/>
        <i x="357" s="1" nd="1"/>
        <i x="460" s="1" nd="1"/>
        <i x="152" s="1" nd="1"/>
        <i x="221" s="1" nd="1"/>
        <i x="320" s="1" nd="1"/>
        <i x="137" s="1" nd="1"/>
        <i x="261" s="1" nd="1"/>
        <i x="41" s="1" nd="1"/>
        <i x="389" s="1" nd="1"/>
        <i x="411" s="1" nd="1"/>
        <i x="244" s="1" nd="1"/>
        <i x="455" s="1" nd="1"/>
        <i x="174" s="1" nd="1"/>
        <i x="526" s="1" nd="1"/>
        <i x="346" s="1" nd="1"/>
        <i x="111" s="1" nd="1"/>
        <i x="94" s="1" nd="1"/>
        <i x="523" s="1" nd="1"/>
        <i x="235" s="1" nd="1"/>
        <i x="248" s="1" nd="1"/>
        <i x="237" s="1" nd="1"/>
        <i x="224" s="1" nd="1"/>
        <i x="505" s="1" nd="1"/>
        <i x="529" s="1" nd="1"/>
        <i x="204" s="1" nd="1"/>
        <i x="531" s="1" nd="1"/>
        <i x="285" s="1" nd="1"/>
        <i x="291" s="1" nd="1"/>
        <i x="370" s="1" nd="1"/>
        <i x="34" s="1" nd="1"/>
        <i x="61" s="1" nd="1"/>
        <i x="322" s="1" nd="1"/>
        <i x="14" s="1" nd="1"/>
        <i x="45" s="1" nd="1"/>
        <i x="449" s="1" nd="1"/>
        <i x="214" s="1" nd="1"/>
        <i x="533" s="1" nd="1"/>
        <i x="56" s="1" nd="1"/>
        <i x="443" s="1" nd="1"/>
        <i x="396" s="1" nd="1"/>
        <i x="52" s="1" nd="1"/>
        <i x="319" s="1" nd="1"/>
        <i x="299" s="1" nd="1"/>
        <i x="163" s="1" nd="1"/>
        <i x="193" s="1" nd="1"/>
        <i x="527" s="1" nd="1"/>
        <i x="466" s="1" nd="1"/>
        <i x="120" s="1" nd="1"/>
        <i x="129" s="1" nd="1"/>
        <i x="414" s="1" nd="1"/>
        <i x="100" s="1" nd="1"/>
        <i x="403" s="1" nd="1"/>
        <i x="409" s="1" nd="1"/>
        <i x="35" s="1" nd="1"/>
        <i x="239" s="1" nd="1"/>
        <i x="332" s="1" nd="1"/>
        <i x="15" s="1" nd="1"/>
        <i x="189" s="1" nd="1"/>
        <i x="457" s="1" nd="1"/>
        <i x="92" s="1" nd="1"/>
        <i x="130" s="1" nd="1"/>
        <i x="520" s="1" nd="1"/>
        <i x="525" s="1" nd="1"/>
        <i x="223" s="1" nd="1"/>
        <i x="372" s="1" nd="1"/>
        <i x="167" s="1" nd="1"/>
        <i x="412" s="1" nd="1"/>
        <i x="103" s="1" nd="1"/>
        <i x="467" s="1" nd="1"/>
        <i x="424" s="1" nd="1"/>
        <i x="215" s="1" nd="1"/>
        <i x="131" s="1" nd="1"/>
        <i x="532" s="1" nd="1"/>
        <i x="270" s="1" nd="1"/>
        <i x="40" s="1" nd="1"/>
        <i x="13" s="1" nd="1"/>
        <i x="29" s="1" nd="1"/>
        <i x="138" s="1" nd="1"/>
        <i x="479" s="1" nd="1"/>
        <i x="534" s="1" nd="1"/>
        <i x="426" s="1" nd="1"/>
        <i x="446" s="1" nd="1"/>
        <i x="85" s="1" nd="1"/>
        <i x="530" s="1" nd="1"/>
        <i x="211" s="1" nd="1"/>
        <i x="22" s="1" nd="1"/>
        <i x="464" s="1" nd="1"/>
        <i x="388" s="1" nd="1"/>
        <i x="507" s="1" nd="1"/>
        <i x="217" s="1" nd="1"/>
        <i x="259" s="1" nd="1"/>
        <i x="142" s="1" nd="1"/>
        <i x="265" s="1" nd="1"/>
        <i x="480" s="1" nd="1"/>
        <i x="477" s="1" nd="1"/>
        <i x="436" s="1" nd="1"/>
        <i x="308" s="1" nd="1"/>
        <i x="170" s="1" nd="1"/>
        <i x="463" s="1" nd="1"/>
        <i x="37" s="1" nd="1"/>
        <i x="361" s="1" nd="1"/>
        <i x="333" s="1" nd="1"/>
        <i x="78" s="1" nd="1"/>
        <i x="233" s="1" nd="1"/>
        <i x="87" s="1" nd="1"/>
        <i x="47" s="1" nd="1"/>
        <i x="508" s="1" nd="1"/>
        <i x="277" s="1" nd="1"/>
        <i x="260" s="1" nd="1"/>
        <i x="500" s="1" nd="1"/>
        <i x="181" s="1" nd="1"/>
        <i x="11" s="1" nd="1"/>
        <i x="114" s="1" nd="1"/>
        <i x="487" s="1" nd="1"/>
        <i x="173" s="1" nd="1"/>
        <i x="471" s="1" nd="1"/>
        <i x="27" s="1" nd="1"/>
        <i x="521" s="1" nd="1"/>
        <i x="188" s="1" nd="1"/>
        <i x="283" s="1" nd="1"/>
        <i x="382" s="1" nd="1"/>
        <i x="427" s="1" nd="1"/>
        <i x="122" s="1" nd="1"/>
        <i x="108" s="1" nd="1"/>
        <i x="1" s="1" nd="1"/>
        <i x="2" s="1" nd="1"/>
        <i x="397" s="1" nd="1"/>
        <i x="106" s="1" nd="1"/>
        <i x="468" s="1" nd="1"/>
        <i x="17" s="1" nd="1"/>
        <i x="348" s="1" nd="1"/>
        <i x="313" s="1" nd="1"/>
        <i x="336" s="1" nd="1"/>
        <i x="325" s="1" nd="1"/>
        <i x="300" s="1" nd="1"/>
        <i x="326" s="1" nd="1"/>
        <i x="301" s="1" nd="1"/>
        <i x="350" s="1" nd="1"/>
        <i x="302" s="1" nd="1"/>
        <i x="327" s="1" nd="1"/>
        <i x="315" s="1" nd="1"/>
        <i x="353" s="1" nd="1"/>
        <i x="282" s="1" nd="1"/>
        <i x="354" s="1" nd="1"/>
        <i x="316" s="1" nd="1"/>
        <i x="364" s="1" nd="1"/>
        <i x="355" s="1" nd="1"/>
        <i x="292" s="1" nd="1"/>
        <i x="356" s="1" nd="1"/>
        <i x="317" s="1" nd="1"/>
        <i x="305" s="1" nd="1"/>
        <i x="306" s="1" nd="1"/>
        <i x="331" s="1" nd="1"/>
        <i x="358" s="1" nd="1"/>
        <i x="367" s="1" nd="1"/>
        <i x="347" s="1" nd="1"/>
        <i x="337" s="1" nd="1"/>
        <i x="185" s="1" nd="1"/>
        <i x="157" s="1" nd="1"/>
        <i x="150" s="1" nd="1"/>
        <i x="199" s="1" nd="1"/>
        <i x="186" s="1" nd="1"/>
        <i x="200" s="1" nd="1"/>
        <i x="177" s="1" nd="1"/>
        <i x="141" s="1" nd="1"/>
        <i x="201" s="1" nd="1"/>
        <i x="187" s="1" nd="1"/>
        <i x="160" s="1" nd="1"/>
        <i x="151" s="1" nd="1"/>
        <i x="143" s="1" nd="1"/>
        <i x="202" s="1" nd="1"/>
        <i x="178" s="1" nd="1"/>
        <i x="162" s="1" nd="1"/>
        <i x="144" s="1" nd="1"/>
        <i x="153" s="1" nd="1"/>
        <i x="145" s="1" nd="1"/>
        <i x="155" s="1" nd="1"/>
        <i x="17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670">
        <i x="9" s="1"/>
        <i x="486" s="1" nd="1"/>
        <i x="72" s="1" nd="1"/>
        <i x="212" s="1" nd="1"/>
        <i x="57" s="1" nd="1"/>
        <i x="535" s="1" nd="1"/>
        <i x="501" s="1" nd="1"/>
        <i x="77" s="1" nd="1"/>
        <i x="377" s="1" nd="1"/>
        <i x="271" s="1" nd="1"/>
        <i x="522" s="1" nd="1"/>
        <i x="358" s="1" nd="1"/>
        <i x="235" s="1" nd="1"/>
        <i x="398" s="1" nd="1"/>
        <i x="567" s="1" nd="1"/>
        <i x="419" s="1" nd="1"/>
        <i x="84" s="1" nd="1"/>
        <i x="275" s="1" nd="1"/>
        <i x="294" s="1" nd="1"/>
        <i x="547" s="1" nd="1"/>
        <i x="218" s="1" nd="1"/>
        <i x="645" s="1" nd="1"/>
        <i x="119" s="1" nd="1"/>
        <i x="246" s="1" nd="1"/>
        <i x="611" s="1" nd="1"/>
        <i x="137" s="1" nd="1"/>
        <i x="483" s="1" nd="1"/>
        <i x="625" s="1" nd="1"/>
        <i x="42" s="1" nd="1"/>
        <i x="187" s="1" nd="1"/>
        <i x="229" s="1" nd="1"/>
        <i x="497" s="1" nd="1"/>
        <i x="653" s="1" nd="1"/>
        <i x="374" s="1" nd="1"/>
        <i x="457" s="1" nd="1"/>
        <i x="620" s="1" nd="1"/>
        <i x="641" s="1" nd="1"/>
        <i x="184" s="1" nd="1"/>
        <i x="513" s="1" nd="1"/>
        <i x="540" s="1" nd="1"/>
        <i x="110" s="1" nd="1"/>
        <i x="183" s="1" nd="1"/>
        <i x="197" s="1" nd="1"/>
        <i x="243" s="1" nd="1"/>
        <i x="284" s="1" nd="1"/>
        <i x="293" s="1" nd="1"/>
        <i x="496" s="1" nd="1"/>
        <i x="573" s="1" nd="1"/>
        <i x="659" s="1" nd="1"/>
        <i x="22" s="1" nd="1"/>
        <i x="64" s="1" nd="1"/>
        <i x="144" s="1" nd="1"/>
        <i x="213" s="1" nd="1"/>
        <i x="237" s="1" nd="1"/>
        <i x="291" s="1" nd="1"/>
        <i x="442" s="1" nd="1"/>
        <i x="524" s="1" nd="1"/>
        <i x="89" s="1" nd="1"/>
        <i x="155" s="1" nd="1"/>
        <i x="224" s="1" nd="1"/>
        <i x="282" s="1" nd="1"/>
        <i x="455" s="1" nd="1"/>
        <i x="476" s="1" nd="1"/>
        <i x="7" s="1" nd="1"/>
        <i x="636" s="1" nd="1"/>
        <i x="39" s="1" nd="1"/>
        <i x="61" s="1" nd="1"/>
        <i x="180" s="1" nd="1"/>
        <i x="194" s="1" nd="1"/>
        <i x="222" s="1" nd="1"/>
        <i x="559" s="1" nd="1"/>
        <i x="569" s="1" nd="1"/>
        <i x="74" s="1" nd="1"/>
        <i x="99" s="1" nd="1"/>
        <i x="193" s="1" nd="1"/>
        <i x="220" s="1" nd="1"/>
        <i x="537" s="1" nd="1"/>
        <i x="616" s="1" nd="1"/>
        <i x="12" s="1" nd="1"/>
        <i x="153" s="1" nd="1"/>
        <i x="164" s="1" nd="1"/>
        <i x="179" s="1" nd="1"/>
        <i x="249" s="1" nd="1"/>
        <i x="384" s="1" nd="1"/>
        <i x="472" s="1" nd="1"/>
        <i x="519" s="1" nd="1"/>
        <i x="628" s="1" nd="1"/>
        <i x="142" s="1" nd="1"/>
        <i x="278" s="1" nd="1"/>
        <i x="314" s="1" nd="1"/>
        <i x="357" s="1" nd="1"/>
        <i x="503" s="1" nd="1"/>
        <i x="548" s="1" nd="1"/>
        <i x="568" s="1" nd="1"/>
        <i x="591" s="1" nd="1"/>
        <i x="87" s="1" nd="1"/>
        <i x="141" s="1" nd="1"/>
        <i x="323" s="1" nd="1"/>
        <i x="332" s="1" nd="1"/>
        <i x="397" s="1" nd="1"/>
        <i x="86" s="1" nd="1"/>
        <i x="406" s="1" nd="1"/>
        <i x="108" s="1" nd="1"/>
        <i x="439" s="1" nd="1"/>
        <i x="127" s="1" nd="1"/>
        <i x="276" s="1" nd="1"/>
        <i x="346" s="1" nd="1"/>
        <i x="369" s="1" nd="1"/>
        <i x="382" s="1" nd="1"/>
        <i x="122" s="1" nd="1"/>
        <i x="438" s="1" nd="1"/>
        <i x="234" s="1" nd="1"/>
        <i x="600" s="1" nd="1"/>
        <i x="647" s="1" nd="1"/>
        <i x="657" s="1" nd="1"/>
        <i x="36" s="1" nd="1"/>
        <i x="368" s="1" nd="1"/>
        <i x="85" s="1" nd="1"/>
        <i x="404" s="1" nd="1"/>
        <i x="140" s="1" nd="1"/>
        <i x="488" s="1" nd="1"/>
        <i x="533" s="1" nd="1"/>
        <i x="288" s="1" nd="1"/>
        <i x="69" s="1" nd="1"/>
        <i x="403" s="1" nd="1"/>
        <i x="437" s="1" nd="1"/>
        <i x="532" s="1" nd="1"/>
        <i x="202" s="1" nd="1"/>
        <i x="209" s="1" nd="1"/>
        <i x="0" s="1" nd="1"/>
        <i x="106" s="1" nd="1"/>
        <i x="121" s="1" nd="1"/>
        <i x="190" s="1" nd="1"/>
        <i x="665" s="1" nd="1"/>
        <i x="19" s="1" nd="1"/>
        <i x="336" s="1" nd="1"/>
        <i x="33" s="1" nd="1"/>
        <i x="436" s="1" nd="1"/>
        <i x="139" s="1" nd="1"/>
        <i x="500" s="1" nd="1"/>
        <i x="557" s="1" nd="1"/>
        <i x="232" s="1" nd="1"/>
        <i x="579" s="1" nd="1"/>
        <i x="241" s="1" nd="1"/>
        <i x="311" s="1" nd="1"/>
        <i x="18" s="1" nd="1"/>
        <i x="96" s="1" nd="1"/>
        <i x="105" s="1" nd="1"/>
        <i x="461" s="1" nd="1"/>
        <i x="247" s="1" nd="1"/>
        <i x="274" s="1" nd="1"/>
        <i x="634" s="1" nd="1"/>
        <i x="301" s="1" nd="1"/>
        <i x="335" s="1" nd="1"/>
        <i x="44" s="1" nd="1"/>
        <i x="435" s="1" nd="1"/>
        <i x="152" s="1" nd="1"/>
        <i x="161" s="1" nd="1"/>
        <i x="499" s="1" nd="1"/>
        <i x="168" s="1" nd="1"/>
        <i x="544" s="1" nd="1"/>
        <i x="217" s="1" nd="1"/>
        <i x="565" s="1" nd="1"/>
        <i x="589" s="1" nd="1"/>
        <i x="260" s="1" nd="1"/>
        <i x="643" s="1" nd="1"/>
        <i x="353" s="1" nd="1"/>
        <i x="54" s="1" nd="1"/>
        <i x="95" s="1" nd="1"/>
        <i x="410" s="1" nd="1"/>
        <i x="434" s="1" nd="1"/>
        <i x="447" s="1" nd="1"/>
        <i x="508" s="1" nd="1"/>
        <i x="543" s="1" nd="1"/>
        <i x="633" s="1" nd="1"/>
        <i x="344" s="1" nd="1"/>
        <i x="68" s="1" nd="1"/>
        <i x="94" s="1" nd="1"/>
        <i x="424" s="1" nd="1"/>
        <i x="484" s="1" nd="1"/>
        <i x="5" s="1" nd="1"/>
        <i x="239" s="1" nd="1"/>
        <i x="258" s="1" nd="1"/>
        <i x="626" s="1" nd="1"/>
        <i x="654" s="1" nd="1"/>
        <i x="16" s="1" nd="1"/>
        <i x="25" s="1" nd="1"/>
        <i x="378" s="1" nd="1"/>
        <i x="402" s="1" nd="1"/>
        <i x="409" s="1" nd="1"/>
        <i x="446" s="1" nd="1"/>
        <i x="459" s="1" nd="1"/>
        <i x="467" s="1" nd="1"/>
        <i x="188" s="1" nd="1"/>
        <i x="542" s="1" nd="1"/>
        <i x="553" s="1" nd="1"/>
        <i x="256" s="1" nd="1"/>
        <i x="3" s="1" nd="1"/>
        <i x="423" s="1" nd="1"/>
        <i x="158" s="1" nd="1"/>
        <i x="199" s="1" nd="1"/>
        <i x="244" s="1" nd="1"/>
        <i x="309" s="1" nd="1"/>
        <i x="662" s="1" nd="1"/>
        <i x="93" s="1" nd="1"/>
        <i x="417" s="1" nd="1"/>
        <i x="157" s="1" nd="1"/>
        <i x="515" s="1" nd="1"/>
        <i x="186" s="1" nd="1"/>
        <i x="551" s="1" nd="1"/>
        <i x="216" s="1" nd="1"/>
        <i x="227" s="1" nd="1"/>
        <i x="622" s="1" nd="1"/>
        <i x="30" s="1" nd="1"/>
        <i x="390" s="1" nd="1"/>
        <i x="174" s="1" nd="1"/>
        <i x="205" s="1" nd="1"/>
        <i x="214" s="1" nd="1"/>
        <i x="576" s="1" nd="1"/>
        <i x="286" s="1" nd="1"/>
        <i x="298" s="1" nd="1"/>
        <i x="40" s="1" nd="1"/>
        <i x="389" s="1" nd="1"/>
        <i x="92" s="1" nd="1"/>
        <i x="407" s="1" nd="1"/>
        <i x="445" s="1" nd="1"/>
        <i x="128" s="1" nd="1"/>
        <i x="527" s="1" nd="1"/>
        <i x="575" s="1" nd="1"/>
        <i x="586" s="1" nd="1"/>
        <i x="285" s="1" nd="1"/>
        <i x="29" s="1" nd="1"/>
        <i x="362" s="1" nd="1"/>
        <i x="91" s="1" nd="1"/>
        <i x="432" s="1" nd="1"/>
        <i x="479" s="1" nd="1"/>
        <i x="198" s="1" nd="1"/>
        <i x="574" s="1" nd="1"/>
        <i x="350" s="1" nd="1"/>
        <i x="558" s="1" nd="1"/>
        <i x="388" s="1" nd="1"/>
        <i x="401" s="1" nd="1"/>
        <i x="581" s="1" nd="1"/>
        <i x="602" s="1" nd="1"/>
        <i x="262" s="1" nd="1"/>
        <i x="277" s="1" nd="1"/>
        <i x="444" s="1" nd="1"/>
        <i x="649" s="1" nd="1"/>
        <i x="303" s="1" nd="1"/>
        <i x="313" s="1" nd="1"/>
        <i x="156" s="1" nd="1"/>
        <i x="20" s="1" nd="1"/>
        <i x="337" s="1" nd="1"/>
        <i x="356" s="1" nd="1"/>
        <i x="539" s="1" nd="1"/>
        <i x="550" s="1" nd="1"/>
        <i x="78" s="1" nd="1"/>
        <i x="396" s="1" nd="1"/>
        <i x="115" s="1" nd="1"/>
        <i x="270" s="1" nd="1"/>
        <i x="639" s="1" nd="1"/>
        <i x="465" s="1" nd="1"/>
        <i x="660" s="1" nd="1"/>
        <i x="318" s="1" nd="1"/>
        <i x="191" s="1" nd="1"/>
        <i x="65" s="1" nd="1"/>
        <i x="566" s="1" nd="1"/>
        <i x="400" s="1" nd="1"/>
        <i x="601" s="1" nd="1"/>
        <i x="289" s="1" nd="1"/>
        <i x="443" s="1" nd="1"/>
        <i x="648" s="1" nd="1"/>
        <i x="146" s="1" nd="1"/>
        <i x="345" s="1" nd="1"/>
        <i x="196" s="1" nd="1"/>
        <i x="355" s="1" nd="1"/>
        <i x="56" s="1" nd="1"/>
        <i x="395" s="1" nd="1"/>
        <i x="6" s="1" nd="1"/>
        <i x="405" s="1" nd="1"/>
        <i x="254" s="1" nd="1"/>
        <i x="418" s="1" nd="1"/>
        <i x="607" s="1" nd="1"/>
        <i x="638" s="1" nd="1"/>
        <i x="464" s="1" nd="1"/>
        <i x="652" s="1" nd="1"/>
        <i x="502" s="1" nd="1"/>
        <i x="361" s="1" nd="1"/>
        <i x="210" s="1" nd="1"/>
        <i x="373" s="1" nd="1"/>
        <i x="219" s="1" nd="1"/>
        <i x="102" s="1" nd="1"/>
        <i x="599" s="1" nd="1"/>
        <i x="614" s="1" nd="1"/>
        <i x="133" s="1" nd="1"/>
        <i x="145" s="1" nd="1"/>
        <i x="478" s="1" nd="1"/>
        <i x="35" s="1" nd="1"/>
        <i x="381" s="1" nd="1"/>
        <i x="561" s="1" nd="1"/>
        <i x="226" s="1" nd="1"/>
        <i x="411" s="1" nd="1"/>
        <i x="253" s="1" nd="1"/>
        <i x="631" s="1" nd="1"/>
        <i x="292" s="1" nd="1"/>
        <i x="637" s="1" nd="1"/>
        <i x="651" s="1" nd="1"/>
        <i x="329" s="1" nd="1"/>
        <i x="28" s="1" nd="1"/>
        <i x="360" s="1" nd="1"/>
        <i x="233" s="1" nd="1"/>
        <i x="580" s="1" nd="1"/>
        <i x="90" s="1" nd="1"/>
        <i x="590" s="1" nd="1"/>
        <i x="416" s="1" nd="1"/>
        <i x="287" s="1" nd="1"/>
        <i x="1" s="1" nd="1"/>
        <i x="322" s="1" nd="1"/>
        <i x="495" s="1" nd="1"/>
        <i x="182" s="1" nd="1"/>
        <i x="525" s="1" nd="1"/>
        <i x="47" s="1" nd="1"/>
        <i x="55" s="1" nd="1"/>
        <i x="560" s="1" nd="1"/>
        <i x="585" s="1" nd="1"/>
        <i x="107" s="1" nd="1"/>
        <i x="252" s="1" nd="1"/>
        <i x="269" s="1" nd="1"/>
        <i x="630" s="1" nd="1"/>
        <i x="450" s="1" nd="1"/>
        <i x="463" s="1" nd="1"/>
        <i x="469" s="1" nd="1"/>
        <i x="51" s="1" nd="1"/>
        <i x="201" s="1" nd="1"/>
        <i x="359" s="1" nd="1"/>
        <i x="63" s="1" nd="1"/>
        <i x="372" s="1" nd="1"/>
        <i x="399" s="1" nd="1"/>
        <i x="598" s="1" nd="1"/>
        <i x="261" s="1" nd="1"/>
        <i x="422" s="1" nd="1"/>
        <i x="613" s="1" nd="1"/>
        <i x="431" s="1" nd="1"/>
        <i x="627" s="1" nd="1"/>
        <i x="126" s="1" nd="1"/>
        <i x="466" s="1" nd="1"/>
        <i x="312" s="1" nd="1"/>
        <i x="666" s="1" nd="1"/>
        <i x="321" s="1" nd="1"/>
        <i x="166" s="1" nd="1"/>
        <i x="26" s="1" nd="1"/>
        <i x="173" s="1" nd="1"/>
        <i x="34" s="1" nd="1"/>
        <i x="181" s="1" nd="1"/>
        <i x="195" s="1" nd="1"/>
        <i x="225" s="1" nd="1"/>
        <i x="394" s="1" nd="1"/>
        <i x="572" s="1" nd="1"/>
        <i x="242" s="1" nd="1"/>
        <i x="619" s="1" nd="1"/>
        <i x="120" s="1" nd="1"/>
        <i x="283" s="1" nd="1"/>
        <i x="297" s="1" nd="1"/>
        <i x="462" s="1" nd="1"/>
        <i x="307" s="1" nd="1"/>
        <i x="468" s="1" nd="1"/>
        <i x="669" s="1" nd="1"/>
        <i x="328" s="1" nd="1"/>
        <i x="341" s="1" nd="1"/>
        <i x="50" s="1" nd="1"/>
        <i x="76" s="1" nd="1"/>
        <i x="101" s="1" nd="1"/>
        <i x="597" s="1" nd="1"/>
        <i x="646" s="1" nd="1"/>
        <i x="656" s="1" nd="1"/>
        <i x="477" s="1" nd="1"/>
        <i x="14" s="1" nd="1"/>
        <i x="494" s="1" nd="1"/>
        <i x="46" s="1" nd="1"/>
        <i x="393" s="1" nd="1"/>
        <i x="83" s="1" nd="1"/>
        <i x="584" s="1" nd="1"/>
        <i x="606" s="1" nd="1"/>
        <i x="114" s="1" nd="1"/>
        <i x="268" s="1" nd="1"/>
        <i x="427" s="1" nd="1"/>
        <i x="290" s="1" nd="1"/>
        <i x="138" s="1" nd="1"/>
        <i x="306" s="1" nd="1"/>
        <i x="487" s="1" nd="1"/>
        <i x="162" s="1" nd="1"/>
        <i x="327" s="1" nd="1"/>
        <i x="509" s="1" nd="1"/>
        <i x="178" s="1" nd="1"/>
        <i x="517" s="1" nd="1"/>
        <i x="546" s="1" nd="1"/>
        <i x="62" s="1" nd="1"/>
        <i x="208" s="1" nd="1"/>
        <i x="556" s="1" nd="1"/>
        <i x="75" s="1" nd="1"/>
        <i x="387" s="1" nd="1"/>
        <i x="231" s="1" nd="1"/>
        <i x="248" s="1" nd="1"/>
        <i x="415" s="1" nd="1"/>
        <i x="596" s="1" nd="1"/>
        <i x="612" s="1" nd="1"/>
        <i x="302" s="1" nd="1"/>
        <i x="154" s="1" nd="1"/>
        <i x="493" s="1" nd="1"/>
        <i x="331" s="1" nd="1"/>
        <i x="512" s="1" nd="1"/>
        <i x="32" s="1" nd="1"/>
        <i x="523" s="1" nd="1"/>
        <i x="45" s="1" nd="1"/>
        <i x="354" s="1" nd="1"/>
        <i x="549" s="1" nd="1"/>
        <i x="223" s="1" nd="1"/>
        <i x="392" s="1" nd="1"/>
        <i x="571" s="1" nd="1"/>
        <i x="605" s="1" nd="1"/>
        <i x="113" s="1" nd="1"/>
        <i x="267" s="1" nd="1"/>
        <i x="426" s="1" nd="1"/>
        <i x="618" s="1" nd="1"/>
        <i x="118" s="1" nd="1"/>
        <i x="449" s="1" nd="1"/>
        <i x="130" s="1" nd="1"/>
        <i x="305" s="1" nd="1"/>
        <i x="668" s="1" nd="1"/>
        <i x="169" s="1" nd="1"/>
        <i x="177" s="1" nd="1"/>
        <i x="200" s="1" nd="1"/>
        <i x="545" s="1" nd="1"/>
        <i x="11" s="1" nd="1"/>
        <i x="2" s="1" nd="1"/>
        <i x="240" s="1" nd="1"/>
        <i x="100" s="1" nd="1"/>
        <i x="245" s="1" nd="1"/>
        <i x="414" s="1" nd="1"/>
        <i x="595" s="1" nd="1"/>
        <i x="441" s="1" nd="1"/>
        <i x="644" s="1" nd="1"/>
        <i x="475" s="1" nd="1"/>
        <i x="17" s="1" nd="1"/>
        <i x="165" s="1" nd="1"/>
        <i x="43" s="1" nd="1"/>
        <i x="204" s="1" nd="1"/>
        <i x="367" s="1" nd="1"/>
        <i x="380" s="1" nd="1"/>
        <i x="570" s="1" nd="1"/>
        <i x="236" s="1" nd="1"/>
        <i x="583" s="1" nd="1"/>
        <i x="251" s="1" nd="1"/>
        <i x="425" s="1" nd="1"/>
        <i x="281" s="1" nd="1"/>
        <i x="448" s="1" nd="1"/>
        <i x="296" s="1" nd="1"/>
        <i x="460" s="1" nd="1"/>
        <i x="151" s="1" nd="1"/>
        <i x="333" s="1" nd="1"/>
        <i x="176" s="1" nd="1"/>
        <i x="340" s="1" nd="1"/>
        <i x="516" s="1" nd="1"/>
        <i x="349" s="1" nd="1"/>
        <i x="49" s="1" nd="1"/>
        <i x="555" s="1" nd="1"/>
        <i x="386" s="1" nd="1"/>
        <i x="564" s="1" nd="1"/>
        <i x="80" s="1" nd="1"/>
        <i x="230" s="1" nd="1"/>
        <i x="109" s="1" nd="1"/>
        <i x="273" s="1" nd="1"/>
        <i x="125" s="1" nd="1"/>
        <i x="440" s="1" nd="1"/>
        <i x="454" s="1" nd="1"/>
        <i x="300" s="1" nd="1"/>
        <i x="655" s="1" nd="1"/>
        <i x="143" s="1" nd="1"/>
        <i x="310" s="1" nd="1"/>
        <i x="474" s="1" nd="1"/>
        <i x="172" s="1" nd="1"/>
        <i x="538" s="1" nd="1"/>
        <i x="53" s="1" nd="1"/>
        <i x="366" s="1" nd="1"/>
        <i x="221" s="1" nd="1"/>
        <i x="391" s="1" nd="1"/>
        <i x="82" s="1" nd="1"/>
        <i x="593" s="1" nd="1"/>
        <i x="112" s="1" nd="1"/>
        <i x="266" s="1" nd="1"/>
        <i x="433" s="1" nd="1"/>
        <i x="13" s="1" nd="1"/>
        <i x="295" s="1" nd="1"/>
        <i x="136" s="1" nd="1"/>
        <i x="485" s="1" nd="1"/>
        <i x="667" s="1" nd="1"/>
        <i x="175" s="1" nd="1"/>
        <i x="348" s="1" nd="1"/>
        <i x="207" s="1" nd="1"/>
        <i x="73" s="1" nd="1"/>
        <i x="578" s="1" nd="1"/>
        <i x="413" s="1" nd="1"/>
        <i x="259" s="1" nd="1"/>
        <i x="421" s="1" nd="1"/>
        <i x="124" s="1" nd="1"/>
        <i x="453" s="1" nd="1"/>
        <i x="642" s="1" nd="1"/>
        <i x="473" s="1" nd="1"/>
        <i x="664" s="1" nd="1"/>
        <i x="320" s="1" nd="1"/>
        <i x="492" s="1" nd="1"/>
        <i x="506" s="1" nd="1"/>
        <i x="343" s="1" nd="1"/>
        <i x="521" s="1" nd="1"/>
        <i x="192" s="1" nd="1"/>
        <i x="379" s="1" nd="1"/>
        <i x="104" s="1" nd="1"/>
        <i x="250" s="1" nd="1"/>
        <i x="604" s="1" nd="1"/>
        <i x="617" s="1" nd="1"/>
        <i x="117" s="1" nd="1"/>
        <i x="280" s="1" nd="1"/>
        <i x="150" s="1" nd="1"/>
        <i x="317" s="1" nd="1"/>
        <i x="482" s="1" nd="1"/>
        <i x="160" s="1" nd="1"/>
        <i x="498" s="1" nd="1"/>
        <i x="21" s="1" nd="1"/>
        <i x="189" s="1" nd="1"/>
        <i x="531" s="1" nd="1"/>
        <i x="48" s="1" nd="1"/>
        <i x="60" s="1" nd="1"/>
        <i x="206" s="1" nd="1"/>
        <i x="371" s="1" nd="1"/>
        <i x="554" s="1" nd="1"/>
        <i x="563" s="1" nd="1"/>
        <i x="588" s="1" nd="1"/>
        <i x="594" s="1" nd="1"/>
        <i x="257" s="1" nd="1"/>
        <i x="610" s="1" nd="1"/>
        <i x="632" s="1" nd="1"/>
        <i x="452" s="1" nd="1"/>
        <i x="132" s="1" nd="1"/>
        <i x="491" s="1" nd="1"/>
        <i x="505" s="1" nd="1"/>
        <i x="24" s="1" nd="1"/>
        <i x="171" s="1" nd="1"/>
        <i x="520" s="1" nd="1"/>
        <i x="41" s="1" nd="1"/>
        <i x="352" s="1" nd="1"/>
        <i x="365" s="1" nd="1"/>
        <i x="67" s="1" nd="1"/>
        <i x="103" s="1" nd="1"/>
        <i x="265" s="1" nd="1"/>
        <i x="635" s="1" nd="1"/>
        <i x="458" s="1" nd="1"/>
        <i x="149" s="1" nd="1"/>
        <i x="316" s="1" nd="1"/>
        <i x="159" s="1" nd="1"/>
        <i x="167" s="1" nd="1"/>
        <i x="507" s="1" nd="1"/>
        <i x="530" s="1" nd="1"/>
        <i x="541" s="1" nd="1"/>
        <i x="59" s="1" nd="1"/>
        <i x="370" s="1" nd="1"/>
        <i x="552" s="1" nd="1"/>
        <i x="71" s="1" nd="1"/>
        <i x="385" s="1" nd="1"/>
        <i x="562" s="1" nd="1"/>
        <i x="577" s="1" nd="1"/>
        <i x="238" s="1" nd="1"/>
        <i x="98" s="1" nd="1"/>
        <i x="609" s="1" nd="1"/>
        <i x="116" s="1" nd="1"/>
        <i x="272" s="1" nd="1"/>
        <i x="430" s="1" nd="1"/>
        <i x="624" s="1" nd="1"/>
        <i x="131" s="1" nd="1"/>
        <i x="299" s="1" nd="1"/>
        <i x="663" s="1" nd="1"/>
        <i x="319" s="1" nd="1"/>
        <i x="490" s="1" nd="1"/>
        <i x="4" s="1" nd="1"/>
        <i x="170" s="1" nd="1"/>
        <i x="31" s="1" nd="1"/>
        <i x="211" s="1" nd="1"/>
        <i x="376" s="1" nd="1"/>
        <i x="81" s="1" nd="1"/>
        <i x="408" s="1" nd="1"/>
        <i x="615" s="1" nd="1"/>
        <i x="629" s="1" nd="1"/>
        <i x="129" s="1" nd="1"/>
        <i x="326" s="1" nd="1"/>
        <i x="339" s="1" nd="1"/>
        <i x="38" s="1" nd="1"/>
        <i x="347" s="1" nd="1"/>
        <i x="529" s="1" nd="1"/>
        <i x="58" s="1" nd="1"/>
        <i x="228" s="1" nd="1"/>
        <i x="97" s="1" nd="1"/>
        <i x="412" s="1" nd="1"/>
        <i x="255" s="1" nd="1"/>
        <i x="608" s="1" nd="1"/>
        <i x="623" s="1" nd="1"/>
        <i x="451" s="1" nd="1"/>
        <i x="504" s="1" nd="1"/>
        <i x="536" s="1" nd="1"/>
        <i x="52" s="1" nd="1"/>
        <i x="66" s="1" nd="1"/>
        <i x="375" s="1" nd="1"/>
        <i x="603" s="1" nd="1"/>
        <i x="111" s="1" nd="1"/>
        <i x="264" s="1" nd="1"/>
        <i x="279" s="1" nd="1"/>
        <i x="135" s="1" nd="1"/>
        <i x="658" s="1" nd="1"/>
        <i x="148" s="1" nd="1"/>
        <i x="315" s="1" nd="1"/>
        <i x="481" s="1" nd="1"/>
        <i x="325" s="1" nd="1"/>
        <i x="27" s="1" nd="1"/>
        <i x="514" s="1" nd="1"/>
        <i x="215" s="1" nd="1"/>
        <i x="79" s="1" nd="1"/>
        <i x="88" s="1" nd="1"/>
        <i x="587" s="1" nd="1"/>
        <i x="429" s="1" nd="1"/>
        <i x="621" s="1" nd="1"/>
        <i x="308" s="1" nd="1"/>
        <i x="471" s="1" nd="1"/>
        <i x="163" s="1" nd="1"/>
        <i x="334" s="1" nd="1"/>
        <i x="511" s="1" nd="1"/>
        <i x="342" s="1" nd="1"/>
        <i x="364" s="1" nd="1"/>
        <i x="592" s="1" nd="1"/>
        <i x="263" s="1" nd="1"/>
        <i x="304" s="1" nd="1"/>
        <i x="480" s="1" nd="1"/>
        <i x="324" s="1" nd="1"/>
        <i x="338" s="1" nd="1"/>
        <i x="37" s="1" nd="1"/>
        <i x="185" s="1" nd="1"/>
        <i x="528" s="1" nd="1"/>
        <i x="70" s="1" nd="1"/>
        <i x="383" s="1" nd="1"/>
        <i x="10" s="1" nd="1"/>
        <i x="661" s="1" nd="1"/>
        <i x="15" s="1" nd="1"/>
        <i x="330" s="1" nd="1"/>
        <i x="23" s="1" nd="1"/>
        <i x="510" s="1" nd="1"/>
        <i x="518" s="1" nd="1"/>
        <i x="351" s="1" nd="1"/>
        <i x="534" s="1" nd="1"/>
        <i x="203" s="1" nd="1"/>
        <i x="363" s="1" nd="1"/>
        <i x="582" s="1" nd="1"/>
        <i x="8" s="1" nd="1"/>
        <i x="456" s="1" nd="1"/>
        <i x="650" s="1" nd="1"/>
        <i x="134" s="1" nd="1"/>
        <i x="147" s="1" nd="1"/>
        <i x="526" s="1" nd="1"/>
        <i x="420" s="1" nd="1"/>
        <i x="428" s="1" nd="1"/>
        <i x="123" s="1" nd="1"/>
        <i x="640" s="1" nd="1"/>
        <i x="470" s="1" nd="1"/>
        <i x="489"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312">
        <i x="4" s="1"/>
        <i x="1" s="1"/>
        <i x="10" s="1"/>
        <i x="7" s="1"/>
        <i x="3" s="1"/>
        <i x="2" s="1"/>
        <i x="11" s="1"/>
        <i x="5" s="1"/>
        <i x="9" s="1"/>
        <i x="12" s="1"/>
        <i x="13" s="1"/>
        <i x="0" s="1"/>
        <i x="14" s="1"/>
        <i x="8" s="1"/>
        <i x="6" s="1"/>
        <i x="303" s="1" nd="1"/>
        <i x="272" s="1" nd="1"/>
        <i x="136" s="1" nd="1"/>
        <i x="42" s="1" nd="1"/>
        <i x="114" s="1" nd="1"/>
        <i x="279" s="1" nd="1"/>
        <i x="304" s="1" nd="1"/>
        <i x="26" s="1" nd="1"/>
        <i x="268" s="1" nd="1"/>
        <i x="88" s="1" nd="1"/>
        <i x="225" s="1" nd="1"/>
        <i x="141" s="1" nd="1"/>
        <i x="84" s="1" nd="1"/>
        <i x="299" s="1" nd="1"/>
        <i x="124" s="1" nd="1"/>
        <i x="31" s="1" nd="1"/>
        <i x="234" s="1" nd="1"/>
        <i x="115" s="1" nd="1"/>
        <i x="172" s="1" nd="1"/>
        <i x="226" s="1" nd="1"/>
        <i x="147" s="1" nd="1"/>
        <i x="93" s="1" nd="1"/>
        <i x="237" s="1" nd="1"/>
        <i x="273" s="1" nd="1"/>
        <i x="153" s="1" nd="1"/>
        <i x="195" s="1" nd="1"/>
        <i x="125" s="1" nd="1"/>
        <i x="235" s="1" nd="1"/>
        <i x="21" s="1" nd="1"/>
        <i x="67" s="1" nd="1"/>
        <i x="94" s="1" nd="1"/>
        <i x="264" s="1" nd="1"/>
        <i x="305" s="1" nd="1"/>
        <i x="101" s="1" nd="1"/>
        <i x="27" s="1" nd="1"/>
        <i x="296" s="1" nd="1"/>
        <i x="95" s="1" nd="1"/>
        <i x="148" s="1" nd="1"/>
        <i x="107" s="1" nd="1"/>
        <i x="160" s="1" nd="1"/>
        <i x="168" s="1" nd="1"/>
        <i x="79" s="1" nd="1"/>
        <i x="126" s="1" nd="1"/>
        <i x="48" s="1" nd="1"/>
        <i x="258" s="1" nd="1"/>
        <i x="64" s="1" nd="1"/>
        <i x="68" s="1" nd="1"/>
        <i x="242" s="1" nd="1"/>
        <i x="173" s="1" nd="1"/>
        <i x="116" s="1" nd="1"/>
        <i x="212" s="1" nd="1"/>
        <i x="306" s="1" nd="1"/>
        <i x="243" s="1" nd="1"/>
        <i x="174" s="1" nd="1"/>
        <i x="280" s="1" nd="1"/>
        <i x="214" s="1" nd="1"/>
        <i x="137" s="1" nd="1"/>
        <i x="85" s="1" nd="1"/>
        <i x="32" s="1" nd="1"/>
        <i x="46" s="1" nd="1"/>
        <i x="215" s="1" nd="1"/>
        <i x="161" s="1" nd="1"/>
        <i x="185" s="1" nd="1"/>
        <i x="108" s="1" nd="1"/>
        <i x="300" s="1" nd="1"/>
        <i x="162" s="1" nd="1"/>
        <i x="244" s="1" nd="1"/>
        <i x="247" s="1" nd="1"/>
        <i x="189" s="1" nd="1"/>
        <i x="142" s="1" nd="1"/>
        <i x="163" s="1" nd="1"/>
        <i x="154" s="1" nd="1"/>
        <i x="61" s="1" nd="1"/>
        <i x="307" s="1" nd="1"/>
        <i x="122" s="1" nd="1"/>
        <i x="190" s="1" nd="1"/>
        <i x="297" s="1" nd="1"/>
        <i x="28" s="1" nd="1"/>
        <i x="213" s="1" nd="1"/>
        <i x="23" s="1" nd="1"/>
        <i x="179" s="1" nd="1"/>
        <i x="308" s="1" nd="1"/>
        <i x="43" s="1" nd="1"/>
        <i x="155" s="1" nd="1"/>
        <i x="196" s="1" nd="1"/>
        <i x="24" s="1" nd="1"/>
        <i x="285" s="1" nd="1"/>
        <i x="149" s="1" nd="1"/>
        <i x="253" s="1" nd="1"/>
        <i x="127" s="1" nd="1"/>
        <i x="249" s="1" nd="1"/>
        <i x="238" s="1" nd="1"/>
        <i x="255" s="1" nd="1"/>
        <i x="164" s="1" nd="1"/>
        <i x="123" s="1" nd="1"/>
        <i x="256" s="1" nd="1"/>
        <i x="236" s="1" nd="1"/>
        <i x="80" s="1" nd="1"/>
        <i x="269" s="1" nd="1"/>
        <i x="287" s="1" nd="1"/>
        <i x="49" s="1" nd="1"/>
        <i x="201" s="1" nd="1"/>
        <i x="218" s="1" nd="1"/>
        <i x="230" s="1" nd="1"/>
        <i x="259" s="1" nd="1"/>
        <i x="281" s="1" nd="1"/>
        <i x="63" s="1" nd="1"/>
        <i x="265" s="1" nd="1"/>
        <i x="180" s="1" nd="1"/>
        <i x="309" s="1" nd="1"/>
        <i x="219" s="1" nd="1"/>
        <i x="274" s="1" nd="1"/>
        <i x="96" s="1" nd="1"/>
        <i x="69" s="1" nd="1"/>
        <i x="128" s="1" nd="1"/>
        <i x="44" s="1" nd="1"/>
        <i x="181" s="1" nd="1"/>
        <i x="260" s="1" nd="1"/>
        <i x="175" s="1" nd="1"/>
        <i x="81" s="1" nd="1"/>
        <i x="248" s="1" nd="1"/>
        <i x="130" s="1" nd="1"/>
        <i x="70" s="1" nd="1"/>
        <i x="165" s="1" nd="1"/>
        <i x="250" s="1" nd="1"/>
        <i x="131" s="1" nd="1"/>
        <i x="120" s="1" nd="1"/>
        <i x="288" s="1" nd="1"/>
        <i x="310" s="1" nd="1"/>
        <i x="15" s="1" nd="1"/>
        <i x="282" s="1" nd="1"/>
        <i x="117" s="1" nd="1"/>
        <i x="311" s="1" nd="1"/>
        <i x="220" s="1" nd="1"/>
        <i x="227" s="1" nd="1"/>
        <i x="231" s="1" nd="1"/>
        <i x="55" s="1" nd="1"/>
        <i x="261" s="1" nd="1"/>
        <i x="223" s="1" nd="1"/>
        <i x="89" s="1" nd="1"/>
        <i x="132" s="1" nd="1"/>
        <i x="239" s="1" nd="1"/>
        <i x="197" s="1" nd="1"/>
        <i x="71" s="1" nd="1"/>
        <i x="216" s="1" nd="1"/>
        <i x="109" s="1" nd="1"/>
        <i x="156" s="1" nd="1"/>
        <i x="138" s="1" nd="1"/>
        <i x="90" s="1" nd="1"/>
        <i x="36" s="1" nd="1"/>
        <i x="157" s="1" nd="1"/>
        <i x="198" s="1" nd="1"/>
        <i x="110" s="1" nd="1"/>
        <i x="262" s="1" nd="1"/>
        <i x="150" s="1" nd="1"/>
        <i x="133" s="1" nd="1"/>
        <i x="158" s="1" nd="1"/>
        <i x="102" s="1" nd="1"/>
        <i x="245" s="1" nd="1"/>
        <i x="166" s="1" nd="1"/>
        <i x="86" s="1" nd="1"/>
        <i x="56" s="1" nd="1"/>
        <i x="111" s="1" nd="1"/>
        <i x="16" s="1" nd="1"/>
        <i x="65" s="1" nd="1"/>
        <i x="47" s="1" nd="1"/>
        <i x="25" s="1" nd="1"/>
        <i x="221" s="1" nd="1"/>
        <i x="275" s="1" nd="1"/>
        <i x="50" s="1" nd="1"/>
        <i x="207" s="1" nd="1"/>
        <i x="151" s="1" nd="1"/>
        <i x="91" s="1" nd="1"/>
        <i x="59" s="1" nd="1"/>
        <i x="118" s="1" nd="1"/>
        <i x="72" s="1" nd="1"/>
        <i x="217" s="1" nd="1"/>
        <i x="270" s="1" nd="1"/>
        <i x="103" s="1" nd="1"/>
        <i x="57" s="1" nd="1"/>
        <i x="112" s="1" nd="1"/>
        <i x="208" s="1" nd="1"/>
        <i x="33" s="1" nd="1"/>
        <i x="224" s="1" nd="1"/>
        <i x="283" s="1" nd="1"/>
        <i x="191" s="1" nd="1"/>
        <i x="17" s="1" nd="1"/>
        <i x="251" s="1" nd="1"/>
        <i x="82" s="1" nd="1"/>
        <i x="74" s="1" nd="1"/>
        <i x="40" s="1" nd="1"/>
        <i x="34" s="1" nd="1"/>
        <i x="176" s="1" nd="1"/>
        <i x="134" s="1" nd="1"/>
        <i x="135" s="1" nd="1"/>
        <i x="73" s="1" nd="1"/>
        <i x="139" s="1" nd="1"/>
        <i x="38" s="1" nd="1"/>
        <i x="289" s="1" nd="1"/>
        <i x="292" s="1" nd="1"/>
        <i x="186" s="1" nd="1"/>
        <i x="45" s="1" nd="1"/>
        <i x="58" s="1" nd="1"/>
        <i x="240" s="1" nd="1"/>
        <i x="97" s="1" nd="1"/>
        <i x="51" s="1" nd="1"/>
        <i x="182" s="1" nd="1"/>
        <i x="246" s="1" nd="1"/>
        <i x="202" s="1" nd="1"/>
        <i x="75" s="1" nd="1"/>
        <i x="293" s="1" nd="1"/>
        <i x="18" s="1" nd="1"/>
        <i x="192" s="1" nd="1"/>
        <i x="98" s="1" nd="1"/>
        <i x="290" s="1" nd="1"/>
        <i x="203" s="1" nd="1"/>
        <i x="29" s="1" nd="1"/>
        <i x="276" s="1" nd="1"/>
        <i x="41" s="1" nd="1"/>
        <i x="87" s="1" nd="1"/>
        <i x="169" s="1" nd="1"/>
        <i x="129" s="1" nd="1"/>
        <i x="209" s="1" nd="1"/>
        <i x="263" s="1" nd="1"/>
        <i x="177" s="1" nd="1"/>
        <i x="193" s="1" nd="1"/>
        <i x="99" s="1" nd="1"/>
        <i x="252" s="1" nd="1"/>
        <i x="199" s="1" nd="1"/>
        <i x="39" s="1" nd="1"/>
        <i x="104" s="1" nd="1"/>
        <i x="37" s="1" nd="1"/>
        <i x="83" s="1" nd="1"/>
        <i x="100" s="1" nd="1"/>
        <i x="119" s="1" nd="1"/>
        <i x="271" s="1" nd="1"/>
        <i x="52" s="1" nd="1"/>
        <i x="183" s="1" nd="1"/>
        <i x="204" s="1" nd="1"/>
        <i x="76" s="1" nd="1"/>
        <i x="222" s="1" nd="1"/>
        <i x="210" s="1" nd="1"/>
        <i x="159" s="1" nd="1"/>
        <i x="140" s="1" nd="1"/>
        <i x="167" s="1" nd="1"/>
        <i x="53" s="1" nd="1"/>
        <i x="105" s="1" nd="1"/>
        <i x="143" s="1" nd="1"/>
        <i x="277" s="1" nd="1"/>
        <i x="170" s="1" nd="1"/>
        <i x="22" s="1" nd="1"/>
        <i x="66" s="1" nd="1"/>
        <i x="241" s="1" nd="1"/>
        <i x="301" s="1" nd="1"/>
        <i x="121" s="1" nd="1"/>
        <i x="200" s="1" nd="1"/>
        <i x="228" s="1" nd="1"/>
        <i x="54" s="1" nd="1"/>
        <i x="144" s="1" nd="1"/>
        <i x="278" s="1" nd="1"/>
        <i x="171" s="1" nd="1"/>
        <i x="232" s="1" nd="1"/>
        <i x="187" s="1" nd="1"/>
        <i x="211" s="1" nd="1"/>
        <i x="60" s="1" nd="1"/>
        <i x="194" s="1" nd="1"/>
        <i x="205" s="1" nd="1"/>
        <i x="145" s="1" nd="1"/>
        <i x="294" s="1" nd="1"/>
        <i x="284" s="1" nd="1"/>
        <i x="206" s="1" nd="1"/>
        <i x="30" s="1" nd="1"/>
        <i x="233" s="1" nd="1"/>
        <i x="295" s="1" nd="1"/>
        <i x="106" s="1" nd="1"/>
        <i x="19" s="1" nd="1"/>
        <i x="298" s="1" nd="1"/>
        <i x="62" s="1" nd="1"/>
        <i x="229" s="1" nd="1"/>
        <i x="113" s="1" nd="1"/>
        <i x="35" s="1" nd="1"/>
        <i x="178" s="1" nd="1"/>
        <i x="266" s="1" nd="1"/>
        <i x="254" s="1" nd="1"/>
        <i x="286" s="1" nd="1"/>
        <i x="20" s="1" nd="1"/>
        <i x="92" s="1" nd="1"/>
        <i x="257" s="1" nd="1"/>
        <i x="77" s="1" nd="1"/>
        <i x="78" s="1" nd="1"/>
        <i x="152" s="1" nd="1"/>
        <i x="302" s="1" nd="1"/>
        <i x="291" s="1" nd="1"/>
        <i x="184" s="1" nd="1"/>
        <i x="146" s="1" nd="1"/>
        <i x="188" s="1" nd="1"/>
        <i x="267"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2" s="1"/>
        <i x="3" s="1"/>
        <i x="0" s="1"/>
        <i x="1" s="1"/>
        <i x="9" s="1" nd="1"/>
        <i x="4" s="1" nd="1"/>
        <i x="5" s="1" nd="1"/>
        <i x="6" s="1" nd="1"/>
        <i x="7" s="1" nd="1"/>
        <i x="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538">
        <i x="6" s="1"/>
        <i x="5" s="1"/>
        <i x="3" s="1"/>
        <i x="9" s="1"/>
        <i x="8" s="1"/>
        <i x="7" s="1"/>
        <i x="0" s="1"/>
        <i x="4" s="1"/>
        <i x="1" s="1"/>
        <i x="2" s="1"/>
        <i x="71" s="1" nd="1"/>
        <i x="232" s="1" nd="1"/>
        <i x="536" s="1" nd="1"/>
        <i x="481" s="1" nd="1"/>
        <i x="309" s="1" nd="1"/>
        <i x="422" s="1" nd="1"/>
        <i x="115" s="1" nd="1"/>
        <i x="104" s="1" nd="1"/>
        <i x="149" s="1" nd="1"/>
        <i x="165" s="1" nd="1"/>
        <i x="184" s="1" nd="1"/>
        <i x="262" s="1" nd="1"/>
        <i x="228" s="1" nd="1"/>
        <i x="417" s="1" nd="1"/>
        <i x="146" s="1" nd="1"/>
        <i x="212" s="1" nd="1"/>
        <i x="63" s="1" nd="1"/>
        <i x="408" s="1" nd="1"/>
        <i x="83" s="1" nd="1"/>
        <i x="284" s="1" nd="1"/>
        <i x="482" s="1" nd="1"/>
        <i x="98" s="1" nd="1"/>
        <i x="502" s="1" nd="1"/>
        <i x="474" s="1" nd="1"/>
        <i x="166" s="1" nd="1"/>
        <i x="430" s="1" nd="1"/>
        <i x="491" s="1" nd="1"/>
        <i x="18" s="1" nd="1"/>
        <i x="274" s="1" nd="1"/>
        <i x="158" s="1" nd="1"/>
        <i x="245" s="1" nd="1"/>
        <i x="344" s="1" nd="1"/>
        <i x="102" s="1" nd="1"/>
        <i x="107" s="1" nd="1"/>
        <i x="227" s="1" nd="1"/>
        <i x="196" s="1" nd="1"/>
        <i x="255" s="1" nd="1"/>
        <i x="253" s="1" nd="1"/>
        <i x="312" s="1" nd="1"/>
        <i x="296" s="1" nd="1"/>
        <i x="192" s="1" nd="1"/>
        <i x="280" s="1" nd="1"/>
        <i x="461" s="1" nd="1"/>
        <i x="278" s="1" nd="1"/>
        <i x="133" s="1" nd="1"/>
        <i x="276" s="1" nd="1"/>
        <i x="116" s="1" nd="1"/>
        <i x="272" s="1" nd="1"/>
        <i x="440" s="1" nd="1"/>
        <i x="338" s="1" nd="1"/>
        <i x="483" s="1" nd="1"/>
        <i x="402" s="1" nd="1"/>
        <i x="295" s="1" nd="1"/>
        <i x="234" s="1" nd="1"/>
        <i x="88" s="1" nd="1"/>
        <i x="238" s="1" nd="1"/>
        <i x="289" s="1" nd="1"/>
        <i x="476" s="1" nd="1"/>
        <i x="458" s="1" nd="1"/>
        <i x="438" s="1" nd="1"/>
        <i x="140" s="1" nd="1"/>
        <i x="225" s="1" nd="1"/>
        <i x="318" s="1" nd="1"/>
        <i x="226" s="1" nd="1"/>
        <i x="60" s="1" nd="1"/>
        <i x="535" s="1" nd="1"/>
        <i x="390" s="1" nd="1"/>
        <i x="169" s="1" nd="1"/>
        <i x="493" s="1" nd="1"/>
        <i x="72" s="1" nd="1"/>
        <i x="462" s="1" nd="1"/>
        <i x="431" s="1" nd="1"/>
        <i x="168" s="1" nd="1"/>
        <i x="297" s="1" nd="1"/>
        <i x="113" s="1" nd="1"/>
        <i x="273" s="1" nd="1"/>
        <i x="148" s="1" nd="1"/>
        <i x="125" s="1" nd="1"/>
        <i x="454" s="1" nd="1"/>
        <i x="445" s="1" nd="1"/>
        <i x="229" s="1" nd="1"/>
        <i x="250" s="1" nd="1"/>
        <i x="509" s="1" nd="1"/>
        <i x="117" s="1" nd="1"/>
        <i x="132" s="1" nd="1"/>
        <i x="68" s="1" nd="1"/>
        <i x="421" s="1" nd="1"/>
        <i x="485" s="1" nd="1"/>
        <i x="195" s="1" nd="1"/>
        <i x="182" s="1" nd="1"/>
        <i x="268" s="1" nd="1"/>
        <i x="537" s="1" nd="1"/>
        <i x="514" s="1" nd="1"/>
        <i x="271" s="1" nd="1"/>
        <i x="46" s="1" nd="1"/>
        <i x="135" s="1" nd="1"/>
        <i x="205" s="1" nd="1"/>
        <i x="240" s="1" nd="1"/>
        <i x="366" s="1" nd="1"/>
        <i x="425" s="1" nd="1"/>
        <i x="413" s="1" nd="1"/>
        <i x="303" s="1" nd="1"/>
        <i x="490" s="1" nd="1"/>
        <i x="48" s="1" nd="1"/>
        <i x="498" s="1" nd="1"/>
        <i x="256" s="1" nd="1"/>
        <i x="264" s="1" nd="1"/>
        <i x="208" s="1" nd="1"/>
        <i x="349" s="1" nd="1"/>
        <i x="341" s="1" nd="1"/>
        <i x="324" s="1" nd="1"/>
        <i x="39" s="1" nd="1"/>
        <i x="469" s="1" nd="1"/>
        <i x="488" s="1" nd="1"/>
        <i x="197" s="1" nd="1"/>
        <i x="345" s="1" nd="1"/>
        <i x="391" s="1" nd="1"/>
        <i x="93" s="1" nd="1"/>
        <i x="76" s="1" nd="1"/>
        <i x="26" s="1" nd="1"/>
        <i x="528" s="1" nd="1"/>
        <i x="54" s="1" nd="1"/>
        <i x="407" s="1" nd="1"/>
        <i x="519" s="1" nd="1"/>
        <i x="81" s="1" nd="1"/>
        <i x="368" s="1" nd="1"/>
        <i x="32" s="1" nd="1"/>
        <i x="183" s="1" nd="1"/>
        <i x="12" s="1" nd="1"/>
        <i x="58" s="1" nd="1"/>
        <i x="194" s="1" nd="1"/>
        <i x="251" s="1" nd="1"/>
        <i x="310" s="1" nd="1"/>
        <i x="371" s="1" nd="1"/>
        <i x="50" s="1" nd="1"/>
        <i x="209" s="1" nd="1"/>
        <i x="410" s="1" nd="1"/>
        <i x="49" s="1" nd="1"/>
        <i x="363" s="1" nd="1"/>
        <i x="67" s="1" nd="1"/>
        <i x="210" s="1" nd="1"/>
        <i x="269" s="1" nd="1"/>
        <i x="343" s="1" nd="1"/>
        <i x="465" s="1" nd="1"/>
        <i x="475" s="1" nd="1"/>
        <i x="293" s="1" nd="1"/>
        <i x="175" s="1" nd="1"/>
        <i x="392" s="1" nd="1"/>
        <i x="28" s="1" nd="1"/>
        <i x="190" s="1" nd="1"/>
        <i x="441" s="1" nd="1"/>
        <i x="66" s="1" nd="1"/>
        <i x="335" s="1" nd="1"/>
        <i x="420" s="1" nd="1"/>
        <i x="423" s="1" nd="1"/>
        <i x="494" s="1" nd="1"/>
        <i x="243" s="1" nd="1"/>
        <i x="77" s="1" nd="1"/>
        <i x="428" s="1" nd="1"/>
        <i x="10" s="1" nd="1"/>
        <i x="381" s="1" nd="1"/>
        <i x="377" s="1" nd="1"/>
        <i x="386" s="1" nd="1"/>
        <i x="101" s="1" nd="1"/>
        <i x="222" s="1" nd="1"/>
        <i x="330" s="1" nd="1"/>
        <i x="62" s="1" nd="1"/>
        <i x="91" s="1" nd="1"/>
        <i x="387" s="1" nd="1"/>
        <i x="484" s="1" nd="1"/>
        <i x="266" s="1" nd="1"/>
        <i x="249" s="1" nd="1"/>
        <i x="415" s="1" nd="1"/>
        <i x="263" s="1" nd="1"/>
        <i x="57" s="1" nd="1"/>
        <i x="118" s="1" nd="1"/>
        <i x="393" s="1" nd="1"/>
        <i x="127" s="1" nd="1"/>
        <i x="124" s="1" nd="1"/>
        <i x="442" s="1" nd="1"/>
        <i x="418" s="1" nd="1"/>
        <i x="473" s="1" nd="1"/>
        <i x="75" s="1" nd="1"/>
        <i x="328" s="1" nd="1"/>
        <i x="164" s="1" nd="1"/>
        <i x="206" s="1" nd="1"/>
        <i x="44" s="1" nd="1"/>
        <i x="298" s="1" nd="1"/>
        <i x="281" s="1" nd="1"/>
        <i x="406" s="1" nd="1"/>
        <i x="112" s="1" nd="1"/>
        <i x="30" s="1" nd="1"/>
        <i x="380" s="1" nd="1"/>
        <i x="161" s="1" nd="1"/>
        <i x="20" s="1" nd="1"/>
        <i x="139" s="1" nd="1"/>
        <i x="179" s="1" nd="1"/>
        <i x="448" s="1" nd="1"/>
        <i x="171" s="1" nd="1"/>
        <i x="207" s="1" nd="1"/>
        <i x="452" s="1" nd="1"/>
        <i x="329" s="1" nd="1"/>
        <i x="522" s="1" nd="1"/>
        <i x="84" s="1" nd="1"/>
        <i x="69" s="1" nd="1"/>
        <i x="287" s="1" nd="1"/>
        <i x="459" s="1" nd="1"/>
        <i x="82" s="1" nd="1"/>
        <i x="191" s="1" nd="1"/>
        <i x="16" s="1" nd="1"/>
        <i x="503" s="1" nd="1"/>
        <i x="511" s="1" nd="1"/>
        <i x="59" s="1" nd="1"/>
        <i x="383" s="1" nd="1"/>
        <i x="176" s="1" nd="1"/>
        <i x="19" s="1" nd="1"/>
        <i x="373" s="1" nd="1"/>
        <i x="74" s="1" nd="1"/>
        <i x="314" s="1" nd="1"/>
        <i x="323" s="1" nd="1"/>
        <i x="90" s="1" nd="1"/>
        <i x="342" s="1" nd="1"/>
        <i x="218" s="1" nd="1"/>
        <i x="515" s="1" nd="1"/>
        <i x="65" s="1" nd="1"/>
        <i x="96" s="1" nd="1"/>
        <i x="230" s="1" nd="1"/>
        <i x="516" s="1" nd="1"/>
        <i x="23" s="1" nd="1"/>
        <i x="472" s="1" nd="1"/>
        <i x="339" s="1" nd="1"/>
        <i x="351" s="1" nd="1"/>
        <i x="286" s="1" nd="1"/>
        <i x="53" s="1" nd="1"/>
        <i x="79" s="1" nd="1"/>
        <i x="242" s="1" nd="1"/>
        <i x="95" s="1" nd="1"/>
        <i x="501" s="1" nd="1"/>
        <i x="492" s="1" nd="1"/>
        <i x="121" s="1" nd="1"/>
        <i x="451" s="1" nd="1"/>
        <i x="105" s="1" nd="1"/>
        <i x="419" s="1" nd="1"/>
        <i x="36" s="1" nd="1"/>
        <i x="429" s="1" nd="1"/>
        <i x="119" s="1" nd="1"/>
        <i x="213" s="1" nd="1"/>
        <i x="21" s="1" nd="1"/>
        <i x="86" s="1" nd="1"/>
        <i x="497" s="1" nd="1"/>
        <i x="435" s="1" nd="1"/>
        <i x="307" s="1" nd="1"/>
        <i x="109" s="1" nd="1"/>
        <i x="486" s="1" nd="1"/>
        <i x="258" s="1" nd="1"/>
        <i x="524" s="1" nd="1"/>
        <i x="246" s="1" nd="1"/>
        <i x="376" s="1" nd="1"/>
        <i x="399" s="1" nd="1"/>
        <i x="304" s="1" nd="1"/>
        <i x="136" s="1" nd="1"/>
        <i x="499" s="1" nd="1"/>
        <i x="496" s="1" nd="1"/>
        <i x="394" s="1" nd="1"/>
        <i x="33" s="1" nd="1"/>
        <i x="290" s="1" nd="1"/>
        <i x="123" s="1" nd="1"/>
        <i x="506" s="1" nd="1"/>
        <i x="147" s="1" nd="1"/>
        <i x="24" s="1" nd="1"/>
        <i x="416" s="1" nd="1"/>
        <i x="504" s="1" nd="1"/>
        <i x="110" s="1" nd="1"/>
        <i x="512" s="1" nd="1"/>
        <i x="294" s="1" nd="1"/>
        <i x="156" s="1" nd="1"/>
        <i x="99" s="1" nd="1"/>
        <i x="513" s="1" nd="1"/>
        <i x="247" s="1" nd="1"/>
        <i x="379" s="1" nd="1"/>
        <i x="70" s="1" nd="1"/>
        <i x="241" s="1" nd="1"/>
        <i x="231" s="1" nd="1"/>
        <i x="437" s="1" nd="1"/>
        <i x="80" s="1" nd="1"/>
        <i x="279" s="1" nd="1"/>
        <i x="89" s="1" nd="1"/>
        <i x="401" s="1" nd="1"/>
        <i x="128" s="1" nd="1"/>
        <i x="31" s="1" nd="1"/>
        <i x="432" s="1" nd="1"/>
        <i x="450" s="1" nd="1"/>
        <i x="444" s="1" nd="1"/>
        <i x="340" s="1" nd="1"/>
        <i x="433" s="1" nd="1"/>
        <i x="385" s="1" nd="1"/>
        <i x="369" s="1" nd="1"/>
        <i x="55" s="1" nd="1"/>
        <i x="42" s="1" nd="1"/>
        <i x="434" s="1" nd="1"/>
        <i x="275" s="1" nd="1"/>
        <i x="311" s="1" nd="1"/>
        <i x="97" s="1" nd="1"/>
        <i x="43" s="1" nd="1"/>
        <i x="257" s="1" nd="1"/>
        <i x="518" s="1" nd="1"/>
        <i x="203" s="1" nd="1"/>
        <i x="478" s="1" nd="1"/>
        <i x="375" s="1" nd="1"/>
        <i x="198" s="1" nd="1"/>
        <i x="517" s="1" nd="1"/>
        <i x="495" s="1" nd="1"/>
        <i x="470" s="1" nd="1"/>
        <i x="398" s="1" nd="1"/>
        <i x="38" s="1" nd="1"/>
        <i x="510" s="1" nd="1"/>
        <i x="180" s="1" nd="1"/>
        <i x="267" s="1" nd="1"/>
        <i x="453" s="1" nd="1"/>
        <i x="126" s="1" nd="1"/>
        <i x="219" s="1" nd="1"/>
        <i x="254" s="1" nd="1"/>
        <i x="288" s="1" nd="1"/>
        <i x="360" s="1" nd="1"/>
        <i x="374" s="1" nd="1"/>
        <i x="439" s="1" nd="1"/>
        <i x="25" s="1" nd="1"/>
        <i x="359" s="1" nd="1"/>
        <i x="378" s="1" nd="1"/>
        <i x="321" s="1" nd="1"/>
        <i x="365" s="1" nd="1"/>
        <i x="456" s="1" nd="1"/>
        <i x="73" s="1" nd="1"/>
        <i x="395" s="1" nd="1"/>
        <i x="447" s="1" nd="1"/>
        <i x="252" s="1" nd="1"/>
        <i x="134" s="1" nd="1"/>
        <i x="334" s="1" nd="1"/>
        <i x="404" s="1" nd="1"/>
        <i x="154" s="1" nd="1"/>
        <i x="220" s="1" nd="1"/>
        <i x="236" s="1" nd="1"/>
        <i x="51" s="1" nd="1"/>
        <i x="216" s="1" nd="1"/>
        <i x="64" s="1" nd="1"/>
        <i x="384" s="1" nd="1"/>
        <i x="362" s="1" nd="1"/>
        <i x="400" s="1" nd="1"/>
        <i x="159" s="1" nd="1"/>
        <i x="489" s="1" nd="1"/>
        <i x="405" s="1" nd="1"/>
        <i x="352" s="1" nd="1"/>
        <i x="357" s="1" nd="1"/>
        <i x="460" s="1" nd="1"/>
        <i x="152" s="1" nd="1"/>
        <i x="221" s="1" nd="1"/>
        <i x="320" s="1" nd="1"/>
        <i x="137" s="1" nd="1"/>
        <i x="261" s="1" nd="1"/>
        <i x="41" s="1" nd="1"/>
        <i x="389" s="1" nd="1"/>
        <i x="411" s="1" nd="1"/>
        <i x="244" s="1" nd="1"/>
        <i x="455" s="1" nd="1"/>
        <i x="174" s="1" nd="1"/>
        <i x="526" s="1" nd="1"/>
        <i x="346" s="1" nd="1"/>
        <i x="111" s="1" nd="1"/>
        <i x="94" s="1" nd="1"/>
        <i x="523" s="1" nd="1"/>
        <i x="235" s="1" nd="1"/>
        <i x="248" s="1" nd="1"/>
        <i x="237" s="1" nd="1"/>
        <i x="224" s="1" nd="1"/>
        <i x="505" s="1" nd="1"/>
        <i x="529" s="1" nd="1"/>
        <i x="204" s="1" nd="1"/>
        <i x="531" s="1" nd="1"/>
        <i x="285" s="1" nd="1"/>
        <i x="291" s="1" nd="1"/>
        <i x="370" s="1" nd="1"/>
        <i x="34" s="1" nd="1"/>
        <i x="61" s="1" nd="1"/>
        <i x="322" s="1" nd="1"/>
        <i x="14" s="1" nd="1"/>
        <i x="45" s="1" nd="1"/>
        <i x="449" s="1" nd="1"/>
        <i x="214" s="1" nd="1"/>
        <i x="533" s="1" nd="1"/>
        <i x="56" s="1" nd="1"/>
        <i x="443" s="1" nd="1"/>
        <i x="396" s="1" nd="1"/>
        <i x="52" s="1" nd="1"/>
        <i x="319" s="1" nd="1"/>
        <i x="299" s="1" nd="1"/>
        <i x="163" s="1" nd="1"/>
        <i x="193" s="1" nd="1"/>
        <i x="527" s="1" nd="1"/>
        <i x="466" s="1" nd="1"/>
        <i x="120" s="1" nd="1"/>
        <i x="129" s="1" nd="1"/>
        <i x="414" s="1" nd="1"/>
        <i x="100" s="1" nd="1"/>
        <i x="403" s="1" nd="1"/>
        <i x="409" s="1" nd="1"/>
        <i x="35" s="1" nd="1"/>
        <i x="239" s="1" nd="1"/>
        <i x="332" s="1" nd="1"/>
        <i x="15" s="1" nd="1"/>
        <i x="189" s="1" nd="1"/>
        <i x="457" s="1" nd="1"/>
        <i x="92" s="1" nd="1"/>
        <i x="130" s="1" nd="1"/>
        <i x="520" s="1" nd="1"/>
        <i x="525" s="1" nd="1"/>
        <i x="223" s="1" nd="1"/>
        <i x="372" s="1" nd="1"/>
        <i x="167" s="1" nd="1"/>
        <i x="412" s="1" nd="1"/>
        <i x="103" s="1" nd="1"/>
        <i x="467" s="1" nd="1"/>
        <i x="424" s="1" nd="1"/>
        <i x="215" s="1" nd="1"/>
        <i x="131" s="1" nd="1"/>
        <i x="532" s="1" nd="1"/>
        <i x="270" s="1" nd="1"/>
        <i x="40" s="1" nd="1"/>
        <i x="13" s="1" nd="1"/>
        <i x="29" s="1" nd="1"/>
        <i x="138" s="1" nd="1"/>
        <i x="479" s="1" nd="1"/>
        <i x="534" s="1" nd="1"/>
        <i x="426" s="1" nd="1"/>
        <i x="446" s="1" nd="1"/>
        <i x="85" s="1" nd="1"/>
        <i x="530" s="1" nd="1"/>
        <i x="211" s="1" nd="1"/>
        <i x="22" s="1" nd="1"/>
        <i x="464" s="1" nd="1"/>
        <i x="388" s="1" nd="1"/>
        <i x="507" s="1" nd="1"/>
        <i x="217" s="1" nd="1"/>
        <i x="259" s="1" nd="1"/>
        <i x="142" s="1" nd="1"/>
        <i x="265" s="1" nd="1"/>
        <i x="480" s="1" nd="1"/>
        <i x="477" s="1" nd="1"/>
        <i x="436" s="1" nd="1"/>
        <i x="308" s="1" nd="1"/>
        <i x="170" s="1" nd="1"/>
        <i x="463" s="1" nd="1"/>
        <i x="37" s="1" nd="1"/>
        <i x="361" s="1" nd="1"/>
        <i x="333" s="1" nd="1"/>
        <i x="78" s="1" nd="1"/>
        <i x="233" s="1" nd="1"/>
        <i x="87" s="1" nd="1"/>
        <i x="47" s="1" nd="1"/>
        <i x="508" s="1" nd="1"/>
        <i x="277" s="1" nd="1"/>
        <i x="260" s="1" nd="1"/>
        <i x="500" s="1" nd="1"/>
        <i x="181" s="1" nd="1"/>
        <i x="11" s="1" nd="1"/>
        <i x="114" s="1" nd="1"/>
        <i x="487" s="1" nd="1"/>
        <i x="173" s="1" nd="1"/>
        <i x="471" s="1" nd="1"/>
        <i x="27" s="1" nd="1"/>
        <i x="521" s="1" nd="1"/>
        <i x="188" s="1" nd="1"/>
        <i x="283" s="1" nd="1"/>
        <i x="382" s="1" nd="1"/>
        <i x="427" s="1" nd="1"/>
        <i x="122" s="1" nd="1"/>
        <i x="108" s="1" nd="1"/>
        <i x="397" s="1" nd="1"/>
        <i x="106" s="1" nd="1"/>
        <i x="468" s="1" nd="1"/>
        <i x="17" s="1" nd="1"/>
        <i x="348" s="1" nd="1"/>
        <i x="313" s="1" nd="1"/>
        <i x="336" s="1" nd="1"/>
        <i x="325" s="1" nd="1"/>
        <i x="300" s="1" nd="1"/>
        <i x="326" s="1" nd="1"/>
        <i x="301" s="1" nd="1"/>
        <i x="350" s="1" nd="1"/>
        <i x="302" s="1" nd="1"/>
        <i x="327" s="1" nd="1"/>
        <i x="315" s="1" nd="1"/>
        <i x="353" s="1" nd="1"/>
        <i x="282" s="1" nd="1"/>
        <i x="354" s="1" nd="1"/>
        <i x="316" s="1" nd="1"/>
        <i x="364" s="1" nd="1"/>
        <i x="355" s="1" nd="1"/>
        <i x="292" s="1" nd="1"/>
        <i x="356" s="1" nd="1"/>
        <i x="317" s="1" nd="1"/>
        <i x="305" s="1" nd="1"/>
        <i x="306" s="1" nd="1"/>
        <i x="331" s="1" nd="1"/>
        <i x="358" s="1" nd="1"/>
        <i x="367" s="1" nd="1"/>
        <i x="347" s="1" nd="1"/>
        <i x="337" s="1" nd="1"/>
        <i x="185" s="1" nd="1"/>
        <i x="157" s="1" nd="1"/>
        <i x="150" s="1" nd="1"/>
        <i x="199" s="1" nd="1"/>
        <i x="186" s="1" nd="1"/>
        <i x="200" s="1" nd="1"/>
        <i x="177" s="1" nd="1"/>
        <i x="141" s="1" nd="1"/>
        <i x="201" s="1" nd="1"/>
        <i x="187" s="1" nd="1"/>
        <i x="160" s="1" nd="1"/>
        <i x="151" s="1" nd="1"/>
        <i x="143" s="1" nd="1"/>
        <i x="202" s="1" nd="1"/>
        <i x="178" s="1" nd="1"/>
        <i x="162" s="1" nd="1"/>
        <i x="144" s="1" nd="1"/>
        <i x="153" s="1" nd="1"/>
        <i x="145" s="1" nd="1"/>
        <i x="155" s="1" nd="1"/>
        <i x="172"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670">
        <i x="7" s="1"/>
        <i x="12" s="1"/>
        <i x="9" s="1"/>
        <i x="0" s="1"/>
        <i x="5" s="1"/>
        <i x="3" s="1"/>
        <i x="6" s="1"/>
        <i x="1" s="1"/>
        <i x="14" s="1"/>
        <i x="11" s="1"/>
        <i x="2" s="1"/>
        <i x="13" s="1"/>
        <i x="4" s="1"/>
        <i x="10" s="1"/>
        <i x="8" s="1"/>
        <i x="486" s="1" nd="1"/>
        <i x="72" s="1" nd="1"/>
        <i x="212" s="1" nd="1"/>
        <i x="57" s="1" nd="1"/>
        <i x="535" s="1" nd="1"/>
        <i x="501" s="1" nd="1"/>
        <i x="77" s="1" nd="1"/>
        <i x="377" s="1" nd="1"/>
        <i x="271" s="1" nd="1"/>
        <i x="522" s="1" nd="1"/>
        <i x="358" s="1" nd="1"/>
        <i x="235" s="1" nd="1"/>
        <i x="398" s="1" nd="1"/>
        <i x="567" s="1" nd="1"/>
        <i x="419" s="1" nd="1"/>
        <i x="84" s="1" nd="1"/>
        <i x="275" s="1" nd="1"/>
        <i x="294" s="1" nd="1"/>
        <i x="547" s="1" nd="1"/>
        <i x="218" s="1" nd="1"/>
        <i x="645" s="1" nd="1"/>
        <i x="119" s="1" nd="1"/>
        <i x="246" s="1" nd="1"/>
        <i x="611" s="1" nd="1"/>
        <i x="137" s="1" nd="1"/>
        <i x="483" s="1" nd="1"/>
        <i x="625" s="1" nd="1"/>
        <i x="42" s="1" nd="1"/>
        <i x="187" s="1" nd="1"/>
        <i x="229" s="1" nd="1"/>
        <i x="497" s="1" nd="1"/>
        <i x="653" s="1" nd="1"/>
        <i x="374" s="1" nd="1"/>
        <i x="457" s="1" nd="1"/>
        <i x="620" s="1" nd="1"/>
        <i x="641" s="1" nd="1"/>
        <i x="184" s="1" nd="1"/>
        <i x="513" s="1" nd="1"/>
        <i x="540" s="1" nd="1"/>
        <i x="110" s="1" nd="1"/>
        <i x="183" s="1" nd="1"/>
        <i x="197" s="1" nd="1"/>
        <i x="243" s="1" nd="1"/>
        <i x="284" s="1" nd="1"/>
        <i x="293" s="1" nd="1"/>
        <i x="496" s="1" nd="1"/>
        <i x="573" s="1" nd="1"/>
        <i x="659" s="1" nd="1"/>
        <i x="22" s="1" nd="1"/>
        <i x="64" s="1" nd="1"/>
        <i x="144" s="1" nd="1"/>
        <i x="213" s="1" nd="1"/>
        <i x="237" s="1" nd="1"/>
        <i x="291" s="1" nd="1"/>
        <i x="442" s="1" nd="1"/>
        <i x="524" s="1" nd="1"/>
        <i x="89" s="1" nd="1"/>
        <i x="155" s="1" nd="1"/>
        <i x="224" s="1" nd="1"/>
        <i x="282" s="1" nd="1"/>
        <i x="455" s="1" nd="1"/>
        <i x="476" s="1" nd="1"/>
        <i x="636" s="1" nd="1"/>
        <i x="39" s="1" nd="1"/>
        <i x="61" s="1" nd="1"/>
        <i x="180" s="1" nd="1"/>
        <i x="194" s="1" nd="1"/>
        <i x="222" s="1" nd="1"/>
        <i x="559" s="1" nd="1"/>
        <i x="569" s="1" nd="1"/>
        <i x="74" s="1" nd="1"/>
        <i x="99" s="1" nd="1"/>
        <i x="193" s="1" nd="1"/>
        <i x="220" s="1" nd="1"/>
        <i x="537" s="1" nd="1"/>
        <i x="616" s="1" nd="1"/>
        <i x="153" s="1" nd="1"/>
        <i x="164" s="1" nd="1"/>
        <i x="179" s="1" nd="1"/>
        <i x="249" s="1" nd="1"/>
        <i x="384" s="1" nd="1"/>
        <i x="472" s="1" nd="1"/>
        <i x="519" s="1" nd="1"/>
        <i x="628" s="1" nd="1"/>
        <i x="142" s="1" nd="1"/>
        <i x="278" s="1" nd="1"/>
        <i x="314" s="1" nd="1"/>
        <i x="357" s="1" nd="1"/>
        <i x="503" s="1" nd="1"/>
        <i x="548" s="1" nd="1"/>
        <i x="568" s="1" nd="1"/>
        <i x="591" s="1" nd="1"/>
        <i x="87" s="1" nd="1"/>
        <i x="141" s="1" nd="1"/>
        <i x="323" s="1" nd="1"/>
        <i x="332" s="1" nd="1"/>
        <i x="397" s="1" nd="1"/>
        <i x="86" s="1" nd="1"/>
        <i x="406" s="1" nd="1"/>
        <i x="108" s="1" nd="1"/>
        <i x="439" s="1" nd="1"/>
        <i x="127" s="1" nd="1"/>
        <i x="276" s="1" nd="1"/>
        <i x="346" s="1" nd="1"/>
        <i x="369" s="1" nd="1"/>
        <i x="382" s="1" nd="1"/>
        <i x="122" s="1" nd="1"/>
        <i x="438" s="1" nd="1"/>
        <i x="234" s="1" nd="1"/>
        <i x="600" s="1" nd="1"/>
        <i x="647" s="1" nd="1"/>
        <i x="657" s="1" nd="1"/>
        <i x="36" s="1" nd="1"/>
        <i x="368" s="1" nd="1"/>
        <i x="85" s="1" nd="1"/>
        <i x="404" s="1" nd="1"/>
        <i x="140" s="1" nd="1"/>
        <i x="488" s="1" nd="1"/>
        <i x="533" s="1" nd="1"/>
        <i x="288" s="1" nd="1"/>
        <i x="69" s="1" nd="1"/>
        <i x="403" s="1" nd="1"/>
        <i x="437" s="1" nd="1"/>
        <i x="532" s="1" nd="1"/>
        <i x="202" s="1" nd="1"/>
        <i x="209" s="1" nd="1"/>
        <i x="106" s="1" nd="1"/>
        <i x="121" s="1" nd="1"/>
        <i x="190" s="1" nd="1"/>
        <i x="665" s="1" nd="1"/>
        <i x="19" s="1" nd="1"/>
        <i x="336" s="1" nd="1"/>
        <i x="33" s="1" nd="1"/>
        <i x="436" s="1" nd="1"/>
        <i x="139" s="1" nd="1"/>
        <i x="500" s="1" nd="1"/>
        <i x="557" s="1" nd="1"/>
        <i x="232" s="1" nd="1"/>
        <i x="579" s="1" nd="1"/>
        <i x="241" s="1" nd="1"/>
        <i x="311" s="1" nd="1"/>
        <i x="18" s="1" nd="1"/>
        <i x="96" s="1" nd="1"/>
        <i x="105" s="1" nd="1"/>
        <i x="461" s="1" nd="1"/>
        <i x="247" s="1" nd="1"/>
        <i x="274" s="1" nd="1"/>
        <i x="634" s="1" nd="1"/>
        <i x="301" s="1" nd="1"/>
        <i x="335" s="1" nd="1"/>
        <i x="44" s="1" nd="1"/>
        <i x="435" s="1" nd="1"/>
        <i x="152" s="1" nd="1"/>
        <i x="161" s="1" nd="1"/>
        <i x="499" s="1" nd="1"/>
        <i x="168" s="1" nd="1"/>
        <i x="544" s="1" nd="1"/>
        <i x="217" s="1" nd="1"/>
        <i x="565" s="1" nd="1"/>
        <i x="589" s="1" nd="1"/>
        <i x="260" s="1" nd="1"/>
        <i x="643" s="1" nd="1"/>
        <i x="353" s="1" nd="1"/>
        <i x="54" s="1" nd="1"/>
        <i x="95" s="1" nd="1"/>
        <i x="410" s="1" nd="1"/>
        <i x="434" s="1" nd="1"/>
        <i x="447" s="1" nd="1"/>
        <i x="508" s="1" nd="1"/>
        <i x="543" s="1" nd="1"/>
        <i x="633" s="1" nd="1"/>
        <i x="344" s="1" nd="1"/>
        <i x="68" s="1" nd="1"/>
        <i x="94" s="1" nd="1"/>
        <i x="424" s="1" nd="1"/>
        <i x="484" s="1" nd="1"/>
        <i x="239" s="1" nd="1"/>
        <i x="258" s="1" nd="1"/>
        <i x="626" s="1" nd="1"/>
        <i x="654" s="1" nd="1"/>
        <i x="16" s="1" nd="1"/>
        <i x="25" s="1" nd="1"/>
        <i x="378" s="1" nd="1"/>
        <i x="402" s="1" nd="1"/>
        <i x="409" s="1" nd="1"/>
        <i x="446" s="1" nd="1"/>
        <i x="459" s="1" nd="1"/>
        <i x="467" s="1" nd="1"/>
        <i x="188" s="1" nd="1"/>
        <i x="542" s="1" nd="1"/>
        <i x="553" s="1" nd="1"/>
        <i x="256" s="1" nd="1"/>
        <i x="423" s="1" nd="1"/>
        <i x="158" s="1" nd="1"/>
        <i x="199" s="1" nd="1"/>
        <i x="244" s="1" nd="1"/>
        <i x="309" s="1" nd="1"/>
        <i x="662" s="1" nd="1"/>
        <i x="93" s="1" nd="1"/>
        <i x="417" s="1" nd="1"/>
        <i x="157" s="1" nd="1"/>
        <i x="515" s="1" nd="1"/>
        <i x="186" s="1" nd="1"/>
        <i x="551" s="1" nd="1"/>
        <i x="216" s="1" nd="1"/>
        <i x="227" s="1" nd="1"/>
        <i x="622" s="1" nd="1"/>
        <i x="30" s="1" nd="1"/>
        <i x="390" s="1" nd="1"/>
        <i x="174" s="1" nd="1"/>
        <i x="205" s="1" nd="1"/>
        <i x="214" s="1" nd="1"/>
        <i x="576" s="1" nd="1"/>
        <i x="286" s="1" nd="1"/>
        <i x="298" s="1" nd="1"/>
        <i x="40" s="1" nd="1"/>
        <i x="389" s="1" nd="1"/>
        <i x="92" s="1" nd="1"/>
        <i x="407" s="1" nd="1"/>
        <i x="445" s="1" nd="1"/>
        <i x="128" s="1" nd="1"/>
        <i x="527" s="1" nd="1"/>
        <i x="575" s="1" nd="1"/>
        <i x="586" s="1" nd="1"/>
        <i x="285" s="1" nd="1"/>
        <i x="29" s="1" nd="1"/>
        <i x="362" s="1" nd="1"/>
        <i x="91" s="1" nd="1"/>
        <i x="432" s="1" nd="1"/>
        <i x="479" s="1" nd="1"/>
        <i x="198" s="1" nd="1"/>
        <i x="574" s="1" nd="1"/>
        <i x="350" s="1" nd="1"/>
        <i x="558" s="1" nd="1"/>
        <i x="388" s="1" nd="1"/>
        <i x="401" s="1" nd="1"/>
        <i x="581" s="1" nd="1"/>
        <i x="602" s="1" nd="1"/>
        <i x="262" s="1" nd="1"/>
        <i x="277" s="1" nd="1"/>
        <i x="444" s="1" nd="1"/>
        <i x="649" s="1" nd="1"/>
        <i x="303" s="1" nd="1"/>
        <i x="313" s="1" nd="1"/>
        <i x="156" s="1" nd="1"/>
        <i x="20" s="1" nd="1"/>
        <i x="337" s="1" nd="1"/>
        <i x="356" s="1" nd="1"/>
        <i x="539" s="1" nd="1"/>
        <i x="550" s="1" nd="1"/>
        <i x="78" s="1" nd="1"/>
        <i x="396" s="1" nd="1"/>
        <i x="115" s="1" nd="1"/>
        <i x="270" s="1" nd="1"/>
        <i x="639" s="1" nd="1"/>
        <i x="465" s="1" nd="1"/>
        <i x="660" s="1" nd="1"/>
        <i x="318" s="1" nd="1"/>
        <i x="191" s="1" nd="1"/>
        <i x="65" s="1" nd="1"/>
        <i x="566" s="1" nd="1"/>
        <i x="400" s="1" nd="1"/>
        <i x="601" s="1" nd="1"/>
        <i x="289" s="1" nd="1"/>
        <i x="443" s="1" nd="1"/>
        <i x="648" s="1" nd="1"/>
        <i x="146" s="1" nd="1"/>
        <i x="345" s="1" nd="1"/>
        <i x="196" s="1" nd="1"/>
        <i x="355" s="1" nd="1"/>
        <i x="56" s="1" nd="1"/>
        <i x="395" s="1" nd="1"/>
        <i x="405" s="1" nd="1"/>
        <i x="254" s="1" nd="1"/>
        <i x="418" s="1" nd="1"/>
        <i x="607" s="1" nd="1"/>
        <i x="638" s="1" nd="1"/>
        <i x="464" s="1" nd="1"/>
        <i x="652" s="1" nd="1"/>
        <i x="502" s="1" nd="1"/>
        <i x="361" s="1" nd="1"/>
        <i x="210" s="1" nd="1"/>
        <i x="373" s="1" nd="1"/>
        <i x="219" s="1" nd="1"/>
        <i x="102" s="1" nd="1"/>
        <i x="599" s="1" nd="1"/>
        <i x="614" s="1" nd="1"/>
        <i x="133" s="1" nd="1"/>
        <i x="145" s="1" nd="1"/>
        <i x="478" s="1" nd="1"/>
        <i x="35" s="1" nd="1"/>
        <i x="381" s="1" nd="1"/>
        <i x="561" s="1" nd="1"/>
        <i x="226" s="1" nd="1"/>
        <i x="411" s="1" nd="1"/>
        <i x="253" s="1" nd="1"/>
        <i x="631" s="1" nd="1"/>
        <i x="292" s="1" nd="1"/>
        <i x="637" s="1" nd="1"/>
        <i x="651" s="1" nd="1"/>
        <i x="329" s="1" nd="1"/>
        <i x="28" s="1" nd="1"/>
        <i x="360" s="1" nd="1"/>
        <i x="233" s="1" nd="1"/>
        <i x="580" s="1" nd="1"/>
        <i x="90" s="1" nd="1"/>
        <i x="590" s="1" nd="1"/>
        <i x="416" s="1" nd="1"/>
        <i x="287" s="1" nd="1"/>
        <i x="322" s="1" nd="1"/>
        <i x="495" s="1" nd="1"/>
        <i x="182" s="1" nd="1"/>
        <i x="525" s="1" nd="1"/>
        <i x="47" s="1" nd="1"/>
        <i x="55" s="1" nd="1"/>
        <i x="560" s="1" nd="1"/>
        <i x="585" s="1" nd="1"/>
        <i x="107" s="1" nd="1"/>
        <i x="252" s="1" nd="1"/>
        <i x="269" s="1" nd="1"/>
        <i x="630" s="1" nd="1"/>
        <i x="450" s="1" nd="1"/>
        <i x="463" s="1" nd="1"/>
        <i x="469" s="1" nd="1"/>
        <i x="51" s="1" nd="1"/>
        <i x="201" s="1" nd="1"/>
        <i x="359" s="1" nd="1"/>
        <i x="63" s="1" nd="1"/>
        <i x="372" s="1" nd="1"/>
        <i x="399" s="1" nd="1"/>
        <i x="598" s="1" nd="1"/>
        <i x="261" s="1" nd="1"/>
        <i x="422" s="1" nd="1"/>
        <i x="613" s="1" nd="1"/>
        <i x="431" s="1" nd="1"/>
        <i x="627" s="1" nd="1"/>
        <i x="126" s="1" nd="1"/>
        <i x="466" s="1" nd="1"/>
        <i x="312" s="1" nd="1"/>
        <i x="666" s="1" nd="1"/>
        <i x="321" s="1" nd="1"/>
        <i x="166" s="1" nd="1"/>
        <i x="26" s="1" nd="1"/>
        <i x="173" s="1" nd="1"/>
        <i x="34" s="1" nd="1"/>
        <i x="181" s="1" nd="1"/>
        <i x="195" s="1" nd="1"/>
        <i x="225" s="1" nd="1"/>
        <i x="394" s="1" nd="1"/>
        <i x="572" s="1" nd="1"/>
        <i x="242" s="1" nd="1"/>
        <i x="619" s="1" nd="1"/>
        <i x="120" s="1" nd="1"/>
        <i x="283" s="1" nd="1"/>
        <i x="297" s="1" nd="1"/>
        <i x="462" s="1" nd="1"/>
        <i x="307" s="1" nd="1"/>
        <i x="468" s="1" nd="1"/>
        <i x="669" s="1" nd="1"/>
        <i x="328" s="1" nd="1"/>
        <i x="341" s="1" nd="1"/>
        <i x="50" s="1" nd="1"/>
        <i x="76" s="1" nd="1"/>
        <i x="101" s="1" nd="1"/>
        <i x="597" s="1" nd="1"/>
        <i x="646" s="1" nd="1"/>
        <i x="656" s="1" nd="1"/>
        <i x="477" s="1" nd="1"/>
        <i x="494" s="1" nd="1"/>
        <i x="46" s="1" nd="1"/>
        <i x="393" s="1" nd="1"/>
        <i x="83" s="1" nd="1"/>
        <i x="584" s="1" nd="1"/>
        <i x="606" s="1" nd="1"/>
        <i x="114" s="1" nd="1"/>
        <i x="268" s="1" nd="1"/>
        <i x="427" s="1" nd="1"/>
        <i x="290" s="1" nd="1"/>
        <i x="138" s="1" nd="1"/>
        <i x="306" s="1" nd="1"/>
        <i x="487" s="1" nd="1"/>
        <i x="162" s="1" nd="1"/>
        <i x="327" s="1" nd="1"/>
        <i x="509" s="1" nd="1"/>
        <i x="178" s="1" nd="1"/>
        <i x="517" s="1" nd="1"/>
        <i x="546" s="1" nd="1"/>
        <i x="62" s="1" nd="1"/>
        <i x="208" s="1" nd="1"/>
        <i x="556" s="1" nd="1"/>
        <i x="75" s="1" nd="1"/>
        <i x="387" s="1" nd="1"/>
        <i x="231" s="1" nd="1"/>
        <i x="248" s="1" nd="1"/>
        <i x="415" s="1" nd="1"/>
        <i x="596" s="1" nd="1"/>
        <i x="612" s="1" nd="1"/>
        <i x="302" s="1" nd="1"/>
        <i x="154" s="1" nd="1"/>
        <i x="493" s="1" nd="1"/>
        <i x="331" s="1" nd="1"/>
        <i x="512" s="1" nd="1"/>
        <i x="32" s="1" nd="1"/>
        <i x="523" s="1" nd="1"/>
        <i x="45" s="1" nd="1"/>
        <i x="354" s="1" nd="1"/>
        <i x="549" s="1" nd="1"/>
        <i x="223" s="1" nd="1"/>
        <i x="392" s="1" nd="1"/>
        <i x="571" s="1" nd="1"/>
        <i x="605" s="1" nd="1"/>
        <i x="113" s="1" nd="1"/>
        <i x="267" s="1" nd="1"/>
        <i x="426" s="1" nd="1"/>
        <i x="618" s="1" nd="1"/>
        <i x="118" s="1" nd="1"/>
        <i x="449" s="1" nd="1"/>
        <i x="130" s="1" nd="1"/>
        <i x="305" s="1" nd="1"/>
        <i x="668" s="1" nd="1"/>
        <i x="169" s="1" nd="1"/>
        <i x="177" s="1" nd="1"/>
        <i x="200" s="1" nd="1"/>
        <i x="545" s="1" nd="1"/>
        <i x="240" s="1" nd="1"/>
        <i x="100" s="1" nd="1"/>
        <i x="245" s="1" nd="1"/>
        <i x="414" s="1" nd="1"/>
        <i x="595" s="1" nd="1"/>
        <i x="441" s="1" nd="1"/>
        <i x="644" s="1" nd="1"/>
        <i x="475" s="1" nd="1"/>
        <i x="17" s="1" nd="1"/>
        <i x="165" s="1" nd="1"/>
        <i x="43" s="1" nd="1"/>
        <i x="204" s="1" nd="1"/>
        <i x="367" s="1" nd="1"/>
        <i x="380" s="1" nd="1"/>
        <i x="570" s="1" nd="1"/>
        <i x="236" s="1" nd="1"/>
        <i x="583" s="1" nd="1"/>
        <i x="251" s="1" nd="1"/>
        <i x="425" s="1" nd="1"/>
        <i x="281" s="1" nd="1"/>
        <i x="448" s="1" nd="1"/>
        <i x="296" s="1" nd="1"/>
        <i x="460" s="1" nd="1"/>
        <i x="151" s="1" nd="1"/>
        <i x="333" s="1" nd="1"/>
        <i x="176" s="1" nd="1"/>
        <i x="340" s="1" nd="1"/>
        <i x="516" s="1" nd="1"/>
        <i x="349" s="1" nd="1"/>
        <i x="49" s="1" nd="1"/>
        <i x="555" s="1" nd="1"/>
        <i x="386" s="1" nd="1"/>
        <i x="564" s="1" nd="1"/>
        <i x="80" s="1" nd="1"/>
        <i x="230" s="1" nd="1"/>
        <i x="109" s="1" nd="1"/>
        <i x="273" s="1" nd="1"/>
        <i x="125" s="1" nd="1"/>
        <i x="440" s="1" nd="1"/>
        <i x="454" s="1" nd="1"/>
        <i x="300" s="1" nd="1"/>
        <i x="655" s="1" nd="1"/>
        <i x="143" s="1" nd="1"/>
        <i x="310" s="1" nd="1"/>
        <i x="474" s="1" nd="1"/>
        <i x="172" s="1" nd="1"/>
        <i x="538" s="1" nd="1"/>
        <i x="53" s="1" nd="1"/>
        <i x="366" s="1" nd="1"/>
        <i x="221" s="1" nd="1"/>
        <i x="391" s="1" nd="1"/>
        <i x="82" s="1" nd="1"/>
        <i x="593" s="1" nd="1"/>
        <i x="112" s="1" nd="1"/>
        <i x="266" s="1" nd="1"/>
        <i x="433" s="1" nd="1"/>
        <i x="295" s="1" nd="1"/>
        <i x="136" s="1" nd="1"/>
        <i x="485" s="1" nd="1"/>
        <i x="667" s="1" nd="1"/>
        <i x="175" s="1" nd="1"/>
        <i x="348" s="1" nd="1"/>
        <i x="207" s="1" nd="1"/>
        <i x="73" s="1" nd="1"/>
        <i x="578" s="1" nd="1"/>
        <i x="413" s="1" nd="1"/>
        <i x="259" s="1" nd="1"/>
        <i x="421" s="1" nd="1"/>
        <i x="124" s="1" nd="1"/>
        <i x="453" s="1" nd="1"/>
        <i x="642" s="1" nd="1"/>
        <i x="473" s="1" nd="1"/>
        <i x="664" s="1" nd="1"/>
        <i x="320" s="1" nd="1"/>
        <i x="492" s="1" nd="1"/>
        <i x="506" s="1" nd="1"/>
        <i x="343" s="1" nd="1"/>
        <i x="521" s="1" nd="1"/>
        <i x="192" s="1" nd="1"/>
        <i x="379" s="1" nd="1"/>
        <i x="104" s="1" nd="1"/>
        <i x="250" s="1" nd="1"/>
        <i x="604" s="1" nd="1"/>
        <i x="617" s="1" nd="1"/>
        <i x="117" s="1" nd="1"/>
        <i x="280" s="1" nd="1"/>
        <i x="150" s="1" nd="1"/>
        <i x="317" s="1" nd="1"/>
        <i x="482" s="1" nd="1"/>
        <i x="160" s="1" nd="1"/>
        <i x="498" s="1" nd="1"/>
        <i x="21" s="1" nd="1"/>
        <i x="189" s="1" nd="1"/>
        <i x="531" s="1" nd="1"/>
        <i x="48" s="1" nd="1"/>
        <i x="60" s="1" nd="1"/>
        <i x="206" s="1" nd="1"/>
        <i x="371" s="1" nd="1"/>
        <i x="554" s="1" nd="1"/>
        <i x="563" s="1" nd="1"/>
        <i x="588" s="1" nd="1"/>
        <i x="594" s="1" nd="1"/>
        <i x="257" s="1" nd="1"/>
        <i x="610" s="1" nd="1"/>
        <i x="632" s="1" nd="1"/>
        <i x="452" s="1" nd="1"/>
        <i x="132" s="1" nd="1"/>
        <i x="491" s="1" nd="1"/>
        <i x="505" s="1" nd="1"/>
        <i x="24" s="1" nd="1"/>
        <i x="171" s="1" nd="1"/>
        <i x="520" s="1" nd="1"/>
        <i x="41" s="1" nd="1"/>
        <i x="352" s="1" nd="1"/>
        <i x="365" s="1" nd="1"/>
        <i x="67" s="1" nd="1"/>
        <i x="103" s="1" nd="1"/>
        <i x="265" s="1" nd="1"/>
        <i x="635" s="1" nd="1"/>
        <i x="458" s="1" nd="1"/>
        <i x="149" s="1" nd="1"/>
        <i x="316" s="1" nd="1"/>
        <i x="159" s="1" nd="1"/>
        <i x="167" s="1" nd="1"/>
        <i x="507" s="1" nd="1"/>
        <i x="530" s="1" nd="1"/>
        <i x="541" s="1" nd="1"/>
        <i x="59" s="1" nd="1"/>
        <i x="370" s="1" nd="1"/>
        <i x="552" s="1" nd="1"/>
        <i x="71" s="1" nd="1"/>
        <i x="385" s="1" nd="1"/>
        <i x="562" s="1" nd="1"/>
        <i x="577" s="1" nd="1"/>
        <i x="238" s="1" nd="1"/>
        <i x="98" s="1" nd="1"/>
        <i x="609" s="1" nd="1"/>
        <i x="116" s="1" nd="1"/>
        <i x="272" s="1" nd="1"/>
        <i x="430" s="1" nd="1"/>
        <i x="624" s="1" nd="1"/>
        <i x="131" s="1" nd="1"/>
        <i x="299" s="1" nd="1"/>
        <i x="663" s="1" nd="1"/>
        <i x="319" s="1" nd="1"/>
        <i x="490" s="1" nd="1"/>
        <i x="170" s="1" nd="1"/>
        <i x="31" s="1" nd="1"/>
        <i x="211" s="1" nd="1"/>
        <i x="376" s="1" nd="1"/>
        <i x="81" s="1" nd="1"/>
        <i x="408" s="1" nd="1"/>
        <i x="615" s="1" nd="1"/>
        <i x="629" s="1" nd="1"/>
        <i x="129" s="1" nd="1"/>
        <i x="326" s="1" nd="1"/>
        <i x="339" s="1" nd="1"/>
        <i x="38" s="1" nd="1"/>
        <i x="347" s="1" nd="1"/>
        <i x="529" s="1" nd="1"/>
        <i x="58" s="1" nd="1"/>
        <i x="228" s="1" nd="1"/>
        <i x="97" s="1" nd="1"/>
        <i x="412" s="1" nd="1"/>
        <i x="255" s="1" nd="1"/>
        <i x="608" s="1" nd="1"/>
        <i x="623" s="1" nd="1"/>
        <i x="451" s="1" nd="1"/>
        <i x="504" s="1" nd="1"/>
        <i x="536" s="1" nd="1"/>
        <i x="52" s="1" nd="1"/>
        <i x="66" s="1" nd="1"/>
        <i x="375" s="1" nd="1"/>
        <i x="603" s="1" nd="1"/>
        <i x="111" s="1" nd="1"/>
        <i x="264" s="1" nd="1"/>
        <i x="279" s="1" nd="1"/>
        <i x="135" s="1" nd="1"/>
        <i x="658" s="1" nd="1"/>
        <i x="148" s="1" nd="1"/>
        <i x="315" s="1" nd="1"/>
        <i x="481" s="1" nd="1"/>
        <i x="325" s="1" nd="1"/>
        <i x="27" s="1" nd="1"/>
        <i x="514" s="1" nd="1"/>
        <i x="215" s="1" nd="1"/>
        <i x="79" s="1" nd="1"/>
        <i x="88" s="1" nd="1"/>
        <i x="587" s="1" nd="1"/>
        <i x="429" s="1" nd="1"/>
        <i x="621" s="1" nd="1"/>
        <i x="308" s="1" nd="1"/>
        <i x="471" s="1" nd="1"/>
        <i x="163" s="1" nd="1"/>
        <i x="334" s="1" nd="1"/>
        <i x="511" s="1" nd="1"/>
        <i x="342" s="1" nd="1"/>
        <i x="364" s="1" nd="1"/>
        <i x="592" s="1" nd="1"/>
        <i x="263" s="1" nd="1"/>
        <i x="304" s="1" nd="1"/>
        <i x="480" s="1" nd="1"/>
        <i x="324" s="1" nd="1"/>
        <i x="338" s="1" nd="1"/>
        <i x="37" s="1" nd="1"/>
        <i x="185" s="1" nd="1"/>
        <i x="528" s="1" nd="1"/>
        <i x="70" s="1" nd="1"/>
        <i x="383" s="1" nd="1"/>
        <i x="661" s="1" nd="1"/>
        <i x="15" s="1" nd="1"/>
        <i x="330" s="1" nd="1"/>
        <i x="23" s="1" nd="1"/>
        <i x="510" s="1" nd="1"/>
        <i x="518" s="1" nd="1"/>
        <i x="351" s="1" nd="1"/>
        <i x="534" s="1" nd="1"/>
        <i x="203" s="1" nd="1"/>
        <i x="363" s="1" nd="1"/>
        <i x="582" s="1" nd="1"/>
        <i x="456" s="1" nd="1"/>
        <i x="650" s="1" nd="1"/>
        <i x="134" s="1" nd="1"/>
        <i x="147" s="1" nd="1"/>
        <i x="526" s="1" nd="1"/>
        <i x="420" s="1" nd="1"/>
        <i x="428" s="1" nd="1"/>
        <i x="123" s="1" nd="1"/>
        <i x="640" s="1" nd="1"/>
        <i x="470" s="1" nd="1"/>
        <i x="489"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38">
        <i x="0" s="1"/>
        <i x="1" s="1"/>
        <i x="2" s="1" nd="1"/>
        <i x="132" s="1" nd="1"/>
        <i x="120" s="1" nd="1"/>
        <i x="9" s="1" nd="1"/>
        <i x="133" s="1" nd="1"/>
        <i x="5" s="1" nd="1"/>
        <i x="32" s="1" nd="1"/>
        <i x="100" s="1" nd="1"/>
        <i x="55" s="1" nd="1"/>
        <i x="130" s="1" nd="1"/>
        <i x="46" s="1" nd="1"/>
        <i x="7" s="1" nd="1"/>
        <i x="101" s="1" nd="1"/>
        <i x="58" s="1" nd="1"/>
        <i x="63" s="1" nd="1"/>
        <i x="24" s="1" nd="1"/>
        <i x="134" s="1" nd="1"/>
        <i x="6" s="1" nd="1"/>
        <i x="128" s="1" nd="1"/>
        <i x="59" s="1" nd="1"/>
        <i x="66" s="1" nd="1"/>
        <i x="71" s="1" nd="1"/>
        <i x="47" s="1" nd="1"/>
        <i x="11" s="1" nd="1"/>
        <i x="114" s="1" nd="1"/>
        <i x="106" s="1" nd="1"/>
        <i x="74" s="1" nd="1"/>
        <i x="135" s="1" nd="1"/>
        <i x="75" s="1" nd="1"/>
        <i x="123" s="1" nd="1"/>
        <i x="95" s="1" nd="1"/>
        <i x="83" s="1" nd="1"/>
        <i x="108" s="1" nd="1"/>
        <i x="85" s="1" nd="1"/>
        <i x="56" s="1" nd="1"/>
        <i x="67" s="1" nd="1"/>
        <i x="64" s="1" nd="1"/>
        <i x="21" s="1" nd="1"/>
        <i x="44" s="1" nd="1"/>
        <i x="129" s="1" nd="1"/>
        <i x="136" s="1" nd="1"/>
        <i x="88" s="1" nd="1"/>
        <i x="111" s="1" nd="1"/>
        <i x="110" s="1" nd="1"/>
        <i x="10" s="1" nd="1"/>
        <i x="68" s="1" nd="1"/>
        <i x="45" s="1" nd="1"/>
        <i x="104" s="1" nd="1"/>
        <i x="28" s="1" nd="1"/>
        <i x="119" s="1" nd="1"/>
        <i x="12" s="1" nd="1"/>
        <i x="90" s="1" nd="1"/>
        <i x="102" s="1" nd="1"/>
        <i x="115" s="1" nd="1"/>
        <i x="124" s="1" nd="1"/>
        <i x="98" s="1" nd="1"/>
        <i x="25" s="1" nd="1"/>
        <i x="80" s="1" nd="1"/>
        <i x="76" s="1" nd="1"/>
        <i x="29" s="1" nd="1"/>
        <i x="109" s="1" nd="1"/>
        <i x="26" s="1" nd="1"/>
        <i x="69" s="1" nd="1"/>
        <i x="49" s="1" nd="1"/>
        <i x="42" s="1" nd="1"/>
        <i x="137" s="1" nd="1"/>
        <i x="3" s="1" nd="1"/>
        <i x="103" s="1" nd="1"/>
        <i x="15" s="1" nd="1"/>
        <i x="116" s="1" nd="1"/>
        <i x="50" s="1" nd="1"/>
        <i x="96" s="1" nd="1"/>
        <i x="65" s="1" nd="1"/>
        <i x="52" s="1" nd="1"/>
        <i x="33" s="1" nd="1"/>
        <i x="38" s="1" nd="1"/>
        <i x="117" s="1" nd="1"/>
        <i x="60" s="1" nd="1"/>
        <i x="36" s="1" nd="1"/>
        <i x="16" s="1" nd="1"/>
        <i x="39" s="1" nd="1"/>
        <i x="4" s="1" nd="1"/>
        <i x="92" s="1" nd="1"/>
        <i x="61" s="1" nd="1"/>
        <i x="19" s="1" nd="1"/>
        <i x="41" s="1" nd="1"/>
        <i x="27" s="1" nd="1"/>
        <i x="97" s="1" nd="1"/>
        <i x="17" s="1" nd="1"/>
        <i x="93" s="1" nd="1"/>
        <i x="30" s="1" nd="1"/>
        <i x="126" s="1" nd="1"/>
        <i x="77" s="1" nd="1"/>
        <i x="51" s="1" nd="1"/>
        <i x="53" s="1" nd="1"/>
        <i x="125" s="1" nd="1"/>
        <i x="84" s="1" nd="1"/>
        <i x="18" s="1" nd="1"/>
        <i x="105" s="1" nd="1"/>
        <i x="34" s="1" nd="1"/>
        <i x="13" s="1" nd="1"/>
        <i x="107" s="1" nd="1"/>
        <i x="91" s="1" nd="1"/>
        <i x="127" s="1" nd="1"/>
        <i x="86" s="1" nd="1"/>
        <i x="121" s="1" nd="1"/>
        <i x="8" s="1" nd="1"/>
        <i x="31" s="1" nd="1"/>
        <i x="72" s="1" nd="1"/>
        <i x="48" s="1" nd="1"/>
        <i x="94" s="1" nd="1"/>
        <i x="118" s="1" nd="1"/>
        <i x="78" s="1" nd="1"/>
        <i x="87" s="1" nd="1"/>
        <i x="35" s="1" nd="1"/>
        <i x="81" s="1" nd="1"/>
        <i x="99" s="1" nd="1"/>
        <i x="54" s="1" nd="1"/>
        <i x="70" s="1" nd="1"/>
        <i x="14" s="1" nd="1"/>
        <i x="37" s="1" nd="1"/>
        <i x="122" s="1" nd="1"/>
        <i x="23" s="1" nd="1"/>
        <i x="131" s="1" nd="1"/>
        <i x="43" s="1" nd="1"/>
        <i x="89" s="1" nd="1"/>
        <i x="57" s="1" nd="1"/>
        <i x="73" s="1" nd="1"/>
        <i x="20" s="1" nd="1"/>
        <i x="22" s="1" nd="1"/>
        <i x="40" s="1" nd="1"/>
        <i x="79" s="1" nd="1"/>
        <i x="112" s="1" nd="1"/>
        <i x="113" s="1" nd="1"/>
        <i x="62" s="1" nd="1"/>
        <i x="82"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312">
        <i x="4"/>
        <i x="1"/>
        <i x="10"/>
        <i x="7"/>
        <i x="3"/>
        <i x="2"/>
        <i x="11"/>
        <i x="5"/>
        <i x="9" s="1"/>
        <i x="12"/>
        <i x="13"/>
        <i x="0"/>
        <i x="14"/>
        <i x="8"/>
        <i x="6"/>
        <i x="303" nd="1"/>
        <i x="272" nd="1"/>
        <i x="136" nd="1"/>
        <i x="42" nd="1"/>
        <i x="114" nd="1"/>
        <i x="279" nd="1"/>
        <i x="304" nd="1"/>
        <i x="26" nd="1"/>
        <i x="268" nd="1"/>
        <i x="88" nd="1"/>
        <i x="225" nd="1"/>
        <i x="141" nd="1"/>
        <i x="84" nd="1"/>
        <i x="299" nd="1"/>
        <i x="124" nd="1"/>
        <i x="31" nd="1"/>
        <i x="234" nd="1"/>
        <i x="115" nd="1"/>
        <i x="172" nd="1"/>
        <i x="226" nd="1"/>
        <i x="147" nd="1"/>
        <i x="93" nd="1"/>
        <i x="237" nd="1"/>
        <i x="273" nd="1"/>
        <i x="153" nd="1"/>
        <i x="195" nd="1"/>
        <i x="125" nd="1"/>
        <i x="235" nd="1"/>
        <i x="21" nd="1"/>
        <i x="67" nd="1"/>
        <i x="94" nd="1"/>
        <i x="264" nd="1"/>
        <i x="305" nd="1"/>
        <i x="101" nd="1"/>
        <i x="27" nd="1"/>
        <i x="296" nd="1"/>
        <i x="95" nd="1"/>
        <i x="148" nd="1"/>
        <i x="107" nd="1"/>
        <i x="160" nd="1"/>
        <i x="168" nd="1"/>
        <i x="79" nd="1"/>
        <i x="126" nd="1"/>
        <i x="48" nd="1"/>
        <i x="258" nd="1"/>
        <i x="64" nd="1"/>
        <i x="68" nd="1"/>
        <i x="242" nd="1"/>
        <i x="173" nd="1"/>
        <i x="116" nd="1"/>
        <i x="212" nd="1"/>
        <i x="306" nd="1"/>
        <i x="243" nd="1"/>
        <i x="174" nd="1"/>
        <i x="280" nd="1"/>
        <i x="214" nd="1"/>
        <i x="137" nd="1"/>
        <i x="85" nd="1"/>
        <i x="32" nd="1"/>
        <i x="46" nd="1"/>
        <i x="215" nd="1"/>
        <i x="161" nd="1"/>
        <i x="185" nd="1"/>
        <i x="108" nd="1"/>
        <i x="300" nd="1"/>
        <i x="162" nd="1"/>
        <i x="244" nd="1"/>
        <i x="247" nd="1"/>
        <i x="189" nd="1"/>
        <i x="142" nd="1"/>
        <i x="163" nd="1"/>
        <i x="154" nd="1"/>
        <i x="61" nd="1"/>
        <i x="307" nd="1"/>
        <i x="122" nd="1"/>
        <i x="190" nd="1"/>
        <i x="297" nd="1"/>
        <i x="28" nd="1"/>
        <i x="213" nd="1"/>
        <i x="23" nd="1"/>
        <i x="179" nd="1"/>
        <i x="308" nd="1"/>
        <i x="43" nd="1"/>
        <i x="155" nd="1"/>
        <i x="196" nd="1"/>
        <i x="24" nd="1"/>
        <i x="285" nd="1"/>
        <i x="149" nd="1"/>
        <i x="253" nd="1"/>
        <i x="127" nd="1"/>
        <i x="249" nd="1"/>
        <i x="238" nd="1"/>
        <i x="255" nd="1"/>
        <i x="164" nd="1"/>
        <i x="123" nd="1"/>
        <i x="256" nd="1"/>
        <i x="236" nd="1"/>
        <i x="80" nd="1"/>
        <i x="269" nd="1"/>
        <i x="287" nd="1"/>
        <i x="49" nd="1"/>
        <i x="201" nd="1"/>
        <i x="218" nd="1"/>
        <i x="230" nd="1"/>
        <i x="259" nd="1"/>
        <i x="281" nd="1"/>
        <i x="63" nd="1"/>
        <i x="265" nd="1"/>
        <i x="180" nd="1"/>
        <i x="309" nd="1"/>
        <i x="219" nd="1"/>
        <i x="274" nd="1"/>
        <i x="96" nd="1"/>
        <i x="69" nd="1"/>
        <i x="128" nd="1"/>
        <i x="44" nd="1"/>
        <i x="181" nd="1"/>
        <i x="260" nd="1"/>
        <i x="175" nd="1"/>
        <i x="81" nd="1"/>
        <i x="248" nd="1"/>
        <i x="130" nd="1"/>
        <i x="70" nd="1"/>
        <i x="165" nd="1"/>
        <i x="250" nd="1"/>
        <i x="131" nd="1"/>
        <i x="120" nd="1"/>
        <i x="288" nd="1"/>
        <i x="310" nd="1"/>
        <i x="15" nd="1"/>
        <i x="282" nd="1"/>
        <i x="117" nd="1"/>
        <i x="311" nd="1"/>
        <i x="220" nd="1"/>
        <i x="227" nd="1"/>
        <i x="231" nd="1"/>
        <i x="55" nd="1"/>
        <i x="261" nd="1"/>
        <i x="223" nd="1"/>
        <i x="89" nd="1"/>
        <i x="132" nd="1"/>
        <i x="239" nd="1"/>
        <i x="197" nd="1"/>
        <i x="71" nd="1"/>
        <i x="216" nd="1"/>
        <i x="109" nd="1"/>
        <i x="156" nd="1"/>
        <i x="138" nd="1"/>
        <i x="90" nd="1"/>
        <i x="36" nd="1"/>
        <i x="157" nd="1"/>
        <i x="198" nd="1"/>
        <i x="110" nd="1"/>
        <i x="262" nd="1"/>
        <i x="150" nd="1"/>
        <i x="133" nd="1"/>
        <i x="158" nd="1"/>
        <i x="102" nd="1"/>
        <i x="245" nd="1"/>
        <i x="166" nd="1"/>
        <i x="86" nd="1"/>
        <i x="56" nd="1"/>
        <i x="111" nd="1"/>
        <i x="16" nd="1"/>
        <i x="65" nd="1"/>
        <i x="47" nd="1"/>
        <i x="25" nd="1"/>
        <i x="221" nd="1"/>
        <i x="275" nd="1"/>
        <i x="50" nd="1"/>
        <i x="207" nd="1"/>
        <i x="151" nd="1"/>
        <i x="91" nd="1"/>
        <i x="59" nd="1"/>
        <i x="118" nd="1"/>
        <i x="72" nd="1"/>
        <i x="217" nd="1"/>
        <i x="270" nd="1"/>
        <i x="103" nd="1"/>
        <i x="57" nd="1"/>
        <i x="112" nd="1"/>
        <i x="208" nd="1"/>
        <i x="33" nd="1"/>
        <i x="224" nd="1"/>
        <i x="283" nd="1"/>
        <i x="191" nd="1"/>
        <i x="17" nd="1"/>
        <i x="251" nd="1"/>
        <i x="82" nd="1"/>
        <i x="74" nd="1"/>
        <i x="40" nd="1"/>
        <i x="34" nd="1"/>
        <i x="176" nd="1"/>
        <i x="134" nd="1"/>
        <i x="135" nd="1"/>
        <i x="73" nd="1"/>
        <i x="139" nd="1"/>
        <i x="38" nd="1"/>
        <i x="289" nd="1"/>
        <i x="292" nd="1"/>
        <i x="186" nd="1"/>
        <i x="45" nd="1"/>
        <i x="58" nd="1"/>
        <i x="240" nd="1"/>
        <i x="97" nd="1"/>
        <i x="51" nd="1"/>
        <i x="182" nd="1"/>
        <i x="246" nd="1"/>
        <i x="202" nd="1"/>
        <i x="75" nd="1"/>
        <i x="293" nd="1"/>
        <i x="18" nd="1"/>
        <i x="192" nd="1"/>
        <i x="98" nd="1"/>
        <i x="290" nd="1"/>
        <i x="203" nd="1"/>
        <i x="29" nd="1"/>
        <i x="276" nd="1"/>
        <i x="41" nd="1"/>
        <i x="87" nd="1"/>
        <i x="169" nd="1"/>
        <i x="129" nd="1"/>
        <i x="209" nd="1"/>
        <i x="263" nd="1"/>
        <i x="177" nd="1"/>
        <i x="193" nd="1"/>
        <i x="99" nd="1"/>
        <i x="252" nd="1"/>
        <i x="199" nd="1"/>
        <i x="39" nd="1"/>
        <i x="104" nd="1"/>
        <i x="37" nd="1"/>
        <i x="83" nd="1"/>
        <i x="100" nd="1"/>
        <i x="119" nd="1"/>
        <i x="271" nd="1"/>
        <i x="52" nd="1"/>
        <i x="183" nd="1"/>
        <i x="204" nd="1"/>
        <i x="76" nd="1"/>
        <i x="222" nd="1"/>
        <i x="210" nd="1"/>
        <i x="159" nd="1"/>
        <i x="140" nd="1"/>
        <i x="167" nd="1"/>
        <i x="53" nd="1"/>
        <i x="105" nd="1"/>
        <i x="143" nd="1"/>
        <i x="277" nd="1"/>
        <i x="170" nd="1"/>
        <i x="22" nd="1"/>
        <i x="66" nd="1"/>
        <i x="241" nd="1"/>
        <i x="301" nd="1"/>
        <i x="121" nd="1"/>
        <i x="200" nd="1"/>
        <i x="228" nd="1"/>
        <i x="54" nd="1"/>
        <i x="144" nd="1"/>
        <i x="278" nd="1"/>
        <i x="171" nd="1"/>
        <i x="232" nd="1"/>
        <i x="187" nd="1"/>
        <i x="211" nd="1"/>
        <i x="60" nd="1"/>
        <i x="194" nd="1"/>
        <i x="205" nd="1"/>
        <i x="145" nd="1"/>
        <i x="294" nd="1"/>
        <i x="284" nd="1"/>
        <i x="206" nd="1"/>
        <i x="30" nd="1"/>
        <i x="233" nd="1"/>
        <i x="295" nd="1"/>
        <i x="106" nd="1"/>
        <i x="19" nd="1"/>
        <i x="298" nd="1"/>
        <i x="62" nd="1"/>
        <i x="229" nd="1"/>
        <i x="113" nd="1"/>
        <i x="35" nd="1"/>
        <i x="178" nd="1"/>
        <i x="266" nd="1"/>
        <i x="254" nd="1"/>
        <i x="286" nd="1"/>
        <i x="20" nd="1"/>
        <i x="92" nd="1"/>
        <i x="257" nd="1"/>
        <i x="77" nd="1"/>
        <i x="78" nd="1"/>
        <i x="152" nd="1"/>
        <i x="302" nd="1"/>
        <i x="291" nd="1"/>
        <i x="184" nd="1"/>
        <i x="146" nd="1"/>
        <i x="188" nd="1"/>
        <i x="26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3"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7"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 name="PROCESSID 3" cache="Slicer_PROCESSID111" caption="PROCESSID" startItem="7"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237" tableType="queryTable" totalsRowShown="0">
  <autoFilter ref="A1:J1237"/>
  <sortState ref="A2:J1237">
    <sortCondition descending="1" ref="F2:F175"/>
    <sortCondition ref="E2:E175"/>
  </sortState>
  <tableColumns count="10">
    <tableColumn id="5" uniqueName="5" name="SIMULATIONID" queryTableFieldId="13" dataDxfId="16"/>
    <tableColumn id="1" uniqueName="1" name="PROCESSID" queryTableFieldId="1"/>
    <tableColumn id="12" uniqueName="12" name="NETPROCESSID" queryTableFieldId="29" dataDxfId="15"/>
    <tableColumn id="2" uniqueName="2" name="CLIENTNAME" queryTableFieldId="2"/>
    <tableColumn id="4" uniqueName="4" name="SEQUENCEID" queryTableFieldId="34" dataDxfId="14"/>
    <tableColumn id="3" uniqueName="3" name="CLIENTSTART" queryTableFieldId="3" dataDxfId="13"/>
    <tableColumn id="7" uniqueName="7" name="DOTRAINING" queryTableFieldId="7"/>
    <tableColumn id="6" uniqueName="6" name="SIMULATIONSTARTTRAIN" queryTableFieldId="10" dataDxfId="12"/>
    <tableColumn id="10" uniqueName="10" name="SIMULATIONSTARTINFER" queryTableFieldId="11" dataDxfId="11"/>
    <tableColumn id="9" uniqueName="9" name="Duration" queryTableFieldId="33" dataDxfId="1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297</v>
      </c>
      <c r="B1" s="29">
        <v>10</v>
      </c>
    </row>
    <row r="2" spans="1:8" x14ac:dyDescent="0.25">
      <c r="A2" t="s">
        <v>296</v>
      </c>
      <c r="B2" s="29">
        <v>3</v>
      </c>
    </row>
    <row r="3" spans="1:8" x14ac:dyDescent="0.25">
      <c r="A3" t="s">
        <v>295</v>
      </c>
      <c r="B3" s="29">
        <v>4</v>
      </c>
    </row>
    <row r="4" spans="1:8" x14ac:dyDescent="0.25">
      <c r="A4" t="s">
        <v>294</v>
      </c>
      <c r="B4" s="29">
        <v>20</v>
      </c>
    </row>
    <row r="5" spans="1:8" x14ac:dyDescent="0.25">
      <c r="A5" t="s">
        <v>293</v>
      </c>
      <c r="B5" s="29" t="b">
        <v>1</v>
      </c>
    </row>
    <row r="6" spans="1:8" x14ac:dyDescent="0.25">
      <c r="A6" t="s">
        <v>292</v>
      </c>
      <c r="B6" s="29" t="b">
        <v>1</v>
      </c>
      <c r="F6" s="5" t="s">
        <v>291</v>
      </c>
      <c r="G6" s="30">
        <f>SUM(G8:G15)</f>
        <v>3123</v>
      </c>
      <c r="H6" s="30">
        <f>SUM(H8:H15)</f>
        <v>2167362</v>
      </c>
    </row>
    <row r="7" spans="1:8" x14ac:dyDescent="0.25">
      <c r="C7" t="s">
        <v>290</v>
      </c>
      <c r="E7" t="s">
        <v>289</v>
      </c>
      <c r="F7" t="s">
        <v>288</v>
      </c>
      <c r="G7" s="30" t="s">
        <v>287</v>
      </c>
      <c r="H7" s="30" t="s">
        <v>286</v>
      </c>
    </row>
    <row r="8" spans="1:8" x14ac:dyDescent="0.25">
      <c r="A8" t="s">
        <v>285</v>
      </c>
      <c r="B8">
        <f>COUNT(C8:C24)+2</f>
        <v>3</v>
      </c>
      <c r="C8" s="29">
        <v>1</v>
      </c>
      <c r="E8">
        <v>0</v>
      </c>
      <c r="F8">
        <f>+B1*B3*B4+IF(B6,1,0)</f>
        <v>801</v>
      </c>
      <c r="G8" s="28">
        <f t="shared" ref="G8:G14" si="0">F8+IF($B$5,G9,0)</f>
        <v>1842</v>
      </c>
      <c r="H8" s="28"/>
    </row>
    <row r="9" spans="1:8" x14ac:dyDescent="0.25">
      <c r="A9" t="s">
        <v>284</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zoomScale="85" zoomScaleNormal="85" workbookViewId="0">
      <selection activeCell="C7" sqref="C7"/>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3.1952834688127002E-3</v>
      </c>
    </row>
    <row r="2" spans="1:6" x14ac:dyDescent="0.25">
      <c r="A2" s="2">
        <v>0</v>
      </c>
      <c r="B2" s="3">
        <v>7.5544430874288099E-3</v>
      </c>
      <c r="C2" s="4">
        <v>1844</v>
      </c>
      <c r="E2" s="5" t="s">
        <v>116</v>
      </c>
      <c r="F2" s="4">
        <f>GETPIVOTDATA("Average of DURATION",$A$1)</f>
        <v>1832.8133333333333</v>
      </c>
    </row>
    <row r="3" spans="1:6" x14ac:dyDescent="0.25">
      <c r="A3" s="2">
        <v>1</v>
      </c>
      <c r="B3" s="3">
        <v>4.5651360414922203E-3</v>
      </c>
      <c r="C3" s="4">
        <v>1803</v>
      </c>
    </row>
    <row r="4" spans="1:6" x14ac:dyDescent="0.25">
      <c r="A4" s="2">
        <v>2</v>
      </c>
      <c r="B4" s="3">
        <v>3.6444794386625299E-3</v>
      </c>
      <c r="C4" s="4">
        <v>1805</v>
      </c>
    </row>
    <row r="5" spans="1:6" x14ac:dyDescent="0.25">
      <c r="A5" s="2">
        <v>3</v>
      </c>
      <c r="B5" s="3">
        <v>3.5057824570685599E-3</v>
      </c>
      <c r="C5" s="4">
        <v>1823</v>
      </c>
    </row>
    <row r="6" spans="1:6" x14ac:dyDescent="0.25">
      <c r="A6" s="2">
        <v>4</v>
      </c>
      <c r="B6" s="3">
        <v>3.44414566643536E-3</v>
      </c>
      <c r="C6" s="4">
        <v>1804</v>
      </c>
    </row>
    <row r="7" spans="1:6" x14ac:dyDescent="0.25">
      <c r="A7" s="2">
        <v>5</v>
      </c>
      <c r="B7" s="3">
        <v>3.3924982417374802E-3</v>
      </c>
      <c r="C7" s="4">
        <v>1827</v>
      </c>
    </row>
    <row r="8" spans="1:6" x14ac:dyDescent="0.25">
      <c r="A8" s="2">
        <v>6</v>
      </c>
      <c r="B8" s="3">
        <v>3.4142783842980901E-3</v>
      </c>
      <c r="C8" s="4">
        <v>1898</v>
      </c>
    </row>
    <row r="9" spans="1:6" x14ac:dyDescent="0.25">
      <c r="A9" s="2">
        <v>7</v>
      </c>
      <c r="B9" s="3">
        <v>3.3333995379507498E-3</v>
      </c>
      <c r="C9" s="4">
        <v>1804</v>
      </c>
    </row>
    <row r="10" spans="1:6" x14ac:dyDescent="0.25">
      <c r="A10" s="2">
        <v>8</v>
      </c>
      <c r="B10" s="3">
        <v>3.3221947960555601E-3</v>
      </c>
      <c r="C10" s="4">
        <v>1804</v>
      </c>
    </row>
    <row r="11" spans="1:6" x14ac:dyDescent="0.25">
      <c r="A11" s="2">
        <v>9</v>
      </c>
      <c r="B11" s="3">
        <v>3.3175505232065899E-3</v>
      </c>
      <c r="C11" s="4">
        <v>1802</v>
      </c>
    </row>
    <row r="12" spans="1:6" x14ac:dyDescent="0.25">
      <c r="A12" s="2">
        <v>10</v>
      </c>
      <c r="B12" s="3">
        <v>3.2938378863036598E-3</v>
      </c>
      <c r="C12" s="4">
        <v>1819</v>
      </c>
    </row>
    <row r="13" spans="1:6" x14ac:dyDescent="0.25">
      <c r="A13" s="2">
        <v>11</v>
      </c>
      <c r="B13" s="3">
        <v>3.2995224464684699E-3</v>
      </c>
      <c r="C13" s="4">
        <v>1911</v>
      </c>
    </row>
    <row r="14" spans="1:6" x14ac:dyDescent="0.25">
      <c r="A14" s="2">
        <v>12</v>
      </c>
      <c r="B14" s="3">
        <v>3.30204167403281E-3</v>
      </c>
      <c r="C14" s="4">
        <v>1829</v>
      </c>
    </row>
    <row r="15" spans="1:6" x14ac:dyDescent="0.25">
      <c r="A15" s="2">
        <v>13</v>
      </c>
      <c r="B15" s="3">
        <v>3.27929644845426E-3</v>
      </c>
      <c r="C15" s="4">
        <v>1802</v>
      </c>
    </row>
    <row r="16" spans="1:6" x14ac:dyDescent="0.25">
      <c r="A16" s="2">
        <v>14</v>
      </c>
      <c r="B16" s="3">
        <v>3.2878278288990298E-3</v>
      </c>
      <c r="C16" s="4">
        <v>1806</v>
      </c>
    </row>
    <row r="17" spans="1:3" x14ac:dyDescent="0.25">
      <c r="A17" s="2">
        <v>15</v>
      </c>
      <c r="B17" s="3">
        <v>3.2782184425741399E-3</v>
      </c>
      <c r="C17" s="4">
        <v>1866</v>
      </c>
    </row>
    <row r="18" spans="1:3" x14ac:dyDescent="0.25">
      <c r="A18" s="2">
        <v>16</v>
      </c>
      <c r="B18" s="3">
        <v>3.26258619315922E-3</v>
      </c>
      <c r="C18" s="4">
        <v>1803</v>
      </c>
    </row>
    <row r="19" spans="1:3" x14ac:dyDescent="0.25">
      <c r="A19" s="2">
        <v>17</v>
      </c>
      <c r="B19" s="3">
        <v>3.2980507239699398E-3</v>
      </c>
      <c r="C19" s="4">
        <v>1940</v>
      </c>
    </row>
    <row r="20" spans="1:3" x14ac:dyDescent="0.25">
      <c r="A20" s="2">
        <v>18</v>
      </c>
      <c r="B20" s="3">
        <v>3.2734442502260199E-3</v>
      </c>
      <c r="C20" s="4">
        <v>1807</v>
      </c>
    </row>
    <row r="21" spans="1:3" x14ac:dyDescent="0.25">
      <c r="A21" s="2">
        <v>19</v>
      </c>
      <c r="B21" s="3">
        <v>3.25151020660996E-3</v>
      </c>
      <c r="C21" s="4">
        <v>1804</v>
      </c>
    </row>
    <row r="22" spans="1:3" x14ac:dyDescent="0.25">
      <c r="A22" s="2">
        <v>20</v>
      </c>
      <c r="B22" s="3">
        <v>3.2974563073366902E-3</v>
      </c>
      <c r="C22" s="4">
        <v>1803</v>
      </c>
    </row>
    <row r="23" spans="1:3" x14ac:dyDescent="0.25">
      <c r="A23" s="2">
        <v>21</v>
      </c>
      <c r="B23" s="3">
        <v>3.2704742625355699E-3</v>
      </c>
      <c r="C23" s="4">
        <v>1807</v>
      </c>
    </row>
    <row r="24" spans="1:3" x14ac:dyDescent="0.25">
      <c r="A24" s="2">
        <v>22</v>
      </c>
      <c r="B24" s="3">
        <v>3.2521013636141998E-3</v>
      </c>
      <c r="C24" s="4">
        <v>1828</v>
      </c>
    </row>
    <row r="25" spans="1:3" x14ac:dyDescent="0.25">
      <c r="A25" s="2">
        <v>23</v>
      </c>
      <c r="B25" s="3">
        <v>3.2594201620668199E-3</v>
      </c>
      <c r="C25" s="4">
        <v>1801</v>
      </c>
    </row>
    <row r="26" spans="1:3" x14ac:dyDescent="0.25">
      <c r="A26" s="2">
        <v>24</v>
      </c>
      <c r="B26" s="3">
        <v>3.2639205455779999E-3</v>
      </c>
      <c r="C26" s="4">
        <v>1968</v>
      </c>
    </row>
    <row r="27" spans="1:3" x14ac:dyDescent="0.25">
      <c r="A27" s="2">
        <v>25</v>
      </c>
      <c r="B27" s="3">
        <v>3.2460934016853601E-3</v>
      </c>
      <c r="C27" s="4">
        <v>1846</v>
      </c>
    </row>
    <row r="28" spans="1:3" x14ac:dyDescent="0.25">
      <c r="A28" s="2">
        <v>26</v>
      </c>
      <c r="B28" s="3">
        <v>3.2484675757586999E-3</v>
      </c>
      <c r="C28" s="4">
        <v>1819</v>
      </c>
    </row>
    <row r="29" spans="1:3" x14ac:dyDescent="0.25">
      <c r="A29" s="2">
        <v>27</v>
      </c>
      <c r="B29" s="3">
        <v>3.28436587005854E-3</v>
      </c>
      <c r="C29" s="4">
        <v>1803</v>
      </c>
    </row>
    <row r="30" spans="1:3" x14ac:dyDescent="0.25">
      <c r="A30" s="2">
        <v>28</v>
      </c>
      <c r="B30" s="3">
        <v>3.2714845146983901E-3</v>
      </c>
      <c r="C30" s="4">
        <v>1805</v>
      </c>
    </row>
    <row r="31" spans="1:3" x14ac:dyDescent="0.25">
      <c r="A31" s="2">
        <v>29</v>
      </c>
      <c r="B31" s="3">
        <v>3.2495772466063499E-3</v>
      </c>
      <c r="C31" s="4">
        <v>1803</v>
      </c>
    </row>
    <row r="32" spans="1:3" x14ac:dyDescent="0.25">
      <c r="A32" s="2">
        <v>30</v>
      </c>
      <c r="B32" s="3">
        <v>3.2885356340557302E-3</v>
      </c>
      <c r="C32" s="4">
        <v>1804</v>
      </c>
    </row>
    <row r="33" spans="1:3" x14ac:dyDescent="0.25">
      <c r="A33" s="2">
        <v>31</v>
      </c>
      <c r="B33" s="3">
        <v>3.2487197313457701E-3</v>
      </c>
      <c r="C33" s="4">
        <v>1805</v>
      </c>
    </row>
    <row r="34" spans="1:3" x14ac:dyDescent="0.25">
      <c r="A34" s="2">
        <v>32</v>
      </c>
      <c r="B34" s="3">
        <v>3.2520166132599098E-3</v>
      </c>
      <c r="C34" s="4">
        <v>1858</v>
      </c>
    </row>
    <row r="35" spans="1:3" x14ac:dyDescent="0.25">
      <c r="A35" s="2">
        <v>33</v>
      </c>
      <c r="B35" s="3">
        <v>3.2858541235327699E-3</v>
      </c>
      <c r="C35" s="4">
        <v>1950</v>
      </c>
    </row>
    <row r="36" spans="1:3" x14ac:dyDescent="0.25">
      <c r="A36" s="2">
        <v>34</v>
      </c>
      <c r="B36" s="3">
        <v>3.2409075647592501E-3</v>
      </c>
      <c r="C36" s="4">
        <v>1801</v>
      </c>
    </row>
    <row r="37" spans="1:3" x14ac:dyDescent="0.25">
      <c r="A37" s="2">
        <v>35</v>
      </c>
      <c r="B37" s="3">
        <v>3.23455827310681E-3</v>
      </c>
      <c r="C37" s="4">
        <v>1804</v>
      </c>
    </row>
    <row r="38" spans="1:3" x14ac:dyDescent="0.25">
      <c r="A38" s="2">
        <v>36</v>
      </c>
      <c r="B38" s="3">
        <v>3.2504927366972E-3</v>
      </c>
      <c r="C38" s="4">
        <v>1808</v>
      </c>
    </row>
    <row r="39" spans="1:3" x14ac:dyDescent="0.25">
      <c r="A39" s="2">
        <v>37</v>
      </c>
      <c r="B39" s="3">
        <v>3.2414866145700199E-3</v>
      </c>
      <c r="C39" s="4">
        <v>1806</v>
      </c>
    </row>
    <row r="40" spans="1:3" x14ac:dyDescent="0.25">
      <c r="A40" s="2">
        <v>38</v>
      </c>
      <c r="B40" s="3">
        <v>3.2408782280981502E-3</v>
      </c>
      <c r="C40" s="4">
        <v>1802</v>
      </c>
    </row>
    <row r="41" spans="1:3" x14ac:dyDescent="0.25">
      <c r="A41" s="2">
        <v>39</v>
      </c>
      <c r="B41" s="3">
        <v>3.2925701234489701E-3</v>
      </c>
      <c r="C41" s="4">
        <v>1802</v>
      </c>
    </row>
    <row r="42" spans="1:3" x14ac:dyDescent="0.25">
      <c r="A42" s="2">
        <v>40</v>
      </c>
      <c r="B42" s="3">
        <v>3.2639387063682101E-3</v>
      </c>
      <c r="C42" s="4">
        <v>1893</v>
      </c>
    </row>
    <row r="43" spans="1:3" x14ac:dyDescent="0.25">
      <c r="A43" s="2">
        <v>41</v>
      </c>
      <c r="B43" s="3">
        <v>3.2485534902662E-3</v>
      </c>
      <c r="C43" s="4">
        <v>1806</v>
      </c>
    </row>
    <row r="44" spans="1:3" x14ac:dyDescent="0.25">
      <c r="A44" s="2">
        <v>42</v>
      </c>
      <c r="B44" s="3">
        <v>3.2740072347223802E-3</v>
      </c>
      <c r="C44" s="4">
        <v>1948</v>
      </c>
    </row>
    <row r="45" spans="1:3" x14ac:dyDescent="0.25">
      <c r="A45" s="2">
        <v>43</v>
      </c>
      <c r="B45" s="3">
        <v>3.2453942112624602E-3</v>
      </c>
      <c r="C45" s="4">
        <v>1933</v>
      </c>
    </row>
    <row r="46" spans="1:3" x14ac:dyDescent="0.25">
      <c r="A46" s="2">
        <v>44</v>
      </c>
      <c r="B46" s="3">
        <v>3.2223928719759E-3</v>
      </c>
      <c r="C46" s="4">
        <v>1816</v>
      </c>
    </row>
    <row r="47" spans="1:3" x14ac:dyDescent="0.25">
      <c r="A47" s="2">
        <v>45</v>
      </c>
      <c r="B47" s="3">
        <v>3.2343869097530798E-3</v>
      </c>
      <c r="C47" s="4">
        <v>1869</v>
      </c>
    </row>
    <row r="48" spans="1:3" x14ac:dyDescent="0.25">
      <c r="A48" s="2">
        <v>46</v>
      </c>
      <c r="B48" s="3">
        <v>3.23796691372991E-3</v>
      </c>
      <c r="C48" s="4">
        <v>1813</v>
      </c>
    </row>
    <row r="49" spans="1:3" x14ac:dyDescent="0.25">
      <c r="A49" s="2">
        <v>47</v>
      </c>
      <c r="B49" s="3">
        <v>3.2230094075202899E-3</v>
      </c>
      <c r="C49" s="4">
        <v>1816</v>
      </c>
    </row>
    <row r="50" spans="1:3" x14ac:dyDescent="0.25">
      <c r="A50" s="2">
        <v>48</v>
      </c>
      <c r="B50" s="3">
        <v>3.2366181258112201E-3</v>
      </c>
      <c r="C50" s="4">
        <v>1831</v>
      </c>
    </row>
    <row r="51" spans="1:3" x14ac:dyDescent="0.25">
      <c r="A51" s="2">
        <v>49</v>
      </c>
      <c r="B51" s="3">
        <v>3.2731858082115698E-3</v>
      </c>
      <c r="C51" s="4">
        <v>1819</v>
      </c>
    </row>
    <row r="52" spans="1:3" x14ac:dyDescent="0.25">
      <c r="A52" s="2">
        <v>50</v>
      </c>
      <c r="B52" s="3">
        <v>3.2624483574181799E-3</v>
      </c>
      <c r="C52" s="4">
        <v>1831</v>
      </c>
    </row>
    <row r="53" spans="1:3" x14ac:dyDescent="0.25">
      <c r="A53" s="2">
        <v>51</v>
      </c>
      <c r="B53" s="3">
        <v>3.2983398996293501E-3</v>
      </c>
      <c r="C53" s="4">
        <v>1839</v>
      </c>
    </row>
    <row r="54" spans="1:3" x14ac:dyDescent="0.25">
      <c r="A54" s="2">
        <v>52</v>
      </c>
      <c r="B54" s="3">
        <v>3.2645033206790699E-3</v>
      </c>
      <c r="C54" s="4">
        <v>1806</v>
      </c>
    </row>
    <row r="55" spans="1:3" x14ac:dyDescent="0.25">
      <c r="A55" s="2">
        <v>53</v>
      </c>
      <c r="B55" s="3">
        <v>3.2495155464857799E-3</v>
      </c>
      <c r="C55" s="4">
        <v>1809</v>
      </c>
    </row>
    <row r="56" spans="1:3" x14ac:dyDescent="0.25">
      <c r="A56" s="2">
        <v>54</v>
      </c>
      <c r="B56" s="3">
        <v>3.2539004459977098E-3</v>
      </c>
      <c r="C56" s="4">
        <v>1820</v>
      </c>
    </row>
    <row r="57" spans="1:3" x14ac:dyDescent="0.25">
      <c r="A57" s="2">
        <v>55</v>
      </c>
      <c r="B57" s="3">
        <v>3.2412298023700701E-3</v>
      </c>
      <c r="C57" s="4">
        <v>1819</v>
      </c>
    </row>
    <row r="58" spans="1:3" x14ac:dyDescent="0.25">
      <c r="A58" s="2">
        <v>56</v>
      </c>
      <c r="B58" s="3">
        <v>3.2210845965892098E-3</v>
      </c>
      <c r="C58" s="4">
        <v>1817</v>
      </c>
    </row>
    <row r="59" spans="1:3" x14ac:dyDescent="0.25">
      <c r="A59" s="2">
        <v>57</v>
      </c>
      <c r="B59" s="3">
        <v>3.2712952233850999E-3</v>
      </c>
      <c r="C59" s="4">
        <v>1806</v>
      </c>
    </row>
    <row r="60" spans="1:3" x14ac:dyDescent="0.25">
      <c r="A60" s="2">
        <v>58</v>
      </c>
      <c r="B60" s="3">
        <v>3.2346700318157699E-3</v>
      </c>
      <c r="C60" s="4">
        <v>1808</v>
      </c>
    </row>
    <row r="61" spans="1:3" x14ac:dyDescent="0.25">
      <c r="A61" s="2">
        <v>59</v>
      </c>
      <c r="B61" s="3">
        <v>3.3088922500610399E-3</v>
      </c>
      <c r="C61" s="4">
        <v>1805</v>
      </c>
    </row>
    <row r="62" spans="1:3" x14ac:dyDescent="0.25">
      <c r="A62" s="2">
        <v>60</v>
      </c>
      <c r="B62" s="3">
        <v>3.26272286474705E-3</v>
      </c>
      <c r="C62" s="4">
        <v>1842</v>
      </c>
    </row>
    <row r="63" spans="1:3" x14ac:dyDescent="0.25">
      <c r="A63" s="2">
        <v>61</v>
      </c>
      <c r="B63" s="3">
        <v>3.2191337086260301E-3</v>
      </c>
      <c r="C63" s="4">
        <v>1810</v>
      </c>
    </row>
    <row r="64" spans="1:3" x14ac:dyDescent="0.25">
      <c r="A64" s="2">
        <v>62</v>
      </c>
      <c r="B64" s="3">
        <v>3.2114225905388598E-3</v>
      </c>
      <c r="C64" s="4">
        <v>1864</v>
      </c>
    </row>
    <row r="65" spans="1:3" x14ac:dyDescent="0.25">
      <c r="A65" s="2">
        <v>63</v>
      </c>
      <c r="B65" s="3">
        <v>3.2169693149626298E-3</v>
      </c>
      <c r="C65" s="4">
        <v>1808</v>
      </c>
    </row>
    <row r="66" spans="1:3" x14ac:dyDescent="0.25">
      <c r="A66" s="2">
        <v>64</v>
      </c>
      <c r="B66" s="3">
        <v>3.2624043524265298E-3</v>
      </c>
      <c r="C66" s="4">
        <v>1909</v>
      </c>
    </row>
    <row r="67" spans="1:3" x14ac:dyDescent="0.25">
      <c r="A67" s="2">
        <v>65</v>
      </c>
      <c r="B67" s="3">
        <v>3.23755759745836E-3</v>
      </c>
      <c r="C67" s="4">
        <v>1812</v>
      </c>
    </row>
    <row r="68" spans="1:3" x14ac:dyDescent="0.25">
      <c r="A68" s="2">
        <v>66</v>
      </c>
      <c r="B68" s="3">
        <v>3.30847897566855E-3</v>
      </c>
      <c r="C68" s="4">
        <v>1818</v>
      </c>
    </row>
    <row r="69" spans="1:3" x14ac:dyDescent="0.25">
      <c r="A69" s="2">
        <v>67</v>
      </c>
      <c r="B69" s="3">
        <v>3.2724766060710001E-3</v>
      </c>
      <c r="C69" s="4">
        <v>1803</v>
      </c>
    </row>
    <row r="70" spans="1:3" x14ac:dyDescent="0.25">
      <c r="A70" s="2">
        <v>68</v>
      </c>
      <c r="B70" s="3">
        <v>3.2482137903571098E-3</v>
      </c>
      <c r="C70" s="4">
        <v>1806</v>
      </c>
    </row>
    <row r="71" spans="1:3" x14ac:dyDescent="0.25">
      <c r="A71" s="2">
        <v>69</v>
      </c>
      <c r="B71" s="3">
        <v>3.2673254609108002E-3</v>
      </c>
      <c r="C71" s="4">
        <v>1807</v>
      </c>
    </row>
    <row r="72" spans="1:3" x14ac:dyDescent="0.25">
      <c r="A72" s="2">
        <v>70</v>
      </c>
      <c r="B72" s="3">
        <v>3.2514804042875801E-3</v>
      </c>
      <c r="C72" s="4">
        <v>1874</v>
      </c>
    </row>
    <row r="73" spans="1:3" x14ac:dyDescent="0.25">
      <c r="A73" s="2">
        <v>71</v>
      </c>
      <c r="B73" s="3">
        <v>3.24232433922589E-3</v>
      </c>
      <c r="C73" s="4">
        <v>1869</v>
      </c>
    </row>
    <row r="74" spans="1:3" x14ac:dyDescent="0.25">
      <c r="A74" s="2">
        <v>72</v>
      </c>
      <c r="B74" s="3">
        <v>3.3130862284451701E-3</v>
      </c>
      <c r="C74" s="4">
        <v>1835</v>
      </c>
    </row>
    <row r="75" spans="1:3" x14ac:dyDescent="0.25">
      <c r="A75" s="2">
        <v>73</v>
      </c>
      <c r="B75" s="3">
        <v>3.2158568501472499E-3</v>
      </c>
      <c r="C75" s="4">
        <v>1808</v>
      </c>
    </row>
    <row r="76" spans="1:3" x14ac:dyDescent="0.25">
      <c r="A76" s="2">
        <v>74</v>
      </c>
      <c r="B76" s="3">
        <v>3.2473220489919199E-3</v>
      </c>
      <c r="C76" s="4">
        <v>1805</v>
      </c>
    </row>
    <row r="77" spans="1:3" x14ac:dyDescent="0.25">
      <c r="A77" s="2">
        <v>75</v>
      </c>
      <c r="B77" s="3">
        <v>3.26227839104831E-3</v>
      </c>
      <c r="C77" s="4">
        <v>1821</v>
      </c>
    </row>
    <row r="78" spans="1:3" x14ac:dyDescent="0.25">
      <c r="A78" s="2">
        <v>76</v>
      </c>
      <c r="B78" s="3">
        <v>3.2189348712563502E-3</v>
      </c>
      <c r="C78" s="4">
        <v>1815</v>
      </c>
    </row>
    <row r="79" spans="1:3" x14ac:dyDescent="0.25">
      <c r="A79" s="2">
        <v>77</v>
      </c>
      <c r="B79" s="3">
        <v>3.2716649584472201E-3</v>
      </c>
      <c r="C79" s="4">
        <v>1809</v>
      </c>
    </row>
    <row r="80" spans="1:3" x14ac:dyDescent="0.25">
      <c r="A80" s="2">
        <v>78</v>
      </c>
      <c r="B80" s="3">
        <v>3.3103195019066299E-3</v>
      </c>
      <c r="C80" s="4">
        <v>1804</v>
      </c>
    </row>
    <row r="81" spans="1:3" x14ac:dyDescent="0.25">
      <c r="A81" s="2">
        <v>79</v>
      </c>
      <c r="B81" s="3">
        <v>3.25495563447475E-3</v>
      </c>
      <c r="C81" s="4">
        <v>1803</v>
      </c>
    </row>
    <row r="82" spans="1:3" x14ac:dyDescent="0.25">
      <c r="A82" s="2">
        <v>80</v>
      </c>
      <c r="B82" s="3">
        <v>3.2500762026757002E-3</v>
      </c>
      <c r="C82" s="4">
        <v>1903</v>
      </c>
    </row>
    <row r="83" spans="1:3" x14ac:dyDescent="0.25">
      <c r="A83" s="2">
        <v>81</v>
      </c>
      <c r="B83" s="3">
        <v>3.2530801836401198E-3</v>
      </c>
      <c r="C83" s="4">
        <v>1845</v>
      </c>
    </row>
    <row r="84" spans="1:3" x14ac:dyDescent="0.25">
      <c r="A84" s="2">
        <v>82</v>
      </c>
      <c r="B84" s="3">
        <v>3.2669047359377098E-3</v>
      </c>
      <c r="C84" s="4">
        <v>1843</v>
      </c>
    </row>
    <row r="85" spans="1:3" x14ac:dyDescent="0.25">
      <c r="A85" s="2">
        <v>83</v>
      </c>
      <c r="B85" s="3">
        <v>3.2350101973861499E-3</v>
      </c>
      <c r="C85" s="4">
        <v>1820</v>
      </c>
    </row>
    <row r="86" spans="1:3" x14ac:dyDescent="0.25">
      <c r="A86" s="2">
        <v>84</v>
      </c>
      <c r="B86" s="3">
        <v>3.2550280448049298E-3</v>
      </c>
      <c r="C86" s="4">
        <v>1812</v>
      </c>
    </row>
    <row r="87" spans="1:3" x14ac:dyDescent="0.25">
      <c r="A87" s="2">
        <v>85</v>
      </c>
      <c r="B87" s="3">
        <v>3.2533751800656301E-3</v>
      </c>
      <c r="C87" s="4">
        <v>1815</v>
      </c>
    </row>
    <row r="88" spans="1:3" x14ac:dyDescent="0.25">
      <c r="A88" s="2">
        <v>86</v>
      </c>
      <c r="B88" s="3">
        <v>3.2138794194906898E-3</v>
      </c>
      <c r="C88" s="4">
        <v>1820</v>
      </c>
    </row>
    <row r="89" spans="1:3" x14ac:dyDescent="0.25">
      <c r="A89" s="2">
        <v>87</v>
      </c>
      <c r="B89" s="3">
        <v>3.2447027042508099E-3</v>
      </c>
      <c r="C89" s="4">
        <v>1813</v>
      </c>
    </row>
    <row r="90" spans="1:3" x14ac:dyDescent="0.25">
      <c r="A90" s="2">
        <v>88</v>
      </c>
      <c r="B90" s="3">
        <v>3.21363587863743E-3</v>
      </c>
      <c r="C90" s="4">
        <v>1825</v>
      </c>
    </row>
    <row r="91" spans="1:3" x14ac:dyDescent="0.25">
      <c r="A91" s="2">
        <v>89</v>
      </c>
      <c r="B91" s="3">
        <v>3.2041112426668401E-3</v>
      </c>
      <c r="C91" s="4">
        <v>1815</v>
      </c>
    </row>
    <row r="92" spans="1:3" x14ac:dyDescent="0.25">
      <c r="A92" s="2">
        <v>90</v>
      </c>
      <c r="B92" s="3">
        <v>3.2493935432285101E-3</v>
      </c>
      <c r="C92" s="4">
        <v>1817</v>
      </c>
    </row>
    <row r="93" spans="1:3" x14ac:dyDescent="0.25">
      <c r="A93" s="2">
        <v>91</v>
      </c>
      <c r="B93" s="3">
        <v>3.2459180802106901E-3</v>
      </c>
      <c r="C93" s="4">
        <v>1817</v>
      </c>
    </row>
    <row r="94" spans="1:3" x14ac:dyDescent="0.25">
      <c r="A94" s="2">
        <v>92</v>
      </c>
      <c r="B94" s="3">
        <v>3.2311400864273301E-3</v>
      </c>
      <c r="C94" s="4">
        <v>1826</v>
      </c>
    </row>
    <row r="95" spans="1:3" x14ac:dyDescent="0.25">
      <c r="A95" s="2">
        <v>93</v>
      </c>
      <c r="B95" s="3">
        <v>3.2334586139768401E-3</v>
      </c>
      <c r="C95" s="4">
        <v>1817</v>
      </c>
    </row>
    <row r="96" spans="1:3" x14ac:dyDescent="0.25">
      <c r="A96" s="2">
        <v>94</v>
      </c>
      <c r="B96" s="3">
        <v>3.2408251427114001E-3</v>
      </c>
      <c r="C96" s="4">
        <v>1869</v>
      </c>
    </row>
    <row r="97" spans="1:3" x14ac:dyDescent="0.25">
      <c r="A97" s="2">
        <v>95</v>
      </c>
      <c r="B97" s="3">
        <v>3.2034921459853601E-3</v>
      </c>
      <c r="C97" s="4">
        <v>1813</v>
      </c>
    </row>
    <row r="98" spans="1:3" x14ac:dyDescent="0.25">
      <c r="A98" s="2">
        <v>96</v>
      </c>
      <c r="B98" s="3">
        <v>3.2157916575670199E-3</v>
      </c>
      <c r="C98" s="4">
        <v>1816</v>
      </c>
    </row>
    <row r="99" spans="1:3" x14ac:dyDescent="0.25">
      <c r="A99" s="2">
        <v>97</v>
      </c>
      <c r="B99" s="3">
        <v>3.2561675179749701E-3</v>
      </c>
      <c r="C99" s="4">
        <v>1901</v>
      </c>
    </row>
    <row r="100" spans="1:3" x14ac:dyDescent="0.25">
      <c r="A100" s="2">
        <v>98</v>
      </c>
      <c r="B100" s="3">
        <v>3.21924244053662E-3</v>
      </c>
      <c r="C100" s="4">
        <v>1817</v>
      </c>
    </row>
    <row r="101" spans="1:3" x14ac:dyDescent="0.25">
      <c r="A101" s="2">
        <v>99</v>
      </c>
      <c r="B101" s="3">
        <v>3.2458901405334499E-3</v>
      </c>
      <c r="C101" s="4">
        <v>1816</v>
      </c>
    </row>
    <row r="102" spans="1:3" x14ac:dyDescent="0.25">
      <c r="A102" s="2">
        <v>100</v>
      </c>
      <c r="B102" s="3">
        <v>3.26872430741787E-3</v>
      </c>
      <c r="C102" s="4">
        <v>1818</v>
      </c>
    </row>
    <row r="103" spans="1:3" x14ac:dyDescent="0.25">
      <c r="A103" s="2">
        <v>101</v>
      </c>
      <c r="B103" s="3">
        <v>3.2196312677115202E-3</v>
      </c>
      <c r="C103" s="4">
        <v>1845</v>
      </c>
    </row>
    <row r="104" spans="1:3" x14ac:dyDescent="0.25">
      <c r="A104" s="2">
        <v>102</v>
      </c>
      <c r="B104" s="3">
        <v>3.2275759149342801E-3</v>
      </c>
      <c r="C104" s="4">
        <v>1832</v>
      </c>
    </row>
    <row r="105" spans="1:3" x14ac:dyDescent="0.25">
      <c r="A105" s="2">
        <v>103</v>
      </c>
      <c r="B105" s="3">
        <v>3.24372225441039E-3</v>
      </c>
      <c r="C105" s="4">
        <v>1815</v>
      </c>
    </row>
    <row r="106" spans="1:3" x14ac:dyDescent="0.25">
      <c r="A106" s="2">
        <v>104</v>
      </c>
      <c r="B106" s="3">
        <v>3.2041803933680101E-3</v>
      </c>
      <c r="C106" s="4">
        <v>1857</v>
      </c>
    </row>
    <row r="107" spans="1:3" x14ac:dyDescent="0.25">
      <c r="A107" s="2">
        <v>105</v>
      </c>
      <c r="B107" s="3">
        <v>3.2116447109729099E-3</v>
      </c>
      <c r="C107" s="4">
        <v>1840</v>
      </c>
    </row>
    <row r="108" spans="1:3" x14ac:dyDescent="0.25">
      <c r="A108" s="2">
        <v>106</v>
      </c>
      <c r="B108" s="3">
        <v>3.26586281880736E-3</v>
      </c>
      <c r="C108" s="4">
        <v>1837</v>
      </c>
    </row>
    <row r="109" spans="1:3" x14ac:dyDescent="0.25">
      <c r="A109" s="2">
        <v>107</v>
      </c>
      <c r="B109" s="3">
        <v>3.2286436762660698E-3</v>
      </c>
      <c r="C109" s="4">
        <v>1826</v>
      </c>
    </row>
    <row r="110" spans="1:3" x14ac:dyDescent="0.25">
      <c r="A110" s="2">
        <v>108</v>
      </c>
      <c r="B110" s="3">
        <v>3.2680977601558E-3</v>
      </c>
      <c r="C110" s="4">
        <v>1847</v>
      </c>
    </row>
    <row r="111" spans="1:3" x14ac:dyDescent="0.25">
      <c r="A111" s="2">
        <v>109</v>
      </c>
      <c r="B111" s="3">
        <v>3.3874369692057401E-3</v>
      </c>
      <c r="C111" s="4">
        <v>1819</v>
      </c>
    </row>
    <row r="112" spans="1:3" x14ac:dyDescent="0.25">
      <c r="A112" s="2">
        <v>110</v>
      </c>
      <c r="B112" s="3">
        <v>3.2397396862506901E-3</v>
      </c>
      <c r="C112" s="4">
        <v>1823</v>
      </c>
    </row>
    <row r="113" spans="1:3" x14ac:dyDescent="0.25">
      <c r="A113" s="2">
        <v>111</v>
      </c>
      <c r="B113" s="3">
        <v>3.2115394715219701E-3</v>
      </c>
      <c r="C113" s="4">
        <v>1877</v>
      </c>
    </row>
    <row r="114" spans="1:3" x14ac:dyDescent="0.25">
      <c r="A114" s="2">
        <v>112</v>
      </c>
      <c r="B114" s="3">
        <v>3.2077841460704799E-3</v>
      </c>
      <c r="C114" s="4">
        <v>1818</v>
      </c>
    </row>
    <row r="115" spans="1:3" x14ac:dyDescent="0.25">
      <c r="A115" s="2">
        <v>113</v>
      </c>
      <c r="B115" s="3">
        <v>3.1953947618603702E-3</v>
      </c>
      <c r="C115" s="4">
        <v>1861</v>
      </c>
    </row>
    <row r="116" spans="1:3" x14ac:dyDescent="0.25">
      <c r="A116" s="2">
        <v>114</v>
      </c>
      <c r="B116" s="3">
        <v>3.1871395185589799E-3</v>
      </c>
      <c r="C116" s="4">
        <v>1825</v>
      </c>
    </row>
    <row r="117" spans="1:3" x14ac:dyDescent="0.25">
      <c r="A117" s="2">
        <v>115</v>
      </c>
      <c r="B117" s="3">
        <v>3.1941074412316101E-3</v>
      </c>
      <c r="C117" s="4">
        <v>1818</v>
      </c>
    </row>
    <row r="118" spans="1:3" x14ac:dyDescent="0.25">
      <c r="A118" s="2">
        <v>116</v>
      </c>
      <c r="B118" s="3">
        <v>3.1915295403450701E-3</v>
      </c>
      <c r="C118" s="4">
        <v>1816</v>
      </c>
    </row>
    <row r="119" spans="1:3" x14ac:dyDescent="0.25">
      <c r="A119" s="2">
        <v>117</v>
      </c>
      <c r="B119" s="3">
        <v>3.2091755419969602E-3</v>
      </c>
      <c r="C119" s="4">
        <v>1837</v>
      </c>
    </row>
    <row r="120" spans="1:3" x14ac:dyDescent="0.25">
      <c r="A120" s="2">
        <v>118</v>
      </c>
      <c r="B120" s="3">
        <v>3.2732249237597002E-3</v>
      </c>
      <c r="C120" s="4">
        <v>1895</v>
      </c>
    </row>
    <row r="121" spans="1:3" x14ac:dyDescent="0.25">
      <c r="A121" s="2">
        <v>119</v>
      </c>
      <c r="B121" s="3">
        <v>3.2391748391091802E-3</v>
      </c>
      <c r="C121" s="4">
        <v>1816</v>
      </c>
    </row>
    <row r="122" spans="1:3" x14ac:dyDescent="0.25">
      <c r="A122" s="2">
        <v>120</v>
      </c>
      <c r="B122" s="3">
        <v>3.2883340027183299E-3</v>
      </c>
      <c r="C122" s="4">
        <v>1815</v>
      </c>
    </row>
    <row r="123" spans="1:3" x14ac:dyDescent="0.25">
      <c r="A123" s="2">
        <v>121</v>
      </c>
      <c r="B123" s="3">
        <v>3.2898467034101499E-3</v>
      </c>
      <c r="C123" s="4">
        <v>1814</v>
      </c>
    </row>
    <row r="124" spans="1:3" x14ac:dyDescent="0.25">
      <c r="A124" s="2">
        <v>122</v>
      </c>
      <c r="B124" s="3">
        <v>3.2706838101148601E-3</v>
      </c>
      <c r="C124" s="4">
        <v>1834</v>
      </c>
    </row>
    <row r="125" spans="1:3" x14ac:dyDescent="0.25">
      <c r="A125" s="2">
        <v>123</v>
      </c>
      <c r="B125" s="3">
        <v>3.2376025337725899E-3</v>
      </c>
      <c r="C125" s="4">
        <v>1818</v>
      </c>
    </row>
    <row r="126" spans="1:3" x14ac:dyDescent="0.25">
      <c r="A126" s="2">
        <v>124</v>
      </c>
      <c r="B126" s="3">
        <v>3.25208553113043E-3</v>
      </c>
      <c r="C126" s="4">
        <v>1817</v>
      </c>
    </row>
    <row r="127" spans="1:3" x14ac:dyDescent="0.25">
      <c r="A127" s="2">
        <v>125</v>
      </c>
      <c r="B127" s="3">
        <v>3.2276124693453299E-3</v>
      </c>
      <c r="C127" s="4">
        <v>1812</v>
      </c>
    </row>
    <row r="128" spans="1:3" x14ac:dyDescent="0.25">
      <c r="A128" s="2">
        <v>126</v>
      </c>
      <c r="B128" s="3">
        <v>3.2070730812847601E-3</v>
      </c>
      <c r="C128" s="4">
        <v>1915</v>
      </c>
    </row>
    <row r="129" spans="1:3" x14ac:dyDescent="0.25">
      <c r="A129" s="2">
        <v>127</v>
      </c>
      <c r="B129" s="3">
        <v>3.2152808271348498E-3</v>
      </c>
      <c r="C129" s="4">
        <v>1871</v>
      </c>
    </row>
    <row r="130" spans="1:3" x14ac:dyDescent="0.25">
      <c r="A130" s="2">
        <v>128</v>
      </c>
      <c r="B130" s="3">
        <v>3.21434950456023E-3</v>
      </c>
      <c r="C130" s="4">
        <v>1877</v>
      </c>
    </row>
    <row r="131" spans="1:3" x14ac:dyDescent="0.25">
      <c r="A131" s="2">
        <v>129</v>
      </c>
      <c r="B131" s="3">
        <v>3.19666042923927E-3</v>
      </c>
      <c r="C131" s="4">
        <v>1838</v>
      </c>
    </row>
    <row r="132" spans="1:3" x14ac:dyDescent="0.25">
      <c r="A132" s="2">
        <v>130</v>
      </c>
      <c r="B132" s="3">
        <v>3.28161614015698E-3</v>
      </c>
      <c r="C132" s="4">
        <v>1821</v>
      </c>
    </row>
    <row r="133" spans="1:3" x14ac:dyDescent="0.25">
      <c r="A133" s="2">
        <v>131</v>
      </c>
      <c r="B133" s="3">
        <v>3.2164272852242002E-3</v>
      </c>
      <c r="C133" s="4">
        <v>1894</v>
      </c>
    </row>
    <row r="134" spans="1:3" x14ac:dyDescent="0.25">
      <c r="A134" s="2">
        <v>132</v>
      </c>
      <c r="B134" s="3">
        <v>3.21280583739281E-3</v>
      </c>
      <c r="C134" s="4">
        <v>1816</v>
      </c>
    </row>
    <row r="135" spans="1:3" x14ac:dyDescent="0.25">
      <c r="A135" s="2">
        <v>133</v>
      </c>
      <c r="B135" s="3">
        <v>3.25030251406133E-3</v>
      </c>
      <c r="C135" s="4">
        <v>1844</v>
      </c>
    </row>
    <row r="136" spans="1:3" x14ac:dyDescent="0.25">
      <c r="A136" s="2">
        <v>134</v>
      </c>
      <c r="B136" s="3">
        <v>3.2146489247679702E-3</v>
      </c>
      <c r="C136" s="4">
        <v>1818</v>
      </c>
    </row>
    <row r="137" spans="1:3" x14ac:dyDescent="0.25">
      <c r="A137" s="2">
        <v>135</v>
      </c>
      <c r="B137" s="3">
        <v>3.1954473815858399E-3</v>
      </c>
      <c r="C137" s="4">
        <v>1821</v>
      </c>
    </row>
    <row r="138" spans="1:3" x14ac:dyDescent="0.25">
      <c r="A138" s="2">
        <v>136</v>
      </c>
      <c r="B138" s="3">
        <v>3.2264713663607801E-3</v>
      </c>
      <c r="C138" s="4">
        <v>1818</v>
      </c>
    </row>
    <row r="139" spans="1:3" x14ac:dyDescent="0.25">
      <c r="A139" s="2">
        <v>137</v>
      </c>
      <c r="B139" s="3">
        <v>3.1954825390130299E-3</v>
      </c>
      <c r="C139" s="4">
        <v>1949</v>
      </c>
    </row>
    <row r="140" spans="1:3" x14ac:dyDescent="0.25">
      <c r="A140" s="2">
        <v>138</v>
      </c>
      <c r="B140" s="3">
        <v>3.2173134386539498E-3</v>
      </c>
      <c r="C140" s="4">
        <v>1815</v>
      </c>
    </row>
    <row r="141" spans="1:3" x14ac:dyDescent="0.25">
      <c r="A141" s="2">
        <v>139</v>
      </c>
      <c r="B141" s="3">
        <v>3.23623814620078E-3</v>
      </c>
      <c r="C141" s="4">
        <v>1816</v>
      </c>
    </row>
    <row r="142" spans="1:3" x14ac:dyDescent="0.25">
      <c r="A142" s="2">
        <v>140</v>
      </c>
      <c r="B142" s="3">
        <v>3.1869166996330001E-3</v>
      </c>
      <c r="C142" s="4">
        <v>1839</v>
      </c>
    </row>
    <row r="143" spans="1:3" x14ac:dyDescent="0.25">
      <c r="A143" s="2">
        <v>141</v>
      </c>
      <c r="B143" s="3">
        <v>3.18005098961294E-3</v>
      </c>
      <c r="C143" s="4">
        <v>1823</v>
      </c>
    </row>
    <row r="144" spans="1:3" x14ac:dyDescent="0.25">
      <c r="A144" s="2">
        <v>142</v>
      </c>
      <c r="B144" s="3">
        <v>3.2110319007188099E-3</v>
      </c>
      <c r="C144" s="4">
        <v>1946</v>
      </c>
    </row>
    <row r="145" spans="1:3" x14ac:dyDescent="0.25">
      <c r="A145" s="2">
        <v>143</v>
      </c>
      <c r="B145" s="3">
        <v>3.18978726863861E-3</v>
      </c>
      <c r="C145" s="4">
        <v>1820</v>
      </c>
    </row>
    <row r="146" spans="1:3" x14ac:dyDescent="0.25">
      <c r="A146" s="2">
        <v>144</v>
      </c>
      <c r="B146" s="3">
        <v>3.1974834855645899E-3</v>
      </c>
      <c r="C146" s="4">
        <v>1840</v>
      </c>
    </row>
    <row r="147" spans="1:3" x14ac:dyDescent="0.25">
      <c r="A147" s="2">
        <v>145</v>
      </c>
      <c r="B147" s="3">
        <v>3.1945023220032501E-3</v>
      </c>
      <c r="C147" s="4">
        <v>1816</v>
      </c>
    </row>
    <row r="148" spans="1:3" x14ac:dyDescent="0.25">
      <c r="A148" s="2">
        <v>146</v>
      </c>
      <c r="B148" s="3">
        <v>3.1926599331200101E-3</v>
      </c>
      <c r="C148" s="4">
        <v>1831</v>
      </c>
    </row>
    <row r="149" spans="1:3" x14ac:dyDescent="0.25">
      <c r="A149" s="2">
        <v>147</v>
      </c>
      <c r="B149" s="3">
        <v>3.19007318466902E-3</v>
      </c>
      <c r="C149" s="4">
        <v>1818</v>
      </c>
    </row>
    <row r="150" spans="1:3" x14ac:dyDescent="0.25">
      <c r="A150" s="2">
        <v>148</v>
      </c>
      <c r="B150" s="3">
        <v>3.2086856663227099E-3</v>
      </c>
      <c r="C150" s="4">
        <v>1844</v>
      </c>
    </row>
    <row r="151" spans="1:3" x14ac:dyDescent="0.25">
      <c r="A151" s="2">
        <v>149</v>
      </c>
      <c r="B151" s="3">
        <v>3.1952834688127002E-3</v>
      </c>
      <c r="C151" s="4">
        <v>1830</v>
      </c>
    </row>
    <row r="152" spans="1:3" x14ac:dyDescent="0.25">
      <c r="A152" s="2" t="s">
        <v>1</v>
      </c>
      <c r="B152" s="3">
        <v>3.2913206486652295E-3</v>
      </c>
      <c r="C152" s="4">
        <v>1832.8133333333333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
  <sheetViews>
    <sheetView topLeftCell="A4" zoomScale="85" zoomScaleNormal="85" workbookViewId="0">
      <selection activeCell="B41" sqref="B41"/>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136</v>
      </c>
      <c r="B1">
        <f>MIN(B4:B5025)</f>
        <v>-7.0479417219758117E-2</v>
      </c>
      <c r="C1">
        <f>MIN(C4:C5025)</f>
        <v>7.8773575369269003E-3</v>
      </c>
    </row>
    <row r="2" spans="1:8" x14ac:dyDescent="0.25">
      <c r="A2" t="s">
        <v>137</v>
      </c>
      <c r="B2">
        <f>MAX(B4:B5025)</f>
        <v>0.11077697947621333</v>
      </c>
      <c r="C2">
        <f>MAX(C4:C5025)</f>
        <v>0.10664502857252958</v>
      </c>
      <c r="D2">
        <f>GETPIVOTDATA("Average of ERRORTRS",$A$3)</f>
        <v>1.1302228532837362E-2</v>
      </c>
    </row>
    <row r="3" spans="1:8" x14ac:dyDescent="0.25">
      <c r="A3" s="1" t="s">
        <v>0</v>
      </c>
      <c r="B3" t="s">
        <v>20</v>
      </c>
      <c r="C3" t="s">
        <v>21</v>
      </c>
      <c r="D3" t="s">
        <v>145</v>
      </c>
      <c r="H3" s="5"/>
    </row>
    <row r="4" spans="1:8" x14ac:dyDescent="0.25">
      <c r="A4" s="2">
        <v>0</v>
      </c>
      <c r="B4" s="22">
        <v>2.0873779430985475E-2</v>
      </c>
      <c r="C4" s="22"/>
      <c r="D4" s="22"/>
    </row>
    <row r="5" spans="1:8" x14ac:dyDescent="0.25">
      <c r="A5" s="2">
        <v>1</v>
      </c>
      <c r="B5" s="22">
        <v>7.8267596662044484E-2</v>
      </c>
      <c r="C5" s="22"/>
      <c r="D5" s="22"/>
    </row>
    <row r="6" spans="1:8" x14ac:dyDescent="0.25">
      <c r="A6" s="2">
        <v>2</v>
      </c>
      <c r="B6" s="22">
        <v>1.7289031296968453E-2</v>
      </c>
      <c r="C6" s="22"/>
      <c r="D6" s="22"/>
    </row>
    <row r="7" spans="1:8" x14ac:dyDescent="0.25">
      <c r="A7" s="2">
        <v>3</v>
      </c>
      <c r="B7" s="22">
        <v>1.5854073688387749E-2</v>
      </c>
      <c r="C7" s="22"/>
      <c r="D7" s="22"/>
    </row>
    <row r="8" spans="1:8" x14ac:dyDescent="0.25">
      <c r="A8" s="2">
        <v>4</v>
      </c>
      <c r="B8" s="22">
        <v>3.1927964650094502E-2</v>
      </c>
      <c r="C8" s="22"/>
      <c r="D8" s="22"/>
    </row>
    <row r="9" spans="1:8" x14ac:dyDescent="0.25">
      <c r="A9" s="2">
        <v>5</v>
      </c>
      <c r="B9" s="22">
        <v>5.9562608599662878E-2</v>
      </c>
      <c r="C9" s="22"/>
      <c r="D9" s="22"/>
    </row>
    <row r="10" spans="1:8" x14ac:dyDescent="0.25">
      <c r="A10" s="2">
        <v>6</v>
      </c>
      <c r="B10" s="22">
        <v>-5.105426139198245E-2</v>
      </c>
      <c r="C10" s="22"/>
      <c r="D10" s="22"/>
    </row>
    <row r="11" spans="1:8" x14ac:dyDescent="0.25">
      <c r="A11" s="2">
        <v>7</v>
      </c>
      <c r="B11" s="22">
        <v>-2.5985991582274451E-2</v>
      </c>
      <c r="C11" s="22"/>
      <c r="D11" s="22"/>
    </row>
    <row r="12" spans="1:8" x14ac:dyDescent="0.25">
      <c r="A12" s="2">
        <v>8</v>
      </c>
      <c r="B12" s="22">
        <v>4.51566921547054E-2</v>
      </c>
      <c r="C12" s="22"/>
      <c r="D12" s="22"/>
    </row>
    <row r="13" spans="1:8" x14ac:dyDescent="0.25">
      <c r="A13" s="2">
        <v>9</v>
      </c>
      <c r="B13" s="22">
        <v>9.0836969204246831E-2</v>
      </c>
      <c r="C13" s="22"/>
      <c r="D13" s="22"/>
    </row>
    <row r="14" spans="1:8" x14ac:dyDescent="0.25">
      <c r="A14" s="2">
        <v>10</v>
      </c>
      <c r="B14" s="22">
        <v>9.7644768655300002E-2</v>
      </c>
      <c r="C14" s="22"/>
      <c r="D14" s="22"/>
    </row>
    <row r="15" spans="1:8" x14ac:dyDescent="0.25">
      <c r="A15" s="2">
        <v>11</v>
      </c>
      <c r="B15" s="22">
        <v>0.11077697947621333</v>
      </c>
      <c r="C15" s="22"/>
      <c r="D15" s="22"/>
    </row>
    <row r="16" spans="1:8" x14ac:dyDescent="0.25">
      <c r="A16" s="2">
        <v>12</v>
      </c>
      <c r="B16" s="22">
        <v>8.7281238287687385E-2</v>
      </c>
      <c r="C16" s="22"/>
      <c r="D16" s="22"/>
    </row>
    <row r="17" spans="1:4" x14ac:dyDescent="0.25">
      <c r="A17" s="2">
        <v>13</v>
      </c>
      <c r="B17" s="22">
        <v>2.0916976965963875E-2</v>
      </c>
      <c r="C17" s="22"/>
      <c r="D17" s="22"/>
    </row>
    <row r="18" spans="1:4" x14ac:dyDescent="0.25">
      <c r="A18" s="2">
        <v>14</v>
      </c>
      <c r="B18" s="22">
        <v>3.4806355834007388E-2</v>
      </c>
      <c r="C18" s="22"/>
      <c r="D18" s="22"/>
    </row>
    <row r="19" spans="1:4" x14ac:dyDescent="0.25">
      <c r="A19" s="2">
        <v>15</v>
      </c>
      <c r="B19" s="22">
        <v>7.1014865301549476E-2</v>
      </c>
      <c r="C19" s="22"/>
      <c r="D19" s="22"/>
    </row>
    <row r="20" spans="1:4" x14ac:dyDescent="0.25">
      <c r="A20" s="2">
        <v>16</v>
      </c>
      <c r="B20" s="22">
        <v>3.3137292601168246E-2</v>
      </c>
      <c r="C20" s="22"/>
      <c r="D20" s="22"/>
    </row>
    <row r="21" spans="1:4" x14ac:dyDescent="0.25">
      <c r="A21" s="2">
        <v>17</v>
      </c>
      <c r="B21" s="22">
        <v>3.2618120545521247E-2</v>
      </c>
      <c r="C21" s="22"/>
      <c r="D21" s="22"/>
    </row>
    <row r="22" spans="1:4" x14ac:dyDescent="0.25">
      <c r="A22" s="2">
        <v>18</v>
      </c>
      <c r="B22" s="22">
        <v>2.2144648246467152E-2</v>
      </c>
      <c r="C22" s="22"/>
      <c r="D22" s="22"/>
    </row>
    <row r="23" spans="1:4" x14ac:dyDescent="0.25">
      <c r="A23" s="2">
        <v>19</v>
      </c>
      <c r="B23" s="22">
        <v>2.9590427409857623E-2</v>
      </c>
      <c r="C23" s="22"/>
      <c r="D23" s="22"/>
    </row>
    <row r="24" spans="1:4" x14ac:dyDescent="0.25">
      <c r="A24" s="2">
        <v>20</v>
      </c>
      <c r="B24" s="22">
        <v>2.0899282302707347E-2</v>
      </c>
      <c r="C24" s="22"/>
      <c r="D24" s="22"/>
    </row>
    <row r="25" spans="1:4" x14ac:dyDescent="0.25">
      <c r="A25" s="2">
        <v>21</v>
      </c>
      <c r="B25" s="22">
        <v>3.1666125636548005E-2</v>
      </c>
      <c r="C25" s="22"/>
      <c r="D25" s="22"/>
    </row>
    <row r="26" spans="1:4" x14ac:dyDescent="0.25">
      <c r="A26" s="2">
        <v>22</v>
      </c>
      <c r="B26" s="22">
        <v>2.3851768113672622E-2</v>
      </c>
      <c r="C26" s="22"/>
      <c r="D26" s="22"/>
    </row>
    <row r="27" spans="1:4" x14ac:dyDescent="0.25">
      <c r="A27" s="2">
        <v>23</v>
      </c>
      <c r="B27" s="22">
        <v>1.5630471520125772E-2</v>
      </c>
      <c r="C27" s="22"/>
      <c r="D27" s="22"/>
    </row>
    <row r="28" spans="1:4" x14ac:dyDescent="0.25">
      <c r="A28" s="2">
        <v>24</v>
      </c>
      <c r="B28" s="22">
        <v>-1.4600239694118625E-2</v>
      </c>
      <c r="C28" s="22"/>
      <c r="D28" s="22"/>
    </row>
    <row r="29" spans="1:4" x14ac:dyDescent="0.25">
      <c r="A29" s="2">
        <v>25</v>
      </c>
      <c r="B29" s="22">
        <v>-5.0833243876696769E-3</v>
      </c>
      <c r="C29" s="22"/>
      <c r="D29" s="22"/>
    </row>
    <row r="30" spans="1:4" x14ac:dyDescent="0.25">
      <c r="A30" s="2">
        <v>26</v>
      </c>
      <c r="B30" s="22">
        <v>2.9482940211892253E-2</v>
      </c>
      <c r="C30" s="22"/>
      <c r="D30" s="22"/>
    </row>
    <row r="31" spans="1:4" x14ac:dyDescent="0.25">
      <c r="A31" s="2">
        <v>27</v>
      </c>
      <c r="B31" s="22">
        <v>2.3662102408707052E-2</v>
      </c>
      <c r="C31" s="22"/>
      <c r="D31" s="22"/>
    </row>
    <row r="32" spans="1:4" x14ac:dyDescent="0.25">
      <c r="A32" s="2">
        <v>28</v>
      </c>
      <c r="B32" s="22">
        <v>5.2048931829630773E-3</v>
      </c>
      <c r="C32" s="22"/>
      <c r="D32" s="22"/>
    </row>
    <row r="33" spans="1:4" x14ac:dyDescent="0.25">
      <c r="A33" s="2">
        <v>29</v>
      </c>
      <c r="B33" s="22">
        <v>-7.0479417219758117E-2</v>
      </c>
      <c r="C33" s="22"/>
      <c r="D33" s="22"/>
    </row>
    <row r="34" spans="1:4" x14ac:dyDescent="0.25">
      <c r="A34" s="2">
        <v>30</v>
      </c>
      <c r="B34" s="22">
        <v>-6.5445627085864475E-2</v>
      </c>
      <c r="C34" s="22"/>
      <c r="D34" s="22"/>
    </row>
    <row r="35" spans="1:4" x14ac:dyDescent="0.25">
      <c r="A35" s="2">
        <v>31</v>
      </c>
      <c r="B35" s="22">
        <v>-2.2468492388725295E-2</v>
      </c>
      <c r="C35" s="22"/>
      <c r="D35" s="22"/>
    </row>
    <row r="36" spans="1:4" x14ac:dyDescent="0.25">
      <c r="A36" s="2">
        <v>32</v>
      </c>
      <c r="B36" s="22">
        <v>3.2994667068123928E-2</v>
      </c>
      <c r="C36" s="22"/>
      <c r="D36" s="22"/>
    </row>
    <row r="37" spans="1:4" x14ac:dyDescent="0.25">
      <c r="A37" s="2">
        <v>33</v>
      </c>
      <c r="B37" s="22">
        <v>3.7131782621145151E-2</v>
      </c>
      <c r="C37" s="22"/>
      <c r="D37" s="22"/>
    </row>
    <row r="38" spans="1:4" x14ac:dyDescent="0.25">
      <c r="A38" s="2">
        <v>34</v>
      </c>
      <c r="B38" s="22">
        <v>-2.086923178285369E-2</v>
      </c>
      <c r="C38" s="22"/>
      <c r="D38" s="22"/>
    </row>
    <row r="39" spans="1:4" x14ac:dyDescent="0.25">
      <c r="A39" s="2">
        <v>35</v>
      </c>
      <c r="B39" s="22">
        <v>3.3953282982111897E-3</v>
      </c>
      <c r="C39" s="22"/>
      <c r="D39" s="22"/>
    </row>
    <row r="40" spans="1:4" x14ac:dyDescent="0.25">
      <c r="A40" s="2">
        <v>36</v>
      </c>
      <c r="B40" s="22">
        <v>2.9278330970555575E-2</v>
      </c>
      <c r="C40" s="22"/>
      <c r="D40" s="22"/>
    </row>
    <row r="41" spans="1:4" x14ac:dyDescent="0.25">
      <c r="A41" s="2">
        <v>37</v>
      </c>
      <c r="B41" s="22">
        <v>1.7147549893707047E-2</v>
      </c>
      <c r="C41" s="22"/>
      <c r="D41" s="22"/>
    </row>
    <row r="42" spans="1:4" x14ac:dyDescent="0.25">
      <c r="A42" s="2">
        <v>38</v>
      </c>
      <c r="B42" s="22">
        <v>2.6523591019213102E-2</v>
      </c>
      <c r="C42" s="22"/>
      <c r="D42" s="22"/>
    </row>
    <row r="43" spans="1:4" x14ac:dyDescent="0.25">
      <c r="A43" s="2">
        <v>39</v>
      </c>
      <c r="B43" s="22">
        <v>3.8885086774825925E-2</v>
      </c>
      <c r="C43" s="22"/>
      <c r="D43" s="22"/>
    </row>
    <row r="44" spans="1:4" x14ac:dyDescent="0.25">
      <c r="A44" s="2">
        <v>40</v>
      </c>
      <c r="B44" s="22">
        <v>3.3623741008341326E-2</v>
      </c>
      <c r="C44" s="22"/>
      <c r="D44" s="22"/>
    </row>
    <row r="45" spans="1:4" x14ac:dyDescent="0.25">
      <c r="A45" s="2">
        <v>41</v>
      </c>
      <c r="B45" s="22">
        <v>3.2522112131118677E-2</v>
      </c>
      <c r="C45" s="22"/>
      <c r="D45" s="22"/>
    </row>
    <row r="46" spans="1:4" x14ac:dyDescent="0.25">
      <c r="A46" s="2">
        <v>42</v>
      </c>
      <c r="B46" s="22">
        <v>5.6742651388049077E-2</v>
      </c>
      <c r="C46" s="22"/>
      <c r="D46" s="22"/>
    </row>
    <row r="47" spans="1:4" x14ac:dyDescent="0.25">
      <c r="A47" s="2">
        <v>43</v>
      </c>
      <c r="B47" s="22">
        <v>4.6583255752921007E-2</v>
      </c>
      <c r="C47" s="22"/>
      <c r="D47" s="22"/>
    </row>
    <row r="48" spans="1:4" x14ac:dyDescent="0.25">
      <c r="A48" s="2">
        <v>44</v>
      </c>
      <c r="B48" s="22">
        <v>1.6873960616067035E-2</v>
      </c>
      <c r="C48" s="22"/>
      <c r="D48" s="22"/>
    </row>
    <row r="49" spans="1:4" x14ac:dyDescent="0.25">
      <c r="A49" s="2">
        <v>45</v>
      </c>
      <c r="B49" s="22">
        <v>1.887196768075235E-2</v>
      </c>
      <c r="C49" s="22"/>
      <c r="D49" s="22"/>
    </row>
    <row r="50" spans="1:4" x14ac:dyDescent="0.25">
      <c r="A50" s="2">
        <v>46</v>
      </c>
      <c r="B50" s="22">
        <v>2.3114024195820048E-2</v>
      </c>
      <c r="C50" s="22"/>
      <c r="D50" s="22"/>
    </row>
    <row r="51" spans="1:4" x14ac:dyDescent="0.25">
      <c r="A51" s="2">
        <v>47</v>
      </c>
      <c r="B51" s="22">
        <v>4.6593132428824922E-2</v>
      </c>
      <c r="C51" s="22"/>
      <c r="D51" s="22"/>
    </row>
    <row r="52" spans="1:4" x14ac:dyDescent="0.25">
      <c r="A52" s="2">
        <v>48</v>
      </c>
      <c r="B52" s="22">
        <v>-3.3975386526435628E-2</v>
      </c>
      <c r="C52" s="22"/>
      <c r="D52" s="22"/>
    </row>
    <row r="53" spans="1:4" x14ac:dyDescent="0.25">
      <c r="A53" s="2">
        <v>49</v>
      </c>
      <c r="B53" s="22">
        <v>-1.478813216090212E-2</v>
      </c>
      <c r="C53" s="22"/>
      <c r="D53" s="22"/>
    </row>
    <row r="54" spans="1:4" x14ac:dyDescent="0.25">
      <c r="A54" s="2">
        <v>50</v>
      </c>
      <c r="B54" s="22">
        <v>3.3149386290460742E-2</v>
      </c>
      <c r="C54" s="22">
        <v>3.2001253683120047E-2</v>
      </c>
      <c r="D54" s="22">
        <v>2.0136106759308997E-3</v>
      </c>
    </row>
    <row r="55" spans="1:4" x14ac:dyDescent="0.25">
      <c r="A55" s="2">
        <v>51</v>
      </c>
      <c r="B55" s="22">
        <v>2.8260052669793249E-2</v>
      </c>
      <c r="C55" s="22">
        <v>2.8584494721144577E-2</v>
      </c>
      <c r="D55" s="22">
        <v>2.7514742687342751E-3</v>
      </c>
    </row>
    <row r="56" spans="1:4" x14ac:dyDescent="0.25">
      <c r="A56" s="2">
        <v>52</v>
      </c>
      <c r="B56" s="22">
        <v>5.4586707614362399E-2</v>
      </c>
      <c r="C56" s="22">
        <v>5.9962481725960998E-2</v>
      </c>
      <c r="D56" s="22">
        <v>5.3757741115986E-3</v>
      </c>
    </row>
    <row r="57" spans="1:4" x14ac:dyDescent="0.25">
      <c r="A57" s="2">
        <v>53</v>
      </c>
      <c r="B57" s="22">
        <v>0.10705772228538994</v>
      </c>
      <c r="C57" s="22">
        <v>0.10664502857252958</v>
      </c>
      <c r="D57" s="22">
        <v>1.142675522714675E-3</v>
      </c>
    </row>
    <row r="58" spans="1:4" x14ac:dyDescent="0.25">
      <c r="A58" s="2">
        <v>54</v>
      </c>
      <c r="B58" s="22">
        <v>7.3158303275704273E-2</v>
      </c>
      <c r="C58" s="22">
        <v>7.3705727583728703E-2</v>
      </c>
      <c r="D58" s="22">
        <v>7.5923282420262174E-3</v>
      </c>
    </row>
    <row r="59" spans="1:4" x14ac:dyDescent="0.25">
      <c r="A59" s="2">
        <v>55</v>
      </c>
      <c r="B59" s="22">
        <v>3.14735909923912E-2</v>
      </c>
      <c r="C59" s="22">
        <v>3.2341605750843827E-2</v>
      </c>
      <c r="D59" s="22">
        <v>5.4181443993003746E-3</v>
      </c>
    </row>
    <row r="60" spans="1:4" x14ac:dyDescent="0.25">
      <c r="A60" s="2">
        <v>56</v>
      </c>
      <c r="B60" s="22">
        <v>3.6373900249600348E-2</v>
      </c>
      <c r="C60" s="22">
        <v>3.4503113478422075E-2</v>
      </c>
      <c r="D60" s="22">
        <v>1.870786771178275E-3</v>
      </c>
    </row>
    <row r="61" spans="1:4" x14ac:dyDescent="0.25">
      <c r="A61" s="2">
        <v>57</v>
      </c>
      <c r="B61" s="22">
        <v>3.5512334667146171E-2</v>
      </c>
      <c r="C61" s="22">
        <v>3.5567809827625696E-2</v>
      </c>
      <c r="D61" s="22">
        <v>6.1579905450343747E-3</v>
      </c>
    </row>
    <row r="62" spans="1:4" x14ac:dyDescent="0.25">
      <c r="A62" s="2">
        <v>58</v>
      </c>
      <c r="B62" s="22">
        <v>3.175415424630032E-2</v>
      </c>
      <c r="C62" s="22">
        <v>3.0632921028882376E-2</v>
      </c>
      <c r="D62" s="22">
        <v>6.4468262717130003E-3</v>
      </c>
    </row>
    <row r="63" spans="1:4" x14ac:dyDescent="0.25">
      <c r="A63" s="2">
        <v>59</v>
      </c>
      <c r="B63" s="22">
        <v>3.8241556845605477E-2</v>
      </c>
      <c r="C63" s="22">
        <v>3.9798942394554677E-2</v>
      </c>
      <c r="D63" s="22">
        <v>2.2194441407919503E-3</v>
      </c>
    </row>
    <row r="64" spans="1:4" x14ac:dyDescent="0.25">
      <c r="A64" s="2">
        <v>60</v>
      </c>
      <c r="B64" s="22">
        <v>2.3933721706271199E-2</v>
      </c>
      <c r="C64" s="22">
        <v>2.5236437562853025E-2</v>
      </c>
      <c r="D64" s="22">
        <v>4.8151840455831251E-3</v>
      </c>
    </row>
    <row r="65" spans="1:4" x14ac:dyDescent="0.25">
      <c r="A65" s="2">
        <v>61</v>
      </c>
      <c r="B65" s="22">
        <v>2.7083788067102505E-2</v>
      </c>
      <c r="C65" s="22">
        <v>2.385884965769948E-2</v>
      </c>
      <c r="D65" s="22">
        <v>7.3549703229219702E-3</v>
      </c>
    </row>
    <row r="66" spans="1:4" x14ac:dyDescent="0.25">
      <c r="A66" s="2">
        <v>62</v>
      </c>
      <c r="B66" s="22">
        <v>4.0526934899389647E-2</v>
      </c>
      <c r="C66" s="22">
        <v>4.1847082786261924E-2</v>
      </c>
      <c r="D66" s="22">
        <v>3.735948354005775E-3</v>
      </c>
    </row>
    <row r="67" spans="1:4" x14ac:dyDescent="0.25">
      <c r="A67" s="2">
        <v>63</v>
      </c>
      <c r="B67" s="22">
        <v>3.4005735069513224E-2</v>
      </c>
      <c r="C67" s="22">
        <v>3.187891375273455E-2</v>
      </c>
      <c r="D67" s="22">
        <v>5.1205055788159249E-3</v>
      </c>
    </row>
    <row r="68" spans="1:4" x14ac:dyDescent="0.25">
      <c r="A68" s="2">
        <v>64</v>
      </c>
      <c r="B68" s="22">
        <v>3.2037182711064802E-2</v>
      </c>
      <c r="C68" s="22">
        <v>3.2269860152155251E-2</v>
      </c>
      <c r="D68" s="22">
        <v>3.96222760900845E-3</v>
      </c>
    </row>
    <row r="69" spans="1:4" x14ac:dyDescent="0.25">
      <c r="A69" s="2">
        <v>65</v>
      </c>
      <c r="B69" s="22">
        <v>1.9162373151630177E-2</v>
      </c>
      <c r="C69" s="22">
        <v>1.7891438677907077E-2</v>
      </c>
      <c r="D69" s="22">
        <v>7.6214880682528505E-3</v>
      </c>
    </row>
    <row r="70" spans="1:4" x14ac:dyDescent="0.25">
      <c r="A70" s="2">
        <v>66</v>
      </c>
      <c r="B70" s="22">
        <v>1.3676744885742626E-2</v>
      </c>
      <c r="C70" s="22">
        <v>7.8773575369269003E-3</v>
      </c>
      <c r="D70" s="22">
        <v>1.2020171387121227E-2</v>
      </c>
    </row>
    <row r="71" spans="1:4" x14ac:dyDescent="0.25">
      <c r="A71" s="2">
        <v>67</v>
      </c>
      <c r="B71" s="22">
        <v>2.2717464715242514E-2</v>
      </c>
      <c r="C71" s="22">
        <v>2.9568376659881379E-2</v>
      </c>
      <c r="D71" s="22">
        <v>1.2428677349816964E-2</v>
      </c>
    </row>
    <row r="72" spans="1:4" x14ac:dyDescent="0.25">
      <c r="A72" s="2">
        <v>68</v>
      </c>
      <c r="B72" s="22">
        <v>4.0707162581384196E-2</v>
      </c>
      <c r="C72" s="22">
        <v>3.8636718876659926E-2</v>
      </c>
      <c r="D72" s="22">
        <v>2.4672765284776254E-3</v>
      </c>
    </row>
    <row r="73" spans="1:4" x14ac:dyDescent="0.25">
      <c r="A73" s="2">
        <v>69</v>
      </c>
      <c r="B73" s="22">
        <v>5.3319371305406198E-2</v>
      </c>
      <c r="C73" s="22">
        <v>1.7032151110470399E-2</v>
      </c>
      <c r="D73" s="22">
        <v>3.6287220194935799E-2</v>
      </c>
    </row>
    <row r="74" spans="1:4" x14ac:dyDescent="0.25">
      <c r="A74" s="2">
        <v>70</v>
      </c>
      <c r="B74" s="22">
        <v>2.6439028792083277E-2</v>
      </c>
      <c r="C74" s="22">
        <v>4.2933870572596754E-2</v>
      </c>
      <c r="D74" s="22">
        <v>4.0518571157008375E-2</v>
      </c>
    </row>
    <row r="75" spans="1:4" x14ac:dyDescent="0.25">
      <c r="A75" s="2">
        <v>71</v>
      </c>
      <c r="B75" s="22">
        <v>4.4144225306808775E-2</v>
      </c>
      <c r="C75" s="22">
        <v>1.7007617047056542E-2</v>
      </c>
      <c r="D75" s="22">
        <v>7.1327732177451239E-2</v>
      </c>
    </row>
    <row r="76" spans="1:4" x14ac:dyDescent="0.25">
      <c r="A76" s="2" t="s">
        <v>1</v>
      </c>
      <c r="B76" s="22">
        <v>2.8235423504762953E-2</v>
      </c>
      <c r="C76" s="22">
        <v>3.6353729689091625E-2</v>
      </c>
      <c r="D76" s="22">
        <v>1.1302228532837362E-2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4"/>
  <sheetViews>
    <sheetView zoomScale="85" zoomScaleNormal="85" workbookViewId="0">
      <selection activeCell="C16" sqref="C16"/>
    </sheetView>
  </sheetViews>
  <sheetFormatPr defaultRowHeight="15" x14ac:dyDescent="0.25"/>
  <cols>
    <col min="1" max="1" width="13.28515625" customWidth="1"/>
    <col min="2" max="2" width="20.42578125" bestFit="1" customWidth="1"/>
    <col min="3" max="3" width="23.140625" bestFit="1" customWidth="1"/>
    <col min="4" max="4" width="19.28515625" bestFit="1" customWidth="1"/>
  </cols>
  <sheetData>
    <row r="1" spans="1:8" x14ac:dyDescent="0.25">
      <c r="A1" s="1" t="s">
        <v>0</v>
      </c>
      <c r="B1" t="s">
        <v>128</v>
      </c>
      <c r="C1" t="s">
        <v>129</v>
      </c>
      <c r="D1" t="s">
        <v>130</v>
      </c>
      <c r="G1" t="s">
        <v>144</v>
      </c>
      <c r="H1" s="26">
        <f>GETPIVOTDATA("Average of ERRORTR",$A$1)</f>
        <v>2.2453328722220193E-4</v>
      </c>
    </row>
    <row r="2" spans="1:8" x14ac:dyDescent="0.25">
      <c r="A2" s="2">
        <v>0</v>
      </c>
      <c r="B2" s="3">
        <v>-1.9255281949881448E-4</v>
      </c>
      <c r="C2" s="3"/>
      <c r="D2" s="3"/>
    </row>
    <row r="3" spans="1:8" x14ac:dyDescent="0.25">
      <c r="A3" s="2">
        <v>1</v>
      </c>
      <c r="B3" s="3">
        <v>9.0003012155648299E-4</v>
      </c>
      <c r="C3" s="3"/>
      <c r="D3" s="3"/>
    </row>
    <row r="4" spans="1:8" x14ac:dyDescent="0.25">
      <c r="A4" s="2">
        <v>2</v>
      </c>
      <c r="B4" s="3">
        <v>-2.2000074000061442E-4</v>
      </c>
      <c r="C4" s="3"/>
      <c r="D4" s="3"/>
    </row>
    <row r="5" spans="1:8" x14ac:dyDescent="0.25">
      <c r="A5" s="2">
        <v>3</v>
      </c>
      <c r="B5" s="3">
        <v>-3.2249095420411322E-4</v>
      </c>
      <c r="C5" s="3"/>
      <c r="D5" s="3"/>
    </row>
    <row r="6" spans="1:8" x14ac:dyDescent="0.25">
      <c r="A6" s="2">
        <v>4</v>
      </c>
      <c r="B6" s="3">
        <v>5.9962286741210731E-5</v>
      </c>
      <c r="C6" s="3"/>
      <c r="D6" s="3"/>
    </row>
    <row r="7" spans="1:8" x14ac:dyDescent="0.25">
      <c r="A7" s="2">
        <v>5</v>
      </c>
      <c r="B7" s="3">
        <v>5.4252150584943571E-4</v>
      </c>
      <c r="C7" s="3"/>
      <c r="D7" s="3"/>
    </row>
    <row r="8" spans="1:8" x14ac:dyDescent="0.25">
      <c r="A8" s="2">
        <v>6</v>
      </c>
      <c r="B8" s="3">
        <v>-1.5225112438201902E-3</v>
      </c>
      <c r="C8" s="3"/>
      <c r="D8" s="3"/>
    </row>
    <row r="9" spans="1:8" x14ac:dyDescent="0.25">
      <c r="A9" s="2">
        <v>7</v>
      </c>
      <c r="B9" s="3">
        <v>-1.1375249050615821E-3</v>
      </c>
      <c r="C9" s="3"/>
      <c r="D9" s="3"/>
    </row>
    <row r="10" spans="1:8" x14ac:dyDescent="0.25">
      <c r="A10" s="2">
        <v>8</v>
      </c>
      <c r="B10" s="3">
        <v>2.7754902112064872E-4</v>
      </c>
      <c r="C10" s="3"/>
      <c r="D10" s="3"/>
    </row>
    <row r="11" spans="1:8" x14ac:dyDescent="0.25">
      <c r="A11" s="2">
        <v>9</v>
      </c>
      <c r="B11" s="3">
        <v>1.1675059795379637E-3</v>
      </c>
      <c r="C11" s="3"/>
      <c r="D11" s="3"/>
    </row>
    <row r="12" spans="1:8" x14ac:dyDescent="0.25">
      <c r="A12" s="2">
        <v>10</v>
      </c>
      <c r="B12" s="3">
        <v>1.302480719459707E-3</v>
      </c>
      <c r="C12" s="3"/>
      <c r="D12" s="3"/>
    </row>
    <row r="13" spans="1:8" x14ac:dyDescent="0.25">
      <c r="A13" s="2">
        <v>11</v>
      </c>
      <c r="B13" s="3">
        <v>1.5850066120037792E-3</v>
      </c>
      <c r="C13" s="3"/>
      <c r="D13" s="3"/>
    </row>
    <row r="14" spans="1:8" x14ac:dyDescent="0.25">
      <c r="A14" s="2">
        <v>12</v>
      </c>
      <c r="B14" s="3">
        <v>1.1174976825714092E-3</v>
      </c>
      <c r="C14" s="3"/>
      <c r="D14" s="3"/>
    </row>
    <row r="15" spans="1:8" x14ac:dyDescent="0.25">
      <c r="A15" s="2">
        <v>13</v>
      </c>
      <c r="B15" s="3">
        <v>-2.1499397553270653E-4</v>
      </c>
      <c r="C15" s="3"/>
      <c r="D15" s="3"/>
    </row>
    <row r="16" spans="1:8" x14ac:dyDescent="0.25">
      <c r="A16" s="2">
        <v>14</v>
      </c>
      <c r="B16" s="3">
        <v>7.2479277150705579E-5</v>
      </c>
      <c r="C16" s="3"/>
      <c r="D16" s="3"/>
    </row>
    <row r="17" spans="1:4" x14ac:dyDescent="0.25">
      <c r="A17" s="2">
        <v>15</v>
      </c>
      <c r="B17" s="3">
        <v>7.8251960803754628E-4</v>
      </c>
      <c r="C17" s="3"/>
      <c r="D17" s="3"/>
    </row>
    <row r="18" spans="1:4" x14ac:dyDescent="0.25">
      <c r="A18" s="2">
        <v>16</v>
      </c>
      <c r="B18" s="3">
        <v>7.2479259188185232E-5</v>
      </c>
      <c r="C18" s="3"/>
      <c r="D18" s="3"/>
    </row>
    <row r="19" spans="1:4" x14ac:dyDescent="0.25">
      <c r="A19" s="2">
        <v>17</v>
      </c>
      <c r="B19" s="3">
        <v>3.4987917160833563E-5</v>
      </c>
      <c r="C19" s="3"/>
      <c r="D19" s="3"/>
    </row>
    <row r="20" spans="1:4" x14ac:dyDescent="0.25">
      <c r="A20" s="2">
        <v>18</v>
      </c>
      <c r="B20" s="3">
        <v>-1.6248229803750302E-4</v>
      </c>
      <c r="C20" s="3"/>
      <c r="D20" s="3"/>
    </row>
    <row r="21" spans="1:4" x14ac:dyDescent="0.25">
      <c r="A21" s="2">
        <v>19</v>
      </c>
      <c r="B21" s="3">
        <v>-1.7493962332082403E-5</v>
      </c>
      <c r="C21" s="3"/>
      <c r="D21" s="3"/>
    </row>
    <row r="22" spans="1:4" x14ac:dyDescent="0.25">
      <c r="A22" s="2">
        <v>20</v>
      </c>
      <c r="B22" s="3">
        <v>-1.9750001342799806E-4</v>
      </c>
      <c r="C22" s="3"/>
      <c r="D22" s="3"/>
    </row>
    <row r="23" spans="1:4" x14ac:dyDescent="0.25">
      <c r="A23" s="2">
        <v>21</v>
      </c>
      <c r="B23" s="3">
        <v>3.7491303373826498E-5</v>
      </c>
      <c r="C23" s="3"/>
      <c r="D23" s="3"/>
    </row>
    <row r="24" spans="1:4" x14ac:dyDescent="0.25">
      <c r="A24" s="2">
        <v>22</v>
      </c>
      <c r="B24" s="3">
        <v>-1.1250379611737999E-4</v>
      </c>
      <c r="C24" s="3"/>
      <c r="D24" s="3"/>
    </row>
    <row r="25" spans="1:4" x14ac:dyDescent="0.25">
      <c r="A25" s="2">
        <v>23</v>
      </c>
      <c r="B25" s="3">
        <v>-3.1244758974935399E-4</v>
      </c>
      <c r="C25" s="3"/>
      <c r="D25" s="3"/>
    </row>
    <row r="26" spans="1:4" x14ac:dyDescent="0.25">
      <c r="A26" s="2">
        <v>24</v>
      </c>
      <c r="B26" s="3">
        <v>-8.3503123460104472E-4</v>
      </c>
      <c r="C26" s="3"/>
      <c r="D26" s="3"/>
    </row>
    <row r="27" spans="1:4" x14ac:dyDescent="0.25">
      <c r="A27" s="2">
        <v>25</v>
      </c>
      <c r="B27" s="3">
        <v>-7.1749093694961803E-4</v>
      </c>
      <c r="C27" s="3"/>
      <c r="D27" s="3"/>
    </row>
    <row r="28" spans="1:4" x14ac:dyDescent="0.25">
      <c r="A28" s="2">
        <v>26</v>
      </c>
      <c r="B28" s="3">
        <v>-2.4974351617856994E-5</v>
      </c>
      <c r="C28" s="3"/>
      <c r="D28" s="3"/>
    </row>
    <row r="29" spans="1:4" x14ac:dyDescent="0.25">
      <c r="A29" s="2">
        <v>27</v>
      </c>
      <c r="B29" s="3">
        <v>-1.4001127215124137E-4</v>
      </c>
      <c r="C29" s="3"/>
      <c r="D29" s="3"/>
    </row>
    <row r="30" spans="1:4" x14ac:dyDescent="0.25">
      <c r="A30" s="2">
        <v>28</v>
      </c>
      <c r="B30" s="3">
        <v>-4.4253471241972918E-4</v>
      </c>
      <c r="C30" s="3"/>
      <c r="D30" s="3"/>
    </row>
    <row r="31" spans="1:4" x14ac:dyDescent="0.25">
      <c r="A31" s="2">
        <v>29</v>
      </c>
      <c r="B31" s="3">
        <v>-1.9575059122871599E-3</v>
      </c>
      <c r="C31" s="3"/>
      <c r="D31" s="3"/>
    </row>
    <row r="32" spans="1:4" x14ac:dyDescent="0.25">
      <c r="A32" s="2">
        <v>30</v>
      </c>
      <c r="B32" s="3">
        <v>-1.8424689769744851E-3</v>
      </c>
      <c r="C32" s="3"/>
      <c r="D32" s="3"/>
    </row>
    <row r="33" spans="1:4" x14ac:dyDescent="0.25">
      <c r="A33" s="2">
        <v>31</v>
      </c>
      <c r="B33" s="3">
        <v>-1.1025070962205072E-3</v>
      </c>
      <c r="C33" s="3"/>
      <c r="D33" s="3"/>
    </row>
    <row r="34" spans="1:4" x14ac:dyDescent="0.25">
      <c r="A34" s="2">
        <v>32</v>
      </c>
      <c r="B34" s="3">
        <v>4.4971740862820026E-5</v>
      </c>
      <c r="C34" s="3"/>
      <c r="D34" s="3"/>
    </row>
    <row r="35" spans="1:4" x14ac:dyDescent="0.25">
      <c r="A35" s="2">
        <v>33</v>
      </c>
      <c r="B35" s="3">
        <v>1.3253094948595376E-4</v>
      </c>
      <c r="C35" s="3"/>
      <c r="D35" s="3"/>
    </row>
    <row r="36" spans="1:4" x14ac:dyDescent="0.25">
      <c r="A36" s="2">
        <v>34</v>
      </c>
      <c r="B36" s="3">
        <v>-9.7501280833967138E-4</v>
      </c>
      <c r="C36" s="3"/>
      <c r="D36" s="3"/>
    </row>
    <row r="37" spans="1:4" x14ac:dyDescent="0.25">
      <c r="A37" s="2">
        <v>35</v>
      </c>
      <c r="B37" s="3">
        <v>-5.6999920161615526E-4</v>
      </c>
      <c r="C37" s="3"/>
      <c r="D37" s="3"/>
    </row>
    <row r="38" spans="1:4" x14ac:dyDescent="0.25">
      <c r="A38" s="2">
        <v>36</v>
      </c>
      <c r="B38" s="3">
        <v>-3.4987903063665726E-5</v>
      </c>
      <c r="C38" s="3"/>
      <c r="D38" s="3"/>
    </row>
    <row r="39" spans="1:4" x14ac:dyDescent="0.25">
      <c r="A39" s="2">
        <v>37</v>
      </c>
      <c r="B39" s="3">
        <v>-2.4747848306105874E-4</v>
      </c>
      <c r="C39" s="3"/>
      <c r="D39" s="3"/>
    </row>
    <row r="40" spans="1:4" x14ac:dyDescent="0.25">
      <c r="A40" s="2">
        <v>38</v>
      </c>
      <c r="B40" s="3">
        <v>-8.7529400843777884E-5</v>
      </c>
      <c r="C40" s="3"/>
      <c r="D40" s="3"/>
    </row>
    <row r="41" spans="1:4" x14ac:dyDescent="0.25">
      <c r="A41" s="2">
        <v>39</v>
      </c>
      <c r="B41" s="3">
        <v>1.7499927162134538E-4</v>
      </c>
      <c r="C41" s="3"/>
      <c r="D41" s="3"/>
    </row>
    <row r="42" spans="1:4" x14ac:dyDescent="0.25">
      <c r="A42" s="2">
        <v>40</v>
      </c>
      <c r="B42" s="3">
        <v>5.7488661695970249E-5</v>
      </c>
      <c r="C42" s="3"/>
      <c r="D42" s="3"/>
    </row>
    <row r="43" spans="1:4" x14ac:dyDescent="0.25">
      <c r="A43" s="2">
        <v>41</v>
      </c>
      <c r="B43" s="3">
        <v>4.7504887334071249E-5</v>
      </c>
      <c r="C43" s="3"/>
      <c r="D43" s="3"/>
    </row>
    <row r="44" spans="1:4" x14ac:dyDescent="0.25">
      <c r="A44" s="2">
        <v>42</v>
      </c>
      <c r="B44" s="3">
        <v>5.0747396744554873E-4</v>
      </c>
      <c r="C44" s="3"/>
      <c r="D44" s="3"/>
    </row>
    <row r="45" spans="1:4" x14ac:dyDescent="0.25">
      <c r="A45" s="2">
        <v>43</v>
      </c>
      <c r="B45" s="3">
        <v>3.1250714528141549E-4</v>
      </c>
      <c r="C45" s="3"/>
      <c r="D45" s="3"/>
    </row>
    <row r="46" spans="1:4" x14ac:dyDescent="0.25">
      <c r="A46" s="2">
        <v>44</v>
      </c>
      <c r="B46" s="3">
        <v>-2.6747583615360771E-4</v>
      </c>
      <c r="C46" s="3"/>
      <c r="D46" s="3"/>
    </row>
    <row r="47" spans="1:4" x14ac:dyDescent="0.25">
      <c r="A47" s="2">
        <v>45</v>
      </c>
      <c r="B47" s="3">
        <v>-2.0751353986270279E-4</v>
      </c>
      <c r="C47" s="3"/>
      <c r="D47" s="3"/>
    </row>
    <row r="48" spans="1:4" x14ac:dyDescent="0.25">
      <c r="A48" s="2">
        <v>46</v>
      </c>
      <c r="B48" s="3">
        <v>-1.2496114959503762E-4</v>
      </c>
      <c r="C48" s="3"/>
      <c r="D48" s="3"/>
    </row>
    <row r="49" spans="1:4" x14ac:dyDescent="0.25">
      <c r="A49" s="2">
        <v>47</v>
      </c>
      <c r="B49" s="3">
        <v>2.8496984941739362E-4</v>
      </c>
      <c r="C49" s="3"/>
      <c r="D49" s="3"/>
    </row>
    <row r="50" spans="1:4" x14ac:dyDescent="0.25">
      <c r="A50" s="2">
        <v>48</v>
      </c>
      <c r="B50" s="3">
        <v>-1.2000202805211319E-3</v>
      </c>
      <c r="C50" s="3"/>
      <c r="D50" s="3"/>
    </row>
    <row r="51" spans="1:4" x14ac:dyDescent="0.25">
      <c r="A51" s="2">
        <v>49</v>
      </c>
      <c r="B51" s="3">
        <v>-9.3749162988388121E-4</v>
      </c>
      <c r="C51" s="3"/>
      <c r="D51" s="3"/>
    </row>
    <row r="52" spans="1:4" x14ac:dyDescent="0.25">
      <c r="A52" s="2">
        <v>50</v>
      </c>
      <c r="B52" s="3">
        <v>4.7504921440122321E-5</v>
      </c>
      <c r="C52" s="3">
        <v>2.8509898584161511E-5</v>
      </c>
      <c r="D52" s="3">
        <v>3.7986435472703157E-5</v>
      </c>
    </row>
    <row r="53" spans="1:4" x14ac:dyDescent="0.25">
      <c r="A53" s="2">
        <v>51</v>
      </c>
      <c r="B53" s="3">
        <v>-4.2498084440012442E-5</v>
      </c>
      <c r="C53" s="3">
        <v>-4.1502915337332375E-5</v>
      </c>
      <c r="D53" s="3">
        <v>5.4449996241601428E-5</v>
      </c>
    </row>
    <row r="54" spans="1:4" x14ac:dyDescent="0.25">
      <c r="A54" s="2">
        <v>52</v>
      </c>
      <c r="B54" s="3">
        <v>4.9498672160552706E-4</v>
      </c>
      <c r="C54" s="3">
        <v>5.9970595123104236E-4</v>
      </c>
      <c r="D54" s="3">
        <v>1.0471922962551523E-4</v>
      </c>
    </row>
    <row r="55" spans="1:4" x14ac:dyDescent="0.25">
      <c r="A55" s="2">
        <v>53</v>
      </c>
      <c r="B55" s="3">
        <v>1.4799833588767799E-3</v>
      </c>
      <c r="C55" s="3">
        <v>1.4725931105203924E-3</v>
      </c>
      <c r="D55" s="3">
        <v>2.3028900614007501E-5</v>
      </c>
    </row>
    <row r="56" spans="1:4" x14ac:dyDescent="0.25">
      <c r="A56" s="2">
        <v>54</v>
      </c>
      <c r="B56" s="3">
        <v>8.2501776705612385E-4</v>
      </c>
      <c r="C56" s="3">
        <v>8.2418281817808704E-4</v>
      </c>
      <c r="D56" s="3">
        <v>1.4696056678076128E-4</v>
      </c>
    </row>
    <row r="57" spans="1:4" x14ac:dyDescent="0.25">
      <c r="A57" s="2">
        <v>55</v>
      </c>
      <c r="B57" s="3">
        <v>3.7491301554837305E-5</v>
      </c>
      <c r="C57" s="3">
        <v>4.3898857256863253E-5</v>
      </c>
      <c r="D57" s="3">
        <v>1.0584478332020794E-4</v>
      </c>
    </row>
    <row r="58" spans="1:4" x14ac:dyDescent="0.25">
      <c r="A58" s="2">
        <v>56</v>
      </c>
      <c r="B58" s="3">
        <v>1.2254715329618201E-4</v>
      </c>
      <c r="C58" s="3">
        <v>8.6322179413400509E-5</v>
      </c>
      <c r="D58" s="3">
        <v>3.6224973882781504E-5</v>
      </c>
    </row>
    <row r="59" spans="1:4" x14ac:dyDescent="0.25">
      <c r="A59" s="2">
        <v>57</v>
      </c>
      <c r="B59" s="3">
        <v>7.7456235885620253E-5</v>
      </c>
      <c r="C59" s="3">
        <v>8.5694671724922955E-5</v>
      </c>
      <c r="D59" s="3">
        <v>1.1791925135185019E-4</v>
      </c>
    </row>
    <row r="60" spans="1:4" x14ac:dyDescent="0.25">
      <c r="A60" s="2">
        <v>58</v>
      </c>
      <c r="B60" s="3">
        <v>5.0067801566908694E-6</v>
      </c>
      <c r="C60" s="3">
        <v>-5.0829942779273653E-6</v>
      </c>
      <c r="D60" s="3">
        <v>1.2564862817043826E-4</v>
      </c>
    </row>
    <row r="61" spans="1:4" x14ac:dyDescent="0.25">
      <c r="A61" s="2">
        <v>59</v>
      </c>
      <c r="B61" s="3">
        <v>1.5252826415235179E-4</v>
      </c>
      <c r="C61" s="3">
        <v>1.863223184557227E-4</v>
      </c>
      <c r="D61" s="3">
        <v>4.5650521911966246E-5</v>
      </c>
    </row>
    <row r="62" spans="1:4" x14ac:dyDescent="0.25">
      <c r="A62" s="2">
        <v>60</v>
      </c>
      <c r="B62" s="3">
        <v>-1.2001394952676496E-4</v>
      </c>
      <c r="C62" s="3">
        <v>-9.8853680356114556E-5</v>
      </c>
      <c r="D62" s="3">
        <v>9.2980679255560904E-5</v>
      </c>
    </row>
    <row r="63" spans="1:4" x14ac:dyDescent="0.25">
      <c r="A63" s="2">
        <v>61</v>
      </c>
      <c r="B63" s="3">
        <v>-6.2495477322954752E-5</v>
      </c>
      <c r="C63" s="3">
        <v>-1.4176565400703101E-4</v>
      </c>
      <c r="D63" s="3">
        <v>1.4928403015801423E-4</v>
      </c>
    </row>
    <row r="64" spans="1:4" x14ac:dyDescent="0.25">
      <c r="A64" s="2">
        <v>62</v>
      </c>
      <c r="B64" s="3">
        <v>1.8498302415537158E-4</v>
      </c>
      <c r="C64" s="3">
        <v>2.1794168969790949E-4</v>
      </c>
      <c r="D64" s="3">
        <v>7.3827966843964396E-5</v>
      </c>
    </row>
    <row r="65" spans="1:4" x14ac:dyDescent="0.25">
      <c r="A65" s="2">
        <v>63</v>
      </c>
      <c r="B65" s="3">
        <v>7.0005680754547803E-5</v>
      </c>
      <c r="C65" s="3">
        <v>3.2952271794783869E-5</v>
      </c>
      <c r="D65" s="3">
        <v>1.0336351806472491E-4</v>
      </c>
    </row>
    <row r="66" spans="1:4" x14ac:dyDescent="0.25">
      <c r="A66" s="2">
        <v>64</v>
      </c>
      <c r="B66" s="3">
        <v>3.7491359762498218E-5</v>
      </c>
      <c r="C66" s="3">
        <v>3.8419988413807181E-5</v>
      </c>
      <c r="D66" s="3">
        <v>7.5526289947447448E-5</v>
      </c>
    </row>
    <row r="67" spans="1:4" x14ac:dyDescent="0.25">
      <c r="A67" s="2">
        <v>65</v>
      </c>
      <c r="B67" s="3">
        <v>-1.9997358685941449E-4</v>
      </c>
      <c r="C67" s="3">
        <v>-2.3774896908435026E-4</v>
      </c>
      <c r="D67" s="3">
        <v>1.5297788195312023E-4</v>
      </c>
    </row>
    <row r="68" spans="1:4" x14ac:dyDescent="0.25">
      <c r="A68" s="2">
        <v>66</v>
      </c>
      <c r="B68" s="3">
        <v>-3.3250452179345297E-4</v>
      </c>
      <c r="C68" s="3">
        <v>-4.3078904855065048E-4</v>
      </c>
      <c r="D68" s="3">
        <v>2.2341557269101047E-4</v>
      </c>
    </row>
    <row r="69" spans="1:4" x14ac:dyDescent="0.25">
      <c r="A69" s="2">
        <v>67</v>
      </c>
      <c r="B69" s="3">
        <v>-1.7502902665000877E-4</v>
      </c>
      <c r="C69" s="3">
        <v>-2.3651604351471002E-5</v>
      </c>
      <c r="D69" s="3">
        <v>2.4449822012684324E-4</v>
      </c>
    </row>
    <row r="70" spans="1:4" x14ac:dyDescent="0.25">
      <c r="A70" s="2">
        <v>68</v>
      </c>
      <c r="B70" s="3">
        <v>2.0000342374260072E-4</v>
      </c>
      <c r="C70" s="3">
        <v>1.5998650292203812E-4</v>
      </c>
      <c r="D70" s="3">
        <v>4.8806757831698592E-5</v>
      </c>
    </row>
    <row r="71" spans="1:4" x14ac:dyDescent="0.25">
      <c r="A71" s="2">
        <v>69</v>
      </c>
      <c r="B71" s="3">
        <v>4.5502180910261803E-4</v>
      </c>
      <c r="C71" s="3">
        <v>-2.5921659835148597E-4</v>
      </c>
      <c r="D71" s="3">
        <v>7.1423840745410405E-4</v>
      </c>
    </row>
    <row r="72" spans="1:4" x14ac:dyDescent="0.25">
      <c r="A72" s="2">
        <v>70</v>
      </c>
      <c r="B72" s="3">
        <v>-5.501508348970655E-5</v>
      </c>
      <c r="C72" s="3">
        <v>2.3940789833432072E-4</v>
      </c>
      <c r="D72" s="3">
        <v>8.2654856305452973E-4</v>
      </c>
    </row>
    <row r="73" spans="1:4" x14ac:dyDescent="0.25">
      <c r="A73" s="2">
        <v>71</v>
      </c>
      <c r="B73" s="3">
        <v>2.7501584554556725E-4</v>
      </c>
      <c r="C73" s="3">
        <v>-2.5566178510416643E-4</v>
      </c>
      <c r="D73" s="3">
        <v>1.4358311441355909E-3</v>
      </c>
    </row>
    <row r="74" spans="1:4" x14ac:dyDescent="0.25">
      <c r="A74" s="2" t="s">
        <v>1</v>
      </c>
      <c r="B74" s="3">
        <v>-4.3542018611712388E-5</v>
      </c>
      <c r="C74" s="3">
        <v>1.146211321412237E-4</v>
      </c>
      <c r="D74" s="3">
        <v>2.2453328722220193E-4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4"/>
  <sheetViews>
    <sheetView zoomScale="85" zoomScaleNormal="85" workbookViewId="0">
      <selection activeCell="A44" sqref="A44"/>
    </sheetView>
  </sheetViews>
  <sheetFormatPr defaultRowHeight="15" x14ac:dyDescent="0.25"/>
  <cols>
    <col min="1" max="1" width="17.7109375" bestFit="1"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2.2453069686977271E-4</v>
      </c>
    </row>
    <row r="2" spans="1:8" x14ac:dyDescent="0.25">
      <c r="A2" s="2" t="s">
        <v>335</v>
      </c>
      <c r="B2" s="3">
        <v>1.1690249741077401</v>
      </c>
      <c r="C2" s="3"/>
      <c r="D2" s="3"/>
    </row>
    <row r="3" spans="1:8" x14ac:dyDescent="0.25">
      <c r="A3" s="2" t="s">
        <v>339</v>
      </c>
      <c r="B3" s="3">
        <v>1.1699250042438525</v>
      </c>
      <c r="C3" s="3"/>
      <c r="D3" s="3"/>
    </row>
    <row r="4" spans="1:8" x14ac:dyDescent="0.25">
      <c r="A4" s="2" t="s">
        <v>340</v>
      </c>
      <c r="B4" s="3">
        <v>1.1697050034999874</v>
      </c>
      <c r="C4" s="3"/>
      <c r="D4" s="3"/>
    </row>
    <row r="5" spans="1:8" x14ac:dyDescent="0.25">
      <c r="A5" s="2" t="s">
        <v>329</v>
      </c>
      <c r="B5" s="3">
        <v>1.1693825125694275</v>
      </c>
      <c r="C5" s="3"/>
      <c r="D5" s="3"/>
    </row>
    <row r="6" spans="1:8" x14ac:dyDescent="0.25">
      <c r="A6" s="2" t="s">
        <v>341</v>
      </c>
      <c r="B6" s="3">
        <v>1.1694424748420724</v>
      </c>
      <c r="C6" s="3"/>
      <c r="D6" s="3"/>
    </row>
    <row r="7" spans="1:8" x14ac:dyDescent="0.25">
      <c r="A7" s="2" t="s">
        <v>342</v>
      </c>
      <c r="B7" s="3">
        <v>1.1699849963188149</v>
      </c>
      <c r="C7" s="3"/>
      <c r="D7" s="3"/>
    </row>
    <row r="8" spans="1:8" x14ac:dyDescent="0.25">
      <c r="A8" s="2" t="s">
        <v>343</v>
      </c>
      <c r="B8" s="3">
        <v>1.1684624850749949</v>
      </c>
      <c r="C8" s="3"/>
      <c r="D8" s="3"/>
    </row>
    <row r="9" spans="1:8" x14ac:dyDescent="0.25">
      <c r="A9" s="2" t="s">
        <v>344</v>
      </c>
      <c r="B9" s="3">
        <v>1.1673249602317801</v>
      </c>
      <c r="C9" s="3"/>
      <c r="D9" s="3"/>
    </row>
    <row r="10" spans="1:8" x14ac:dyDescent="0.25">
      <c r="A10" s="2" t="s">
        <v>345</v>
      </c>
      <c r="B10" s="3">
        <v>1.1676025092601776</v>
      </c>
      <c r="C10" s="3"/>
      <c r="D10" s="3"/>
    </row>
    <row r="11" spans="1:8" x14ac:dyDescent="0.25">
      <c r="A11" s="2" t="s">
        <v>346</v>
      </c>
      <c r="B11" s="3">
        <v>1.1687700152397149</v>
      </c>
      <c r="C11" s="3"/>
      <c r="D11" s="3"/>
    </row>
    <row r="12" spans="1:8" x14ac:dyDescent="0.25">
      <c r="A12" s="2" t="s">
        <v>327</v>
      </c>
      <c r="B12" s="3">
        <v>1.1700724959373476</v>
      </c>
      <c r="C12" s="3"/>
      <c r="D12" s="3"/>
    </row>
    <row r="13" spans="1:8" x14ac:dyDescent="0.25">
      <c r="A13" s="2" t="s">
        <v>347</v>
      </c>
      <c r="B13" s="3">
        <v>1.171657502651215</v>
      </c>
      <c r="C13" s="3"/>
      <c r="D13" s="3"/>
    </row>
    <row r="14" spans="1:8" x14ac:dyDescent="0.25">
      <c r="A14" s="2" t="s">
        <v>348</v>
      </c>
      <c r="B14" s="3">
        <v>1.1727750003337849</v>
      </c>
      <c r="C14" s="3"/>
      <c r="D14" s="3"/>
    </row>
    <row r="15" spans="1:8" x14ac:dyDescent="0.25">
      <c r="A15" s="2" t="s">
        <v>349</v>
      </c>
      <c r="B15" s="3">
        <v>1.1725600063800825</v>
      </c>
      <c r="C15" s="3"/>
      <c r="D15" s="3"/>
    </row>
    <row r="16" spans="1:8" x14ac:dyDescent="0.25">
      <c r="A16" s="2" t="s">
        <v>350</v>
      </c>
      <c r="B16" s="3">
        <v>1.1726324856281276</v>
      </c>
      <c r="C16" s="3"/>
      <c r="D16" s="3"/>
    </row>
    <row r="17" spans="1:4" x14ac:dyDescent="0.25">
      <c r="A17" s="2" t="s">
        <v>351</v>
      </c>
      <c r="B17" s="3">
        <v>1.1734150052070624</v>
      </c>
      <c r="C17" s="3"/>
      <c r="D17" s="3"/>
    </row>
    <row r="18" spans="1:4" x14ac:dyDescent="0.25">
      <c r="A18" s="2" t="s">
        <v>352</v>
      </c>
      <c r="B18" s="3">
        <v>1.17348748445511</v>
      </c>
      <c r="C18" s="3"/>
      <c r="D18" s="3"/>
    </row>
    <row r="19" spans="1:4" x14ac:dyDescent="0.25">
      <c r="A19" s="2" t="s">
        <v>353</v>
      </c>
      <c r="B19" s="3">
        <v>1.1735224723815925</v>
      </c>
      <c r="C19" s="3"/>
      <c r="D19" s="3"/>
    </row>
    <row r="20" spans="1:4" x14ac:dyDescent="0.25">
      <c r="A20" s="2" t="s">
        <v>354</v>
      </c>
      <c r="B20" s="3">
        <v>1.173359990119935</v>
      </c>
      <c r="C20" s="3"/>
      <c r="D20" s="3"/>
    </row>
    <row r="21" spans="1:4" x14ac:dyDescent="0.25">
      <c r="A21" s="2" t="s">
        <v>355</v>
      </c>
      <c r="B21" s="3">
        <v>1.1733424961566925</v>
      </c>
      <c r="C21" s="3"/>
      <c r="D21" s="3"/>
    </row>
    <row r="22" spans="1:4" x14ac:dyDescent="0.25">
      <c r="A22" s="2" t="s">
        <v>356</v>
      </c>
      <c r="B22" s="3">
        <v>1.1731449961662275</v>
      </c>
      <c r="C22" s="3"/>
      <c r="D22" s="3"/>
    </row>
    <row r="23" spans="1:4" x14ac:dyDescent="0.25">
      <c r="A23" s="2" t="s">
        <v>357</v>
      </c>
      <c r="B23" s="3">
        <v>1.1731824874877925</v>
      </c>
      <c r="C23" s="3"/>
      <c r="D23" s="3"/>
    </row>
    <row r="24" spans="1:4" x14ac:dyDescent="0.25">
      <c r="A24" s="2" t="s">
        <v>358</v>
      </c>
      <c r="B24" s="3">
        <v>1.1730699837207774</v>
      </c>
      <c r="C24" s="3"/>
      <c r="D24" s="3"/>
    </row>
    <row r="25" spans="1:4" x14ac:dyDescent="0.25">
      <c r="A25" s="2" t="s">
        <v>359</v>
      </c>
      <c r="B25" s="3">
        <v>1.1727575361728675</v>
      </c>
      <c r="C25" s="3"/>
      <c r="D25" s="3"/>
    </row>
    <row r="26" spans="1:4" x14ac:dyDescent="0.25">
      <c r="A26" s="2" t="s">
        <v>360</v>
      </c>
      <c r="B26" s="3">
        <v>1.1719225049018875</v>
      </c>
      <c r="C26" s="3"/>
      <c r="D26" s="3"/>
    </row>
    <row r="27" spans="1:4" x14ac:dyDescent="0.25">
      <c r="A27" s="2" t="s">
        <v>361</v>
      </c>
      <c r="B27" s="3">
        <v>1.1712050139904024</v>
      </c>
      <c r="C27" s="3"/>
      <c r="D27" s="3"/>
    </row>
    <row r="28" spans="1:4" x14ac:dyDescent="0.25">
      <c r="A28" s="2" t="s">
        <v>362</v>
      </c>
      <c r="B28" s="3">
        <v>1.1711800396442427</v>
      </c>
      <c r="C28" s="3"/>
      <c r="D28" s="3"/>
    </row>
    <row r="29" spans="1:4" x14ac:dyDescent="0.25">
      <c r="A29" s="2" t="s">
        <v>363</v>
      </c>
      <c r="B29" s="3">
        <v>1.1710400283336648</v>
      </c>
      <c r="C29" s="3"/>
      <c r="D29" s="3"/>
    </row>
    <row r="30" spans="1:4" x14ac:dyDescent="0.25">
      <c r="A30" s="2" t="s">
        <v>364</v>
      </c>
      <c r="B30" s="3">
        <v>1.1705974936485299</v>
      </c>
      <c r="C30" s="3"/>
      <c r="D30" s="3"/>
    </row>
    <row r="31" spans="1:4" x14ac:dyDescent="0.25">
      <c r="A31" s="2" t="s">
        <v>365</v>
      </c>
      <c r="B31" s="3">
        <v>1.1686399877071376</v>
      </c>
      <c r="C31" s="3"/>
      <c r="D31" s="3"/>
    </row>
    <row r="32" spans="1:4" x14ac:dyDescent="0.25">
      <c r="A32" s="2" t="s">
        <v>366</v>
      </c>
      <c r="B32" s="3">
        <v>1.1667975187301625</v>
      </c>
      <c r="C32" s="3"/>
      <c r="D32" s="3"/>
    </row>
    <row r="33" spans="1:4" x14ac:dyDescent="0.25">
      <c r="A33" s="2" t="s">
        <v>367</v>
      </c>
      <c r="B33" s="3">
        <v>1.1656950116157498</v>
      </c>
      <c r="C33" s="3"/>
      <c r="D33" s="3"/>
    </row>
    <row r="34" spans="1:4" x14ac:dyDescent="0.25">
      <c r="A34" s="2" t="s">
        <v>368</v>
      </c>
      <c r="B34" s="3">
        <v>1.1657399833202375</v>
      </c>
      <c r="C34" s="3"/>
      <c r="D34" s="3"/>
    </row>
    <row r="35" spans="1:4" x14ac:dyDescent="0.25">
      <c r="A35" s="2" t="s">
        <v>369</v>
      </c>
      <c r="B35" s="3">
        <v>1.165872514247895</v>
      </c>
      <c r="C35" s="3"/>
      <c r="D35" s="3"/>
    </row>
    <row r="36" spans="1:4" x14ac:dyDescent="0.25">
      <c r="A36" s="2" t="s">
        <v>370</v>
      </c>
      <c r="B36" s="3">
        <v>1.1648975014686573</v>
      </c>
      <c r="C36" s="3"/>
      <c r="D36" s="3"/>
    </row>
    <row r="37" spans="1:4" x14ac:dyDescent="0.25">
      <c r="A37" s="2" t="s">
        <v>371</v>
      </c>
      <c r="B37" s="3">
        <v>1.1643275022506725</v>
      </c>
      <c r="C37" s="3"/>
      <c r="D37" s="3"/>
    </row>
    <row r="38" spans="1:4" x14ac:dyDescent="0.25">
      <c r="A38" s="2" t="s">
        <v>372</v>
      </c>
      <c r="B38" s="3">
        <v>1.1642925143241873</v>
      </c>
      <c r="C38" s="3"/>
      <c r="D38" s="3"/>
    </row>
    <row r="39" spans="1:4" x14ac:dyDescent="0.25">
      <c r="A39" s="2" t="s">
        <v>373</v>
      </c>
      <c r="B39" s="3">
        <v>1.1640450358390799</v>
      </c>
      <c r="C39" s="3"/>
      <c r="D39" s="3"/>
    </row>
    <row r="40" spans="1:4" x14ac:dyDescent="0.25">
      <c r="A40" s="2" t="s">
        <v>374</v>
      </c>
      <c r="B40" s="3">
        <v>1.1639575064182275</v>
      </c>
      <c r="C40" s="3"/>
      <c r="D40" s="3"/>
    </row>
    <row r="41" spans="1:4" x14ac:dyDescent="0.25">
      <c r="A41" s="2" t="s">
        <v>375</v>
      </c>
      <c r="B41" s="3">
        <v>1.16413250565529</v>
      </c>
      <c r="C41" s="3"/>
      <c r="D41" s="3"/>
    </row>
    <row r="42" spans="1:4" x14ac:dyDescent="0.25">
      <c r="A42" s="2" t="s">
        <v>376</v>
      </c>
      <c r="B42" s="3">
        <v>1.164189994335175</v>
      </c>
      <c r="C42" s="3"/>
      <c r="D42" s="3"/>
    </row>
    <row r="43" spans="1:4" x14ac:dyDescent="0.25">
      <c r="A43" s="2" t="s">
        <v>377</v>
      </c>
      <c r="B43" s="3">
        <v>1.1642374992370623</v>
      </c>
      <c r="C43" s="3"/>
      <c r="D43" s="3"/>
    </row>
    <row r="44" spans="1:4" x14ac:dyDescent="0.25">
      <c r="A44" s="2" t="s">
        <v>378</v>
      </c>
      <c r="B44" s="3">
        <v>1.16474497318268</v>
      </c>
      <c r="C44" s="3"/>
      <c r="D44" s="3"/>
    </row>
    <row r="45" spans="1:4" x14ac:dyDescent="0.25">
      <c r="A45" s="2" t="s">
        <v>379</v>
      </c>
      <c r="B45" s="3">
        <v>1.1650574803352352</v>
      </c>
      <c r="C45" s="3"/>
      <c r="D45" s="3"/>
    </row>
    <row r="46" spans="1:4" x14ac:dyDescent="0.25">
      <c r="A46" s="2" t="s">
        <v>380</v>
      </c>
      <c r="B46" s="3">
        <v>1.1647900044918049</v>
      </c>
      <c r="C46" s="3"/>
      <c r="D46" s="3"/>
    </row>
    <row r="47" spans="1:4" x14ac:dyDescent="0.25">
      <c r="A47" s="2" t="s">
        <v>381</v>
      </c>
      <c r="B47" s="3">
        <v>1.1645824909210225</v>
      </c>
      <c r="C47" s="3"/>
      <c r="D47" s="3"/>
    </row>
    <row r="48" spans="1:4" x14ac:dyDescent="0.25">
      <c r="A48" s="2" t="s">
        <v>382</v>
      </c>
      <c r="B48" s="3">
        <v>1.16445752978325</v>
      </c>
      <c r="C48" s="3"/>
      <c r="D48" s="3"/>
    </row>
    <row r="49" spans="1:4" x14ac:dyDescent="0.25">
      <c r="A49" s="2" t="s">
        <v>383</v>
      </c>
      <c r="B49" s="3">
        <v>1.16474249958992</v>
      </c>
      <c r="C49" s="3"/>
      <c r="D49" s="3"/>
    </row>
    <row r="50" spans="1:4" x14ac:dyDescent="0.25">
      <c r="A50" s="2" t="s">
        <v>384</v>
      </c>
      <c r="B50" s="3">
        <v>1.1635424792766575</v>
      </c>
      <c r="C50" s="3"/>
      <c r="D50" s="3"/>
    </row>
    <row r="51" spans="1:4" x14ac:dyDescent="0.25">
      <c r="A51" s="2" t="s">
        <v>385</v>
      </c>
      <c r="B51" s="3">
        <v>1.1626049876213076</v>
      </c>
      <c r="C51" s="3"/>
      <c r="D51" s="3"/>
    </row>
    <row r="52" spans="1:4" x14ac:dyDescent="0.25">
      <c r="A52" s="2" t="s">
        <v>386</v>
      </c>
      <c r="B52" s="3">
        <v>1.1626524925231951</v>
      </c>
      <c r="C52" s="3">
        <v>1.1626335084438351</v>
      </c>
      <c r="D52" s="3">
        <v>3.7997961045000005E-5</v>
      </c>
    </row>
    <row r="53" spans="1:4" x14ac:dyDescent="0.25">
      <c r="A53" s="2" t="s">
        <v>387</v>
      </c>
      <c r="B53" s="3">
        <v>1.1626099944114676</v>
      </c>
      <c r="C53" s="3">
        <v>1.1626110076904299</v>
      </c>
      <c r="D53" s="3">
        <v>5.44190406825E-5</v>
      </c>
    </row>
    <row r="54" spans="1:4" x14ac:dyDescent="0.25">
      <c r="A54" s="2" t="s">
        <v>388</v>
      </c>
      <c r="B54" s="3">
        <v>1.1631049811840048</v>
      </c>
      <c r="C54" s="3">
        <v>1.1632097065448774</v>
      </c>
      <c r="D54" s="3">
        <v>1.047253608725E-4</v>
      </c>
    </row>
    <row r="55" spans="1:4" x14ac:dyDescent="0.25">
      <c r="A55" s="2" t="s">
        <v>389</v>
      </c>
      <c r="B55" s="3">
        <v>1.16458496451378</v>
      </c>
      <c r="C55" s="3">
        <v>1.1645775437355026</v>
      </c>
      <c r="D55" s="3">
        <v>2.3037195207499999E-5</v>
      </c>
    </row>
    <row r="56" spans="1:4" x14ac:dyDescent="0.25">
      <c r="A56" s="2" t="s">
        <v>443</v>
      </c>
      <c r="B56" s="3">
        <v>1.165409982204435</v>
      </c>
      <c r="C56" s="3">
        <v>1.1654091179370876</v>
      </c>
      <c r="D56" s="3">
        <v>1.4695525169750002E-4</v>
      </c>
    </row>
    <row r="57" spans="1:4" x14ac:dyDescent="0.25">
      <c r="A57" s="2" t="s">
        <v>444</v>
      </c>
      <c r="B57" s="3">
        <v>1.1654474735260001</v>
      </c>
      <c r="C57" s="3">
        <v>1.1654538512229926</v>
      </c>
      <c r="D57" s="3">
        <v>1.058578491225E-4</v>
      </c>
    </row>
    <row r="58" spans="1:4" x14ac:dyDescent="0.25">
      <c r="A58" s="2" t="s">
        <v>445</v>
      </c>
      <c r="B58" s="3">
        <v>1.1655700206756601</v>
      </c>
      <c r="C58" s="3">
        <v>1.1655337810516351</v>
      </c>
      <c r="D58" s="3">
        <v>3.6239624024999998E-5</v>
      </c>
    </row>
    <row r="59" spans="1:4" x14ac:dyDescent="0.25">
      <c r="A59" s="2" t="s">
        <v>446</v>
      </c>
      <c r="B59" s="3">
        <v>1.165647476911545</v>
      </c>
      <c r="C59" s="3">
        <v>1.1656557023525225</v>
      </c>
      <c r="D59" s="3">
        <v>1.1789798736749999E-4</v>
      </c>
    </row>
    <row r="60" spans="1:4" x14ac:dyDescent="0.25">
      <c r="A60" s="2" t="s">
        <v>447</v>
      </c>
      <c r="B60" s="3">
        <v>1.165652483701705</v>
      </c>
      <c r="C60" s="3">
        <v>1.16564241051674</v>
      </c>
      <c r="D60" s="3">
        <v>1.2564659118999999E-4</v>
      </c>
    </row>
    <row r="61" spans="1:4" x14ac:dyDescent="0.25">
      <c r="A61" s="2" t="s">
        <v>448</v>
      </c>
      <c r="B61" s="3">
        <v>1.1658050119876848</v>
      </c>
      <c r="C61" s="3">
        <v>1.1658387780189523</v>
      </c>
      <c r="D61" s="3">
        <v>4.5627355577499996E-5</v>
      </c>
    </row>
    <row r="62" spans="1:4" x14ac:dyDescent="0.25">
      <c r="A62" s="2" t="s">
        <v>449</v>
      </c>
      <c r="B62" s="3">
        <v>1.16568499803543</v>
      </c>
      <c r="C62" s="3">
        <v>1.1657061576843275</v>
      </c>
      <c r="D62" s="3">
        <v>9.2983245847500005E-5</v>
      </c>
    </row>
    <row r="63" spans="1:4" x14ac:dyDescent="0.25">
      <c r="A63" s="2" t="s">
        <v>390</v>
      </c>
      <c r="B63" s="3">
        <v>1.1656225025653848</v>
      </c>
      <c r="C63" s="3">
        <v>1.1655432283878326</v>
      </c>
      <c r="D63" s="3">
        <v>1.4925003051750001E-4</v>
      </c>
    </row>
    <row r="64" spans="1:4" x14ac:dyDescent="0.25">
      <c r="A64" s="2" t="s">
        <v>391</v>
      </c>
      <c r="B64" s="3">
        <v>1.1658074855804426</v>
      </c>
      <c r="C64" s="3">
        <v>1.1658404171466823</v>
      </c>
      <c r="D64" s="3">
        <v>7.3820352555E-5</v>
      </c>
    </row>
    <row r="65" spans="1:4" x14ac:dyDescent="0.25">
      <c r="A65" s="2" t="s">
        <v>392</v>
      </c>
      <c r="B65" s="3">
        <v>1.1658774912357326</v>
      </c>
      <c r="C65" s="3">
        <v>1.1658403873443599</v>
      </c>
      <c r="D65" s="3">
        <v>1.0338425636249999E-4</v>
      </c>
    </row>
    <row r="66" spans="1:4" x14ac:dyDescent="0.25">
      <c r="A66" s="2" t="s">
        <v>409</v>
      </c>
      <c r="B66" s="3">
        <v>1.165914982557295</v>
      </c>
      <c r="C66" s="3">
        <v>1.1659158766269699</v>
      </c>
      <c r="D66" s="3">
        <v>7.5519084929999997E-5</v>
      </c>
    </row>
    <row r="67" spans="1:4" x14ac:dyDescent="0.25">
      <c r="A67" s="2" t="s">
        <v>410</v>
      </c>
      <c r="B67" s="3">
        <v>1.1657150089740751</v>
      </c>
      <c r="C67" s="3">
        <v>1.1656772494316101</v>
      </c>
      <c r="D67" s="3">
        <v>1.5297532081499999E-4</v>
      </c>
    </row>
    <row r="68" spans="1:4" x14ac:dyDescent="0.25">
      <c r="A68" s="2" t="s">
        <v>411</v>
      </c>
      <c r="B68" s="3">
        <v>1.1653825044631976</v>
      </c>
      <c r="C68" s="3">
        <v>1.1652842164039625</v>
      </c>
      <c r="D68" s="3">
        <v>2.2339820861999997E-4</v>
      </c>
    </row>
    <row r="69" spans="1:4" x14ac:dyDescent="0.25">
      <c r="A69" s="2" t="s">
        <v>412</v>
      </c>
      <c r="B69" s="3">
        <v>1.1652074754238124</v>
      </c>
      <c r="C69" s="3">
        <v>1.1653588712215426</v>
      </c>
      <c r="D69" s="3">
        <v>2.4449825287000001E-4</v>
      </c>
    </row>
    <row r="70" spans="1:4" x14ac:dyDescent="0.25">
      <c r="A70" s="2" t="s">
        <v>413</v>
      </c>
      <c r="B70" s="3">
        <v>1.1654074788093574</v>
      </c>
      <c r="C70" s="3">
        <v>1.1653674244880676</v>
      </c>
      <c r="D70" s="3">
        <v>4.8816204070000002E-5</v>
      </c>
    </row>
    <row r="71" spans="1:4" x14ac:dyDescent="0.25">
      <c r="A71" s="2" t="s">
        <v>414</v>
      </c>
      <c r="B71" s="3">
        <v>1.16586250066757</v>
      </c>
      <c r="C71" s="3">
        <v>1.1651482582092274</v>
      </c>
      <c r="D71" s="3">
        <v>7.1424245834249994E-4</v>
      </c>
    </row>
    <row r="72" spans="1:4" x14ac:dyDescent="0.25">
      <c r="A72" s="2" t="s">
        <v>415</v>
      </c>
      <c r="B72" s="3">
        <v>1.1658074855804426</v>
      </c>
      <c r="C72" s="3">
        <v>1.16610187292099</v>
      </c>
      <c r="D72" s="3">
        <v>8.2653760910250001E-4</v>
      </c>
    </row>
    <row r="73" spans="1:4" x14ac:dyDescent="0.25">
      <c r="A73" s="2" t="s">
        <v>416</v>
      </c>
      <c r="B73" s="3">
        <v>1.1660825014114375</v>
      </c>
      <c r="C73" s="3">
        <v>1.1655518114566825</v>
      </c>
      <c r="D73" s="3">
        <v>1.435846090315E-3</v>
      </c>
    </row>
    <row r="74" spans="1:4" x14ac:dyDescent="0.25">
      <c r="A74" s="2" t="s">
        <v>1</v>
      </c>
      <c r="B74" s="3">
        <v>1.1675104830000134</v>
      </c>
      <c r="C74" s="3">
        <v>1.1651773263107648</v>
      </c>
      <c r="D74" s="3">
        <v>2.2453069686977271E-4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27"/>
  <sheetViews>
    <sheetView tabSelected="1" workbookViewId="0">
      <selection activeCell="C16" sqref="C16"/>
    </sheetView>
  </sheetViews>
  <sheetFormatPr defaultRowHeight="15" x14ac:dyDescent="0.25"/>
  <cols>
    <col min="1" max="1" width="15.5703125" bestFit="1" customWidth="1"/>
    <col min="2" max="2" width="20.28515625" customWidth="1"/>
    <col min="3" max="3" width="27.42578125" customWidth="1"/>
    <col min="4" max="4" width="15" customWidth="1"/>
    <col min="5" max="5" width="15.7109375" customWidth="1"/>
    <col min="6" max="6" width="16.140625" customWidth="1"/>
    <col min="7" max="7" width="15.7109375" customWidth="1"/>
    <col min="8" max="9" width="7.42578125" customWidth="1"/>
  </cols>
  <sheetData>
    <row r="2" spans="1:4" x14ac:dyDescent="0.25">
      <c r="A2" s="1" t="s">
        <v>0</v>
      </c>
      <c r="B2" t="s">
        <v>407</v>
      </c>
      <c r="C2" t="s">
        <v>406</v>
      </c>
      <c r="D2" t="s">
        <v>408</v>
      </c>
    </row>
    <row r="3" spans="1:4" x14ac:dyDescent="0.25">
      <c r="A3" s="23">
        <v>43308.875</v>
      </c>
      <c r="B3" s="3">
        <v>1.16595</v>
      </c>
      <c r="C3" s="3">
        <v>1.166906</v>
      </c>
      <c r="D3" s="3">
        <v>9.5599999999995688E-4</v>
      </c>
    </row>
    <row r="4" spans="1:4" x14ac:dyDescent="0.25">
      <c r="A4" s="23">
        <v>43308.916666666664</v>
      </c>
      <c r="B4" s="3">
        <v>1.1663600000000001</v>
      </c>
      <c r="C4" s="3">
        <v>1.165872</v>
      </c>
      <c r="D4" s="3">
        <v>4.8800000000004395E-4</v>
      </c>
    </row>
    <row r="5" spans="1:4" x14ac:dyDescent="0.25">
      <c r="A5" s="23">
        <v>43308.958333333336</v>
      </c>
      <c r="B5" s="3">
        <v>1.1660200000000001</v>
      </c>
      <c r="C5" s="3">
        <v>1.1663790000000001</v>
      </c>
      <c r="D5" s="3">
        <v>3.5899999999999821E-4</v>
      </c>
    </row>
    <row r="6" spans="1:4" x14ac:dyDescent="0.25">
      <c r="A6" s="23">
        <v>43311</v>
      </c>
      <c r="B6" s="3">
        <v>1.1658500000000001</v>
      </c>
      <c r="C6" s="3">
        <v>1.165694</v>
      </c>
      <c r="D6" s="3">
        <v>1.5600000000004499E-4</v>
      </c>
    </row>
    <row r="7" spans="1:4" x14ac:dyDescent="0.25">
      <c r="A7" s="23">
        <v>43311.041666666664</v>
      </c>
      <c r="B7" s="3">
        <v>1.16597</v>
      </c>
      <c r="C7" s="3">
        <v>1.16588</v>
      </c>
      <c r="D7" s="3">
        <v>8.9999999999923475E-5</v>
      </c>
    </row>
    <row r="8" spans="1:4" x14ac:dyDescent="0.25">
      <c r="A8" s="23">
        <v>43311.083333333336</v>
      </c>
      <c r="B8" s="3">
        <v>1.16597</v>
      </c>
      <c r="C8" s="3"/>
      <c r="D8" s="3">
        <v>0</v>
      </c>
    </row>
    <row r="9" spans="1:4" x14ac:dyDescent="0.25">
      <c r="A9" s="23">
        <v>43311.125</v>
      </c>
      <c r="B9" s="3">
        <v>1.1664099999999999</v>
      </c>
      <c r="C9" s="3">
        <v>1.1661969999999999</v>
      </c>
      <c r="D9" s="3">
        <v>2.1300000000001873E-4</v>
      </c>
    </row>
    <row r="10" spans="1:4" x14ac:dyDescent="0.25">
      <c r="A10" s="23">
        <v>43311.166666666664</v>
      </c>
      <c r="B10" s="3">
        <v>1.16608</v>
      </c>
      <c r="C10" s="3">
        <v>1.1664140000000001</v>
      </c>
      <c r="D10" s="3">
        <v>3.3400000000005647E-4</v>
      </c>
    </row>
    <row r="11" spans="1:4" x14ac:dyDescent="0.25">
      <c r="A11" s="23">
        <v>43311.208333333336</v>
      </c>
      <c r="B11" s="3">
        <v>1.1657900000000001</v>
      </c>
      <c r="C11" s="3">
        <v>1.165988</v>
      </c>
      <c r="D11" s="3">
        <v>1.9799999999992046E-4</v>
      </c>
    </row>
    <row r="12" spans="1:4" x14ac:dyDescent="0.25">
      <c r="A12" s="23">
        <v>43311.25</v>
      </c>
      <c r="B12" s="3">
        <v>1.1654500000000001</v>
      </c>
      <c r="C12" s="3">
        <v>1.1660239999999999</v>
      </c>
      <c r="D12" s="3">
        <v>5.7399999999985241E-4</v>
      </c>
    </row>
    <row r="13" spans="1:4" x14ac:dyDescent="0.25">
      <c r="A13" s="23">
        <v>43311.291666666664</v>
      </c>
      <c r="B13" s="3">
        <v>1.1656299999999999</v>
      </c>
      <c r="C13" s="3">
        <v>1.1651560000000001</v>
      </c>
      <c r="D13" s="3">
        <v>4.7399999999986342E-4</v>
      </c>
    </row>
    <row r="14" spans="1:4" x14ac:dyDescent="0.25">
      <c r="A14" s="23">
        <v>43311.333333333336</v>
      </c>
      <c r="B14" s="3">
        <v>1.16642</v>
      </c>
      <c r="C14" s="3">
        <v>1.1655249999999999</v>
      </c>
      <c r="D14" s="3">
        <v>8.9500000000009017E-4</v>
      </c>
    </row>
    <row r="15" spans="1:4" x14ac:dyDescent="0.25">
      <c r="A15" s="23">
        <v>43311.375</v>
      </c>
      <c r="B15" s="3">
        <v>1.16631</v>
      </c>
      <c r="C15" s="3">
        <v>1.165799</v>
      </c>
      <c r="D15" s="3">
        <v>5.1099999999992818E-4</v>
      </c>
    </row>
    <row r="16" spans="1:4" x14ac:dyDescent="0.25">
      <c r="A16" s="23">
        <v>43311.416666666664</v>
      </c>
      <c r="B16" s="3">
        <v>1.1673199999999999</v>
      </c>
      <c r="C16" s="3">
        <v>1.1659930000000001</v>
      </c>
      <c r="D16" s="3">
        <v>1.3269999999998561E-3</v>
      </c>
    </row>
    <row r="17" spans="1:4" x14ac:dyDescent="0.25">
      <c r="A17" s="23">
        <v>43311.458333333336</v>
      </c>
      <c r="B17" s="3">
        <v>1.16761</v>
      </c>
      <c r="C17" s="3">
        <v>1.1675180000000001</v>
      </c>
      <c r="D17" s="3">
        <v>9.1999999999980986E-5</v>
      </c>
    </row>
    <row r="18" spans="1:4" x14ac:dyDescent="0.25">
      <c r="A18" s="23">
        <v>43311.5</v>
      </c>
      <c r="B18" s="3">
        <v>1.1692</v>
      </c>
      <c r="C18" s="3">
        <v>1.168121</v>
      </c>
      <c r="D18" s="3">
        <v>1.0790000000000521E-3</v>
      </c>
    </row>
    <row r="19" spans="1:4" x14ac:dyDescent="0.25">
      <c r="A19" s="23">
        <v>43311.541666666664</v>
      </c>
      <c r="B19" s="3">
        <v>1.16862</v>
      </c>
      <c r="C19" s="3">
        <v>1.1690940000000001</v>
      </c>
      <c r="D19" s="3">
        <v>4.7400000000008546E-4</v>
      </c>
    </row>
    <row r="20" spans="1:4" x14ac:dyDescent="0.25">
      <c r="A20" s="23">
        <v>43311.583333333336</v>
      </c>
      <c r="B20" s="3">
        <v>1.1687000000000001</v>
      </c>
      <c r="C20" s="3">
        <v>1.1684140000000001</v>
      </c>
      <c r="D20" s="3">
        <v>2.8600000000000847E-4</v>
      </c>
    </row>
    <row r="21" spans="1:4" x14ac:dyDescent="0.25">
      <c r="A21" s="23">
        <v>43311.625</v>
      </c>
      <c r="B21" s="3">
        <v>1.1694599999999999</v>
      </c>
      <c r="C21" s="3">
        <v>1.1687829999999999</v>
      </c>
      <c r="D21" s="3">
        <v>6.7700000000003868E-4</v>
      </c>
    </row>
    <row r="22" spans="1:4" x14ac:dyDescent="0.25">
      <c r="A22" s="23">
        <v>43311.666666666664</v>
      </c>
      <c r="B22" s="3">
        <v>1.17099</v>
      </c>
      <c r="C22" s="3">
        <v>1.1703650000000001</v>
      </c>
      <c r="D22" s="3">
        <v>6.2499999999987566E-4</v>
      </c>
    </row>
    <row r="23" spans="1:4" x14ac:dyDescent="0.25">
      <c r="A23" s="23">
        <v>43311.708333333336</v>
      </c>
      <c r="B23" s="3">
        <v>1.17154</v>
      </c>
      <c r="C23" s="3">
        <v>1.1715949999999999</v>
      </c>
      <c r="D23" s="3">
        <v>5.4999999999916227E-5</v>
      </c>
    </row>
    <row r="24" spans="1:4" x14ac:dyDescent="0.25">
      <c r="A24" s="23">
        <v>43311.75</v>
      </c>
      <c r="B24" s="3">
        <v>1.1718</v>
      </c>
      <c r="C24" s="3">
        <v>1.1714690000000001</v>
      </c>
      <c r="D24" s="3">
        <v>3.3099999999985918E-4</v>
      </c>
    </row>
    <row r="25" spans="1:4" x14ac:dyDescent="0.25">
      <c r="A25" s="23">
        <v>43311.791666666664</v>
      </c>
      <c r="B25" s="3">
        <v>1.17171</v>
      </c>
      <c r="C25" s="3">
        <v>1.171821</v>
      </c>
      <c r="D25" s="3">
        <v>1.1099999999997223E-4</v>
      </c>
    </row>
    <row r="26" spans="1:4" x14ac:dyDescent="0.25">
      <c r="A26" s="23">
        <v>43311.833333333336</v>
      </c>
      <c r="B26" s="3">
        <v>1.17167</v>
      </c>
      <c r="C26" s="3">
        <v>1.1717089999999999</v>
      </c>
      <c r="D26" s="3">
        <v>3.8999999999900226E-5</v>
      </c>
    </row>
    <row r="27" spans="1:4" x14ac:dyDescent="0.25">
      <c r="A27" s="23">
        <v>43311.875</v>
      </c>
      <c r="B27" s="3">
        <v>1.17134</v>
      </c>
      <c r="C27" s="3">
        <v>1.171225</v>
      </c>
      <c r="D27" s="3">
        <v>1.1500000000008725E-4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15"/>
  <sheetViews>
    <sheetView topLeftCell="E7" zoomScale="85" zoomScaleNormal="85" workbookViewId="0">
      <selection activeCell="I4" sqref="I4"/>
    </sheetView>
  </sheetViews>
  <sheetFormatPr defaultRowHeight="15" x14ac:dyDescent="0.25"/>
  <cols>
    <col min="1" max="1" width="12.28515625" bestFit="1" customWidth="1"/>
    <col min="2" max="2" width="20.28515625" customWidth="1"/>
    <col min="3" max="3" width="19.28515625" bestFit="1" customWidth="1"/>
    <col min="4" max="4" width="20.7109375" customWidth="1"/>
  </cols>
  <sheetData>
    <row r="3" spans="1:8" x14ac:dyDescent="0.25">
      <c r="B3" s="1" t="s">
        <v>148</v>
      </c>
      <c r="H3" s="5"/>
    </row>
    <row r="4" spans="1:8" x14ac:dyDescent="0.25">
      <c r="A4" s="1" t="s">
        <v>146</v>
      </c>
      <c r="B4" t="s">
        <v>145</v>
      </c>
      <c r="C4" t="s">
        <v>130</v>
      </c>
    </row>
    <row r="5" spans="1:8" x14ac:dyDescent="0.25">
      <c r="A5">
        <v>1837.82482910156</v>
      </c>
      <c r="B5" s="22">
        <v>0</v>
      </c>
      <c r="C5" s="22">
        <v>0</v>
      </c>
    </row>
    <row r="6" spans="1:8" x14ac:dyDescent="0.25">
      <c r="A6">
        <v>1837.44165039063</v>
      </c>
      <c r="B6" s="22">
        <v>29.500946766527537</v>
      </c>
      <c r="C6" s="22">
        <v>0.57471468391403568</v>
      </c>
    </row>
    <row r="7" spans="1:8" x14ac:dyDescent="0.25">
      <c r="A7">
        <v>2.20556370913982E-3</v>
      </c>
      <c r="B7" s="22">
        <v>4.2914626439437956E-2</v>
      </c>
      <c r="C7" s="22">
        <v>8.381152631113495E-4</v>
      </c>
    </row>
    <row r="8" spans="1:8" x14ac:dyDescent="0.25">
      <c r="A8">
        <v>8.8642392074689302E-4</v>
      </c>
      <c r="B8" s="22">
        <v>2.7686349460220114E-2</v>
      </c>
      <c r="C8" s="22">
        <v>5.372318611565869E-4</v>
      </c>
    </row>
    <row r="9" spans="1:8" x14ac:dyDescent="0.25">
      <c r="A9">
        <v>7.2317093145102295E-4</v>
      </c>
      <c r="B9" s="22">
        <v>2.7599447171351935E-2</v>
      </c>
      <c r="C9" s="22">
        <v>5.4419862771159057E-4</v>
      </c>
    </row>
    <row r="10" spans="1:8" x14ac:dyDescent="0.25">
      <c r="A10">
        <v>1.93357598618604E-4</v>
      </c>
      <c r="B10" s="22">
        <v>1.2377320276667207E-2</v>
      </c>
      <c r="C10" s="22">
        <v>2.4022474059301393E-4</v>
      </c>
    </row>
    <row r="11" spans="1:8" x14ac:dyDescent="0.25">
      <c r="A11">
        <v>1.8424546578898999E-4</v>
      </c>
      <c r="B11" s="22">
        <v>9.9299798499897906E-3</v>
      </c>
      <c r="C11" s="22">
        <v>1.9365602718694159E-4</v>
      </c>
    </row>
    <row r="12" spans="1:8" x14ac:dyDescent="0.25">
      <c r="A12">
        <v>1.3179022062104201E-4</v>
      </c>
      <c r="B12" s="22">
        <v>9.5890030841639454E-3</v>
      </c>
      <c r="C12" s="22">
        <v>1.8814043191671802E-4</v>
      </c>
    </row>
    <row r="13" spans="1:8" x14ac:dyDescent="0.25">
      <c r="A13">
        <v>1.3127541751600799E-4</v>
      </c>
      <c r="B13" s="22">
        <v>6.9752211158205539E-3</v>
      </c>
      <c r="C13" s="22">
        <v>1.3521187022919317E-4</v>
      </c>
    </row>
    <row r="14" spans="1:8" x14ac:dyDescent="0.25">
      <c r="A14">
        <v>8.1960082752630101E-5</v>
      </c>
      <c r="B14" s="22">
        <v>8.8641707420306689E-3</v>
      </c>
      <c r="C14" s="22">
        <v>1.7518954483622623E-4</v>
      </c>
    </row>
    <row r="15" spans="1:8" x14ac:dyDescent="0.25">
      <c r="A15" t="s">
        <v>1</v>
      </c>
      <c r="B15" s="22">
        <v>6.7593765944875997E-2</v>
      </c>
      <c r="C15" s="22">
        <v>1.3175174174749513E-3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237"/>
  <sheetViews>
    <sheetView zoomScaleNormal="100" workbookViewId="0">
      <selection activeCell="E24" sqref="E24"/>
    </sheetView>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393</v>
      </c>
      <c r="F1" t="s">
        <v>5</v>
      </c>
      <c r="G1" t="s">
        <v>6</v>
      </c>
      <c r="H1" t="s">
        <v>8</v>
      </c>
      <c r="I1" t="s">
        <v>9</v>
      </c>
      <c r="J1" t="s">
        <v>305</v>
      </c>
      <c r="L1"/>
      <c r="M1"/>
    </row>
    <row r="2" spans="1:13" x14ac:dyDescent="0.25">
      <c r="A2" s="4">
        <v>2985</v>
      </c>
      <c r="B2">
        <v>11280</v>
      </c>
      <c r="C2" s="4">
        <v>14096</v>
      </c>
      <c r="D2" t="s">
        <v>306</v>
      </c>
      <c r="E2" s="4">
        <v>24</v>
      </c>
      <c r="F2" s="25">
        <v>43721.879733796297</v>
      </c>
      <c r="G2">
        <v>0</v>
      </c>
      <c r="H2" s="25"/>
      <c r="I2" s="25"/>
      <c r="J2" s="25" t="s">
        <v>300</v>
      </c>
      <c r="L2"/>
      <c r="M2">
        <f>3134/60/24</f>
        <v>2.1763888888888889</v>
      </c>
    </row>
    <row r="3" spans="1:13" x14ac:dyDescent="0.25">
      <c r="A3" s="4">
        <v>2985</v>
      </c>
      <c r="B3">
        <v>11280</v>
      </c>
      <c r="C3" s="4">
        <v>14096</v>
      </c>
      <c r="D3" t="s">
        <v>306</v>
      </c>
      <c r="E3" s="4">
        <v>23</v>
      </c>
      <c r="F3" s="25">
        <v>43721.87972222222</v>
      </c>
      <c r="G3">
        <v>0</v>
      </c>
      <c r="H3" s="25"/>
      <c r="I3" s="25"/>
      <c r="J3" s="25" t="s">
        <v>300</v>
      </c>
      <c r="L3"/>
      <c r="M3"/>
    </row>
    <row r="4" spans="1:13" x14ac:dyDescent="0.25">
      <c r="A4" s="4">
        <v>2985</v>
      </c>
      <c r="B4">
        <v>11280</v>
      </c>
      <c r="C4" s="4">
        <v>14096</v>
      </c>
      <c r="D4" t="s">
        <v>306</v>
      </c>
      <c r="E4" s="4">
        <v>21</v>
      </c>
      <c r="F4" s="25">
        <v>43721.879710648151</v>
      </c>
      <c r="G4">
        <v>0</v>
      </c>
      <c r="H4" s="25"/>
      <c r="I4" s="25"/>
      <c r="J4" s="25" t="s">
        <v>300</v>
      </c>
      <c r="L4"/>
      <c r="M4"/>
    </row>
    <row r="5" spans="1:13" x14ac:dyDescent="0.25">
      <c r="A5" s="4">
        <v>2985</v>
      </c>
      <c r="B5">
        <v>11280</v>
      </c>
      <c r="C5" s="4">
        <v>14096</v>
      </c>
      <c r="D5" t="s">
        <v>306</v>
      </c>
      <c r="E5" s="4">
        <v>22</v>
      </c>
      <c r="F5" s="25">
        <v>43721.879710648151</v>
      </c>
      <c r="G5">
        <v>0</v>
      </c>
      <c r="H5" s="25"/>
      <c r="I5" s="25"/>
      <c r="J5" s="25" t="s">
        <v>300</v>
      </c>
      <c r="L5"/>
      <c r="M5"/>
    </row>
    <row r="6" spans="1:13" x14ac:dyDescent="0.25">
      <c r="A6" s="4">
        <v>2985</v>
      </c>
      <c r="B6">
        <v>11280</v>
      </c>
      <c r="C6" s="4">
        <v>14096</v>
      </c>
      <c r="D6" t="s">
        <v>306</v>
      </c>
      <c r="E6" s="4">
        <v>19</v>
      </c>
      <c r="F6" s="25">
        <v>43721.879699074074</v>
      </c>
      <c r="G6">
        <v>0</v>
      </c>
      <c r="H6" s="25"/>
      <c r="I6" s="25"/>
      <c r="J6" s="25" t="s">
        <v>300</v>
      </c>
      <c r="L6"/>
      <c r="M6"/>
    </row>
    <row r="7" spans="1:13" x14ac:dyDescent="0.25">
      <c r="A7" s="4">
        <v>2985</v>
      </c>
      <c r="B7">
        <v>11280</v>
      </c>
      <c r="C7" s="4">
        <v>14096</v>
      </c>
      <c r="D7" t="s">
        <v>306</v>
      </c>
      <c r="E7" s="4">
        <v>20</v>
      </c>
      <c r="F7" s="25">
        <v>43721.879699074074</v>
      </c>
      <c r="G7">
        <v>0</v>
      </c>
      <c r="H7" s="25"/>
      <c r="I7" s="25"/>
      <c r="J7" s="25" t="s">
        <v>300</v>
      </c>
      <c r="L7"/>
      <c r="M7"/>
    </row>
    <row r="8" spans="1:13" x14ac:dyDescent="0.25">
      <c r="A8" s="4">
        <v>2985</v>
      </c>
      <c r="B8">
        <v>11280</v>
      </c>
      <c r="C8" s="4">
        <v>14096</v>
      </c>
      <c r="D8" t="s">
        <v>306</v>
      </c>
      <c r="E8" s="4">
        <v>18</v>
      </c>
      <c r="F8" s="25">
        <v>43721.879687499997</v>
      </c>
      <c r="G8">
        <v>0</v>
      </c>
      <c r="H8" s="25"/>
      <c r="I8" s="25"/>
      <c r="J8" s="25" t="s">
        <v>300</v>
      </c>
      <c r="L8"/>
      <c r="M8"/>
    </row>
    <row r="9" spans="1:13" x14ac:dyDescent="0.25">
      <c r="A9" s="4">
        <v>2985</v>
      </c>
      <c r="B9">
        <v>11280</v>
      </c>
      <c r="C9" s="4">
        <v>14096</v>
      </c>
      <c r="D9" t="s">
        <v>306</v>
      </c>
      <c r="E9" s="4">
        <v>16</v>
      </c>
      <c r="F9" s="25">
        <v>43721.879675925928</v>
      </c>
      <c r="G9">
        <v>0</v>
      </c>
      <c r="H9" s="25"/>
      <c r="I9" s="25"/>
      <c r="J9" s="25" t="s">
        <v>300</v>
      </c>
      <c r="L9"/>
      <c r="M9"/>
    </row>
    <row r="10" spans="1:13" x14ac:dyDescent="0.25">
      <c r="A10" s="4">
        <v>2985</v>
      </c>
      <c r="B10">
        <v>11280</v>
      </c>
      <c r="C10" s="4">
        <v>14096</v>
      </c>
      <c r="D10" t="s">
        <v>306</v>
      </c>
      <c r="E10" s="4">
        <v>17</v>
      </c>
      <c r="F10" s="25">
        <v>43721.879675925928</v>
      </c>
      <c r="G10">
        <v>0</v>
      </c>
      <c r="H10" s="25"/>
      <c r="I10" s="25"/>
      <c r="J10" s="25" t="s">
        <v>300</v>
      </c>
      <c r="L10"/>
      <c r="M10"/>
    </row>
    <row r="11" spans="1:13" x14ac:dyDescent="0.25">
      <c r="A11" s="4">
        <v>2985</v>
      </c>
      <c r="B11">
        <v>11280</v>
      </c>
      <c r="C11" s="4">
        <v>14096</v>
      </c>
      <c r="D11" t="s">
        <v>306</v>
      </c>
      <c r="E11" s="4">
        <v>15</v>
      </c>
      <c r="F11" s="25">
        <v>43721.879664351851</v>
      </c>
      <c r="G11">
        <v>0</v>
      </c>
      <c r="H11" s="25"/>
      <c r="I11" s="25"/>
      <c r="J11" s="25" t="s">
        <v>300</v>
      </c>
      <c r="L11"/>
      <c r="M11"/>
    </row>
    <row r="12" spans="1:13" x14ac:dyDescent="0.25">
      <c r="A12" s="4">
        <v>2985</v>
      </c>
      <c r="B12">
        <v>11280</v>
      </c>
      <c r="C12" s="4">
        <v>14096</v>
      </c>
      <c r="D12" t="s">
        <v>306</v>
      </c>
      <c r="E12" s="4">
        <v>13</v>
      </c>
      <c r="F12" s="25">
        <v>43721.879652777781</v>
      </c>
      <c r="G12">
        <v>0</v>
      </c>
      <c r="H12" s="25"/>
      <c r="I12" s="25"/>
      <c r="J12" s="25" t="s">
        <v>300</v>
      </c>
      <c r="L12"/>
      <c r="M12"/>
    </row>
    <row r="13" spans="1:13" x14ac:dyDescent="0.25">
      <c r="A13" s="4">
        <v>2985</v>
      </c>
      <c r="B13">
        <v>11280</v>
      </c>
      <c r="C13" s="4">
        <v>14096</v>
      </c>
      <c r="D13" t="s">
        <v>306</v>
      </c>
      <c r="E13" s="4">
        <v>14</v>
      </c>
      <c r="F13" s="25">
        <v>43721.879652777781</v>
      </c>
      <c r="G13">
        <v>0</v>
      </c>
      <c r="H13" s="25"/>
      <c r="I13" s="25"/>
      <c r="J13" s="25" t="s">
        <v>300</v>
      </c>
      <c r="L13"/>
      <c r="M13"/>
    </row>
    <row r="14" spans="1:13" x14ac:dyDescent="0.25">
      <c r="A14" s="4">
        <v>2985</v>
      </c>
      <c r="B14">
        <v>11280</v>
      </c>
      <c r="C14" s="4">
        <v>14096</v>
      </c>
      <c r="D14" t="s">
        <v>306</v>
      </c>
      <c r="E14" s="4">
        <v>12</v>
      </c>
      <c r="F14" s="25">
        <v>43721.879641203705</v>
      </c>
      <c r="G14">
        <v>0</v>
      </c>
      <c r="H14" s="25"/>
      <c r="I14" s="25"/>
      <c r="J14" s="25" t="s">
        <v>300</v>
      </c>
      <c r="L14"/>
      <c r="M14"/>
    </row>
    <row r="15" spans="1:13" x14ac:dyDescent="0.25">
      <c r="A15" s="4">
        <v>2985</v>
      </c>
      <c r="B15">
        <v>11280</v>
      </c>
      <c r="C15" s="4">
        <v>14096</v>
      </c>
      <c r="D15" t="s">
        <v>306</v>
      </c>
      <c r="E15" s="4">
        <v>10</v>
      </c>
      <c r="F15" s="25">
        <v>43721.879629629628</v>
      </c>
      <c r="G15">
        <v>0</v>
      </c>
      <c r="H15" s="25"/>
      <c r="I15" s="25"/>
      <c r="J15" s="25" t="s">
        <v>300</v>
      </c>
      <c r="L15"/>
      <c r="M15"/>
    </row>
    <row r="16" spans="1:13" x14ac:dyDescent="0.25">
      <c r="A16" s="4">
        <v>2985</v>
      </c>
      <c r="B16">
        <v>11280</v>
      </c>
      <c r="C16" s="4">
        <v>14096</v>
      </c>
      <c r="D16" t="s">
        <v>306</v>
      </c>
      <c r="E16" s="4">
        <v>11</v>
      </c>
      <c r="F16" s="25">
        <v>43721.879629629628</v>
      </c>
      <c r="G16">
        <v>0</v>
      </c>
      <c r="H16" s="25"/>
      <c r="I16" s="25"/>
      <c r="J16" s="25" t="s">
        <v>300</v>
      </c>
      <c r="L16"/>
      <c r="M16"/>
    </row>
    <row r="17" spans="1:13" x14ac:dyDescent="0.25">
      <c r="A17" s="4">
        <v>2985</v>
      </c>
      <c r="B17">
        <v>11280</v>
      </c>
      <c r="C17" s="4">
        <v>14096</v>
      </c>
      <c r="D17" t="s">
        <v>306</v>
      </c>
      <c r="E17" s="4">
        <v>9</v>
      </c>
      <c r="F17" s="25">
        <v>43721.879618055558</v>
      </c>
      <c r="G17">
        <v>0</v>
      </c>
      <c r="H17" s="25"/>
      <c r="I17" s="25"/>
      <c r="J17" s="25" t="s">
        <v>300</v>
      </c>
      <c r="L17"/>
      <c r="M17"/>
    </row>
    <row r="18" spans="1:13" x14ac:dyDescent="0.25">
      <c r="A18" s="4">
        <v>2985</v>
      </c>
      <c r="B18">
        <v>11280</v>
      </c>
      <c r="C18" s="4">
        <v>14096</v>
      </c>
      <c r="D18" t="s">
        <v>306</v>
      </c>
      <c r="E18" s="4">
        <v>7</v>
      </c>
      <c r="F18" s="25">
        <v>43721.879606481481</v>
      </c>
      <c r="G18">
        <v>0</v>
      </c>
      <c r="H18" s="25"/>
      <c r="I18" s="25"/>
      <c r="J18" s="25" t="s">
        <v>300</v>
      </c>
      <c r="L18"/>
      <c r="M18"/>
    </row>
    <row r="19" spans="1:13" x14ac:dyDescent="0.25">
      <c r="A19" s="4">
        <v>2985</v>
      </c>
      <c r="B19">
        <v>11280</v>
      </c>
      <c r="C19" s="4">
        <v>14096</v>
      </c>
      <c r="D19" t="s">
        <v>306</v>
      </c>
      <c r="E19" s="4">
        <v>8</v>
      </c>
      <c r="F19" s="25">
        <v>43721.879606481481</v>
      </c>
      <c r="G19">
        <v>0</v>
      </c>
      <c r="H19" s="25"/>
      <c r="I19" s="25"/>
      <c r="J19" s="25" t="s">
        <v>300</v>
      </c>
      <c r="L19"/>
      <c r="M19"/>
    </row>
    <row r="20" spans="1:13" x14ac:dyDescent="0.25">
      <c r="A20" s="4">
        <v>2985</v>
      </c>
      <c r="B20">
        <v>11280</v>
      </c>
      <c r="C20" s="4">
        <v>14096</v>
      </c>
      <c r="D20" t="s">
        <v>306</v>
      </c>
      <c r="E20" s="4">
        <v>5</v>
      </c>
      <c r="F20" s="25">
        <v>43721.879594907405</v>
      </c>
      <c r="G20">
        <v>0</v>
      </c>
      <c r="H20" s="25"/>
      <c r="I20" s="25"/>
      <c r="J20" s="25" t="s">
        <v>300</v>
      </c>
      <c r="L20"/>
      <c r="M20"/>
    </row>
    <row r="21" spans="1:13" x14ac:dyDescent="0.25">
      <c r="A21" s="4">
        <v>2985</v>
      </c>
      <c r="B21">
        <v>11280</v>
      </c>
      <c r="C21" s="4">
        <v>14096</v>
      </c>
      <c r="D21" t="s">
        <v>306</v>
      </c>
      <c r="E21" s="4">
        <v>6</v>
      </c>
      <c r="F21" s="25">
        <v>43721.879594907405</v>
      </c>
      <c r="G21">
        <v>0</v>
      </c>
      <c r="H21" s="25"/>
      <c r="I21" s="25"/>
      <c r="J21" s="25" t="s">
        <v>300</v>
      </c>
      <c r="L21"/>
      <c r="M21"/>
    </row>
    <row r="22" spans="1:13" x14ac:dyDescent="0.25">
      <c r="A22" s="4">
        <v>2985</v>
      </c>
      <c r="B22">
        <v>11280</v>
      </c>
      <c r="C22" s="4">
        <v>14096</v>
      </c>
      <c r="D22" t="s">
        <v>306</v>
      </c>
      <c r="E22" s="4">
        <v>4</v>
      </c>
      <c r="F22" s="25">
        <v>43721.879583333335</v>
      </c>
      <c r="G22">
        <v>0</v>
      </c>
      <c r="H22" s="25"/>
      <c r="I22" s="25"/>
      <c r="J22" s="25" t="s">
        <v>300</v>
      </c>
      <c r="L22"/>
      <c r="M22"/>
    </row>
    <row r="23" spans="1:13" x14ac:dyDescent="0.25">
      <c r="A23" s="4">
        <v>2985</v>
      </c>
      <c r="B23">
        <v>11280</v>
      </c>
      <c r="C23" s="4">
        <v>14096</v>
      </c>
      <c r="D23" t="s">
        <v>306</v>
      </c>
      <c r="E23" s="4">
        <v>2</v>
      </c>
      <c r="F23" s="25">
        <v>43721.879571759258</v>
      </c>
      <c r="G23">
        <v>0</v>
      </c>
      <c r="H23" s="25"/>
      <c r="I23" s="25"/>
      <c r="J23" s="25" t="s">
        <v>300</v>
      </c>
      <c r="L23"/>
      <c r="M23"/>
    </row>
    <row r="24" spans="1:13" x14ac:dyDescent="0.25">
      <c r="A24" s="4">
        <v>2985</v>
      </c>
      <c r="B24">
        <v>11280</v>
      </c>
      <c r="C24" s="4">
        <v>14096</v>
      </c>
      <c r="D24" t="s">
        <v>306</v>
      </c>
      <c r="E24" s="4">
        <v>3</v>
      </c>
      <c r="F24" s="25">
        <v>43721.879571759258</v>
      </c>
      <c r="G24">
        <v>0</v>
      </c>
      <c r="H24" s="25"/>
      <c r="I24" s="25"/>
      <c r="J24" s="25" t="s">
        <v>300</v>
      </c>
      <c r="L24"/>
      <c r="M24"/>
    </row>
    <row r="25" spans="1:13" x14ac:dyDescent="0.25">
      <c r="A25" s="4">
        <v>2985</v>
      </c>
      <c r="B25">
        <v>11280</v>
      </c>
      <c r="C25" s="4">
        <v>14096</v>
      </c>
      <c r="D25" t="s">
        <v>306</v>
      </c>
      <c r="E25" s="4">
        <v>1</v>
      </c>
      <c r="F25" s="25">
        <v>43721.879560185182</v>
      </c>
      <c r="G25">
        <v>0</v>
      </c>
      <c r="H25" s="25"/>
      <c r="I25" s="25"/>
      <c r="J25" s="25" t="s">
        <v>300</v>
      </c>
      <c r="L25"/>
      <c r="M25"/>
    </row>
    <row r="26" spans="1:13" x14ac:dyDescent="0.25">
      <c r="A26" s="4">
        <v>2985</v>
      </c>
      <c r="B26">
        <v>11280</v>
      </c>
      <c r="C26" s="4">
        <v>14096</v>
      </c>
      <c r="D26" t="s">
        <v>306</v>
      </c>
      <c r="E26" s="4">
        <v>0</v>
      </c>
      <c r="F26" s="25">
        <v>43721.879548611112</v>
      </c>
      <c r="G26">
        <v>0</v>
      </c>
      <c r="H26" s="25"/>
      <c r="I26" s="25"/>
      <c r="J26" s="25" t="s">
        <v>300</v>
      </c>
      <c r="L26"/>
      <c r="M26"/>
    </row>
    <row r="27" spans="1:13" x14ac:dyDescent="0.25">
      <c r="A27" s="4">
        <v>2345</v>
      </c>
      <c r="B27">
        <v>14484</v>
      </c>
      <c r="C27" s="4">
        <v>14096</v>
      </c>
      <c r="D27" t="s">
        <v>306</v>
      </c>
      <c r="E27" s="4">
        <v>24</v>
      </c>
      <c r="F27" s="25">
        <v>43721.877465277779</v>
      </c>
      <c r="G27">
        <v>0</v>
      </c>
      <c r="H27" s="25"/>
      <c r="I27" s="25"/>
      <c r="J27" s="25" t="s">
        <v>300</v>
      </c>
      <c r="L27"/>
      <c r="M27"/>
    </row>
    <row r="28" spans="1:13" x14ac:dyDescent="0.25">
      <c r="A28" s="4">
        <v>2345</v>
      </c>
      <c r="B28">
        <v>14484</v>
      </c>
      <c r="C28" s="4">
        <v>14096</v>
      </c>
      <c r="D28" t="s">
        <v>306</v>
      </c>
      <c r="E28" s="4">
        <v>22</v>
      </c>
      <c r="F28" s="25">
        <v>43721.877453703702</v>
      </c>
      <c r="G28">
        <v>0</v>
      </c>
      <c r="H28" s="25"/>
      <c r="I28" s="25"/>
      <c r="J28" s="25" t="s">
        <v>300</v>
      </c>
      <c r="L28"/>
      <c r="M28"/>
    </row>
    <row r="29" spans="1:13" x14ac:dyDescent="0.25">
      <c r="A29" s="4">
        <v>2345</v>
      </c>
      <c r="B29">
        <v>14484</v>
      </c>
      <c r="C29" s="4">
        <v>14096</v>
      </c>
      <c r="D29" t="s">
        <v>306</v>
      </c>
      <c r="E29" s="4">
        <v>23</v>
      </c>
      <c r="F29" s="25">
        <v>43721.877453703702</v>
      </c>
      <c r="G29">
        <v>0</v>
      </c>
      <c r="H29" s="25"/>
      <c r="I29" s="25"/>
      <c r="J29" s="25" t="s">
        <v>300</v>
      </c>
      <c r="L29"/>
      <c r="M29"/>
    </row>
    <row r="30" spans="1:13" x14ac:dyDescent="0.25">
      <c r="A30" s="4">
        <v>2345</v>
      </c>
      <c r="B30">
        <v>14484</v>
      </c>
      <c r="C30" s="4">
        <v>14096</v>
      </c>
      <c r="D30" t="s">
        <v>306</v>
      </c>
      <c r="E30" s="4">
        <v>21</v>
      </c>
      <c r="F30" s="25">
        <v>43721.877442129633</v>
      </c>
      <c r="G30">
        <v>0</v>
      </c>
      <c r="H30" s="25"/>
      <c r="I30" s="25"/>
      <c r="J30" s="25" t="s">
        <v>300</v>
      </c>
      <c r="L30"/>
      <c r="M30"/>
    </row>
    <row r="31" spans="1:13" x14ac:dyDescent="0.25">
      <c r="A31" s="4">
        <v>2345</v>
      </c>
      <c r="B31">
        <v>14484</v>
      </c>
      <c r="C31" s="4">
        <v>14096</v>
      </c>
      <c r="D31" t="s">
        <v>306</v>
      </c>
      <c r="E31" s="4">
        <v>19</v>
      </c>
      <c r="F31" s="25">
        <v>43721.877430555556</v>
      </c>
      <c r="G31">
        <v>0</v>
      </c>
      <c r="H31" s="25"/>
      <c r="I31" s="25"/>
      <c r="J31" s="25" t="s">
        <v>300</v>
      </c>
      <c r="L31"/>
      <c r="M31"/>
    </row>
    <row r="32" spans="1:13" x14ac:dyDescent="0.25">
      <c r="A32" s="4">
        <v>2345</v>
      </c>
      <c r="B32">
        <v>14484</v>
      </c>
      <c r="C32" s="4">
        <v>14096</v>
      </c>
      <c r="D32" t="s">
        <v>306</v>
      </c>
      <c r="E32" s="4">
        <v>20</v>
      </c>
      <c r="F32" s="25">
        <v>43721.877430555556</v>
      </c>
      <c r="G32">
        <v>0</v>
      </c>
      <c r="H32" s="25"/>
      <c r="I32" s="25"/>
      <c r="J32" s="25" t="s">
        <v>300</v>
      </c>
      <c r="L32"/>
      <c r="M32"/>
    </row>
    <row r="33" spans="1:13" x14ac:dyDescent="0.25">
      <c r="A33" s="4">
        <v>2345</v>
      </c>
      <c r="B33">
        <v>14484</v>
      </c>
      <c r="C33" s="4">
        <v>14096</v>
      </c>
      <c r="D33" t="s">
        <v>306</v>
      </c>
      <c r="E33" s="4">
        <v>18</v>
      </c>
      <c r="F33" s="25">
        <v>43721.877418981479</v>
      </c>
      <c r="G33">
        <v>0</v>
      </c>
      <c r="H33" s="25"/>
      <c r="I33" s="25"/>
      <c r="J33" s="25" t="s">
        <v>300</v>
      </c>
      <c r="L33"/>
      <c r="M33"/>
    </row>
    <row r="34" spans="1:13" x14ac:dyDescent="0.25">
      <c r="A34" s="4">
        <v>2345</v>
      </c>
      <c r="B34">
        <v>14484</v>
      </c>
      <c r="C34" s="4">
        <v>14096</v>
      </c>
      <c r="D34" t="s">
        <v>306</v>
      </c>
      <c r="E34" s="4">
        <v>16</v>
      </c>
      <c r="F34" s="25">
        <v>43721.87740740741</v>
      </c>
      <c r="G34">
        <v>0</v>
      </c>
      <c r="H34" s="25"/>
      <c r="I34" s="25"/>
      <c r="J34" s="25" t="s">
        <v>300</v>
      </c>
      <c r="L34"/>
      <c r="M34"/>
    </row>
    <row r="35" spans="1:13" x14ac:dyDescent="0.25">
      <c r="A35" s="4">
        <v>2345</v>
      </c>
      <c r="B35">
        <v>14484</v>
      </c>
      <c r="C35" s="4">
        <v>14096</v>
      </c>
      <c r="D35" t="s">
        <v>306</v>
      </c>
      <c r="E35" s="4">
        <v>17</v>
      </c>
      <c r="F35" s="25">
        <v>43721.87740740741</v>
      </c>
      <c r="G35">
        <v>0</v>
      </c>
      <c r="H35" s="25"/>
      <c r="I35" s="25"/>
      <c r="J35" s="25" t="s">
        <v>300</v>
      </c>
      <c r="L35"/>
      <c r="M35"/>
    </row>
    <row r="36" spans="1:13" x14ac:dyDescent="0.25">
      <c r="A36" s="4">
        <v>2345</v>
      </c>
      <c r="B36">
        <v>14484</v>
      </c>
      <c r="C36" s="4">
        <v>14096</v>
      </c>
      <c r="D36" t="s">
        <v>306</v>
      </c>
      <c r="E36" s="4">
        <v>14</v>
      </c>
      <c r="F36" s="25">
        <v>43721.877395833333</v>
      </c>
      <c r="G36">
        <v>0</v>
      </c>
      <c r="H36" s="25"/>
      <c r="I36" s="25"/>
      <c r="J36" s="25" t="s">
        <v>300</v>
      </c>
      <c r="L36"/>
      <c r="M36"/>
    </row>
    <row r="37" spans="1:13" x14ac:dyDescent="0.25">
      <c r="A37" s="4">
        <v>2345</v>
      </c>
      <c r="B37">
        <v>14484</v>
      </c>
      <c r="C37" s="4">
        <v>14096</v>
      </c>
      <c r="D37" t="s">
        <v>306</v>
      </c>
      <c r="E37" s="4">
        <v>15</v>
      </c>
      <c r="F37" s="25">
        <v>43721.877395833333</v>
      </c>
      <c r="G37">
        <v>0</v>
      </c>
      <c r="H37" s="25"/>
      <c r="I37" s="25"/>
      <c r="J37" s="25" t="s">
        <v>300</v>
      </c>
      <c r="L37"/>
      <c r="M37"/>
    </row>
    <row r="38" spans="1:13" x14ac:dyDescent="0.25">
      <c r="A38" s="4">
        <v>2345</v>
      </c>
      <c r="B38">
        <v>14484</v>
      </c>
      <c r="C38" s="4">
        <v>14096</v>
      </c>
      <c r="D38" t="s">
        <v>306</v>
      </c>
      <c r="E38" s="4">
        <v>13</v>
      </c>
      <c r="F38" s="25">
        <v>43721.877384259256</v>
      </c>
      <c r="G38">
        <v>0</v>
      </c>
      <c r="H38" s="25"/>
      <c r="I38" s="25"/>
      <c r="J38" s="25" t="s">
        <v>300</v>
      </c>
      <c r="L38"/>
      <c r="M38"/>
    </row>
    <row r="39" spans="1:13" x14ac:dyDescent="0.25">
      <c r="A39" s="4">
        <v>2345</v>
      </c>
      <c r="B39">
        <v>14484</v>
      </c>
      <c r="C39" s="4">
        <v>14096</v>
      </c>
      <c r="D39" t="s">
        <v>306</v>
      </c>
      <c r="E39" s="4">
        <v>11</v>
      </c>
      <c r="F39" s="25">
        <v>43721.877372685187</v>
      </c>
      <c r="G39">
        <v>0</v>
      </c>
      <c r="H39" s="25"/>
      <c r="I39" s="25"/>
      <c r="J39" s="25" t="s">
        <v>300</v>
      </c>
      <c r="L39"/>
      <c r="M39"/>
    </row>
    <row r="40" spans="1:13" x14ac:dyDescent="0.25">
      <c r="A40" s="4">
        <v>2345</v>
      </c>
      <c r="B40">
        <v>14484</v>
      </c>
      <c r="C40" s="4">
        <v>14096</v>
      </c>
      <c r="D40" t="s">
        <v>306</v>
      </c>
      <c r="E40" s="4">
        <v>12</v>
      </c>
      <c r="F40" s="25">
        <v>43721.877372685187</v>
      </c>
      <c r="G40">
        <v>0</v>
      </c>
      <c r="H40" s="25"/>
      <c r="I40" s="25"/>
      <c r="J40" s="25" t="s">
        <v>300</v>
      </c>
      <c r="L40"/>
      <c r="M40"/>
    </row>
    <row r="41" spans="1:13" x14ac:dyDescent="0.25">
      <c r="A41" s="4">
        <v>2345</v>
      </c>
      <c r="B41">
        <v>14484</v>
      </c>
      <c r="C41" s="4">
        <v>14096</v>
      </c>
      <c r="D41" t="s">
        <v>306</v>
      </c>
      <c r="E41" s="4">
        <v>10</v>
      </c>
      <c r="F41" s="25">
        <v>43721.87736111111</v>
      </c>
      <c r="G41">
        <v>0</v>
      </c>
      <c r="H41" s="25"/>
      <c r="I41" s="25"/>
      <c r="J41" s="25" t="s">
        <v>300</v>
      </c>
      <c r="L41"/>
      <c r="M41"/>
    </row>
    <row r="42" spans="1:13" x14ac:dyDescent="0.25">
      <c r="A42" s="4">
        <v>2345</v>
      </c>
      <c r="B42">
        <v>14484</v>
      </c>
      <c r="C42" s="4">
        <v>14096</v>
      </c>
      <c r="D42" t="s">
        <v>306</v>
      </c>
      <c r="E42" s="4">
        <v>8</v>
      </c>
      <c r="F42" s="25">
        <v>43721.877349537041</v>
      </c>
      <c r="G42">
        <v>0</v>
      </c>
      <c r="H42" s="25"/>
      <c r="I42" s="25"/>
      <c r="J42" s="25" t="s">
        <v>300</v>
      </c>
      <c r="L42"/>
      <c r="M42"/>
    </row>
    <row r="43" spans="1:13" x14ac:dyDescent="0.25">
      <c r="A43" s="4">
        <v>2345</v>
      </c>
      <c r="B43">
        <v>14484</v>
      </c>
      <c r="C43" s="4">
        <v>14096</v>
      </c>
      <c r="D43" t="s">
        <v>306</v>
      </c>
      <c r="E43" s="4">
        <v>9</v>
      </c>
      <c r="F43" s="25">
        <v>43721.877349537041</v>
      </c>
      <c r="G43">
        <v>0</v>
      </c>
      <c r="H43" s="25"/>
      <c r="I43" s="25"/>
      <c r="J43" s="25" t="s">
        <v>300</v>
      </c>
      <c r="L43"/>
      <c r="M43"/>
    </row>
    <row r="44" spans="1:13" x14ac:dyDescent="0.25">
      <c r="A44" s="4">
        <v>2345</v>
      </c>
      <c r="B44">
        <v>14484</v>
      </c>
      <c r="C44" s="4">
        <v>14096</v>
      </c>
      <c r="D44" t="s">
        <v>306</v>
      </c>
      <c r="E44" s="4">
        <v>6</v>
      </c>
      <c r="F44" s="25">
        <v>43721.877337962964</v>
      </c>
      <c r="G44">
        <v>0</v>
      </c>
      <c r="H44" s="25"/>
      <c r="I44" s="25"/>
      <c r="J44" s="25" t="s">
        <v>300</v>
      </c>
      <c r="L44"/>
      <c r="M44"/>
    </row>
    <row r="45" spans="1:13" x14ac:dyDescent="0.25">
      <c r="A45" s="4">
        <v>2345</v>
      </c>
      <c r="B45">
        <v>14484</v>
      </c>
      <c r="C45" s="4">
        <v>14096</v>
      </c>
      <c r="D45" t="s">
        <v>306</v>
      </c>
      <c r="E45" s="4">
        <v>7</v>
      </c>
      <c r="F45" s="25">
        <v>43721.877337962964</v>
      </c>
      <c r="G45">
        <v>0</v>
      </c>
      <c r="H45" s="25"/>
      <c r="I45" s="25"/>
      <c r="J45" s="25" t="s">
        <v>300</v>
      </c>
      <c r="L45"/>
      <c r="M45"/>
    </row>
    <row r="46" spans="1:13" x14ac:dyDescent="0.25">
      <c r="A46" s="4">
        <v>2345</v>
      </c>
      <c r="B46">
        <v>14484</v>
      </c>
      <c r="C46" s="4">
        <v>14096</v>
      </c>
      <c r="D46" t="s">
        <v>306</v>
      </c>
      <c r="E46" s="4">
        <v>5</v>
      </c>
      <c r="F46" s="25">
        <v>43721.877326388887</v>
      </c>
      <c r="G46">
        <v>0</v>
      </c>
      <c r="H46" s="25"/>
      <c r="I46" s="25"/>
      <c r="J46" s="25" t="s">
        <v>300</v>
      </c>
      <c r="L46"/>
      <c r="M46"/>
    </row>
    <row r="47" spans="1:13" x14ac:dyDescent="0.25">
      <c r="A47" s="4">
        <v>2345</v>
      </c>
      <c r="B47">
        <v>14484</v>
      </c>
      <c r="C47" s="4">
        <v>14096</v>
      </c>
      <c r="D47" t="s">
        <v>306</v>
      </c>
      <c r="E47" s="4">
        <v>3</v>
      </c>
      <c r="F47" s="25">
        <v>43721.877314814818</v>
      </c>
      <c r="G47">
        <v>0</v>
      </c>
      <c r="H47" s="25"/>
      <c r="I47" s="25"/>
      <c r="J47" s="25" t="s">
        <v>300</v>
      </c>
      <c r="L47"/>
      <c r="M47"/>
    </row>
    <row r="48" spans="1:13" x14ac:dyDescent="0.25">
      <c r="A48" s="4">
        <v>2345</v>
      </c>
      <c r="B48">
        <v>14484</v>
      </c>
      <c r="C48" s="4">
        <v>14096</v>
      </c>
      <c r="D48" t="s">
        <v>306</v>
      </c>
      <c r="E48" s="4">
        <v>4</v>
      </c>
      <c r="F48" s="25">
        <v>43721.877314814818</v>
      </c>
      <c r="G48">
        <v>0</v>
      </c>
      <c r="H48" s="25"/>
      <c r="I48" s="25"/>
      <c r="J48" s="25" t="s">
        <v>300</v>
      </c>
      <c r="L48"/>
      <c r="M48"/>
    </row>
    <row r="49" spans="1:13" x14ac:dyDescent="0.25">
      <c r="A49" s="4">
        <v>2345</v>
      </c>
      <c r="B49">
        <v>14484</v>
      </c>
      <c r="C49" s="4">
        <v>14096</v>
      </c>
      <c r="D49" t="s">
        <v>306</v>
      </c>
      <c r="E49" s="4">
        <v>2</v>
      </c>
      <c r="F49" s="25">
        <v>43721.877303240741</v>
      </c>
      <c r="G49">
        <v>0</v>
      </c>
      <c r="H49" s="25"/>
      <c r="I49" s="25"/>
      <c r="J49" s="25" t="s">
        <v>300</v>
      </c>
      <c r="L49"/>
      <c r="M49"/>
    </row>
    <row r="50" spans="1:13" x14ac:dyDescent="0.25">
      <c r="A50" s="4">
        <v>2345</v>
      </c>
      <c r="B50">
        <v>14484</v>
      </c>
      <c r="C50" s="4">
        <v>14096</v>
      </c>
      <c r="D50" t="s">
        <v>306</v>
      </c>
      <c r="E50" s="4">
        <v>0</v>
      </c>
      <c r="F50" s="25">
        <v>43721.877291666664</v>
      </c>
      <c r="G50">
        <v>0</v>
      </c>
      <c r="H50" s="25"/>
      <c r="I50" s="25"/>
      <c r="J50" s="25" t="s">
        <v>300</v>
      </c>
      <c r="L50"/>
      <c r="M50"/>
    </row>
    <row r="51" spans="1:13" x14ac:dyDescent="0.25">
      <c r="A51" s="4">
        <v>2345</v>
      </c>
      <c r="B51">
        <v>14484</v>
      </c>
      <c r="C51" s="4">
        <v>14096</v>
      </c>
      <c r="D51" t="s">
        <v>306</v>
      </c>
      <c r="E51" s="4">
        <v>1</v>
      </c>
      <c r="F51" s="25">
        <v>43721.877291666664</v>
      </c>
      <c r="G51">
        <v>0</v>
      </c>
      <c r="H51" s="25"/>
      <c r="I51" s="25"/>
      <c r="J51" s="25" t="s">
        <v>300</v>
      </c>
      <c r="L51"/>
      <c r="M51"/>
    </row>
    <row r="52" spans="1:13" x14ac:dyDescent="0.25">
      <c r="A52" s="4">
        <v>77</v>
      </c>
      <c r="B52">
        <v>8544</v>
      </c>
      <c r="C52" s="4">
        <v>15200</v>
      </c>
      <c r="D52" t="s">
        <v>7</v>
      </c>
      <c r="E52" s="4">
        <v>0</v>
      </c>
      <c r="F52" s="25">
        <v>43721.871168981481</v>
      </c>
      <c r="G52">
        <v>0</v>
      </c>
      <c r="H52" s="25"/>
      <c r="I52" s="25" t="s">
        <v>350</v>
      </c>
      <c r="J52" s="25" t="s">
        <v>304</v>
      </c>
      <c r="L52"/>
      <c r="M52"/>
    </row>
    <row r="53" spans="1:13" x14ac:dyDescent="0.25">
      <c r="A53" s="4">
        <v>77</v>
      </c>
      <c r="B53">
        <v>15200</v>
      </c>
      <c r="C53" s="4">
        <v>15200</v>
      </c>
      <c r="D53" t="s">
        <v>7</v>
      </c>
      <c r="E53" s="4">
        <v>0</v>
      </c>
      <c r="F53" s="25">
        <v>43721.870462962965</v>
      </c>
      <c r="G53">
        <v>1</v>
      </c>
      <c r="H53" s="25" t="s">
        <v>321</v>
      </c>
      <c r="I53" s="25"/>
      <c r="J53" s="25" t="s">
        <v>462</v>
      </c>
      <c r="L53"/>
      <c r="M53"/>
    </row>
    <row r="54" spans="1:13" x14ac:dyDescent="0.25">
      <c r="A54" s="4">
        <v>30251</v>
      </c>
      <c r="B54">
        <v>10996</v>
      </c>
      <c r="C54" s="4">
        <v>14096</v>
      </c>
      <c r="D54" t="s">
        <v>306</v>
      </c>
      <c r="E54" s="4">
        <v>24</v>
      </c>
      <c r="F54" s="25">
        <v>43721.860231481478</v>
      </c>
      <c r="G54">
        <v>0</v>
      </c>
      <c r="H54" s="25"/>
      <c r="I54" s="25"/>
      <c r="J54" s="25" t="s">
        <v>300</v>
      </c>
      <c r="L54"/>
      <c r="M54"/>
    </row>
    <row r="55" spans="1:13" x14ac:dyDescent="0.25">
      <c r="A55" s="4">
        <v>30251</v>
      </c>
      <c r="B55">
        <v>10996</v>
      </c>
      <c r="C55" s="4">
        <v>14096</v>
      </c>
      <c r="D55" t="s">
        <v>306</v>
      </c>
      <c r="E55" s="4">
        <v>23</v>
      </c>
      <c r="F55" s="25">
        <v>43721.860219907408</v>
      </c>
      <c r="G55">
        <v>0</v>
      </c>
      <c r="H55" s="25"/>
      <c r="I55" s="25"/>
      <c r="J55" s="25" t="s">
        <v>300</v>
      </c>
      <c r="L55"/>
      <c r="M55"/>
    </row>
    <row r="56" spans="1:13" x14ac:dyDescent="0.25">
      <c r="A56" s="4">
        <v>30251</v>
      </c>
      <c r="B56">
        <v>10996</v>
      </c>
      <c r="C56" s="4">
        <v>14096</v>
      </c>
      <c r="D56" t="s">
        <v>306</v>
      </c>
      <c r="E56" s="4">
        <v>21</v>
      </c>
      <c r="F56" s="25">
        <v>43721.860208333332</v>
      </c>
      <c r="G56">
        <v>0</v>
      </c>
      <c r="H56" s="25"/>
      <c r="I56" s="25"/>
      <c r="J56" s="25" t="s">
        <v>300</v>
      </c>
      <c r="L56"/>
      <c r="M56"/>
    </row>
    <row r="57" spans="1:13" x14ac:dyDescent="0.25">
      <c r="A57" s="4">
        <v>30251</v>
      </c>
      <c r="B57">
        <v>10996</v>
      </c>
      <c r="C57" s="4">
        <v>14096</v>
      </c>
      <c r="D57" t="s">
        <v>306</v>
      </c>
      <c r="E57" s="4">
        <v>22</v>
      </c>
      <c r="F57" s="25">
        <v>43721.860208333332</v>
      </c>
      <c r="G57">
        <v>0</v>
      </c>
      <c r="H57" s="25"/>
      <c r="I57" s="25"/>
      <c r="J57" s="25" t="s">
        <v>300</v>
      </c>
      <c r="L57"/>
      <c r="M57"/>
    </row>
    <row r="58" spans="1:13" x14ac:dyDescent="0.25">
      <c r="A58" s="4">
        <v>30251</v>
      </c>
      <c r="B58">
        <v>10996</v>
      </c>
      <c r="C58" s="4">
        <v>14096</v>
      </c>
      <c r="D58" t="s">
        <v>306</v>
      </c>
      <c r="E58" s="4">
        <v>20</v>
      </c>
      <c r="F58" s="25">
        <v>43721.860196759262</v>
      </c>
      <c r="G58">
        <v>0</v>
      </c>
      <c r="H58" s="25"/>
      <c r="I58" s="25"/>
      <c r="J58" s="25" t="s">
        <v>300</v>
      </c>
      <c r="L58"/>
      <c r="M58"/>
    </row>
    <row r="59" spans="1:13" x14ac:dyDescent="0.25">
      <c r="A59" s="4">
        <v>30251</v>
      </c>
      <c r="B59">
        <v>10996</v>
      </c>
      <c r="C59" s="4">
        <v>14096</v>
      </c>
      <c r="D59" t="s">
        <v>306</v>
      </c>
      <c r="E59" s="4">
        <v>18</v>
      </c>
      <c r="F59" s="25">
        <v>43721.860185185185</v>
      </c>
      <c r="G59">
        <v>0</v>
      </c>
      <c r="H59" s="25"/>
      <c r="I59" s="25"/>
      <c r="J59" s="25" t="s">
        <v>300</v>
      </c>
      <c r="L59"/>
      <c r="M59"/>
    </row>
    <row r="60" spans="1:13" x14ac:dyDescent="0.25">
      <c r="A60" s="4">
        <v>30251</v>
      </c>
      <c r="B60">
        <v>10996</v>
      </c>
      <c r="C60" s="4">
        <v>14096</v>
      </c>
      <c r="D60" t="s">
        <v>306</v>
      </c>
      <c r="E60" s="4">
        <v>19</v>
      </c>
      <c r="F60" s="25">
        <v>43721.860185185185</v>
      </c>
      <c r="G60">
        <v>0</v>
      </c>
      <c r="H60" s="25"/>
      <c r="I60" s="25"/>
      <c r="J60" s="25" t="s">
        <v>300</v>
      </c>
      <c r="L60"/>
      <c r="M60"/>
    </row>
    <row r="61" spans="1:13" x14ac:dyDescent="0.25">
      <c r="A61" s="4">
        <v>30251</v>
      </c>
      <c r="B61">
        <v>10996</v>
      </c>
      <c r="C61" s="4">
        <v>14096</v>
      </c>
      <c r="D61" t="s">
        <v>306</v>
      </c>
      <c r="E61" s="4">
        <v>17</v>
      </c>
      <c r="F61" s="25">
        <v>43721.860173611109</v>
      </c>
      <c r="G61">
        <v>0</v>
      </c>
      <c r="H61" s="25"/>
      <c r="I61" s="25"/>
      <c r="J61" s="25" t="s">
        <v>300</v>
      </c>
      <c r="L61"/>
      <c r="M61"/>
    </row>
    <row r="62" spans="1:13" x14ac:dyDescent="0.25">
      <c r="A62" s="4">
        <v>30251</v>
      </c>
      <c r="B62">
        <v>10996</v>
      </c>
      <c r="C62" s="4">
        <v>14096</v>
      </c>
      <c r="D62" t="s">
        <v>306</v>
      </c>
      <c r="E62" s="4">
        <v>15</v>
      </c>
      <c r="F62" s="25">
        <v>43721.860162037039</v>
      </c>
      <c r="G62">
        <v>0</v>
      </c>
      <c r="H62" s="25"/>
      <c r="I62" s="25"/>
      <c r="J62" s="25" t="s">
        <v>300</v>
      </c>
      <c r="L62"/>
      <c r="M62"/>
    </row>
    <row r="63" spans="1:13" x14ac:dyDescent="0.25">
      <c r="A63" s="4">
        <v>30251</v>
      </c>
      <c r="B63">
        <v>10996</v>
      </c>
      <c r="C63" s="4">
        <v>14096</v>
      </c>
      <c r="D63" t="s">
        <v>306</v>
      </c>
      <c r="E63" s="4">
        <v>16</v>
      </c>
      <c r="F63" s="25">
        <v>43721.860162037039</v>
      </c>
      <c r="G63">
        <v>0</v>
      </c>
      <c r="H63" s="25"/>
      <c r="I63" s="25"/>
      <c r="J63" s="25" t="s">
        <v>300</v>
      </c>
      <c r="L63"/>
      <c r="M63"/>
    </row>
    <row r="64" spans="1:13" x14ac:dyDescent="0.25">
      <c r="A64" s="4">
        <v>30251</v>
      </c>
      <c r="B64">
        <v>10996</v>
      </c>
      <c r="C64" s="4">
        <v>14096</v>
      </c>
      <c r="D64" t="s">
        <v>306</v>
      </c>
      <c r="E64" s="4">
        <v>14</v>
      </c>
      <c r="F64" s="25">
        <v>43721.860150462962</v>
      </c>
      <c r="G64">
        <v>0</v>
      </c>
      <c r="H64" s="25"/>
      <c r="I64" s="25"/>
      <c r="J64" s="25" t="s">
        <v>300</v>
      </c>
      <c r="L64"/>
      <c r="M64"/>
    </row>
    <row r="65" spans="1:13" x14ac:dyDescent="0.25">
      <c r="A65" s="4">
        <v>30251</v>
      </c>
      <c r="B65">
        <v>10996</v>
      </c>
      <c r="C65" s="4">
        <v>14096</v>
      </c>
      <c r="D65" t="s">
        <v>306</v>
      </c>
      <c r="E65" s="4">
        <v>12</v>
      </c>
      <c r="F65" s="25">
        <v>43721.860138888886</v>
      </c>
      <c r="G65">
        <v>0</v>
      </c>
      <c r="H65" s="25"/>
      <c r="I65" s="25"/>
      <c r="J65" s="25" t="s">
        <v>300</v>
      </c>
      <c r="L65"/>
      <c r="M65"/>
    </row>
    <row r="66" spans="1:13" x14ac:dyDescent="0.25">
      <c r="A66" s="4">
        <v>30251</v>
      </c>
      <c r="B66">
        <v>10996</v>
      </c>
      <c r="C66" s="4">
        <v>14096</v>
      </c>
      <c r="D66" t="s">
        <v>306</v>
      </c>
      <c r="E66" s="4">
        <v>13</v>
      </c>
      <c r="F66" s="25">
        <v>43721.860138888886</v>
      </c>
      <c r="G66">
        <v>0</v>
      </c>
      <c r="H66" s="25"/>
      <c r="I66" s="25"/>
      <c r="J66" s="25" t="s">
        <v>300</v>
      </c>
      <c r="L66"/>
      <c r="M66"/>
    </row>
    <row r="67" spans="1:13" x14ac:dyDescent="0.25">
      <c r="A67" s="4">
        <v>30251</v>
      </c>
      <c r="B67">
        <v>10996</v>
      </c>
      <c r="C67" s="4">
        <v>14096</v>
      </c>
      <c r="D67" t="s">
        <v>306</v>
      </c>
      <c r="E67" s="4">
        <v>11</v>
      </c>
      <c r="F67" s="25">
        <v>43721.860127314816</v>
      </c>
      <c r="G67">
        <v>0</v>
      </c>
      <c r="H67" s="25"/>
      <c r="I67" s="25"/>
      <c r="J67" s="25" t="s">
        <v>300</v>
      </c>
      <c r="L67"/>
      <c r="M67"/>
    </row>
    <row r="68" spans="1:13" x14ac:dyDescent="0.25">
      <c r="A68" s="4">
        <v>30251</v>
      </c>
      <c r="B68">
        <v>10996</v>
      </c>
      <c r="C68" s="4">
        <v>14096</v>
      </c>
      <c r="D68" t="s">
        <v>306</v>
      </c>
      <c r="E68" s="4">
        <v>9</v>
      </c>
      <c r="F68" s="25">
        <v>43721.860115740739</v>
      </c>
      <c r="G68">
        <v>0</v>
      </c>
      <c r="H68" s="25"/>
      <c r="I68" s="25"/>
      <c r="J68" s="25" t="s">
        <v>300</v>
      </c>
      <c r="L68"/>
      <c r="M68"/>
    </row>
    <row r="69" spans="1:13" x14ac:dyDescent="0.25">
      <c r="A69" s="4">
        <v>30251</v>
      </c>
      <c r="B69">
        <v>10996</v>
      </c>
      <c r="C69" s="4">
        <v>14096</v>
      </c>
      <c r="D69" t="s">
        <v>306</v>
      </c>
      <c r="E69" s="4">
        <v>10</v>
      </c>
      <c r="F69" s="25">
        <v>43721.860115740739</v>
      </c>
      <c r="G69">
        <v>0</v>
      </c>
      <c r="H69" s="25"/>
      <c r="I69" s="25"/>
      <c r="J69" s="25" t="s">
        <v>300</v>
      </c>
      <c r="L69"/>
      <c r="M69"/>
    </row>
    <row r="70" spans="1:13" x14ac:dyDescent="0.25">
      <c r="A70" s="4">
        <v>30251</v>
      </c>
      <c r="B70">
        <v>10996</v>
      </c>
      <c r="C70" s="4">
        <v>14096</v>
      </c>
      <c r="D70" t="s">
        <v>306</v>
      </c>
      <c r="E70" s="4">
        <v>7</v>
      </c>
      <c r="F70" s="25">
        <v>43721.86010416667</v>
      </c>
      <c r="G70">
        <v>0</v>
      </c>
      <c r="H70" s="25"/>
      <c r="I70" s="25"/>
      <c r="J70" s="25" t="s">
        <v>300</v>
      </c>
      <c r="L70"/>
      <c r="M70"/>
    </row>
    <row r="71" spans="1:13" x14ac:dyDescent="0.25">
      <c r="A71" s="4">
        <v>30251</v>
      </c>
      <c r="B71">
        <v>10996</v>
      </c>
      <c r="C71" s="4">
        <v>14096</v>
      </c>
      <c r="D71" t="s">
        <v>306</v>
      </c>
      <c r="E71" s="4">
        <v>8</v>
      </c>
      <c r="F71" s="25">
        <v>43721.86010416667</v>
      </c>
      <c r="G71">
        <v>0</v>
      </c>
      <c r="H71" s="25"/>
      <c r="I71" s="25"/>
      <c r="J71" s="25" t="s">
        <v>300</v>
      </c>
      <c r="K71" s="4"/>
      <c r="M71"/>
    </row>
    <row r="72" spans="1:13" x14ac:dyDescent="0.25">
      <c r="A72" s="4">
        <v>30251</v>
      </c>
      <c r="B72">
        <v>10996</v>
      </c>
      <c r="C72" s="4">
        <v>14096</v>
      </c>
      <c r="D72" t="s">
        <v>306</v>
      </c>
      <c r="E72" s="4">
        <v>6</v>
      </c>
      <c r="F72" s="25">
        <v>43721.860092592593</v>
      </c>
      <c r="G72">
        <v>0</v>
      </c>
      <c r="H72" s="25"/>
      <c r="I72" s="25"/>
      <c r="J72" s="25" t="s">
        <v>300</v>
      </c>
      <c r="K72" s="4"/>
      <c r="M72"/>
    </row>
    <row r="73" spans="1:13" x14ac:dyDescent="0.25">
      <c r="A73" s="4">
        <v>30251</v>
      </c>
      <c r="B73">
        <v>10996</v>
      </c>
      <c r="C73" s="4">
        <v>14096</v>
      </c>
      <c r="D73" t="s">
        <v>306</v>
      </c>
      <c r="E73" s="4">
        <v>4</v>
      </c>
      <c r="F73" s="25">
        <v>43721.860081018516</v>
      </c>
      <c r="G73">
        <v>0</v>
      </c>
      <c r="H73" s="25"/>
      <c r="I73" s="25"/>
      <c r="J73" s="25" t="s">
        <v>300</v>
      </c>
      <c r="K73" s="4"/>
      <c r="M73"/>
    </row>
    <row r="74" spans="1:13" x14ac:dyDescent="0.25">
      <c r="A74" s="4">
        <v>30251</v>
      </c>
      <c r="B74">
        <v>10996</v>
      </c>
      <c r="C74" s="4">
        <v>14096</v>
      </c>
      <c r="D74" t="s">
        <v>306</v>
      </c>
      <c r="E74" s="4">
        <v>5</v>
      </c>
      <c r="F74" s="25">
        <v>43721.860081018516</v>
      </c>
      <c r="G74">
        <v>0</v>
      </c>
      <c r="H74" s="25"/>
      <c r="I74" s="25"/>
      <c r="J74" s="25" t="s">
        <v>300</v>
      </c>
      <c r="K74" s="4"/>
      <c r="M74"/>
    </row>
    <row r="75" spans="1:13" x14ac:dyDescent="0.25">
      <c r="A75" s="4">
        <v>30251</v>
      </c>
      <c r="B75">
        <v>10996</v>
      </c>
      <c r="C75" s="4">
        <v>14096</v>
      </c>
      <c r="D75" t="s">
        <v>306</v>
      </c>
      <c r="E75" s="4">
        <v>2</v>
      </c>
      <c r="F75" s="25">
        <v>43721.860069444447</v>
      </c>
      <c r="G75">
        <v>0</v>
      </c>
      <c r="H75" s="25"/>
      <c r="I75" s="25"/>
      <c r="J75" s="25" t="s">
        <v>300</v>
      </c>
      <c r="K75" s="4"/>
      <c r="M75"/>
    </row>
    <row r="76" spans="1:13" x14ac:dyDescent="0.25">
      <c r="A76" s="4">
        <v>30251</v>
      </c>
      <c r="B76">
        <v>10996</v>
      </c>
      <c r="C76" s="4">
        <v>14096</v>
      </c>
      <c r="D76" t="s">
        <v>306</v>
      </c>
      <c r="E76" s="4">
        <v>3</v>
      </c>
      <c r="F76" s="25">
        <v>43721.860069444447</v>
      </c>
      <c r="G76">
        <v>0</v>
      </c>
      <c r="H76" s="25"/>
      <c r="I76" s="25"/>
      <c r="J76" s="25" t="s">
        <v>300</v>
      </c>
      <c r="K76" s="4"/>
      <c r="M76"/>
    </row>
    <row r="77" spans="1:13" x14ac:dyDescent="0.25">
      <c r="A77" s="4">
        <v>30251</v>
      </c>
      <c r="B77">
        <v>10996</v>
      </c>
      <c r="C77" s="4">
        <v>14096</v>
      </c>
      <c r="D77" t="s">
        <v>306</v>
      </c>
      <c r="E77" s="4">
        <v>1</v>
      </c>
      <c r="F77" s="25">
        <v>43721.86005787037</v>
      </c>
      <c r="G77">
        <v>0</v>
      </c>
      <c r="H77" s="25"/>
      <c r="I77" s="25"/>
      <c r="J77" s="25" t="s">
        <v>300</v>
      </c>
      <c r="K77" s="4"/>
      <c r="M77"/>
    </row>
    <row r="78" spans="1:13" x14ac:dyDescent="0.25">
      <c r="A78" s="4">
        <v>30251</v>
      </c>
      <c r="B78">
        <v>10996</v>
      </c>
      <c r="C78" s="4">
        <v>14096</v>
      </c>
      <c r="D78" t="s">
        <v>306</v>
      </c>
      <c r="E78" s="4">
        <v>0</v>
      </c>
      <c r="F78" s="25">
        <v>43721.860046296293</v>
      </c>
      <c r="G78">
        <v>0</v>
      </c>
      <c r="H78" s="25"/>
      <c r="I78" s="25"/>
      <c r="J78" s="25" t="s">
        <v>300</v>
      </c>
      <c r="K78" s="4"/>
      <c r="M78"/>
    </row>
    <row r="79" spans="1:13" x14ac:dyDescent="0.25">
      <c r="A79" s="4">
        <v>77</v>
      </c>
      <c r="B79">
        <v>3008</v>
      </c>
      <c r="C79" s="4">
        <v>14096</v>
      </c>
      <c r="D79" t="s">
        <v>7</v>
      </c>
      <c r="E79" s="4">
        <v>0</v>
      </c>
      <c r="F79" s="25">
        <v>43721.858402777776</v>
      </c>
      <c r="G79">
        <v>0</v>
      </c>
      <c r="H79" s="25"/>
      <c r="I79" s="25" t="s">
        <v>350</v>
      </c>
      <c r="J79" s="25" t="s">
        <v>300</v>
      </c>
      <c r="K79" s="4"/>
      <c r="M79"/>
    </row>
    <row r="80" spans="1:13" x14ac:dyDescent="0.25">
      <c r="A80" s="4">
        <v>77</v>
      </c>
      <c r="B80">
        <v>14096</v>
      </c>
      <c r="C80" s="4">
        <v>14096</v>
      </c>
      <c r="D80" t="s">
        <v>7</v>
      </c>
      <c r="E80" s="4">
        <v>0</v>
      </c>
      <c r="F80" s="25">
        <v>43721.85769675926</v>
      </c>
      <c r="G80">
        <v>1</v>
      </c>
      <c r="H80" s="25" t="s">
        <v>321</v>
      </c>
      <c r="I80" s="25"/>
      <c r="J80" s="25" t="s">
        <v>461</v>
      </c>
      <c r="K80" s="4"/>
      <c r="M80"/>
    </row>
    <row r="81" spans="1:13" x14ac:dyDescent="0.25">
      <c r="A81" s="4">
        <v>26613</v>
      </c>
      <c r="B81">
        <v>11848</v>
      </c>
      <c r="C81" s="4">
        <v>14308</v>
      </c>
      <c r="D81" t="s">
        <v>306</v>
      </c>
      <c r="E81" s="4">
        <v>24</v>
      </c>
      <c r="F81" s="25">
        <v>43721.847418981481</v>
      </c>
      <c r="G81">
        <v>0</v>
      </c>
      <c r="H81" s="25"/>
      <c r="I81" s="25"/>
      <c r="J81" s="25" t="s">
        <v>300</v>
      </c>
      <c r="K81" s="4"/>
      <c r="M81"/>
    </row>
    <row r="82" spans="1:13" x14ac:dyDescent="0.25">
      <c r="A82" s="4">
        <v>26613</v>
      </c>
      <c r="B82">
        <v>11848</v>
      </c>
      <c r="C82" s="4">
        <v>14308</v>
      </c>
      <c r="D82" t="s">
        <v>306</v>
      </c>
      <c r="E82" s="4">
        <v>22</v>
      </c>
      <c r="F82" s="25">
        <v>43721.847407407404</v>
      </c>
      <c r="G82">
        <v>0</v>
      </c>
      <c r="H82" s="25"/>
      <c r="I82" s="25"/>
      <c r="J82" s="25" t="s">
        <v>300</v>
      </c>
      <c r="K82" s="4"/>
      <c r="M82"/>
    </row>
    <row r="83" spans="1:13" x14ac:dyDescent="0.25">
      <c r="A83" s="4">
        <v>26613</v>
      </c>
      <c r="B83">
        <v>11848</v>
      </c>
      <c r="C83" s="4">
        <v>14308</v>
      </c>
      <c r="D83" t="s">
        <v>306</v>
      </c>
      <c r="E83" s="4">
        <v>23</v>
      </c>
      <c r="F83" s="25">
        <v>43721.847407407404</v>
      </c>
      <c r="G83">
        <v>0</v>
      </c>
      <c r="H83" s="25"/>
      <c r="I83" s="25"/>
      <c r="J83" s="25" t="s">
        <v>300</v>
      </c>
      <c r="K83" s="4"/>
      <c r="M83"/>
    </row>
    <row r="84" spans="1:13" x14ac:dyDescent="0.25">
      <c r="A84" s="4">
        <v>26613</v>
      </c>
      <c r="B84">
        <v>11848</v>
      </c>
      <c r="C84" s="4">
        <v>14308</v>
      </c>
      <c r="D84" t="s">
        <v>306</v>
      </c>
      <c r="E84" s="4">
        <v>21</v>
      </c>
      <c r="F84" s="25">
        <v>43721.847395833334</v>
      </c>
      <c r="G84">
        <v>0</v>
      </c>
      <c r="H84" s="25"/>
      <c r="I84" s="25"/>
      <c r="J84" s="25" t="s">
        <v>300</v>
      </c>
      <c r="K84" s="4"/>
      <c r="M84"/>
    </row>
    <row r="85" spans="1:13" x14ac:dyDescent="0.25">
      <c r="A85" s="4">
        <v>26613</v>
      </c>
      <c r="B85">
        <v>11848</v>
      </c>
      <c r="C85" s="4">
        <v>14308</v>
      </c>
      <c r="D85" t="s">
        <v>306</v>
      </c>
      <c r="E85" s="4">
        <v>19</v>
      </c>
      <c r="F85" s="25">
        <v>43721.847384259258</v>
      </c>
      <c r="G85">
        <v>0</v>
      </c>
      <c r="H85" s="25"/>
      <c r="I85" s="25"/>
      <c r="J85" s="25" t="s">
        <v>300</v>
      </c>
      <c r="K85" s="4"/>
      <c r="M85"/>
    </row>
    <row r="86" spans="1:13" x14ac:dyDescent="0.25">
      <c r="A86" s="4">
        <v>26613</v>
      </c>
      <c r="B86">
        <v>11848</v>
      </c>
      <c r="C86" s="4">
        <v>14308</v>
      </c>
      <c r="D86" t="s">
        <v>306</v>
      </c>
      <c r="E86" s="4">
        <v>20</v>
      </c>
      <c r="F86" s="25">
        <v>43721.847384259258</v>
      </c>
      <c r="G86">
        <v>0</v>
      </c>
      <c r="H86" s="25"/>
      <c r="I86" s="25"/>
      <c r="J86" s="25" t="s">
        <v>300</v>
      </c>
      <c r="K86" s="4"/>
      <c r="M86"/>
    </row>
    <row r="87" spans="1:13" x14ac:dyDescent="0.25">
      <c r="A87" s="4">
        <v>26613</v>
      </c>
      <c r="B87">
        <v>11848</v>
      </c>
      <c r="C87" s="4">
        <v>14308</v>
      </c>
      <c r="D87" t="s">
        <v>306</v>
      </c>
      <c r="E87" s="4">
        <v>18</v>
      </c>
      <c r="F87" s="25">
        <v>43721.847372685188</v>
      </c>
      <c r="G87">
        <v>0</v>
      </c>
      <c r="H87" s="25"/>
      <c r="I87" s="25"/>
      <c r="J87" s="25" t="s">
        <v>300</v>
      </c>
      <c r="K87" s="4"/>
      <c r="M87"/>
    </row>
    <row r="88" spans="1:13" x14ac:dyDescent="0.25">
      <c r="A88" s="4">
        <v>26613</v>
      </c>
      <c r="B88">
        <v>11848</v>
      </c>
      <c r="C88" s="4">
        <v>14308</v>
      </c>
      <c r="D88" t="s">
        <v>306</v>
      </c>
      <c r="E88" s="4">
        <v>16</v>
      </c>
      <c r="F88" s="25">
        <v>43721.847361111111</v>
      </c>
      <c r="G88">
        <v>0</v>
      </c>
      <c r="H88" s="25"/>
      <c r="I88" s="25"/>
      <c r="J88" s="25" t="s">
        <v>300</v>
      </c>
      <c r="K88" s="4"/>
      <c r="M88"/>
    </row>
    <row r="89" spans="1:13" x14ac:dyDescent="0.25">
      <c r="A89" s="4">
        <v>26613</v>
      </c>
      <c r="B89">
        <v>11848</v>
      </c>
      <c r="C89" s="4">
        <v>14308</v>
      </c>
      <c r="D89" t="s">
        <v>306</v>
      </c>
      <c r="E89" s="4">
        <v>17</v>
      </c>
      <c r="F89" s="25">
        <v>43721.847361111111</v>
      </c>
      <c r="G89">
        <v>0</v>
      </c>
      <c r="H89" s="25"/>
      <c r="I89" s="25"/>
      <c r="J89" s="25" t="s">
        <v>300</v>
      </c>
      <c r="K89" s="4"/>
      <c r="M89"/>
    </row>
    <row r="90" spans="1:13" x14ac:dyDescent="0.25">
      <c r="A90" s="4">
        <v>26613</v>
      </c>
      <c r="B90">
        <v>11848</v>
      </c>
      <c r="C90" s="4">
        <v>14308</v>
      </c>
      <c r="D90" t="s">
        <v>306</v>
      </c>
      <c r="E90" s="4">
        <v>15</v>
      </c>
      <c r="F90" s="25">
        <v>43721.847349537034</v>
      </c>
      <c r="G90">
        <v>0</v>
      </c>
      <c r="H90" s="25"/>
      <c r="I90" s="25"/>
      <c r="J90" s="25" t="s">
        <v>300</v>
      </c>
      <c r="K90" s="4"/>
      <c r="M90"/>
    </row>
    <row r="91" spans="1:13" x14ac:dyDescent="0.25">
      <c r="A91" s="4">
        <v>26613</v>
      </c>
      <c r="B91">
        <v>11848</v>
      </c>
      <c r="C91" s="4">
        <v>14308</v>
      </c>
      <c r="D91" t="s">
        <v>306</v>
      </c>
      <c r="E91" s="4">
        <v>13</v>
      </c>
      <c r="F91" s="25">
        <v>43721.847337962965</v>
      </c>
      <c r="G91">
        <v>0</v>
      </c>
      <c r="H91" s="25"/>
      <c r="I91" s="25"/>
      <c r="J91" s="25" t="s">
        <v>300</v>
      </c>
      <c r="K91" s="4"/>
      <c r="M91"/>
    </row>
    <row r="92" spans="1:13" x14ac:dyDescent="0.25">
      <c r="A92" s="4">
        <v>26613</v>
      </c>
      <c r="B92">
        <v>11848</v>
      </c>
      <c r="C92" s="4">
        <v>14308</v>
      </c>
      <c r="D92" t="s">
        <v>306</v>
      </c>
      <c r="E92" s="4">
        <v>14</v>
      </c>
      <c r="F92" s="25">
        <v>43721.847337962965</v>
      </c>
      <c r="G92">
        <v>0</v>
      </c>
      <c r="H92" s="25"/>
      <c r="I92" s="25"/>
      <c r="J92" s="25" t="s">
        <v>300</v>
      </c>
      <c r="K92" s="4"/>
      <c r="M92"/>
    </row>
    <row r="93" spans="1:13" x14ac:dyDescent="0.25">
      <c r="A93" s="4">
        <v>26613</v>
      </c>
      <c r="B93">
        <v>11848</v>
      </c>
      <c r="C93" s="4">
        <v>14308</v>
      </c>
      <c r="D93" t="s">
        <v>306</v>
      </c>
      <c r="E93" s="4">
        <v>12</v>
      </c>
      <c r="F93" s="25">
        <v>43721.847326388888</v>
      </c>
      <c r="G93">
        <v>0</v>
      </c>
      <c r="H93" s="25"/>
      <c r="I93" s="25"/>
      <c r="J93" s="25" t="s">
        <v>300</v>
      </c>
      <c r="K93" s="4"/>
      <c r="M93"/>
    </row>
    <row r="94" spans="1:13" x14ac:dyDescent="0.25">
      <c r="A94" s="4">
        <v>26613</v>
      </c>
      <c r="B94">
        <v>11848</v>
      </c>
      <c r="C94" s="4">
        <v>14308</v>
      </c>
      <c r="D94" t="s">
        <v>306</v>
      </c>
      <c r="E94" s="4">
        <v>10</v>
      </c>
      <c r="F94" s="25">
        <v>43721.847314814811</v>
      </c>
      <c r="G94">
        <v>0</v>
      </c>
      <c r="H94" s="25"/>
      <c r="I94" s="25"/>
      <c r="J94" s="25" t="s">
        <v>300</v>
      </c>
      <c r="K94" s="4"/>
      <c r="M94"/>
    </row>
    <row r="95" spans="1:13" x14ac:dyDescent="0.25">
      <c r="A95" s="4">
        <v>26613</v>
      </c>
      <c r="B95">
        <v>11848</v>
      </c>
      <c r="C95" s="4">
        <v>14308</v>
      </c>
      <c r="D95" t="s">
        <v>306</v>
      </c>
      <c r="E95" s="4">
        <v>11</v>
      </c>
      <c r="F95" s="25">
        <v>43721.847314814811</v>
      </c>
      <c r="G95">
        <v>0</v>
      </c>
      <c r="H95" s="25"/>
      <c r="I95" s="25"/>
      <c r="J95" s="25" t="s">
        <v>300</v>
      </c>
      <c r="K95" s="4"/>
      <c r="M95"/>
    </row>
    <row r="96" spans="1:13" x14ac:dyDescent="0.25">
      <c r="A96" s="4">
        <v>26613</v>
      </c>
      <c r="B96">
        <v>11848</v>
      </c>
      <c r="C96" s="4">
        <v>14308</v>
      </c>
      <c r="D96" t="s">
        <v>306</v>
      </c>
      <c r="E96" s="4">
        <v>8</v>
      </c>
      <c r="F96" s="25">
        <v>43721.847303240742</v>
      </c>
      <c r="G96">
        <v>0</v>
      </c>
      <c r="H96" s="25"/>
      <c r="I96" s="25"/>
      <c r="J96" s="25" t="s">
        <v>300</v>
      </c>
      <c r="K96" s="4"/>
      <c r="M96"/>
    </row>
    <row r="97" spans="1:13" x14ac:dyDescent="0.25">
      <c r="A97" s="4">
        <v>26613</v>
      </c>
      <c r="B97">
        <v>11848</v>
      </c>
      <c r="C97" s="4">
        <v>14308</v>
      </c>
      <c r="D97" t="s">
        <v>306</v>
      </c>
      <c r="E97" s="4">
        <v>9</v>
      </c>
      <c r="F97" s="25">
        <v>43721.847303240742</v>
      </c>
      <c r="G97">
        <v>0</v>
      </c>
      <c r="H97" s="25"/>
      <c r="I97" s="25"/>
      <c r="J97" s="25" t="s">
        <v>300</v>
      </c>
      <c r="K97" s="4"/>
      <c r="M97"/>
    </row>
    <row r="98" spans="1:13" x14ac:dyDescent="0.25">
      <c r="A98" s="4">
        <v>26613</v>
      </c>
      <c r="B98">
        <v>11848</v>
      </c>
      <c r="C98" s="4">
        <v>14308</v>
      </c>
      <c r="D98" t="s">
        <v>306</v>
      </c>
      <c r="E98" s="4">
        <v>7</v>
      </c>
      <c r="F98" s="25">
        <v>43721.847291666665</v>
      </c>
      <c r="G98">
        <v>0</v>
      </c>
      <c r="H98" s="25"/>
      <c r="I98" s="25"/>
      <c r="J98" s="25" t="s">
        <v>300</v>
      </c>
      <c r="K98" s="4"/>
      <c r="M98"/>
    </row>
    <row r="99" spans="1:13" x14ac:dyDescent="0.25">
      <c r="A99" s="4">
        <v>26613</v>
      </c>
      <c r="B99">
        <v>11848</v>
      </c>
      <c r="C99" s="4">
        <v>14308</v>
      </c>
      <c r="D99" t="s">
        <v>306</v>
      </c>
      <c r="E99" s="4">
        <v>5</v>
      </c>
      <c r="F99" s="25">
        <v>43721.847280092596</v>
      </c>
      <c r="G99">
        <v>0</v>
      </c>
      <c r="H99" s="25"/>
      <c r="I99" s="25"/>
      <c r="J99" s="25" t="s">
        <v>300</v>
      </c>
      <c r="K99" s="4"/>
      <c r="M99"/>
    </row>
    <row r="100" spans="1:13" x14ac:dyDescent="0.25">
      <c r="A100" s="4">
        <v>26613</v>
      </c>
      <c r="B100">
        <v>11848</v>
      </c>
      <c r="C100" s="4">
        <v>14308</v>
      </c>
      <c r="D100" t="s">
        <v>306</v>
      </c>
      <c r="E100" s="4">
        <v>6</v>
      </c>
      <c r="F100" s="25">
        <v>43721.847280092596</v>
      </c>
      <c r="G100">
        <v>0</v>
      </c>
      <c r="H100" s="25"/>
      <c r="I100" s="25"/>
      <c r="J100" s="25" t="s">
        <v>300</v>
      </c>
      <c r="K100" s="4"/>
      <c r="M100"/>
    </row>
    <row r="101" spans="1:13" x14ac:dyDescent="0.25">
      <c r="A101" s="4">
        <v>26613</v>
      </c>
      <c r="B101">
        <v>11848</v>
      </c>
      <c r="C101" s="4">
        <v>14308</v>
      </c>
      <c r="D101" t="s">
        <v>306</v>
      </c>
      <c r="E101" s="4">
        <v>4</v>
      </c>
      <c r="F101" s="25">
        <v>43721.847268518519</v>
      </c>
      <c r="G101">
        <v>0</v>
      </c>
      <c r="H101" s="25"/>
      <c r="I101" s="25"/>
      <c r="J101" s="25" t="s">
        <v>300</v>
      </c>
      <c r="K101" s="4"/>
      <c r="M101"/>
    </row>
    <row r="102" spans="1:13" x14ac:dyDescent="0.25">
      <c r="A102" s="4">
        <v>26613</v>
      </c>
      <c r="B102">
        <v>11848</v>
      </c>
      <c r="C102" s="4">
        <v>14308</v>
      </c>
      <c r="D102" t="s">
        <v>306</v>
      </c>
      <c r="E102" s="4">
        <v>2</v>
      </c>
      <c r="F102" s="25">
        <v>43721.847256944442</v>
      </c>
      <c r="G102">
        <v>0</v>
      </c>
      <c r="H102" s="25"/>
      <c r="I102" s="25"/>
      <c r="J102" s="25" t="s">
        <v>300</v>
      </c>
      <c r="K102" s="4"/>
      <c r="M102"/>
    </row>
    <row r="103" spans="1:13" x14ac:dyDescent="0.25">
      <c r="A103" s="4">
        <v>26613</v>
      </c>
      <c r="B103">
        <v>11848</v>
      </c>
      <c r="C103" s="4">
        <v>14308</v>
      </c>
      <c r="D103" t="s">
        <v>306</v>
      </c>
      <c r="E103" s="4">
        <v>3</v>
      </c>
      <c r="F103" s="25">
        <v>43721.847256944442</v>
      </c>
      <c r="G103">
        <v>0</v>
      </c>
      <c r="H103" s="25"/>
      <c r="I103" s="25"/>
      <c r="J103" s="25" t="s">
        <v>300</v>
      </c>
      <c r="K103" s="4"/>
      <c r="M103"/>
    </row>
    <row r="104" spans="1:13" x14ac:dyDescent="0.25">
      <c r="A104" s="4">
        <v>26613</v>
      </c>
      <c r="B104">
        <v>11848</v>
      </c>
      <c r="C104" s="4">
        <v>14308</v>
      </c>
      <c r="D104" t="s">
        <v>306</v>
      </c>
      <c r="E104" s="4">
        <v>1</v>
      </c>
      <c r="F104" s="25">
        <v>43721.847245370373</v>
      </c>
      <c r="G104">
        <v>0</v>
      </c>
      <c r="H104" s="25"/>
      <c r="I104" s="25"/>
      <c r="J104" s="25" t="s">
        <v>300</v>
      </c>
      <c r="K104" s="4"/>
      <c r="M104"/>
    </row>
    <row r="105" spans="1:13" x14ac:dyDescent="0.25">
      <c r="A105" s="4">
        <v>26613</v>
      </c>
      <c r="B105">
        <v>11848</v>
      </c>
      <c r="C105" s="4">
        <v>14308</v>
      </c>
      <c r="D105" t="s">
        <v>306</v>
      </c>
      <c r="E105" s="4">
        <v>0</v>
      </c>
      <c r="F105" s="25">
        <v>43721.847233796296</v>
      </c>
      <c r="G105">
        <v>0</v>
      </c>
      <c r="H105" s="25"/>
      <c r="I105" s="25"/>
      <c r="J105" s="25" t="s">
        <v>300</v>
      </c>
      <c r="K105" s="4"/>
      <c r="M105"/>
    </row>
    <row r="106" spans="1:13" x14ac:dyDescent="0.25">
      <c r="A106" s="4">
        <v>25849</v>
      </c>
      <c r="B106">
        <v>5748</v>
      </c>
      <c r="C106" s="4">
        <v>14308</v>
      </c>
      <c r="D106" t="s">
        <v>306</v>
      </c>
      <c r="E106" s="4">
        <v>0</v>
      </c>
      <c r="F106" s="25">
        <v>43721.844525462962</v>
      </c>
      <c r="G106">
        <v>0</v>
      </c>
      <c r="H106" s="25"/>
      <c r="I106" s="25"/>
      <c r="J106" s="25" t="s">
        <v>300</v>
      </c>
      <c r="K106" s="4"/>
      <c r="M106"/>
    </row>
    <row r="107" spans="1:13" x14ac:dyDescent="0.25">
      <c r="A107" s="4">
        <v>98</v>
      </c>
      <c r="B107">
        <v>11700</v>
      </c>
      <c r="C107" s="4">
        <v>14308</v>
      </c>
      <c r="D107" t="s">
        <v>7</v>
      </c>
      <c r="E107" s="4">
        <v>0</v>
      </c>
      <c r="F107" s="25">
        <v>43721.837060185186</v>
      </c>
      <c r="G107">
        <v>0</v>
      </c>
      <c r="H107" s="25"/>
      <c r="I107" s="25" t="s">
        <v>457</v>
      </c>
      <c r="J107" s="25" t="s">
        <v>300</v>
      </c>
      <c r="K107" s="4"/>
      <c r="M107"/>
    </row>
    <row r="108" spans="1:13" x14ac:dyDescent="0.25">
      <c r="A108" s="4">
        <v>98</v>
      </c>
      <c r="B108">
        <v>1600</v>
      </c>
      <c r="C108" s="4">
        <v>14308</v>
      </c>
      <c r="D108" t="s">
        <v>7</v>
      </c>
      <c r="E108" s="4">
        <v>0</v>
      </c>
      <c r="F108" s="25">
        <v>43721.836886574078</v>
      </c>
      <c r="G108">
        <v>0</v>
      </c>
      <c r="H108" s="25"/>
      <c r="I108" s="25" t="s">
        <v>456</v>
      </c>
      <c r="J108" s="25" t="s">
        <v>300</v>
      </c>
      <c r="K108" s="4"/>
      <c r="M108"/>
    </row>
    <row r="109" spans="1:13" x14ac:dyDescent="0.25">
      <c r="A109" s="4">
        <v>98</v>
      </c>
      <c r="B109">
        <v>13336</v>
      </c>
      <c r="C109" s="4">
        <v>14308</v>
      </c>
      <c r="D109" t="s">
        <v>7</v>
      </c>
      <c r="E109" s="4">
        <v>0</v>
      </c>
      <c r="F109" s="25">
        <v>43721.836712962962</v>
      </c>
      <c r="G109">
        <v>0</v>
      </c>
      <c r="H109" s="25"/>
      <c r="I109" s="25" t="s">
        <v>455</v>
      </c>
      <c r="J109" s="25" t="s">
        <v>300</v>
      </c>
      <c r="K109" s="4"/>
      <c r="M109"/>
    </row>
    <row r="110" spans="1:13" x14ac:dyDescent="0.25">
      <c r="A110" s="4">
        <v>98</v>
      </c>
      <c r="B110">
        <v>12064</v>
      </c>
      <c r="C110" s="4">
        <v>14308</v>
      </c>
      <c r="D110" t="s">
        <v>7</v>
      </c>
      <c r="E110" s="4">
        <v>0</v>
      </c>
      <c r="F110" s="25">
        <v>43721.836539351854</v>
      </c>
      <c r="G110">
        <v>0</v>
      </c>
      <c r="H110" s="25"/>
      <c r="I110" s="25" t="s">
        <v>454</v>
      </c>
      <c r="J110" s="25" t="s">
        <v>300</v>
      </c>
      <c r="K110" s="4"/>
      <c r="M110"/>
    </row>
    <row r="111" spans="1:13" x14ac:dyDescent="0.25">
      <c r="A111" s="4">
        <v>98</v>
      </c>
      <c r="B111">
        <v>13307</v>
      </c>
      <c r="C111" s="4">
        <v>14308</v>
      </c>
      <c r="D111" t="s">
        <v>7</v>
      </c>
      <c r="E111" s="4">
        <v>0</v>
      </c>
      <c r="F111" s="25">
        <v>43721.836400462962</v>
      </c>
      <c r="G111">
        <v>0</v>
      </c>
      <c r="H111" s="25"/>
      <c r="I111" s="25" t="s">
        <v>453</v>
      </c>
      <c r="J111" s="25" t="s">
        <v>300</v>
      </c>
      <c r="K111" s="4"/>
      <c r="M111"/>
    </row>
    <row r="112" spans="1:13" x14ac:dyDescent="0.25">
      <c r="A112" s="4">
        <v>98</v>
      </c>
      <c r="B112">
        <v>13180</v>
      </c>
      <c r="C112" s="4">
        <v>14308</v>
      </c>
      <c r="D112" t="s">
        <v>7</v>
      </c>
      <c r="E112" s="4">
        <v>0</v>
      </c>
      <c r="F112" s="25">
        <v>43721.836238425924</v>
      </c>
      <c r="G112">
        <v>0</v>
      </c>
      <c r="H112" s="25"/>
      <c r="I112" s="25" t="s">
        <v>452</v>
      </c>
      <c r="J112" s="25" t="s">
        <v>304</v>
      </c>
      <c r="K112" s="4"/>
      <c r="M112"/>
    </row>
    <row r="113" spans="1:13" x14ac:dyDescent="0.25">
      <c r="A113" s="4">
        <v>98</v>
      </c>
      <c r="B113">
        <v>7171</v>
      </c>
      <c r="C113" s="4">
        <v>14308</v>
      </c>
      <c r="D113" t="s">
        <v>7</v>
      </c>
      <c r="E113" s="4">
        <v>0</v>
      </c>
      <c r="F113" s="25">
        <v>43721.836041666669</v>
      </c>
      <c r="G113">
        <v>0</v>
      </c>
      <c r="H113" s="25"/>
      <c r="I113" s="25" t="s">
        <v>451</v>
      </c>
      <c r="J113" s="25" t="s">
        <v>300</v>
      </c>
      <c r="K113" s="4"/>
      <c r="M113"/>
    </row>
    <row r="114" spans="1:13" x14ac:dyDescent="0.25">
      <c r="A114" s="4">
        <v>98</v>
      </c>
      <c r="B114">
        <v>7808</v>
      </c>
      <c r="C114" s="4">
        <v>14308</v>
      </c>
      <c r="D114" t="s">
        <v>7</v>
      </c>
      <c r="E114" s="4">
        <v>0</v>
      </c>
      <c r="F114" s="25">
        <v>43721.835868055554</v>
      </c>
      <c r="G114">
        <v>0</v>
      </c>
      <c r="H114" s="25"/>
      <c r="I114" s="25" t="s">
        <v>450</v>
      </c>
      <c r="J114" s="25" t="s">
        <v>304</v>
      </c>
      <c r="K114" s="4"/>
      <c r="M114"/>
    </row>
    <row r="115" spans="1:13" x14ac:dyDescent="0.25">
      <c r="A115" s="4">
        <v>99</v>
      </c>
      <c r="B115">
        <v>3460</v>
      </c>
      <c r="C115" s="4">
        <v>14308</v>
      </c>
      <c r="D115" t="s">
        <v>7</v>
      </c>
      <c r="E115" s="4">
        <v>0</v>
      </c>
      <c r="F115" s="25">
        <v>43721.833472222221</v>
      </c>
      <c r="G115">
        <v>0</v>
      </c>
      <c r="H115" s="25"/>
      <c r="I115" s="25" t="s">
        <v>457</v>
      </c>
      <c r="J115" s="25" t="s">
        <v>300</v>
      </c>
      <c r="K115" s="4"/>
      <c r="M115"/>
    </row>
    <row r="116" spans="1:13" x14ac:dyDescent="0.25">
      <c r="A116" s="4">
        <v>17410</v>
      </c>
      <c r="B116">
        <v>7592</v>
      </c>
      <c r="C116" s="4">
        <v>14308</v>
      </c>
      <c r="D116" t="s">
        <v>306</v>
      </c>
      <c r="E116" s="4">
        <v>1</v>
      </c>
      <c r="F116" s="25">
        <v>43721.833333333336</v>
      </c>
      <c r="G116">
        <v>0</v>
      </c>
      <c r="H116" s="25"/>
      <c r="I116" s="25"/>
      <c r="J116" s="25" t="s">
        <v>300</v>
      </c>
      <c r="K116" s="4"/>
      <c r="M116"/>
    </row>
    <row r="117" spans="1:13" x14ac:dyDescent="0.25">
      <c r="A117" s="4">
        <v>99</v>
      </c>
      <c r="B117">
        <v>13583</v>
      </c>
      <c r="C117" s="4">
        <v>14308</v>
      </c>
      <c r="D117" t="s">
        <v>7</v>
      </c>
      <c r="E117" s="4">
        <v>0</v>
      </c>
      <c r="F117" s="25">
        <v>43721.833298611113</v>
      </c>
      <c r="G117">
        <v>0</v>
      </c>
      <c r="H117" s="25"/>
      <c r="I117" s="25" t="s">
        <v>456</v>
      </c>
      <c r="J117" s="25" t="s">
        <v>300</v>
      </c>
      <c r="K117" s="4"/>
      <c r="M117"/>
    </row>
    <row r="118" spans="1:13" x14ac:dyDescent="0.25">
      <c r="A118" s="4">
        <v>99</v>
      </c>
      <c r="B118">
        <v>2561</v>
      </c>
      <c r="C118" s="4">
        <v>14308</v>
      </c>
      <c r="D118" t="s">
        <v>7</v>
      </c>
      <c r="E118" s="4">
        <v>0</v>
      </c>
      <c r="F118" s="25">
        <v>43721.833032407405</v>
      </c>
      <c r="G118">
        <v>0</v>
      </c>
      <c r="H118" s="25"/>
      <c r="I118" s="25" t="s">
        <v>455</v>
      </c>
      <c r="J118" s="25" t="s">
        <v>300</v>
      </c>
      <c r="K118" s="4"/>
      <c r="M118"/>
    </row>
    <row r="119" spans="1:13" x14ac:dyDescent="0.25">
      <c r="A119" s="4">
        <v>99</v>
      </c>
      <c r="B119">
        <v>14868</v>
      </c>
      <c r="C119" s="4">
        <v>14308</v>
      </c>
      <c r="D119" t="s">
        <v>7</v>
      </c>
      <c r="E119" s="4">
        <v>0</v>
      </c>
      <c r="F119" s="25">
        <v>43721.832835648151</v>
      </c>
      <c r="G119">
        <v>0</v>
      </c>
      <c r="H119" s="25"/>
      <c r="I119" s="25" t="s">
        <v>454</v>
      </c>
      <c r="J119" s="25" t="s">
        <v>300</v>
      </c>
      <c r="K119" s="4"/>
      <c r="M119"/>
    </row>
    <row r="120" spans="1:13" x14ac:dyDescent="0.25">
      <c r="A120" s="4">
        <v>99</v>
      </c>
      <c r="B120">
        <v>4900</v>
      </c>
      <c r="C120" s="4">
        <v>14308</v>
      </c>
      <c r="D120" t="s">
        <v>7</v>
      </c>
      <c r="E120" s="4">
        <v>0</v>
      </c>
      <c r="F120" s="25">
        <v>43721.832696759258</v>
      </c>
      <c r="G120">
        <v>0</v>
      </c>
      <c r="H120" s="25"/>
      <c r="I120" s="25" t="s">
        <v>453</v>
      </c>
      <c r="J120" s="25" t="s">
        <v>300</v>
      </c>
      <c r="K120" s="4"/>
      <c r="M120"/>
    </row>
    <row r="121" spans="1:13" x14ac:dyDescent="0.25">
      <c r="A121" s="4">
        <v>99</v>
      </c>
      <c r="B121">
        <v>5504</v>
      </c>
      <c r="C121" s="4">
        <v>14308</v>
      </c>
      <c r="D121" t="s">
        <v>7</v>
      </c>
      <c r="E121" s="4">
        <v>0</v>
      </c>
      <c r="F121" s="25">
        <v>43721.83253472222</v>
      </c>
      <c r="G121">
        <v>0</v>
      </c>
      <c r="H121" s="25"/>
      <c r="I121" s="25" t="s">
        <v>452</v>
      </c>
      <c r="J121" s="25" t="s">
        <v>300</v>
      </c>
      <c r="K121" s="4"/>
      <c r="M121"/>
    </row>
    <row r="122" spans="1:13" x14ac:dyDescent="0.25">
      <c r="A122" s="4">
        <v>99</v>
      </c>
      <c r="B122">
        <v>8944</v>
      </c>
      <c r="C122" s="4">
        <v>14308</v>
      </c>
      <c r="D122" t="s">
        <v>7</v>
      </c>
      <c r="E122" s="4">
        <v>0</v>
      </c>
      <c r="F122" s="25">
        <v>43721.832372685189</v>
      </c>
      <c r="G122">
        <v>0</v>
      </c>
      <c r="H122" s="25"/>
      <c r="I122" s="25" t="s">
        <v>451</v>
      </c>
      <c r="J122" s="25" t="s">
        <v>304</v>
      </c>
      <c r="K122" s="4"/>
      <c r="M122"/>
    </row>
    <row r="123" spans="1:13" x14ac:dyDescent="0.25">
      <c r="A123" s="4">
        <v>99</v>
      </c>
      <c r="B123">
        <v>12467</v>
      </c>
      <c r="C123" s="4">
        <v>14308</v>
      </c>
      <c r="D123" t="s">
        <v>7</v>
      </c>
      <c r="E123" s="4">
        <v>0</v>
      </c>
      <c r="F123" s="25">
        <v>43721.830740740741</v>
      </c>
      <c r="G123">
        <v>0</v>
      </c>
      <c r="H123" s="25"/>
      <c r="I123" s="25" t="s">
        <v>450</v>
      </c>
      <c r="J123" s="25" t="s">
        <v>304</v>
      </c>
      <c r="K123" s="4"/>
      <c r="M123"/>
    </row>
    <row r="124" spans="1:13" x14ac:dyDescent="0.25">
      <c r="A124" s="4">
        <v>99</v>
      </c>
      <c r="B124">
        <v>8406</v>
      </c>
      <c r="C124" s="4">
        <v>14308</v>
      </c>
      <c r="D124" t="s">
        <v>7</v>
      </c>
      <c r="E124" s="4">
        <v>0</v>
      </c>
      <c r="F124" s="25">
        <v>43721.819016203706</v>
      </c>
      <c r="G124">
        <v>0</v>
      </c>
      <c r="H124" s="25"/>
      <c r="I124" s="25" t="s">
        <v>442</v>
      </c>
      <c r="J124" s="25" t="s">
        <v>304</v>
      </c>
      <c r="K124" s="4"/>
      <c r="M124"/>
    </row>
    <row r="125" spans="1:13" x14ac:dyDescent="0.25">
      <c r="A125" s="4">
        <v>17410</v>
      </c>
      <c r="B125">
        <v>7592</v>
      </c>
      <c r="C125" s="4">
        <v>14308</v>
      </c>
      <c r="D125" t="s">
        <v>306</v>
      </c>
      <c r="E125" s="4">
        <v>0</v>
      </c>
      <c r="F125" s="25">
        <v>43721.814618055556</v>
      </c>
      <c r="G125">
        <v>0</v>
      </c>
      <c r="H125" s="25"/>
      <c r="I125" s="25"/>
      <c r="J125" s="25" t="s">
        <v>300</v>
      </c>
      <c r="K125" s="4"/>
      <c r="M125"/>
    </row>
    <row r="126" spans="1:13" x14ac:dyDescent="0.25">
      <c r="A126" s="4">
        <v>8054</v>
      </c>
      <c r="B126">
        <v>5915</v>
      </c>
      <c r="C126" s="4">
        <v>14308</v>
      </c>
      <c r="D126" t="s">
        <v>306</v>
      </c>
      <c r="E126" s="4">
        <v>1</v>
      </c>
      <c r="F126" s="25">
        <v>43721.791666666664</v>
      </c>
      <c r="G126">
        <v>0</v>
      </c>
      <c r="H126" s="25"/>
      <c r="I126" s="25"/>
      <c r="J126" s="25" t="s">
        <v>300</v>
      </c>
      <c r="K126" s="4"/>
      <c r="M126"/>
    </row>
    <row r="127" spans="1:13" x14ac:dyDescent="0.25">
      <c r="A127" s="4">
        <v>8430</v>
      </c>
      <c r="B127">
        <v>11164</v>
      </c>
      <c r="C127" s="4">
        <v>14308</v>
      </c>
      <c r="D127" t="s">
        <v>306</v>
      </c>
      <c r="E127" s="4">
        <v>24</v>
      </c>
      <c r="F127" s="25">
        <v>43721.78297453704</v>
      </c>
      <c r="G127">
        <v>0</v>
      </c>
      <c r="H127" s="25"/>
      <c r="I127" s="25"/>
      <c r="J127" s="25" t="s">
        <v>300</v>
      </c>
      <c r="K127" s="4"/>
      <c r="M127"/>
    </row>
    <row r="128" spans="1:13" x14ac:dyDescent="0.25">
      <c r="A128" s="4">
        <v>8430</v>
      </c>
      <c r="B128">
        <v>11164</v>
      </c>
      <c r="C128" s="4">
        <v>14308</v>
      </c>
      <c r="D128" t="s">
        <v>306</v>
      </c>
      <c r="E128" s="4">
        <v>22</v>
      </c>
      <c r="F128" s="25">
        <v>43721.782962962963</v>
      </c>
      <c r="G128">
        <v>0</v>
      </c>
      <c r="H128" s="25"/>
      <c r="I128" s="25"/>
      <c r="J128" s="25" t="s">
        <v>300</v>
      </c>
      <c r="K128" s="4"/>
      <c r="M128"/>
    </row>
    <row r="129" spans="1:13" x14ac:dyDescent="0.25">
      <c r="A129" s="4">
        <v>8430</v>
      </c>
      <c r="B129">
        <v>11164</v>
      </c>
      <c r="C129" s="4">
        <v>14308</v>
      </c>
      <c r="D129" t="s">
        <v>306</v>
      </c>
      <c r="E129" s="4">
        <v>23</v>
      </c>
      <c r="F129" s="25">
        <v>43721.782962962963</v>
      </c>
      <c r="G129">
        <v>0</v>
      </c>
      <c r="H129" s="25"/>
      <c r="I129" s="25"/>
      <c r="J129" s="25" t="s">
        <v>300</v>
      </c>
      <c r="K129" s="4"/>
      <c r="M129"/>
    </row>
    <row r="130" spans="1:13" x14ac:dyDescent="0.25">
      <c r="A130" s="4">
        <v>8430</v>
      </c>
      <c r="B130">
        <v>11164</v>
      </c>
      <c r="C130" s="4">
        <v>14308</v>
      </c>
      <c r="D130" t="s">
        <v>306</v>
      </c>
      <c r="E130" s="4">
        <v>21</v>
      </c>
      <c r="F130" s="25">
        <v>43721.782951388886</v>
      </c>
      <c r="G130">
        <v>0</v>
      </c>
      <c r="H130" s="25"/>
      <c r="I130" s="25"/>
      <c r="J130" s="25" t="s">
        <v>300</v>
      </c>
      <c r="K130" s="4"/>
      <c r="M130"/>
    </row>
    <row r="131" spans="1:13" x14ac:dyDescent="0.25">
      <c r="A131" s="4">
        <v>8430</v>
      </c>
      <c r="B131">
        <v>11164</v>
      </c>
      <c r="C131" s="4">
        <v>14308</v>
      </c>
      <c r="D131" t="s">
        <v>306</v>
      </c>
      <c r="E131" s="4">
        <v>19</v>
      </c>
      <c r="F131" s="25">
        <v>43721.782939814817</v>
      </c>
      <c r="G131">
        <v>0</v>
      </c>
      <c r="H131" s="25"/>
      <c r="I131" s="25"/>
      <c r="J131" s="25" t="s">
        <v>300</v>
      </c>
      <c r="K131" s="4"/>
      <c r="M131"/>
    </row>
    <row r="132" spans="1:13" x14ac:dyDescent="0.25">
      <c r="A132" s="4">
        <v>8430</v>
      </c>
      <c r="B132">
        <v>11164</v>
      </c>
      <c r="C132" s="4">
        <v>14308</v>
      </c>
      <c r="D132" t="s">
        <v>306</v>
      </c>
      <c r="E132" s="4">
        <v>20</v>
      </c>
      <c r="F132" s="25">
        <v>43721.782939814817</v>
      </c>
      <c r="G132">
        <v>0</v>
      </c>
      <c r="H132" s="25"/>
      <c r="I132" s="25"/>
      <c r="J132" s="25" t="s">
        <v>300</v>
      </c>
      <c r="K132" s="4"/>
      <c r="M132"/>
    </row>
    <row r="133" spans="1:13" x14ac:dyDescent="0.25">
      <c r="A133" s="4">
        <v>8430</v>
      </c>
      <c r="B133">
        <v>11164</v>
      </c>
      <c r="C133" s="4">
        <v>14308</v>
      </c>
      <c r="D133" t="s">
        <v>306</v>
      </c>
      <c r="E133" s="4">
        <v>18</v>
      </c>
      <c r="F133" s="25">
        <v>43721.78292824074</v>
      </c>
      <c r="G133">
        <v>0</v>
      </c>
      <c r="H133" s="25"/>
      <c r="I133" s="25"/>
      <c r="J133" s="25" t="s">
        <v>300</v>
      </c>
      <c r="K133" s="4"/>
      <c r="M133"/>
    </row>
    <row r="134" spans="1:13" x14ac:dyDescent="0.25">
      <c r="A134" s="4">
        <v>8430</v>
      </c>
      <c r="B134">
        <v>11164</v>
      </c>
      <c r="C134" s="4">
        <v>14308</v>
      </c>
      <c r="D134" t="s">
        <v>306</v>
      </c>
      <c r="E134" s="4">
        <v>16</v>
      </c>
      <c r="F134" s="25">
        <v>43721.782916666663</v>
      </c>
      <c r="G134">
        <v>0</v>
      </c>
      <c r="H134" s="25"/>
      <c r="I134" s="25"/>
      <c r="J134" s="25" t="s">
        <v>300</v>
      </c>
      <c r="K134" s="4"/>
      <c r="M134"/>
    </row>
    <row r="135" spans="1:13" x14ac:dyDescent="0.25">
      <c r="A135" s="4">
        <v>8430</v>
      </c>
      <c r="B135">
        <v>11164</v>
      </c>
      <c r="C135" s="4">
        <v>14308</v>
      </c>
      <c r="D135" t="s">
        <v>306</v>
      </c>
      <c r="E135" s="4">
        <v>17</v>
      </c>
      <c r="F135" s="25">
        <v>43721.782916666663</v>
      </c>
      <c r="G135">
        <v>0</v>
      </c>
      <c r="H135" s="25"/>
      <c r="I135" s="25"/>
      <c r="J135" s="25" t="s">
        <v>300</v>
      </c>
      <c r="K135" s="4"/>
      <c r="M135"/>
    </row>
    <row r="136" spans="1:13" x14ac:dyDescent="0.25">
      <c r="A136" s="4">
        <v>8430</v>
      </c>
      <c r="B136">
        <v>11164</v>
      </c>
      <c r="C136" s="4">
        <v>14308</v>
      </c>
      <c r="D136" t="s">
        <v>306</v>
      </c>
      <c r="E136" s="4">
        <v>15</v>
      </c>
      <c r="F136" s="25">
        <v>43721.782905092594</v>
      </c>
      <c r="G136">
        <v>0</v>
      </c>
      <c r="H136" s="25"/>
      <c r="I136" s="25"/>
      <c r="J136" s="25" t="s">
        <v>300</v>
      </c>
      <c r="K136" s="4"/>
      <c r="M136"/>
    </row>
    <row r="137" spans="1:13" x14ac:dyDescent="0.25">
      <c r="A137" s="4">
        <v>8430</v>
      </c>
      <c r="B137">
        <v>11164</v>
      </c>
      <c r="C137" s="4">
        <v>14308</v>
      </c>
      <c r="D137" t="s">
        <v>306</v>
      </c>
      <c r="E137" s="4">
        <v>13</v>
      </c>
      <c r="F137" s="25">
        <v>43721.782893518517</v>
      </c>
      <c r="G137">
        <v>0</v>
      </c>
      <c r="H137" s="25"/>
      <c r="I137" s="25"/>
      <c r="J137" s="25" t="s">
        <v>300</v>
      </c>
      <c r="K137" s="4"/>
      <c r="M137"/>
    </row>
    <row r="138" spans="1:13" x14ac:dyDescent="0.25">
      <c r="A138" s="4">
        <v>8430</v>
      </c>
      <c r="B138">
        <v>11164</v>
      </c>
      <c r="C138" s="4">
        <v>14308</v>
      </c>
      <c r="D138" t="s">
        <v>306</v>
      </c>
      <c r="E138" s="4">
        <v>14</v>
      </c>
      <c r="F138" s="25">
        <v>43721.782893518517</v>
      </c>
      <c r="G138">
        <v>0</v>
      </c>
      <c r="H138" s="25"/>
      <c r="I138" s="25"/>
      <c r="J138" s="25" t="s">
        <v>300</v>
      </c>
      <c r="K138" s="4"/>
      <c r="M138"/>
    </row>
    <row r="139" spans="1:13" x14ac:dyDescent="0.25">
      <c r="A139" s="4">
        <v>8430</v>
      </c>
      <c r="B139">
        <v>11164</v>
      </c>
      <c r="C139" s="4">
        <v>14308</v>
      </c>
      <c r="D139" t="s">
        <v>306</v>
      </c>
      <c r="E139" s="4">
        <v>11</v>
      </c>
      <c r="F139" s="25">
        <v>43721.782881944448</v>
      </c>
      <c r="G139">
        <v>0</v>
      </c>
      <c r="H139" s="25"/>
      <c r="I139" s="25"/>
      <c r="J139" s="25" t="s">
        <v>300</v>
      </c>
      <c r="K139" s="4"/>
      <c r="M139"/>
    </row>
    <row r="140" spans="1:13" x14ac:dyDescent="0.25">
      <c r="A140" s="4">
        <v>8430</v>
      </c>
      <c r="B140">
        <v>11164</v>
      </c>
      <c r="C140" s="4">
        <v>14308</v>
      </c>
      <c r="D140" t="s">
        <v>306</v>
      </c>
      <c r="E140" s="4">
        <v>12</v>
      </c>
      <c r="F140" s="25">
        <v>43721.782881944448</v>
      </c>
      <c r="G140">
        <v>0</v>
      </c>
      <c r="H140" s="25"/>
      <c r="I140" s="25"/>
      <c r="J140" s="25" t="s">
        <v>300</v>
      </c>
      <c r="K140" s="4"/>
      <c r="M140"/>
    </row>
    <row r="141" spans="1:13" x14ac:dyDescent="0.25">
      <c r="A141" s="4">
        <v>8430</v>
      </c>
      <c r="B141">
        <v>11164</v>
      </c>
      <c r="C141" s="4">
        <v>14308</v>
      </c>
      <c r="D141" t="s">
        <v>306</v>
      </c>
      <c r="E141" s="4">
        <v>10</v>
      </c>
      <c r="F141" s="25">
        <v>43721.782870370371</v>
      </c>
      <c r="G141">
        <v>0</v>
      </c>
      <c r="H141" s="25"/>
      <c r="I141" s="25"/>
      <c r="J141" s="25" t="s">
        <v>300</v>
      </c>
      <c r="K141" s="4"/>
      <c r="M141"/>
    </row>
    <row r="142" spans="1:13" x14ac:dyDescent="0.25">
      <c r="A142" s="4">
        <v>8430</v>
      </c>
      <c r="B142">
        <v>11164</v>
      </c>
      <c r="C142" s="4">
        <v>14308</v>
      </c>
      <c r="D142" t="s">
        <v>306</v>
      </c>
      <c r="E142" s="4">
        <v>8</v>
      </c>
      <c r="F142" s="25">
        <v>43721.782858796294</v>
      </c>
      <c r="G142">
        <v>0</v>
      </c>
      <c r="H142" s="25"/>
      <c r="I142" s="25"/>
      <c r="J142" s="25" t="s">
        <v>300</v>
      </c>
      <c r="K142" s="4"/>
      <c r="M142"/>
    </row>
    <row r="143" spans="1:13" x14ac:dyDescent="0.25">
      <c r="A143" s="4">
        <v>8430</v>
      </c>
      <c r="B143">
        <v>11164</v>
      </c>
      <c r="C143" s="4">
        <v>14308</v>
      </c>
      <c r="D143" t="s">
        <v>306</v>
      </c>
      <c r="E143" s="4">
        <v>9</v>
      </c>
      <c r="F143" s="25">
        <v>43721.782858796294</v>
      </c>
      <c r="G143">
        <v>0</v>
      </c>
      <c r="H143" s="25"/>
      <c r="I143" s="25"/>
      <c r="J143" s="25" t="s">
        <v>300</v>
      </c>
      <c r="K143" s="4"/>
      <c r="M143"/>
    </row>
    <row r="144" spans="1:13" x14ac:dyDescent="0.25">
      <c r="A144" s="4">
        <v>8430</v>
      </c>
      <c r="B144">
        <v>11164</v>
      </c>
      <c r="C144" s="4">
        <v>14308</v>
      </c>
      <c r="D144" t="s">
        <v>306</v>
      </c>
      <c r="E144" s="4">
        <v>7</v>
      </c>
      <c r="F144" s="25">
        <v>43721.782847222225</v>
      </c>
      <c r="G144">
        <v>0</v>
      </c>
      <c r="H144" s="25"/>
      <c r="I144" s="25"/>
      <c r="J144" s="25" t="s">
        <v>300</v>
      </c>
      <c r="K144" s="4"/>
      <c r="M144"/>
    </row>
    <row r="145" spans="1:13" x14ac:dyDescent="0.25">
      <c r="A145" s="4">
        <v>8430</v>
      </c>
      <c r="B145">
        <v>11164</v>
      </c>
      <c r="C145" s="4">
        <v>14308</v>
      </c>
      <c r="D145" t="s">
        <v>306</v>
      </c>
      <c r="E145" s="4">
        <v>5</v>
      </c>
      <c r="F145" s="25">
        <v>43721.782835648148</v>
      </c>
      <c r="G145">
        <v>0</v>
      </c>
      <c r="H145" s="25"/>
      <c r="I145" s="25"/>
      <c r="J145" s="25" t="s">
        <v>300</v>
      </c>
      <c r="K145" s="4"/>
      <c r="M145"/>
    </row>
    <row r="146" spans="1:13" x14ac:dyDescent="0.25">
      <c r="A146" s="4">
        <v>8430</v>
      </c>
      <c r="B146">
        <v>11164</v>
      </c>
      <c r="C146" s="4">
        <v>14308</v>
      </c>
      <c r="D146" t="s">
        <v>306</v>
      </c>
      <c r="E146" s="4">
        <v>6</v>
      </c>
      <c r="F146" s="25">
        <v>43721.782835648148</v>
      </c>
      <c r="G146">
        <v>0</v>
      </c>
      <c r="H146" s="25"/>
      <c r="I146" s="25"/>
      <c r="J146" s="25" t="s">
        <v>300</v>
      </c>
      <c r="K146" s="4"/>
      <c r="M146"/>
    </row>
    <row r="147" spans="1:13" x14ac:dyDescent="0.25">
      <c r="A147" s="4">
        <v>8430</v>
      </c>
      <c r="B147">
        <v>11164</v>
      </c>
      <c r="C147" s="4">
        <v>14308</v>
      </c>
      <c r="D147" t="s">
        <v>306</v>
      </c>
      <c r="E147" s="4">
        <v>4</v>
      </c>
      <c r="F147" s="25">
        <v>43721.782824074071</v>
      </c>
      <c r="G147">
        <v>0</v>
      </c>
      <c r="H147" s="25"/>
      <c r="I147" s="25"/>
      <c r="J147" s="25" t="s">
        <v>300</v>
      </c>
      <c r="K147" s="4"/>
      <c r="M147"/>
    </row>
    <row r="148" spans="1:13" x14ac:dyDescent="0.25">
      <c r="A148" s="4">
        <v>8430</v>
      </c>
      <c r="B148">
        <v>11164</v>
      </c>
      <c r="C148" s="4">
        <v>14308</v>
      </c>
      <c r="D148" t="s">
        <v>306</v>
      </c>
      <c r="E148" s="4">
        <v>2</v>
      </c>
      <c r="F148" s="25">
        <v>43721.782812500001</v>
      </c>
      <c r="G148">
        <v>0</v>
      </c>
      <c r="H148" s="25"/>
      <c r="I148" s="25"/>
      <c r="J148" s="25" t="s">
        <v>300</v>
      </c>
      <c r="K148" s="4"/>
      <c r="M148"/>
    </row>
    <row r="149" spans="1:13" x14ac:dyDescent="0.25">
      <c r="A149" s="4">
        <v>8430</v>
      </c>
      <c r="B149">
        <v>11164</v>
      </c>
      <c r="C149" s="4">
        <v>14308</v>
      </c>
      <c r="D149" t="s">
        <v>306</v>
      </c>
      <c r="E149" s="4">
        <v>3</v>
      </c>
      <c r="F149" s="25">
        <v>43721.782812500001</v>
      </c>
      <c r="G149">
        <v>0</v>
      </c>
      <c r="H149" s="25"/>
      <c r="I149" s="25"/>
      <c r="J149" s="25" t="s">
        <v>300</v>
      </c>
      <c r="K149" s="4"/>
      <c r="M149"/>
    </row>
    <row r="150" spans="1:13" x14ac:dyDescent="0.25">
      <c r="A150" s="4">
        <v>8430</v>
      </c>
      <c r="B150">
        <v>11164</v>
      </c>
      <c r="C150" s="4">
        <v>14308</v>
      </c>
      <c r="D150" t="s">
        <v>306</v>
      </c>
      <c r="E150" s="4">
        <v>1</v>
      </c>
      <c r="F150" s="25">
        <v>43721.782800925925</v>
      </c>
      <c r="G150">
        <v>0</v>
      </c>
      <c r="H150" s="25"/>
      <c r="I150" s="25"/>
      <c r="J150" s="25" t="s">
        <v>300</v>
      </c>
      <c r="K150" s="4"/>
      <c r="M150"/>
    </row>
    <row r="151" spans="1:13" x14ac:dyDescent="0.25">
      <c r="A151" s="4">
        <v>8430</v>
      </c>
      <c r="B151">
        <v>11164</v>
      </c>
      <c r="C151" s="4">
        <v>14308</v>
      </c>
      <c r="D151" t="s">
        <v>306</v>
      </c>
      <c r="E151" s="4">
        <v>0</v>
      </c>
      <c r="F151" s="25">
        <v>43721.782789351855</v>
      </c>
      <c r="G151">
        <v>0</v>
      </c>
      <c r="H151" s="25"/>
      <c r="I151" s="25"/>
      <c r="J151" s="25" t="s">
        <v>300</v>
      </c>
      <c r="K151" s="4"/>
      <c r="M151"/>
    </row>
    <row r="152" spans="1:13" x14ac:dyDescent="0.25">
      <c r="A152" s="4">
        <v>8054</v>
      </c>
      <c r="B152">
        <v>5915</v>
      </c>
      <c r="C152" s="4">
        <v>14308</v>
      </c>
      <c r="D152" t="s">
        <v>306</v>
      </c>
      <c r="E152" s="4">
        <v>0</v>
      </c>
      <c r="F152" s="25">
        <v>43721.781469907408</v>
      </c>
      <c r="G152">
        <v>0</v>
      </c>
      <c r="H152" s="25"/>
      <c r="I152" s="25"/>
      <c r="J152" s="25" t="s">
        <v>300</v>
      </c>
      <c r="K152" s="4"/>
      <c r="M152"/>
    </row>
    <row r="153" spans="1:13" x14ac:dyDescent="0.25">
      <c r="A153" s="4">
        <v>6428</v>
      </c>
      <c r="B153">
        <v>5916</v>
      </c>
      <c r="C153" s="4">
        <v>14308</v>
      </c>
      <c r="D153" t="s">
        <v>306</v>
      </c>
      <c r="E153" s="4">
        <v>0</v>
      </c>
      <c r="F153" s="25">
        <v>43721.775706018518</v>
      </c>
      <c r="G153">
        <v>0</v>
      </c>
      <c r="H153" s="25"/>
      <c r="I153" s="25"/>
      <c r="J153" s="25" t="s">
        <v>300</v>
      </c>
      <c r="K153" s="4"/>
      <c r="M153"/>
    </row>
    <row r="154" spans="1:13" x14ac:dyDescent="0.25">
      <c r="A154" s="4">
        <v>1637</v>
      </c>
      <c r="B154">
        <v>11259</v>
      </c>
      <c r="C154" s="4">
        <v>14308</v>
      </c>
      <c r="D154" t="s">
        <v>306</v>
      </c>
      <c r="E154" s="4">
        <v>24</v>
      </c>
      <c r="F154" s="25">
        <v>43721.758900462963</v>
      </c>
      <c r="G154">
        <v>0</v>
      </c>
      <c r="H154" s="25"/>
      <c r="I154" s="25"/>
      <c r="J154" s="25" t="s">
        <v>300</v>
      </c>
      <c r="K154" s="4"/>
      <c r="M154"/>
    </row>
    <row r="155" spans="1:13" x14ac:dyDescent="0.25">
      <c r="A155" s="4">
        <v>1637</v>
      </c>
      <c r="B155">
        <v>11259</v>
      </c>
      <c r="C155" s="4">
        <v>14308</v>
      </c>
      <c r="D155" t="s">
        <v>306</v>
      </c>
      <c r="E155" s="4">
        <v>23</v>
      </c>
      <c r="F155" s="25">
        <v>43721.758888888886</v>
      </c>
      <c r="G155">
        <v>0</v>
      </c>
      <c r="H155" s="25"/>
      <c r="I155" s="25"/>
      <c r="J155" s="25" t="s">
        <v>300</v>
      </c>
      <c r="K155" s="4"/>
      <c r="M155"/>
    </row>
    <row r="156" spans="1:13" x14ac:dyDescent="0.25">
      <c r="A156" s="4">
        <v>1637</v>
      </c>
      <c r="B156">
        <v>11259</v>
      </c>
      <c r="C156" s="4">
        <v>14308</v>
      </c>
      <c r="D156" t="s">
        <v>306</v>
      </c>
      <c r="E156" s="4">
        <v>21</v>
      </c>
      <c r="F156" s="25">
        <v>43721.758877314816</v>
      </c>
      <c r="G156">
        <v>0</v>
      </c>
      <c r="H156" s="25"/>
      <c r="I156" s="25"/>
      <c r="J156" s="25" t="s">
        <v>300</v>
      </c>
      <c r="K156" s="4"/>
      <c r="M156"/>
    </row>
    <row r="157" spans="1:13" x14ac:dyDescent="0.25">
      <c r="A157" s="4">
        <v>1637</v>
      </c>
      <c r="B157">
        <v>11259</v>
      </c>
      <c r="C157" s="4">
        <v>14308</v>
      </c>
      <c r="D157" t="s">
        <v>306</v>
      </c>
      <c r="E157" s="4">
        <v>22</v>
      </c>
      <c r="F157" s="25">
        <v>43721.758877314816</v>
      </c>
      <c r="G157">
        <v>0</v>
      </c>
      <c r="H157" s="25"/>
      <c r="I157" s="25"/>
      <c r="J157" s="25" t="s">
        <v>300</v>
      </c>
      <c r="K157" s="4"/>
      <c r="M157"/>
    </row>
    <row r="158" spans="1:13" x14ac:dyDescent="0.25">
      <c r="A158" s="4">
        <v>1637</v>
      </c>
      <c r="B158">
        <v>11259</v>
      </c>
      <c r="C158" s="4">
        <v>14308</v>
      </c>
      <c r="D158" t="s">
        <v>306</v>
      </c>
      <c r="E158" s="4">
        <v>20</v>
      </c>
      <c r="F158" s="25">
        <v>43721.75886574074</v>
      </c>
      <c r="G158">
        <v>0</v>
      </c>
      <c r="H158" s="25"/>
      <c r="I158" s="25"/>
      <c r="J158" s="25" t="s">
        <v>300</v>
      </c>
      <c r="K158" s="4"/>
      <c r="M158"/>
    </row>
    <row r="159" spans="1:13" x14ac:dyDescent="0.25">
      <c r="A159" s="4">
        <v>1637</v>
      </c>
      <c r="B159">
        <v>11259</v>
      </c>
      <c r="C159" s="4">
        <v>14308</v>
      </c>
      <c r="D159" t="s">
        <v>306</v>
      </c>
      <c r="E159" s="4">
        <v>18</v>
      </c>
      <c r="F159" s="25">
        <v>43721.75885416667</v>
      </c>
      <c r="G159">
        <v>0</v>
      </c>
      <c r="H159" s="25"/>
      <c r="I159" s="25"/>
      <c r="J159" s="25" t="s">
        <v>300</v>
      </c>
      <c r="K159" s="4"/>
      <c r="M159"/>
    </row>
    <row r="160" spans="1:13" x14ac:dyDescent="0.25">
      <c r="A160" s="4">
        <v>1637</v>
      </c>
      <c r="B160">
        <v>11259</v>
      </c>
      <c r="C160" s="4">
        <v>14308</v>
      </c>
      <c r="D160" t="s">
        <v>306</v>
      </c>
      <c r="E160" s="4">
        <v>19</v>
      </c>
      <c r="F160" s="25">
        <v>43721.75885416667</v>
      </c>
      <c r="G160">
        <v>0</v>
      </c>
      <c r="H160" s="25"/>
      <c r="I160" s="25"/>
      <c r="J160" s="25" t="s">
        <v>300</v>
      </c>
      <c r="K160" s="4"/>
      <c r="M160"/>
    </row>
    <row r="161" spans="1:13" x14ac:dyDescent="0.25">
      <c r="A161" s="4">
        <v>1637</v>
      </c>
      <c r="B161">
        <v>11259</v>
      </c>
      <c r="C161" s="4">
        <v>14308</v>
      </c>
      <c r="D161" t="s">
        <v>306</v>
      </c>
      <c r="E161" s="4">
        <v>16</v>
      </c>
      <c r="F161" s="25">
        <v>43721.758842592593</v>
      </c>
      <c r="G161">
        <v>0</v>
      </c>
      <c r="H161" s="25"/>
      <c r="I161" s="25"/>
      <c r="J161" s="25" t="s">
        <v>300</v>
      </c>
      <c r="K161" s="4"/>
      <c r="M161"/>
    </row>
    <row r="162" spans="1:13" x14ac:dyDescent="0.25">
      <c r="A162" s="4">
        <v>1637</v>
      </c>
      <c r="B162">
        <v>11259</v>
      </c>
      <c r="C162" s="4">
        <v>14308</v>
      </c>
      <c r="D162" t="s">
        <v>306</v>
      </c>
      <c r="E162" s="4">
        <v>17</v>
      </c>
      <c r="F162" s="25">
        <v>43721.758842592593</v>
      </c>
      <c r="G162">
        <v>0</v>
      </c>
      <c r="H162" s="25"/>
      <c r="I162" s="25"/>
      <c r="J162" s="25" t="s">
        <v>300</v>
      </c>
      <c r="K162" s="4"/>
      <c r="M162"/>
    </row>
    <row r="163" spans="1:13" x14ac:dyDescent="0.25">
      <c r="A163" s="4">
        <v>1637</v>
      </c>
      <c r="B163">
        <v>11259</v>
      </c>
      <c r="C163" s="4">
        <v>14308</v>
      </c>
      <c r="D163" t="s">
        <v>306</v>
      </c>
      <c r="E163" s="4">
        <v>15</v>
      </c>
      <c r="F163" s="25">
        <v>43721.758831018517</v>
      </c>
      <c r="G163">
        <v>0</v>
      </c>
      <c r="H163" s="25"/>
      <c r="I163" s="25"/>
      <c r="J163" s="25" t="s">
        <v>300</v>
      </c>
      <c r="K163" s="4"/>
      <c r="M163"/>
    </row>
    <row r="164" spans="1:13" x14ac:dyDescent="0.25">
      <c r="A164" s="4">
        <v>1637</v>
      </c>
      <c r="B164">
        <v>11259</v>
      </c>
      <c r="C164" s="4">
        <v>14308</v>
      </c>
      <c r="D164" t="s">
        <v>306</v>
      </c>
      <c r="E164" s="4">
        <v>13</v>
      </c>
      <c r="F164" s="25">
        <v>43721.758819444447</v>
      </c>
      <c r="G164">
        <v>0</v>
      </c>
      <c r="H164" s="25"/>
      <c r="I164" s="25"/>
      <c r="J164" s="25" t="s">
        <v>300</v>
      </c>
      <c r="K164" s="4"/>
      <c r="M164"/>
    </row>
    <row r="165" spans="1:13" x14ac:dyDescent="0.25">
      <c r="A165" s="4">
        <v>1637</v>
      </c>
      <c r="B165">
        <v>11259</v>
      </c>
      <c r="C165" s="4">
        <v>14308</v>
      </c>
      <c r="D165" t="s">
        <v>306</v>
      </c>
      <c r="E165" s="4">
        <v>14</v>
      </c>
      <c r="F165" s="25">
        <v>43721.758819444447</v>
      </c>
      <c r="G165">
        <v>0</v>
      </c>
      <c r="H165" s="25"/>
      <c r="I165" s="25"/>
      <c r="J165" s="25" t="s">
        <v>300</v>
      </c>
      <c r="K165" s="4"/>
      <c r="M165"/>
    </row>
    <row r="166" spans="1:13" x14ac:dyDescent="0.25">
      <c r="A166" s="4">
        <v>1637</v>
      </c>
      <c r="B166">
        <v>11259</v>
      </c>
      <c r="C166" s="4">
        <v>14308</v>
      </c>
      <c r="D166" t="s">
        <v>306</v>
      </c>
      <c r="E166" s="4">
        <v>12</v>
      </c>
      <c r="F166" s="25">
        <v>43721.75880787037</v>
      </c>
      <c r="G166">
        <v>0</v>
      </c>
      <c r="H166" s="25"/>
      <c r="I166" s="25"/>
      <c r="J166" s="25" t="s">
        <v>300</v>
      </c>
      <c r="K166" s="4"/>
      <c r="M166"/>
    </row>
    <row r="167" spans="1:13" x14ac:dyDescent="0.25">
      <c r="A167" s="4">
        <v>1637</v>
      </c>
      <c r="B167">
        <v>11259</v>
      </c>
      <c r="C167" s="4">
        <v>14308</v>
      </c>
      <c r="D167" t="s">
        <v>306</v>
      </c>
      <c r="E167" s="4">
        <v>10</v>
      </c>
      <c r="F167" s="25">
        <v>43721.758796296293</v>
      </c>
      <c r="G167">
        <v>0</v>
      </c>
      <c r="H167" s="25"/>
      <c r="I167" s="25"/>
      <c r="J167" s="25" t="s">
        <v>300</v>
      </c>
      <c r="K167" s="4"/>
      <c r="M167"/>
    </row>
    <row r="168" spans="1:13" x14ac:dyDescent="0.25">
      <c r="A168" s="4">
        <v>1637</v>
      </c>
      <c r="B168">
        <v>11259</v>
      </c>
      <c r="C168" s="4">
        <v>14308</v>
      </c>
      <c r="D168" t="s">
        <v>306</v>
      </c>
      <c r="E168" s="4">
        <v>11</v>
      </c>
      <c r="F168" s="25">
        <v>43721.758796296293</v>
      </c>
      <c r="G168">
        <v>0</v>
      </c>
      <c r="H168" s="25"/>
      <c r="I168" s="25"/>
      <c r="J168" s="25" t="s">
        <v>300</v>
      </c>
      <c r="K168" s="4"/>
      <c r="M168"/>
    </row>
    <row r="169" spans="1:13" x14ac:dyDescent="0.25">
      <c r="A169" s="4">
        <v>1637</v>
      </c>
      <c r="B169">
        <v>11259</v>
      </c>
      <c r="C169" s="4">
        <v>14308</v>
      </c>
      <c r="D169" t="s">
        <v>306</v>
      </c>
      <c r="E169" s="4">
        <v>8</v>
      </c>
      <c r="F169" s="25">
        <v>43721.758784722224</v>
      </c>
      <c r="G169">
        <v>0</v>
      </c>
      <c r="H169" s="25"/>
      <c r="I169" s="25"/>
      <c r="J169" s="25" t="s">
        <v>300</v>
      </c>
      <c r="K169" s="4"/>
      <c r="M169"/>
    </row>
    <row r="170" spans="1:13" x14ac:dyDescent="0.25">
      <c r="A170" s="4">
        <v>1637</v>
      </c>
      <c r="B170">
        <v>11259</v>
      </c>
      <c r="C170" s="4">
        <v>14308</v>
      </c>
      <c r="D170" t="s">
        <v>306</v>
      </c>
      <c r="E170" s="4">
        <v>9</v>
      </c>
      <c r="F170" s="25">
        <v>43721.758784722224</v>
      </c>
      <c r="G170">
        <v>0</v>
      </c>
      <c r="H170" s="25"/>
      <c r="I170" s="25"/>
      <c r="J170" s="25" t="s">
        <v>300</v>
      </c>
      <c r="K170" s="4"/>
      <c r="M170"/>
    </row>
    <row r="171" spans="1:13" x14ac:dyDescent="0.25">
      <c r="A171" s="4">
        <v>1637</v>
      </c>
      <c r="B171">
        <v>11259</v>
      </c>
      <c r="C171" s="4">
        <v>14308</v>
      </c>
      <c r="D171" t="s">
        <v>306</v>
      </c>
      <c r="E171" s="4">
        <v>7</v>
      </c>
      <c r="F171" s="25">
        <v>43721.758773148147</v>
      </c>
      <c r="G171">
        <v>0</v>
      </c>
      <c r="H171" s="25"/>
      <c r="I171" s="25"/>
      <c r="J171" s="25" t="s">
        <v>300</v>
      </c>
      <c r="K171" s="4"/>
      <c r="M171"/>
    </row>
    <row r="172" spans="1:13" x14ac:dyDescent="0.25">
      <c r="A172" s="4">
        <v>1637</v>
      </c>
      <c r="B172">
        <v>11259</v>
      </c>
      <c r="C172" s="4">
        <v>14308</v>
      </c>
      <c r="D172" t="s">
        <v>306</v>
      </c>
      <c r="E172" s="4">
        <v>5</v>
      </c>
      <c r="F172" s="25">
        <v>43721.758761574078</v>
      </c>
      <c r="G172">
        <v>0</v>
      </c>
      <c r="H172" s="25"/>
      <c r="I172" s="25"/>
      <c r="J172" s="25" t="s">
        <v>300</v>
      </c>
      <c r="K172" s="4"/>
      <c r="M172"/>
    </row>
    <row r="173" spans="1:13" x14ac:dyDescent="0.25">
      <c r="A173" s="4">
        <v>1637</v>
      </c>
      <c r="B173">
        <v>11259</v>
      </c>
      <c r="C173" s="4">
        <v>14308</v>
      </c>
      <c r="D173" t="s">
        <v>306</v>
      </c>
      <c r="E173" s="4">
        <v>6</v>
      </c>
      <c r="F173" s="25">
        <v>43721.758761574078</v>
      </c>
      <c r="G173">
        <v>0</v>
      </c>
      <c r="H173" s="25"/>
      <c r="I173" s="25"/>
      <c r="J173" s="25" t="s">
        <v>300</v>
      </c>
      <c r="K173" s="4"/>
      <c r="M173"/>
    </row>
    <row r="174" spans="1:13" x14ac:dyDescent="0.25">
      <c r="A174" s="4">
        <v>1637</v>
      </c>
      <c r="B174">
        <v>11259</v>
      </c>
      <c r="C174" s="4">
        <v>14308</v>
      </c>
      <c r="D174" t="s">
        <v>306</v>
      </c>
      <c r="E174" s="4">
        <v>4</v>
      </c>
      <c r="F174" s="25">
        <v>43721.758750000001</v>
      </c>
      <c r="G174">
        <v>0</v>
      </c>
      <c r="H174" s="25"/>
      <c r="I174" s="25"/>
      <c r="J174" s="25" t="s">
        <v>300</v>
      </c>
      <c r="K174" s="4"/>
      <c r="M174"/>
    </row>
    <row r="175" spans="1:13" x14ac:dyDescent="0.25">
      <c r="A175" s="4">
        <v>1637</v>
      </c>
      <c r="B175">
        <v>11259</v>
      </c>
      <c r="C175" s="4">
        <v>14308</v>
      </c>
      <c r="D175" t="s">
        <v>306</v>
      </c>
      <c r="E175" s="4">
        <v>2</v>
      </c>
      <c r="F175" s="25">
        <v>43721.758738425924</v>
      </c>
      <c r="G175">
        <v>0</v>
      </c>
      <c r="H175" s="25"/>
      <c r="I175" s="25"/>
      <c r="J175" s="25" t="s">
        <v>300</v>
      </c>
      <c r="K175" s="4"/>
      <c r="M175"/>
    </row>
    <row r="176" spans="1:13" x14ac:dyDescent="0.25">
      <c r="A176" s="4">
        <v>1637</v>
      </c>
      <c r="B176">
        <v>11259</v>
      </c>
      <c r="C176" s="4">
        <v>14308</v>
      </c>
      <c r="D176" t="s">
        <v>306</v>
      </c>
      <c r="E176" s="4">
        <v>3</v>
      </c>
      <c r="F176" s="25">
        <v>43721.758738425924</v>
      </c>
      <c r="G176">
        <v>0</v>
      </c>
      <c r="H176" s="25"/>
      <c r="I176" s="25"/>
      <c r="J176" s="25" t="s">
        <v>300</v>
      </c>
    </row>
    <row r="177" spans="1:10" x14ac:dyDescent="0.25">
      <c r="A177" s="4">
        <v>1637</v>
      </c>
      <c r="B177">
        <v>11259</v>
      </c>
      <c r="C177" s="4">
        <v>14308</v>
      </c>
      <c r="D177" t="s">
        <v>306</v>
      </c>
      <c r="E177" s="4">
        <v>0</v>
      </c>
      <c r="F177" s="25">
        <v>43721.758726851855</v>
      </c>
      <c r="G177">
        <v>0</v>
      </c>
      <c r="H177" s="25"/>
      <c r="I177" s="25"/>
      <c r="J177" s="25" t="s">
        <v>300</v>
      </c>
    </row>
    <row r="178" spans="1:10" x14ac:dyDescent="0.25">
      <c r="A178" s="4">
        <v>1637</v>
      </c>
      <c r="B178">
        <v>11259</v>
      </c>
      <c r="C178" s="4">
        <v>14308</v>
      </c>
      <c r="D178" t="s">
        <v>306</v>
      </c>
      <c r="E178" s="4">
        <v>1</v>
      </c>
      <c r="F178" s="25">
        <v>43721.758726851855</v>
      </c>
      <c r="G178">
        <v>0</v>
      </c>
      <c r="H178" s="25"/>
      <c r="I178" s="25"/>
      <c r="J178" s="25" t="s">
        <v>300</v>
      </c>
    </row>
    <row r="179" spans="1:10" x14ac:dyDescent="0.25">
      <c r="A179" s="4">
        <v>29824</v>
      </c>
      <c r="B179">
        <v>3344</v>
      </c>
      <c r="C179" s="4">
        <v>14308</v>
      </c>
      <c r="D179" t="s">
        <v>306</v>
      </c>
      <c r="E179" s="4">
        <v>24</v>
      </c>
      <c r="F179" s="25">
        <v>43721.742662037039</v>
      </c>
      <c r="G179">
        <v>0</v>
      </c>
      <c r="H179" s="25"/>
      <c r="I179" s="25"/>
      <c r="J179" s="25" t="s">
        <v>300</v>
      </c>
    </row>
    <row r="180" spans="1:10" x14ac:dyDescent="0.25">
      <c r="A180" s="4">
        <v>29824</v>
      </c>
      <c r="B180">
        <v>3344</v>
      </c>
      <c r="C180" s="4">
        <v>14308</v>
      </c>
      <c r="D180" t="s">
        <v>306</v>
      </c>
      <c r="E180" s="4">
        <v>23</v>
      </c>
      <c r="F180" s="25">
        <v>43721.742650462962</v>
      </c>
      <c r="G180">
        <v>0</v>
      </c>
      <c r="H180" s="25"/>
      <c r="I180" s="25"/>
      <c r="J180" s="25" t="s">
        <v>300</v>
      </c>
    </row>
    <row r="181" spans="1:10" x14ac:dyDescent="0.25">
      <c r="A181" s="4">
        <v>29824</v>
      </c>
      <c r="B181">
        <v>3344</v>
      </c>
      <c r="C181" s="4">
        <v>14308</v>
      </c>
      <c r="D181" t="s">
        <v>306</v>
      </c>
      <c r="E181" s="4">
        <v>21</v>
      </c>
      <c r="F181" s="25">
        <v>43721.742638888885</v>
      </c>
      <c r="G181">
        <v>0</v>
      </c>
      <c r="H181" s="25"/>
      <c r="I181" s="25"/>
      <c r="J181" s="25" t="s">
        <v>300</v>
      </c>
    </row>
    <row r="182" spans="1:10" x14ac:dyDescent="0.25">
      <c r="A182" s="4">
        <v>29824</v>
      </c>
      <c r="B182">
        <v>3344</v>
      </c>
      <c r="C182" s="4">
        <v>14308</v>
      </c>
      <c r="D182" t="s">
        <v>306</v>
      </c>
      <c r="E182" s="4">
        <v>22</v>
      </c>
      <c r="F182" s="25">
        <v>43721.742638888885</v>
      </c>
      <c r="G182">
        <v>0</v>
      </c>
      <c r="H182" s="25"/>
      <c r="I182" s="25"/>
      <c r="J182" s="25" t="s">
        <v>300</v>
      </c>
    </row>
    <row r="183" spans="1:10" x14ac:dyDescent="0.25">
      <c r="A183" s="4">
        <v>29824</v>
      </c>
      <c r="B183">
        <v>3344</v>
      </c>
      <c r="C183" s="4">
        <v>14308</v>
      </c>
      <c r="D183" t="s">
        <v>306</v>
      </c>
      <c r="E183" s="4">
        <v>20</v>
      </c>
      <c r="F183" s="25">
        <v>43721.742627314816</v>
      </c>
      <c r="G183">
        <v>0</v>
      </c>
      <c r="H183" s="25"/>
      <c r="I183" s="25"/>
      <c r="J183" s="25" t="s">
        <v>300</v>
      </c>
    </row>
    <row r="184" spans="1:10" x14ac:dyDescent="0.25">
      <c r="A184" s="4">
        <v>29824</v>
      </c>
      <c r="B184">
        <v>3344</v>
      </c>
      <c r="C184" s="4">
        <v>14308</v>
      </c>
      <c r="D184" t="s">
        <v>306</v>
      </c>
      <c r="E184" s="4">
        <v>18</v>
      </c>
      <c r="F184" s="25">
        <v>43721.742615740739</v>
      </c>
      <c r="G184">
        <v>0</v>
      </c>
      <c r="H184" s="25"/>
      <c r="I184" s="25"/>
      <c r="J184" s="25" t="s">
        <v>300</v>
      </c>
    </row>
    <row r="185" spans="1:10" x14ac:dyDescent="0.25">
      <c r="A185" s="4">
        <v>29824</v>
      </c>
      <c r="B185">
        <v>3344</v>
      </c>
      <c r="C185" s="4">
        <v>14308</v>
      </c>
      <c r="D185" t="s">
        <v>306</v>
      </c>
      <c r="E185" s="4">
        <v>19</v>
      </c>
      <c r="F185" s="25">
        <v>43721.742615740739</v>
      </c>
      <c r="G185">
        <v>0</v>
      </c>
      <c r="H185" s="25"/>
      <c r="I185" s="25"/>
      <c r="J185" s="25" t="s">
        <v>300</v>
      </c>
    </row>
    <row r="186" spans="1:10" x14ac:dyDescent="0.25">
      <c r="A186" s="4">
        <v>29824</v>
      </c>
      <c r="B186">
        <v>3344</v>
      </c>
      <c r="C186" s="4">
        <v>14308</v>
      </c>
      <c r="D186" t="s">
        <v>306</v>
      </c>
      <c r="E186" s="4">
        <v>17</v>
      </c>
      <c r="F186" s="25">
        <v>43721.742604166669</v>
      </c>
      <c r="G186">
        <v>0</v>
      </c>
      <c r="H186" s="25"/>
      <c r="I186" s="25"/>
      <c r="J186" s="25" t="s">
        <v>300</v>
      </c>
    </row>
    <row r="187" spans="1:10" x14ac:dyDescent="0.25">
      <c r="A187" s="4">
        <v>29824</v>
      </c>
      <c r="B187">
        <v>3344</v>
      </c>
      <c r="C187" s="4">
        <v>14308</v>
      </c>
      <c r="D187" t="s">
        <v>306</v>
      </c>
      <c r="E187" s="4">
        <v>15</v>
      </c>
      <c r="F187" s="25">
        <v>43721.742592592593</v>
      </c>
      <c r="G187">
        <v>0</v>
      </c>
      <c r="H187" s="25"/>
      <c r="I187" s="25"/>
      <c r="J187" s="25" t="s">
        <v>300</v>
      </c>
    </row>
    <row r="188" spans="1:10" x14ac:dyDescent="0.25">
      <c r="A188" s="4">
        <v>29824</v>
      </c>
      <c r="B188">
        <v>3344</v>
      </c>
      <c r="C188" s="4">
        <v>14308</v>
      </c>
      <c r="D188" t="s">
        <v>306</v>
      </c>
      <c r="E188" s="4">
        <v>16</v>
      </c>
      <c r="F188" s="25">
        <v>43721.742592592593</v>
      </c>
      <c r="G188">
        <v>0</v>
      </c>
      <c r="H188" s="25"/>
      <c r="I188" s="25"/>
      <c r="J188" s="25" t="s">
        <v>300</v>
      </c>
    </row>
    <row r="189" spans="1:10" x14ac:dyDescent="0.25">
      <c r="A189" s="4">
        <v>29824</v>
      </c>
      <c r="B189">
        <v>3344</v>
      </c>
      <c r="C189" s="4">
        <v>14308</v>
      </c>
      <c r="D189" t="s">
        <v>306</v>
      </c>
      <c r="E189" s="4">
        <v>14</v>
      </c>
      <c r="F189" s="25">
        <v>43721.742581018516</v>
      </c>
      <c r="G189">
        <v>0</v>
      </c>
      <c r="H189" s="25"/>
      <c r="I189" s="25"/>
      <c r="J189" s="25" t="s">
        <v>300</v>
      </c>
    </row>
    <row r="190" spans="1:10" x14ac:dyDescent="0.25">
      <c r="A190" s="4">
        <v>29824</v>
      </c>
      <c r="B190">
        <v>3344</v>
      </c>
      <c r="C190" s="4">
        <v>14308</v>
      </c>
      <c r="D190" t="s">
        <v>306</v>
      </c>
      <c r="E190" s="4">
        <v>12</v>
      </c>
      <c r="F190" s="25">
        <v>43721.742569444446</v>
      </c>
      <c r="G190">
        <v>0</v>
      </c>
      <c r="H190" s="25"/>
      <c r="I190" s="25"/>
      <c r="J190" s="25" t="s">
        <v>300</v>
      </c>
    </row>
    <row r="191" spans="1:10" x14ac:dyDescent="0.25">
      <c r="A191" s="4">
        <v>29824</v>
      </c>
      <c r="B191">
        <v>3344</v>
      </c>
      <c r="C191" s="4">
        <v>14308</v>
      </c>
      <c r="D191" t="s">
        <v>306</v>
      </c>
      <c r="E191" s="4">
        <v>13</v>
      </c>
      <c r="F191" s="25">
        <v>43721.742569444446</v>
      </c>
      <c r="G191">
        <v>0</v>
      </c>
      <c r="H191" s="25"/>
      <c r="I191" s="25"/>
      <c r="J191" s="25" t="s">
        <v>300</v>
      </c>
    </row>
    <row r="192" spans="1:10" x14ac:dyDescent="0.25">
      <c r="A192" s="4">
        <v>29824</v>
      </c>
      <c r="B192">
        <v>3344</v>
      </c>
      <c r="C192" s="4">
        <v>14308</v>
      </c>
      <c r="D192" t="s">
        <v>306</v>
      </c>
      <c r="E192" s="4">
        <v>11</v>
      </c>
      <c r="F192" s="25">
        <v>43721.74255787037</v>
      </c>
      <c r="G192">
        <v>0</v>
      </c>
      <c r="H192" s="25"/>
      <c r="I192" s="25"/>
      <c r="J192" s="25" t="s">
        <v>300</v>
      </c>
    </row>
    <row r="193" spans="1:10" x14ac:dyDescent="0.25">
      <c r="A193" s="4">
        <v>29824</v>
      </c>
      <c r="B193">
        <v>3344</v>
      </c>
      <c r="C193" s="4">
        <v>14308</v>
      </c>
      <c r="D193" t="s">
        <v>306</v>
      </c>
      <c r="E193" s="4">
        <v>9</v>
      </c>
      <c r="F193" s="25">
        <v>43721.742546296293</v>
      </c>
      <c r="G193">
        <v>0</v>
      </c>
      <c r="H193" s="25"/>
      <c r="I193" s="25"/>
      <c r="J193" s="25" t="s">
        <v>300</v>
      </c>
    </row>
    <row r="194" spans="1:10" x14ac:dyDescent="0.25">
      <c r="A194" s="4">
        <v>29824</v>
      </c>
      <c r="B194">
        <v>3344</v>
      </c>
      <c r="C194" s="4">
        <v>14308</v>
      </c>
      <c r="D194" t="s">
        <v>306</v>
      </c>
      <c r="E194" s="4">
        <v>10</v>
      </c>
      <c r="F194" s="25">
        <v>43721.742546296293</v>
      </c>
      <c r="G194">
        <v>0</v>
      </c>
      <c r="H194" s="25"/>
      <c r="I194" s="25"/>
      <c r="J194" s="25" t="s">
        <v>300</v>
      </c>
    </row>
    <row r="195" spans="1:10" x14ac:dyDescent="0.25">
      <c r="A195" s="4">
        <v>29824</v>
      </c>
      <c r="B195">
        <v>3344</v>
      </c>
      <c r="C195" s="4">
        <v>14308</v>
      </c>
      <c r="D195" t="s">
        <v>306</v>
      </c>
      <c r="E195" s="4">
        <v>7</v>
      </c>
      <c r="F195" s="25">
        <v>43721.742534722223</v>
      </c>
      <c r="G195">
        <v>0</v>
      </c>
      <c r="H195" s="25"/>
      <c r="I195" s="25"/>
      <c r="J195" s="25" t="s">
        <v>300</v>
      </c>
    </row>
    <row r="196" spans="1:10" x14ac:dyDescent="0.25">
      <c r="A196" s="4">
        <v>29824</v>
      </c>
      <c r="B196">
        <v>3344</v>
      </c>
      <c r="C196" s="4">
        <v>14308</v>
      </c>
      <c r="D196" t="s">
        <v>306</v>
      </c>
      <c r="E196" s="4">
        <v>8</v>
      </c>
      <c r="F196" s="25">
        <v>43721.742534722223</v>
      </c>
      <c r="G196">
        <v>0</v>
      </c>
      <c r="H196" s="25"/>
      <c r="I196" s="25"/>
      <c r="J196" s="25" t="s">
        <v>300</v>
      </c>
    </row>
    <row r="197" spans="1:10" x14ac:dyDescent="0.25">
      <c r="A197" s="4">
        <v>29824</v>
      </c>
      <c r="B197">
        <v>3344</v>
      </c>
      <c r="C197" s="4">
        <v>14308</v>
      </c>
      <c r="D197" t="s">
        <v>306</v>
      </c>
      <c r="E197" s="4">
        <v>6</v>
      </c>
      <c r="F197" s="25">
        <v>43721.742523148147</v>
      </c>
      <c r="G197">
        <v>0</v>
      </c>
      <c r="H197" s="25"/>
      <c r="I197" s="25"/>
      <c r="J197" s="25" t="s">
        <v>300</v>
      </c>
    </row>
    <row r="198" spans="1:10" x14ac:dyDescent="0.25">
      <c r="A198" s="4">
        <v>29824</v>
      </c>
      <c r="B198">
        <v>3344</v>
      </c>
      <c r="C198" s="4">
        <v>14308</v>
      </c>
      <c r="D198" t="s">
        <v>306</v>
      </c>
      <c r="E198" s="4">
        <v>4</v>
      </c>
      <c r="F198" s="25">
        <v>43721.742511574077</v>
      </c>
      <c r="G198">
        <v>0</v>
      </c>
      <c r="H198" s="25"/>
      <c r="I198" s="25"/>
      <c r="J198" s="25" t="s">
        <v>300</v>
      </c>
    </row>
    <row r="199" spans="1:10" x14ac:dyDescent="0.25">
      <c r="A199" s="4">
        <v>29824</v>
      </c>
      <c r="B199">
        <v>3344</v>
      </c>
      <c r="C199" s="4">
        <v>14308</v>
      </c>
      <c r="D199" t="s">
        <v>306</v>
      </c>
      <c r="E199" s="4">
        <v>5</v>
      </c>
      <c r="F199" s="25">
        <v>43721.742511574077</v>
      </c>
      <c r="G199">
        <v>0</v>
      </c>
      <c r="H199" s="25"/>
      <c r="I199" s="25"/>
      <c r="J199" s="25" t="s">
        <v>300</v>
      </c>
    </row>
    <row r="200" spans="1:10" x14ac:dyDescent="0.25">
      <c r="A200" s="4">
        <v>29824</v>
      </c>
      <c r="B200">
        <v>3344</v>
      </c>
      <c r="C200" s="4">
        <v>14308</v>
      </c>
      <c r="D200" t="s">
        <v>306</v>
      </c>
      <c r="E200" s="4">
        <v>3</v>
      </c>
      <c r="F200" s="25">
        <v>43721.7425</v>
      </c>
      <c r="G200">
        <v>0</v>
      </c>
      <c r="H200" s="25"/>
      <c r="I200" s="25"/>
      <c r="J200" s="25" t="s">
        <v>300</v>
      </c>
    </row>
    <row r="201" spans="1:10" x14ac:dyDescent="0.25">
      <c r="A201" s="4">
        <v>29824</v>
      </c>
      <c r="B201">
        <v>3344</v>
      </c>
      <c r="C201" s="4">
        <v>14308</v>
      </c>
      <c r="D201" t="s">
        <v>306</v>
      </c>
      <c r="E201" s="4">
        <v>1</v>
      </c>
      <c r="F201" s="25">
        <v>43721.742488425924</v>
      </c>
      <c r="G201">
        <v>0</v>
      </c>
      <c r="H201" s="25"/>
      <c r="I201" s="25"/>
      <c r="J201" s="25" t="s">
        <v>300</v>
      </c>
    </row>
    <row r="202" spans="1:10" x14ac:dyDescent="0.25">
      <c r="A202" s="4">
        <v>29824</v>
      </c>
      <c r="B202">
        <v>3344</v>
      </c>
      <c r="C202" s="4">
        <v>14308</v>
      </c>
      <c r="D202" t="s">
        <v>306</v>
      </c>
      <c r="E202" s="4">
        <v>2</v>
      </c>
      <c r="F202" s="25">
        <v>43721.742488425924</v>
      </c>
      <c r="G202">
        <v>0</v>
      </c>
      <c r="H202" s="25"/>
      <c r="I202" s="25"/>
      <c r="J202" s="25" t="s">
        <v>300</v>
      </c>
    </row>
    <row r="203" spans="1:10" x14ac:dyDescent="0.25">
      <c r="A203" s="4">
        <v>29824</v>
      </c>
      <c r="B203">
        <v>3344</v>
      </c>
      <c r="C203" s="4">
        <v>14308</v>
      </c>
      <c r="D203" t="s">
        <v>306</v>
      </c>
      <c r="E203" s="4">
        <v>0</v>
      </c>
      <c r="F203" s="25">
        <v>43721.742476851854</v>
      </c>
      <c r="G203">
        <v>0</v>
      </c>
      <c r="H203" s="25"/>
      <c r="I203" s="25"/>
      <c r="J203" s="25" t="s">
        <v>300</v>
      </c>
    </row>
    <row r="204" spans="1:10" x14ac:dyDescent="0.25">
      <c r="A204" s="4">
        <v>29719</v>
      </c>
      <c r="B204">
        <v>13584</v>
      </c>
      <c r="C204" s="4">
        <v>14308</v>
      </c>
      <c r="D204" t="s">
        <v>306</v>
      </c>
      <c r="E204" s="4">
        <v>0</v>
      </c>
      <c r="F204" s="25">
        <v>43721.742118055554</v>
      </c>
      <c r="G204">
        <v>0</v>
      </c>
      <c r="H204" s="25"/>
      <c r="I204" s="25"/>
      <c r="J204" s="25" t="s">
        <v>300</v>
      </c>
    </row>
    <row r="205" spans="1:10" x14ac:dyDescent="0.25">
      <c r="A205" s="4">
        <v>28220</v>
      </c>
      <c r="B205">
        <v>3276</v>
      </c>
      <c r="C205" s="4">
        <v>14308</v>
      </c>
      <c r="D205" t="s">
        <v>306</v>
      </c>
      <c r="E205" s="4">
        <v>24</v>
      </c>
      <c r="F205" s="25">
        <v>43721.736990740741</v>
      </c>
      <c r="G205">
        <v>0</v>
      </c>
      <c r="H205" s="25"/>
      <c r="I205" s="25"/>
      <c r="J205" s="25" t="s">
        <v>300</v>
      </c>
    </row>
    <row r="206" spans="1:10" x14ac:dyDescent="0.25">
      <c r="A206" s="4">
        <v>28220</v>
      </c>
      <c r="B206">
        <v>3276</v>
      </c>
      <c r="C206" s="4">
        <v>14308</v>
      </c>
      <c r="D206" t="s">
        <v>306</v>
      </c>
      <c r="E206" s="4">
        <v>22</v>
      </c>
      <c r="F206" s="25">
        <v>43721.736979166664</v>
      </c>
      <c r="G206">
        <v>0</v>
      </c>
      <c r="H206" s="25"/>
      <c r="I206" s="25"/>
      <c r="J206" s="25" t="s">
        <v>300</v>
      </c>
    </row>
    <row r="207" spans="1:10" x14ac:dyDescent="0.25">
      <c r="A207" s="4">
        <v>28220</v>
      </c>
      <c r="B207">
        <v>3276</v>
      </c>
      <c r="C207" s="4">
        <v>14308</v>
      </c>
      <c r="D207" t="s">
        <v>306</v>
      </c>
      <c r="E207" s="4">
        <v>23</v>
      </c>
      <c r="F207" s="25">
        <v>43721.736979166664</v>
      </c>
      <c r="G207">
        <v>0</v>
      </c>
      <c r="H207" s="25"/>
      <c r="I207" s="25"/>
      <c r="J207" s="25" t="s">
        <v>300</v>
      </c>
    </row>
    <row r="208" spans="1:10" x14ac:dyDescent="0.25">
      <c r="A208" s="4">
        <v>28220</v>
      </c>
      <c r="B208">
        <v>3276</v>
      </c>
      <c r="C208" s="4">
        <v>14308</v>
      </c>
      <c r="D208" t="s">
        <v>306</v>
      </c>
      <c r="E208" s="4">
        <v>21</v>
      </c>
      <c r="F208" s="25">
        <v>43721.736967592595</v>
      </c>
      <c r="G208">
        <v>0</v>
      </c>
      <c r="H208" s="25"/>
      <c r="I208" s="25"/>
      <c r="J208" s="25" t="s">
        <v>300</v>
      </c>
    </row>
    <row r="209" spans="1:10" x14ac:dyDescent="0.25">
      <c r="A209" s="4">
        <v>28220</v>
      </c>
      <c r="B209">
        <v>3276</v>
      </c>
      <c r="C209" s="4">
        <v>14308</v>
      </c>
      <c r="D209" t="s">
        <v>306</v>
      </c>
      <c r="E209" s="4">
        <v>19</v>
      </c>
      <c r="F209" s="25">
        <v>43721.736956018518</v>
      </c>
      <c r="G209">
        <v>0</v>
      </c>
      <c r="H209" s="25"/>
      <c r="I209" s="25"/>
      <c r="J209" s="25" t="s">
        <v>300</v>
      </c>
    </row>
    <row r="210" spans="1:10" x14ac:dyDescent="0.25">
      <c r="A210" s="4">
        <v>28220</v>
      </c>
      <c r="B210">
        <v>3276</v>
      </c>
      <c r="C210" s="4">
        <v>14308</v>
      </c>
      <c r="D210" t="s">
        <v>306</v>
      </c>
      <c r="E210" s="4">
        <v>20</v>
      </c>
      <c r="F210" s="25">
        <v>43721.736956018518</v>
      </c>
      <c r="G210">
        <v>0</v>
      </c>
      <c r="H210" s="25"/>
      <c r="I210" s="25"/>
      <c r="J210" s="25" t="s">
        <v>300</v>
      </c>
    </row>
    <row r="211" spans="1:10" x14ac:dyDescent="0.25">
      <c r="A211" s="4">
        <v>28220</v>
      </c>
      <c r="B211">
        <v>3276</v>
      </c>
      <c r="C211" s="4">
        <v>14308</v>
      </c>
      <c r="D211" t="s">
        <v>306</v>
      </c>
      <c r="E211" s="4">
        <v>18</v>
      </c>
      <c r="F211" s="25">
        <v>43721.736944444441</v>
      </c>
      <c r="G211">
        <v>0</v>
      </c>
      <c r="H211" s="25"/>
      <c r="I211" s="25"/>
      <c r="J211" s="25" t="s">
        <v>300</v>
      </c>
    </row>
    <row r="212" spans="1:10" x14ac:dyDescent="0.25">
      <c r="A212" s="4">
        <v>28220</v>
      </c>
      <c r="B212">
        <v>3276</v>
      </c>
      <c r="C212" s="4">
        <v>14308</v>
      </c>
      <c r="D212" t="s">
        <v>306</v>
      </c>
      <c r="E212" s="4">
        <v>16</v>
      </c>
      <c r="F212" s="25">
        <v>43721.736932870372</v>
      </c>
      <c r="G212">
        <v>0</v>
      </c>
      <c r="H212" s="25"/>
      <c r="I212" s="25"/>
      <c r="J212" s="25" t="s">
        <v>300</v>
      </c>
    </row>
    <row r="213" spans="1:10" x14ac:dyDescent="0.25">
      <c r="A213" s="4">
        <v>28220</v>
      </c>
      <c r="B213">
        <v>3276</v>
      </c>
      <c r="C213" s="4">
        <v>14308</v>
      </c>
      <c r="D213" t="s">
        <v>306</v>
      </c>
      <c r="E213" s="4">
        <v>17</v>
      </c>
      <c r="F213" s="25">
        <v>43721.736932870372</v>
      </c>
      <c r="G213">
        <v>0</v>
      </c>
      <c r="H213" s="25"/>
      <c r="I213" s="25"/>
      <c r="J213" s="25" t="s">
        <v>300</v>
      </c>
    </row>
    <row r="214" spans="1:10" x14ac:dyDescent="0.25">
      <c r="A214" s="4">
        <v>28220</v>
      </c>
      <c r="B214">
        <v>3276</v>
      </c>
      <c r="C214" s="4">
        <v>14308</v>
      </c>
      <c r="D214" t="s">
        <v>306</v>
      </c>
      <c r="E214" s="4">
        <v>15</v>
      </c>
      <c r="F214" s="25">
        <v>43721.736921296295</v>
      </c>
      <c r="G214">
        <v>0</v>
      </c>
      <c r="H214" s="25"/>
      <c r="I214" s="25"/>
      <c r="J214" s="25" t="s">
        <v>300</v>
      </c>
    </row>
    <row r="215" spans="1:10" x14ac:dyDescent="0.25">
      <c r="A215" s="4">
        <v>28220</v>
      </c>
      <c r="B215">
        <v>3276</v>
      </c>
      <c r="C215" s="4">
        <v>14308</v>
      </c>
      <c r="D215" t="s">
        <v>306</v>
      </c>
      <c r="E215" s="4">
        <v>13</v>
      </c>
      <c r="F215" s="25">
        <v>43721.736909722225</v>
      </c>
      <c r="G215">
        <v>0</v>
      </c>
      <c r="H215" s="25"/>
      <c r="I215" s="25"/>
      <c r="J215" s="25" t="s">
        <v>300</v>
      </c>
    </row>
    <row r="216" spans="1:10" x14ac:dyDescent="0.25">
      <c r="A216" s="4">
        <v>28220</v>
      </c>
      <c r="B216">
        <v>3276</v>
      </c>
      <c r="C216" s="4">
        <v>14308</v>
      </c>
      <c r="D216" t="s">
        <v>306</v>
      </c>
      <c r="E216" s="4">
        <v>14</v>
      </c>
      <c r="F216" s="25">
        <v>43721.736909722225</v>
      </c>
      <c r="G216">
        <v>0</v>
      </c>
      <c r="H216" s="25"/>
      <c r="I216" s="25"/>
      <c r="J216" s="25" t="s">
        <v>300</v>
      </c>
    </row>
    <row r="217" spans="1:10" x14ac:dyDescent="0.25">
      <c r="A217" s="4">
        <v>28220</v>
      </c>
      <c r="B217">
        <v>3276</v>
      </c>
      <c r="C217" s="4">
        <v>14308</v>
      </c>
      <c r="D217" t="s">
        <v>306</v>
      </c>
      <c r="E217" s="4">
        <v>12</v>
      </c>
      <c r="F217" s="25">
        <v>43721.736898148149</v>
      </c>
      <c r="G217">
        <v>0</v>
      </c>
      <c r="H217" s="25"/>
      <c r="I217" s="25"/>
      <c r="J217" s="25" t="s">
        <v>300</v>
      </c>
    </row>
    <row r="218" spans="1:10" x14ac:dyDescent="0.25">
      <c r="A218" s="4">
        <v>28220</v>
      </c>
      <c r="B218">
        <v>3276</v>
      </c>
      <c r="C218" s="4">
        <v>14308</v>
      </c>
      <c r="D218" t="s">
        <v>306</v>
      </c>
      <c r="E218" s="4">
        <v>10</v>
      </c>
      <c r="F218" s="25">
        <v>43721.736886574072</v>
      </c>
      <c r="G218">
        <v>0</v>
      </c>
      <c r="H218" s="25"/>
      <c r="I218" s="25"/>
      <c r="J218" s="25" t="s">
        <v>300</v>
      </c>
    </row>
    <row r="219" spans="1:10" x14ac:dyDescent="0.25">
      <c r="A219" s="4">
        <v>28220</v>
      </c>
      <c r="B219">
        <v>3276</v>
      </c>
      <c r="C219" s="4">
        <v>14308</v>
      </c>
      <c r="D219" t="s">
        <v>306</v>
      </c>
      <c r="E219" s="4">
        <v>11</v>
      </c>
      <c r="F219" s="25">
        <v>43721.736886574072</v>
      </c>
      <c r="G219">
        <v>0</v>
      </c>
      <c r="H219" s="25"/>
      <c r="I219" s="25"/>
      <c r="J219" s="25" t="s">
        <v>300</v>
      </c>
    </row>
    <row r="220" spans="1:10" x14ac:dyDescent="0.25">
      <c r="A220" s="4">
        <v>28220</v>
      </c>
      <c r="B220">
        <v>3276</v>
      </c>
      <c r="C220" s="4">
        <v>14308</v>
      </c>
      <c r="D220" t="s">
        <v>306</v>
      </c>
      <c r="E220" s="4">
        <v>9</v>
      </c>
      <c r="F220" s="25">
        <v>43721.736875000002</v>
      </c>
      <c r="G220">
        <v>0</v>
      </c>
      <c r="H220" s="25"/>
      <c r="I220" s="25"/>
      <c r="J220" s="25" t="s">
        <v>300</v>
      </c>
    </row>
    <row r="221" spans="1:10" x14ac:dyDescent="0.25">
      <c r="A221" s="4">
        <v>28220</v>
      </c>
      <c r="B221">
        <v>3276</v>
      </c>
      <c r="C221" s="4">
        <v>14308</v>
      </c>
      <c r="D221" t="s">
        <v>306</v>
      </c>
      <c r="E221" s="4">
        <v>7</v>
      </c>
      <c r="F221" s="25">
        <v>43721.736863425926</v>
      </c>
      <c r="G221">
        <v>0</v>
      </c>
      <c r="H221" s="25"/>
      <c r="I221" s="25"/>
      <c r="J221" s="25" t="s">
        <v>300</v>
      </c>
    </row>
    <row r="222" spans="1:10" x14ac:dyDescent="0.25">
      <c r="A222" s="4">
        <v>28220</v>
      </c>
      <c r="B222">
        <v>3276</v>
      </c>
      <c r="C222" s="4">
        <v>14308</v>
      </c>
      <c r="D222" t="s">
        <v>306</v>
      </c>
      <c r="E222" s="4">
        <v>8</v>
      </c>
      <c r="F222" s="25">
        <v>43721.736863425926</v>
      </c>
      <c r="G222">
        <v>0</v>
      </c>
      <c r="H222" s="25"/>
      <c r="I222" s="25"/>
      <c r="J222" s="25" t="s">
        <v>300</v>
      </c>
    </row>
    <row r="223" spans="1:10" x14ac:dyDescent="0.25">
      <c r="A223" s="4">
        <v>28220</v>
      </c>
      <c r="B223">
        <v>3276</v>
      </c>
      <c r="C223" s="4">
        <v>14308</v>
      </c>
      <c r="D223" t="s">
        <v>306</v>
      </c>
      <c r="E223" s="4">
        <v>6</v>
      </c>
      <c r="F223" s="25">
        <v>43721.736851851849</v>
      </c>
      <c r="G223">
        <v>0</v>
      </c>
      <c r="H223" s="25"/>
      <c r="I223" s="25"/>
      <c r="J223" s="25" t="s">
        <v>300</v>
      </c>
    </row>
    <row r="224" spans="1:10" x14ac:dyDescent="0.25">
      <c r="A224" s="4">
        <v>28220</v>
      </c>
      <c r="B224">
        <v>3276</v>
      </c>
      <c r="C224" s="4">
        <v>14308</v>
      </c>
      <c r="D224" t="s">
        <v>306</v>
      </c>
      <c r="E224" s="4">
        <v>4</v>
      </c>
      <c r="F224" s="25">
        <v>43721.736840277779</v>
      </c>
      <c r="G224">
        <v>0</v>
      </c>
      <c r="H224" s="25"/>
      <c r="I224" s="25"/>
      <c r="J224" s="25" t="s">
        <v>300</v>
      </c>
    </row>
    <row r="225" spans="1:10" x14ac:dyDescent="0.25">
      <c r="A225" s="4">
        <v>28220</v>
      </c>
      <c r="B225">
        <v>3276</v>
      </c>
      <c r="C225" s="4">
        <v>14308</v>
      </c>
      <c r="D225" t="s">
        <v>306</v>
      </c>
      <c r="E225" s="4">
        <v>5</v>
      </c>
      <c r="F225" s="25">
        <v>43721.736840277779</v>
      </c>
      <c r="G225">
        <v>0</v>
      </c>
      <c r="H225" s="25"/>
      <c r="I225" s="25"/>
      <c r="J225" s="25" t="s">
        <v>300</v>
      </c>
    </row>
    <row r="226" spans="1:10" x14ac:dyDescent="0.25">
      <c r="A226" s="4">
        <v>28220</v>
      </c>
      <c r="B226">
        <v>3276</v>
      </c>
      <c r="C226" s="4">
        <v>14308</v>
      </c>
      <c r="D226" t="s">
        <v>306</v>
      </c>
      <c r="E226" s="4">
        <v>3</v>
      </c>
      <c r="F226" s="25">
        <v>43721.736828703702</v>
      </c>
      <c r="G226">
        <v>0</v>
      </c>
      <c r="H226" s="25"/>
      <c r="I226" s="25"/>
      <c r="J226" s="25" t="s">
        <v>300</v>
      </c>
    </row>
    <row r="227" spans="1:10" x14ac:dyDescent="0.25">
      <c r="A227" s="4">
        <v>28220</v>
      </c>
      <c r="B227">
        <v>3276</v>
      </c>
      <c r="C227" s="4">
        <v>14308</v>
      </c>
      <c r="D227" t="s">
        <v>306</v>
      </c>
      <c r="E227" s="4">
        <v>1</v>
      </c>
      <c r="F227" s="25">
        <v>43721.736817129633</v>
      </c>
      <c r="G227">
        <v>0</v>
      </c>
      <c r="H227" s="25"/>
      <c r="I227" s="25"/>
      <c r="J227" s="25" t="s">
        <v>300</v>
      </c>
    </row>
    <row r="228" spans="1:10" x14ac:dyDescent="0.25">
      <c r="A228" s="4">
        <v>28220</v>
      </c>
      <c r="B228">
        <v>3276</v>
      </c>
      <c r="C228" s="4">
        <v>14308</v>
      </c>
      <c r="D228" t="s">
        <v>306</v>
      </c>
      <c r="E228" s="4">
        <v>2</v>
      </c>
      <c r="F228" s="25">
        <v>43721.736817129633</v>
      </c>
      <c r="G228">
        <v>0</v>
      </c>
      <c r="H228" s="25"/>
      <c r="I228" s="25"/>
      <c r="J228" s="25" t="s">
        <v>300</v>
      </c>
    </row>
    <row r="229" spans="1:10" x14ac:dyDescent="0.25">
      <c r="A229" s="4">
        <v>28220</v>
      </c>
      <c r="B229">
        <v>3276</v>
      </c>
      <c r="C229" s="4">
        <v>14308</v>
      </c>
      <c r="D229" t="s">
        <v>306</v>
      </c>
      <c r="E229" s="4">
        <v>0</v>
      </c>
      <c r="F229" s="25">
        <v>43721.736805555556</v>
      </c>
      <c r="G229">
        <v>0</v>
      </c>
      <c r="H229" s="25"/>
      <c r="I229" s="25"/>
      <c r="J229" s="25" t="s">
        <v>300</v>
      </c>
    </row>
    <row r="230" spans="1:10" x14ac:dyDescent="0.25">
      <c r="A230" s="4">
        <v>27515</v>
      </c>
      <c r="B230">
        <v>4940</v>
      </c>
      <c r="C230" s="4">
        <v>14308</v>
      </c>
      <c r="D230" t="s">
        <v>306</v>
      </c>
      <c r="E230" s="4">
        <v>24</v>
      </c>
      <c r="F230" s="25">
        <v>43721.734490740739</v>
      </c>
      <c r="G230">
        <v>0</v>
      </c>
      <c r="H230" s="25"/>
      <c r="I230" s="25"/>
      <c r="J230" s="25" t="s">
        <v>300</v>
      </c>
    </row>
    <row r="231" spans="1:10" x14ac:dyDescent="0.25">
      <c r="A231" s="4">
        <v>27515</v>
      </c>
      <c r="B231">
        <v>4940</v>
      </c>
      <c r="C231" s="4">
        <v>14308</v>
      </c>
      <c r="D231" t="s">
        <v>306</v>
      </c>
      <c r="E231" s="4">
        <v>22</v>
      </c>
      <c r="F231" s="25">
        <v>43721.734479166669</v>
      </c>
      <c r="G231">
        <v>0</v>
      </c>
      <c r="H231" s="25"/>
      <c r="I231" s="25"/>
      <c r="J231" s="25" t="s">
        <v>300</v>
      </c>
    </row>
    <row r="232" spans="1:10" x14ac:dyDescent="0.25">
      <c r="A232" s="4">
        <v>27515</v>
      </c>
      <c r="B232">
        <v>4940</v>
      </c>
      <c r="C232" s="4">
        <v>14308</v>
      </c>
      <c r="D232" t="s">
        <v>306</v>
      </c>
      <c r="E232" s="4">
        <v>23</v>
      </c>
      <c r="F232" s="25">
        <v>43721.734479166669</v>
      </c>
      <c r="G232">
        <v>0</v>
      </c>
      <c r="H232" s="25"/>
      <c r="I232" s="25"/>
      <c r="J232" s="25" t="s">
        <v>300</v>
      </c>
    </row>
    <row r="233" spans="1:10" x14ac:dyDescent="0.25">
      <c r="A233" s="4">
        <v>27515</v>
      </c>
      <c r="B233">
        <v>4940</v>
      </c>
      <c r="C233" s="4">
        <v>14308</v>
      </c>
      <c r="D233" t="s">
        <v>306</v>
      </c>
      <c r="E233" s="4">
        <v>21</v>
      </c>
      <c r="F233" s="25">
        <v>43721.734467592592</v>
      </c>
      <c r="G233">
        <v>0</v>
      </c>
      <c r="H233" s="25"/>
      <c r="I233" s="25"/>
      <c r="J233" s="25" t="s">
        <v>300</v>
      </c>
    </row>
    <row r="234" spans="1:10" x14ac:dyDescent="0.25">
      <c r="A234" s="4">
        <v>27515</v>
      </c>
      <c r="B234">
        <v>4940</v>
      </c>
      <c r="C234" s="4">
        <v>14308</v>
      </c>
      <c r="D234" t="s">
        <v>306</v>
      </c>
      <c r="E234" s="4">
        <v>20</v>
      </c>
      <c r="F234" s="25">
        <v>43721.734456018516</v>
      </c>
      <c r="G234">
        <v>0</v>
      </c>
      <c r="H234" s="25"/>
      <c r="I234" s="25"/>
      <c r="J234" s="25" t="s">
        <v>300</v>
      </c>
    </row>
    <row r="235" spans="1:10" x14ac:dyDescent="0.25">
      <c r="A235" s="4">
        <v>27515</v>
      </c>
      <c r="B235">
        <v>4940</v>
      </c>
      <c r="C235" s="4">
        <v>14308</v>
      </c>
      <c r="D235" t="s">
        <v>306</v>
      </c>
      <c r="E235" s="4">
        <v>18</v>
      </c>
      <c r="F235" s="25">
        <v>43721.734444444446</v>
      </c>
      <c r="G235">
        <v>0</v>
      </c>
      <c r="H235" s="25"/>
      <c r="I235" s="25"/>
      <c r="J235" s="25" t="s">
        <v>300</v>
      </c>
    </row>
    <row r="236" spans="1:10" x14ac:dyDescent="0.25">
      <c r="A236" s="4">
        <v>27515</v>
      </c>
      <c r="B236">
        <v>4940</v>
      </c>
      <c r="C236" s="4">
        <v>14308</v>
      </c>
      <c r="D236" t="s">
        <v>306</v>
      </c>
      <c r="E236" s="4">
        <v>19</v>
      </c>
      <c r="F236" s="25">
        <v>43721.734444444446</v>
      </c>
      <c r="G236">
        <v>0</v>
      </c>
      <c r="H236" s="25"/>
      <c r="I236" s="25"/>
      <c r="J236" s="25" t="s">
        <v>300</v>
      </c>
    </row>
    <row r="237" spans="1:10" x14ac:dyDescent="0.25">
      <c r="A237" s="4">
        <v>27515</v>
      </c>
      <c r="B237">
        <v>4940</v>
      </c>
      <c r="C237" s="4">
        <v>14308</v>
      </c>
      <c r="D237" t="s">
        <v>306</v>
      </c>
      <c r="E237" s="4">
        <v>17</v>
      </c>
      <c r="F237" s="25">
        <v>43721.734432870369</v>
      </c>
      <c r="G237">
        <v>0</v>
      </c>
      <c r="H237" s="25"/>
      <c r="I237" s="25"/>
      <c r="J237" s="25" t="s">
        <v>300</v>
      </c>
    </row>
    <row r="238" spans="1:10" x14ac:dyDescent="0.25">
      <c r="A238" s="4">
        <v>27515</v>
      </c>
      <c r="B238">
        <v>4940</v>
      </c>
      <c r="C238" s="4">
        <v>14308</v>
      </c>
      <c r="D238" t="s">
        <v>306</v>
      </c>
      <c r="E238" s="4">
        <v>15</v>
      </c>
      <c r="F238" s="25">
        <v>43721.7344212963</v>
      </c>
      <c r="G238">
        <v>0</v>
      </c>
      <c r="H238" s="25"/>
      <c r="I238" s="25"/>
      <c r="J238" s="25" t="s">
        <v>300</v>
      </c>
    </row>
    <row r="239" spans="1:10" x14ac:dyDescent="0.25">
      <c r="A239" s="4">
        <v>27515</v>
      </c>
      <c r="B239">
        <v>4940</v>
      </c>
      <c r="C239" s="4">
        <v>14308</v>
      </c>
      <c r="D239" t="s">
        <v>306</v>
      </c>
      <c r="E239" s="4">
        <v>16</v>
      </c>
      <c r="F239" s="25">
        <v>43721.7344212963</v>
      </c>
      <c r="G239">
        <v>0</v>
      </c>
      <c r="H239" s="25"/>
      <c r="I239" s="25"/>
      <c r="J239" s="25" t="s">
        <v>300</v>
      </c>
    </row>
    <row r="240" spans="1:10" x14ac:dyDescent="0.25">
      <c r="A240" s="4">
        <v>27515</v>
      </c>
      <c r="B240">
        <v>4940</v>
      </c>
      <c r="C240" s="4">
        <v>14308</v>
      </c>
      <c r="D240" t="s">
        <v>306</v>
      </c>
      <c r="E240" s="4">
        <v>14</v>
      </c>
      <c r="F240" s="25">
        <v>43721.734409722223</v>
      </c>
      <c r="G240">
        <v>0</v>
      </c>
      <c r="H240" s="25"/>
      <c r="I240" s="25"/>
      <c r="J240" s="25" t="s">
        <v>300</v>
      </c>
    </row>
    <row r="241" spans="1:10" x14ac:dyDescent="0.25">
      <c r="A241" s="4">
        <v>27515</v>
      </c>
      <c r="B241">
        <v>4940</v>
      </c>
      <c r="C241" s="4">
        <v>14308</v>
      </c>
      <c r="D241" t="s">
        <v>306</v>
      </c>
      <c r="E241" s="4">
        <v>12</v>
      </c>
      <c r="F241" s="25">
        <v>43721.734398148146</v>
      </c>
      <c r="G241">
        <v>0</v>
      </c>
      <c r="H241" s="25"/>
      <c r="I241" s="25"/>
      <c r="J241" s="25" t="s">
        <v>300</v>
      </c>
    </row>
    <row r="242" spans="1:10" x14ac:dyDescent="0.25">
      <c r="A242" s="4">
        <v>27515</v>
      </c>
      <c r="B242">
        <v>4940</v>
      </c>
      <c r="C242" s="4">
        <v>14308</v>
      </c>
      <c r="D242" t="s">
        <v>306</v>
      </c>
      <c r="E242" s="4">
        <v>13</v>
      </c>
      <c r="F242" s="25">
        <v>43721.734398148146</v>
      </c>
      <c r="G242">
        <v>0</v>
      </c>
      <c r="H242" s="25"/>
      <c r="I242" s="25"/>
      <c r="J242" s="25" t="s">
        <v>300</v>
      </c>
    </row>
    <row r="243" spans="1:10" x14ac:dyDescent="0.25">
      <c r="A243" s="4">
        <v>27515</v>
      </c>
      <c r="B243">
        <v>4940</v>
      </c>
      <c r="C243" s="4">
        <v>14308</v>
      </c>
      <c r="D243" t="s">
        <v>306</v>
      </c>
      <c r="E243" s="4">
        <v>11</v>
      </c>
      <c r="F243" s="25">
        <v>43721.734386574077</v>
      </c>
      <c r="G243">
        <v>0</v>
      </c>
      <c r="H243" s="25"/>
      <c r="I243" s="25"/>
      <c r="J243" s="25" t="s">
        <v>300</v>
      </c>
    </row>
    <row r="244" spans="1:10" x14ac:dyDescent="0.25">
      <c r="A244" s="4">
        <v>27515</v>
      </c>
      <c r="B244">
        <v>4940</v>
      </c>
      <c r="C244" s="4">
        <v>14308</v>
      </c>
      <c r="D244" t="s">
        <v>306</v>
      </c>
      <c r="E244" s="4">
        <v>9</v>
      </c>
      <c r="F244" s="25">
        <v>43721.734375</v>
      </c>
      <c r="G244">
        <v>0</v>
      </c>
      <c r="H244" s="25"/>
      <c r="I244" s="25"/>
      <c r="J244" s="25" t="s">
        <v>300</v>
      </c>
    </row>
    <row r="245" spans="1:10" x14ac:dyDescent="0.25">
      <c r="A245" s="4">
        <v>27515</v>
      </c>
      <c r="B245">
        <v>4940</v>
      </c>
      <c r="C245" s="4">
        <v>14308</v>
      </c>
      <c r="D245" t="s">
        <v>306</v>
      </c>
      <c r="E245" s="4">
        <v>10</v>
      </c>
      <c r="F245" s="25">
        <v>43721.734375</v>
      </c>
      <c r="G245">
        <v>0</v>
      </c>
      <c r="H245" s="25"/>
      <c r="I245" s="25"/>
      <c r="J245" s="25" t="s">
        <v>300</v>
      </c>
    </row>
    <row r="246" spans="1:10" x14ac:dyDescent="0.25">
      <c r="A246" s="4">
        <v>27515</v>
      </c>
      <c r="B246">
        <v>4940</v>
      </c>
      <c r="C246" s="4">
        <v>14308</v>
      </c>
      <c r="D246" t="s">
        <v>306</v>
      </c>
      <c r="E246" s="4">
        <v>8</v>
      </c>
      <c r="F246" s="25">
        <v>43721.734363425923</v>
      </c>
      <c r="G246">
        <v>0</v>
      </c>
      <c r="H246" s="25"/>
      <c r="I246" s="25"/>
      <c r="J246" s="25" t="s">
        <v>300</v>
      </c>
    </row>
    <row r="247" spans="1:10" x14ac:dyDescent="0.25">
      <c r="A247" s="4">
        <v>27515</v>
      </c>
      <c r="B247">
        <v>4940</v>
      </c>
      <c r="C247" s="4">
        <v>14308</v>
      </c>
      <c r="D247" t="s">
        <v>306</v>
      </c>
      <c r="E247" s="4">
        <v>6</v>
      </c>
      <c r="F247" s="25">
        <v>43721.734351851854</v>
      </c>
      <c r="G247">
        <v>0</v>
      </c>
      <c r="H247" s="25"/>
      <c r="I247" s="25"/>
      <c r="J247" s="25" t="s">
        <v>300</v>
      </c>
    </row>
    <row r="248" spans="1:10" x14ac:dyDescent="0.25">
      <c r="A248" s="4">
        <v>27515</v>
      </c>
      <c r="B248">
        <v>4940</v>
      </c>
      <c r="C248" s="4">
        <v>14308</v>
      </c>
      <c r="D248" t="s">
        <v>306</v>
      </c>
      <c r="E248" s="4">
        <v>7</v>
      </c>
      <c r="F248" s="25">
        <v>43721.734351851854</v>
      </c>
      <c r="G248">
        <v>0</v>
      </c>
      <c r="H248" s="25"/>
      <c r="I248" s="25"/>
      <c r="J248" s="25" t="s">
        <v>300</v>
      </c>
    </row>
    <row r="249" spans="1:10" x14ac:dyDescent="0.25">
      <c r="A249" s="4">
        <v>27515</v>
      </c>
      <c r="B249">
        <v>4940</v>
      </c>
      <c r="C249" s="4">
        <v>14308</v>
      </c>
      <c r="D249" t="s">
        <v>306</v>
      </c>
      <c r="E249" s="4">
        <v>5</v>
      </c>
      <c r="F249" s="25">
        <v>43721.734340277777</v>
      </c>
      <c r="G249">
        <v>0</v>
      </c>
      <c r="H249" s="25"/>
      <c r="I249" s="25"/>
      <c r="J249" s="25" t="s">
        <v>300</v>
      </c>
    </row>
    <row r="250" spans="1:10" x14ac:dyDescent="0.25">
      <c r="A250" s="4">
        <v>27515</v>
      </c>
      <c r="B250">
        <v>4940</v>
      </c>
      <c r="C250" s="4">
        <v>14308</v>
      </c>
      <c r="D250" t="s">
        <v>306</v>
      </c>
      <c r="E250" s="4">
        <v>3</v>
      </c>
      <c r="F250" s="25">
        <v>43721.7343287037</v>
      </c>
      <c r="G250">
        <v>0</v>
      </c>
      <c r="H250" s="25"/>
      <c r="I250" s="25"/>
      <c r="J250" s="25" t="s">
        <v>300</v>
      </c>
    </row>
    <row r="251" spans="1:10" x14ac:dyDescent="0.25">
      <c r="A251" s="4">
        <v>27515</v>
      </c>
      <c r="B251">
        <v>4940</v>
      </c>
      <c r="C251" s="4">
        <v>14308</v>
      </c>
      <c r="D251" t="s">
        <v>306</v>
      </c>
      <c r="E251" s="4">
        <v>4</v>
      </c>
      <c r="F251" s="25">
        <v>43721.7343287037</v>
      </c>
      <c r="G251">
        <v>0</v>
      </c>
      <c r="H251" s="25"/>
      <c r="I251" s="25"/>
      <c r="J251" s="25" t="s">
        <v>300</v>
      </c>
    </row>
    <row r="252" spans="1:10" x14ac:dyDescent="0.25">
      <c r="A252" s="4">
        <v>27515</v>
      </c>
      <c r="B252">
        <v>4940</v>
      </c>
      <c r="C252" s="4">
        <v>14308</v>
      </c>
      <c r="D252" t="s">
        <v>306</v>
      </c>
      <c r="E252" s="4">
        <v>2</v>
      </c>
      <c r="F252" s="25">
        <v>43721.734317129631</v>
      </c>
      <c r="G252">
        <v>0</v>
      </c>
      <c r="H252" s="25"/>
      <c r="I252" s="25"/>
      <c r="J252" s="25" t="s">
        <v>300</v>
      </c>
    </row>
    <row r="253" spans="1:10" x14ac:dyDescent="0.25">
      <c r="A253" s="4">
        <v>27515</v>
      </c>
      <c r="B253">
        <v>4940</v>
      </c>
      <c r="C253" s="4">
        <v>14308</v>
      </c>
      <c r="D253" t="s">
        <v>306</v>
      </c>
      <c r="E253" s="4">
        <v>0</v>
      </c>
      <c r="F253" s="25">
        <v>43721.734305555554</v>
      </c>
      <c r="G253">
        <v>0</v>
      </c>
      <c r="H253" s="25"/>
      <c r="I253" s="25"/>
      <c r="J253" s="25" t="s">
        <v>300</v>
      </c>
    </row>
    <row r="254" spans="1:10" x14ac:dyDescent="0.25">
      <c r="A254" s="4">
        <v>27515</v>
      </c>
      <c r="B254">
        <v>4940</v>
      </c>
      <c r="C254" s="4">
        <v>14308</v>
      </c>
      <c r="D254" t="s">
        <v>306</v>
      </c>
      <c r="E254" s="4">
        <v>1</v>
      </c>
      <c r="F254" s="25">
        <v>43721.734305555554</v>
      </c>
      <c r="G254">
        <v>0</v>
      </c>
      <c r="H254" s="25"/>
      <c r="I254" s="25"/>
      <c r="J254" s="25" t="s">
        <v>300</v>
      </c>
    </row>
    <row r="255" spans="1:10" x14ac:dyDescent="0.25">
      <c r="A255" s="4">
        <v>99</v>
      </c>
      <c r="B255">
        <v>14804</v>
      </c>
      <c r="C255" s="4">
        <v>14308</v>
      </c>
      <c r="D255" t="s">
        <v>7</v>
      </c>
      <c r="E255" s="4">
        <v>0</v>
      </c>
      <c r="F255" s="25">
        <v>43721.729143518518</v>
      </c>
      <c r="G255">
        <v>0</v>
      </c>
      <c r="H255" s="25"/>
      <c r="I255" s="25" t="s">
        <v>350</v>
      </c>
      <c r="J255" s="25" t="s">
        <v>304</v>
      </c>
    </row>
    <row r="256" spans="1:10" x14ac:dyDescent="0.25">
      <c r="A256" s="4">
        <v>99</v>
      </c>
      <c r="B256">
        <v>6948</v>
      </c>
      <c r="C256" s="4">
        <v>14308</v>
      </c>
      <c r="D256" t="s">
        <v>7</v>
      </c>
      <c r="E256" s="4">
        <v>0</v>
      </c>
      <c r="F256" s="25">
        <v>43721.72519675926</v>
      </c>
      <c r="G256">
        <v>0</v>
      </c>
      <c r="H256" s="25"/>
      <c r="I256" s="25" t="s">
        <v>347</v>
      </c>
      <c r="J256" s="25" t="s">
        <v>304</v>
      </c>
    </row>
    <row r="257" spans="1:10" x14ac:dyDescent="0.25">
      <c r="A257" s="4">
        <v>32321</v>
      </c>
      <c r="B257">
        <v>4567</v>
      </c>
      <c r="C257" s="4">
        <v>14308</v>
      </c>
      <c r="D257" t="s">
        <v>306</v>
      </c>
      <c r="E257" s="4">
        <v>5</v>
      </c>
      <c r="F257" s="25">
        <v>43721.708333333336</v>
      </c>
      <c r="G257">
        <v>0</v>
      </c>
      <c r="H257" s="25"/>
      <c r="I257" s="25"/>
      <c r="J257" s="25" t="s">
        <v>300</v>
      </c>
    </row>
    <row r="258" spans="1:10" x14ac:dyDescent="0.25">
      <c r="A258" s="4">
        <v>32321</v>
      </c>
      <c r="B258">
        <v>4567</v>
      </c>
      <c r="C258" s="4">
        <v>14308</v>
      </c>
      <c r="D258" t="s">
        <v>306</v>
      </c>
      <c r="E258" s="4">
        <v>4</v>
      </c>
      <c r="F258" s="25">
        <v>43721.666655092595</v>
      </c>
      <c r="G258">
        <v>0</v>
      </c>
      <c r="H258" s="25"/>
      <c r="I258" s="25"/>
      <c r="J258" s="25" t="s">
        <v>300</v>
      </c>
    </row>
    <row r="259" spans="1:10" x14ac:dyDescent="0.25">
      <c r="A259" s="4">
        <v>32321</v>
      </c>
      <c r="B259">
        <v>4567</v>
      </c>
      <c r="C259" s="4">
        <v>14308</v>
      </c>
      <c r="D259" t="s">
        <v>306</v>
      </c>
      <c r="E259" s="4">
        <v>3</v>
      </c>
      <c r="F259" s="25">
        <v>43721.625</v>
      </c>
      <c r="G259">
        <v>0</v>
      </c>
      <c r="H259" s="25"/>
      <c r="I259" s="25"/>
      <c r="J259" s="25" t="s">
        <v>300</v>
      </c>
    </row>
    <row r="260" spans="1:10" x14ac:dyDescent="0.25">
      <c r="A260" s="4">
        <v>32321</v>
      </c>
      <c r="B260">
        <v>4567</v>
      </c>
      <c r="C260" s="4">
        <v>14308</v>
      </c>
      <c r="D260" t="s">
        <v>306</v>
      </c>
      <c r="E260" s="4">
        <v>2</v>
      </c>
      <c r="F260" s="25">
        <v>43721.583333333336</v>
      </c>
      <c r="G260">
        <v>0</v>
      </c>
      <c r="H260" s="25"/>
      <c r="I260" s="25"/>
      <c r="J260" s="25" t="s">
        <v>300</v>
      </c>
    </row>
    <row r="261" spans="1:10" x14ac:dyDescent="0.25">
      <c r="A261" s="4">
        <v>10783</v>
      </c>
      <c r="B261">
        <v>12591</v>
      </c>
      <c r="C261" s="4">
        <v>14308</v>
      </c>
      <c r="D261" t="s">
        <v>306</v>
      </c>
      <c r="E261" s="4">
        <v>23</v>
      </c>
      <c r="F261" s="25">
        <v>43721.559062499997</v>
      </c>
      <c r="G261">
        <v>0</v>
      </c>
      <c r="H261" s="25"/>
      <c r="I261" s="25"/>
      <c r="J261" s="25" t="s">
        <v>300</v>
      </c>
    </row>
    <row r="262" spans="1:10" x14ac:dyDescent="0.25">
      <c r="A262" s="4">
        <v>10783</v>
      </c>
      <c r="B262">
        <v>12591</v>
      </c>
      <c r="C262" s="4">
        <v>14308</v>
      </c>
      <c r="D262" t="s">
        <v>306</v>
      </c>
      <c r="E262" s="4">
        <v>24</v>
      </c>
      <c r="F262" s="25">
        <v>43721.559062499997</v>
      </c>
      <c r="G262">
        <v>0</v>
      </c>
      <c r="H262" s="25"/>
      <c r="I262" s="25"/>
      <c r="J262" s="25" t="s">
        <v>300</v>
      </c>
    </row>
    <row r="263" spans="1:10" x14ac:dyDescent="0.25">
      <c r="A263" s="4">
        <v>10783</v>
      </c>
      <c r="B263">
        <v>12591</v>
      </c>
      <c r="C263" s="4">
        <v>14308</v>
      </c>
      <c r="D263" t="s">
        <v>306</v>
      </c>
      <c r="E263" s="4">
        <v>22</v>
      </c>
      <c r="F263" s="25">
        <v>43721.559050925927</v>
      </c>
      <c r="G263">
        <v>0</v>
      </c>
      <c r="H263" s="25"/>
      <c r="I263" s="25"/>
      <c r="J263" s="25" t="s">
        <v>300</v>
      </c>
    </row>
    <row r="264" spans="1:10" x14ac:dyDescent="0.25">
      <c r="A264" s="4">
        <v>10783</v>
      </c>
      <c r="B264">
        <v>12591</v>
      </c>
      <c r="C264" s="4">
        <v>14308</v>
      </c>
      <c r="D264" t="s">
        <v>306</v>
      </c>
      <c r="E264" s="4">
        <v>21</v>
      </c>
      <c r="F264" s="25">
        <v>43721.559039351851</v>
      </c>
      <c r="G264">
        <v>0</v>
      </c>
      <c r="H264" s="25"/>
      <c r="I264" s="25"/>
      <c r="J264" s="25" t="s">
        <v>300</v>
      </c>
    </row>
    <row r="265" spans="1:10" x14ac:dyDescent="0.25">
      <c r="A265" s="4">
        <v>10783</v>
      </c>
      <c r="B265">
        <v>12591</v>
      </c>
      <c r="C265" s="4">
        <v>14308</v>
      </c>
      <c r="D265" t="s">
        <v>306</v>
      </c>
      <c r="E265" s="4">
        <v>19</v>
      </c>
      <c r="F265" s="25">
        <v>43721.559027777781</v>
      </c>
      <c r="G265">
        <v>0</v>
      </c>
      <c r="H265" s="25"/>
      <c r="I265" s="25"/>
      <c r="J265" s="25" t="s">
        <v>300</v>
      </c>
    </row>
    <row r="266" spans="1:10" x14ac:dyDescent="0.25">
      <c r="A266" s="4">
        <v>10783</v>
      </c>
      <c r="B266">
        <v>12591</v>
      </c>
      <c r="C266" s="4">
        <v>14308</v>
      </c>
      <c r="D266" t="s">
        <v>306</v>
      </c>
      <c r="E266" s="4">
        <v>20</v>
      </c>
      <c r="F266" s="25">
        <v>43721.559027777781</v>
      </c>
      <c r="G266">
        <v>0</v>
      </c>
      <c r="H266" s="25"/>
      <c r="I266" s="25"/>
      <c r="J266" s="25" t="s">
        <v>300</v>
      </c>
    </row>
    <row r="267" spans="1:10" x14ac:dyDescent="0.25">
      <c r="A267" s="4">
        <v>10783</v>
      </c>
      <c r="B267">
        <v>12591</v>
      </c>
      <c r="C267" s="4">
        <v>14308</v>
      </c>
      <c r="D267" t="s">
        <v>306</v>
      </c>
      <c r="E267" s="4">
        <v>18</v>
      </c>
      <c r="F267" s="25">
        <v>43721.559016203704</v>
      </c>
      <c r="G267">
        <v>0</v>
      </c>
      <c r="H267" s="25"/>
      <c r="I267" s="25"/>
      <c r="J267" s="25" t="s">
        <v>300</v>
      </c>
    </row>
    <row r="268" spans="1:10" x14ac:dyDescent="0.25">
      <c r="A268" s="4">
        <v>10783</v>
      </c>
      <c r="B268">
        <v>12591</v>
      </c>
      <c r="C268" s="4">
        <v>14308</v>
      </c>
      <c r="D268" t="s">
        <v>306</v>
      </c>
      <c r="E268" s="4">
        <v>16</v>
      </c>
      <c r="F268" s="25">
        <v>43721.559004629627</v>
      </c>
      <c r="G268">
        <v>0</v>
      </c>
      <c r="H268" s="25"/>
      <c r="I268" s="25"/>
      <c r="J268" s="25" t="s">
        <v>300</v>
      </c>
    </row>
    <row r="269" spans="1:10" x14ac:dyDescent="0.25">
      <c r="A269" s="4">
        <v>10783</v>
      </c>
      <c r="B269">
        <v>12591</v>
      </c>
      <c r="C269" s="4">
        <v>14308</v>
      </c>
      <c r="D269" t="s">
        <v>306</v>
      </c>
      <c r="E269" s="4">
        <v>17</v>
      </c>
      <c r="F269" s="25">
        <v>43721.559004629627</v>
      </c>
      <c r="G269">
        <v>0</v>
      </c>
      <c r="H269" s="25"/>
      <c r="I269" s="25"/>
      <c r="J269" s="25" t="s">
        <v>300</v>
      </c>
    </row>
    <row r="270" spans="1:10" x14ac:dyDescent="0.25">
      <c r="A270" s="4">
        <v>10783</v>
      </c>
      <c r="B270">
        <v>12591</v>
      </c>
      <c r="C270" s="4">
        <v>14308</v>
      </c>
      <c r="D270" t="s">
        <v>306</v>
      </c>
      <c r="E270" s="4">
        <v>15</v>
      </c>
      <c r="F270" s="25">
        <v>43721.558993055558</v>
      </c>
      <c r="G270">
        <v>0</v>
      </c>
      <c r="H270" s="25"/>
      <c r="I270" s="25"/>
      <c r="J270" s="25" t="s">
        <v>300</v>
      </c>
    </row>
    <row r="271" spans="1:10" x14ac:dyDescent="0.25">
      <c r="A271" s="4">
        <v>10783</v>
      </c>
      <c r="B271">
        <v>12591</v>
      </c>
      <c r="C271" s="4">
        <v>14308</v>
      </c>
      <c r="D271" t="s">
        <v>306</v>
      </c>
      <c r="E271" s="4">
        <v>14</v>
      </c>
      <c r="F271" s="25">
        <v>43721.558981481481</v>
      </c>
      <c r="G271">
        <v>0</v>
      </c>
      <c r="H271" s="25"/>
      <c r="I271" s="25"/>
      <c r="J271" s="25" t="s">
        <v>300</v>
      </c>
    </row>
    <row r="272" spans="1:10" x14ac:dyDescent="0.25">
      <c r="A272" s="4">
        <v>10783</v>
      </c>
      <c r="B272">
        <v>12591</v>
      </c>
      <c r="C272" s="4">
        <v>14308</v>
      </c>
      <c r="D272" t="s">
        <v>306</v>
      </c>
      <c r="E272" s="4">
        <v>12</v>
      </c>
      <c r="F272" s="25">
        <v>43721.558969907404</v>
      </c>
      <c r="G272">
        <v>0</v>
      </c>
      <c r="H272" s="25"/>
      <c r="I272" s="25"/>
      <c r="J272" s="25" t="s">
        <v>300</v>
      </c>
    </row>
    <row r="273" spans="1:10" x14ac:dyDescent="0.25">
      <c r="A273" s="4">
        <v>10783</v>
      </c>
      <c r="B273">
        <v>12591</v>
      </c>
      <c r="C273" s="4">
        <v>14308</v>
      </c>
      <c r="D273" t="s">
        <v>306</v>
      </c>
      <c r="E273" s="4">
        <v>13</v>
      </c>
      <c r="F273" s="25">
        <v>43721.558969907404</v>
      </c>
      <c r="G273">
        <v>0</v>
      </c>
      <c r="H273" s="25"/>
      <c r="I273" s="25"/>
      <c r="J273" s="25" t="s">
        <v>300</v>
      </c>
    </row>
    <row r="274" spans="1:10" x14ac:dyDescent="0.25">
      <c r="A274" s="4">
        <v>10783</v>
      </c>
      <c r="B274">
        <v>12591</v>
      </c>
      <c r="C274" s="4">
        <v>14308</v>
      </c>
      <c r="D274" t="s">
        <v>306</v>
      </c>
      <c r="E274" s="4">
        <v>11</v>
      </c>
      <c r="F274" s="25">
        <v>43721.558958333335</v>
      </c>
      <c r="G274">
        <v>0</v>
      </c>
      <c r="H274" s="25"/>
      <c r="I274" s="25"/>
      <c r="J274" s="25" t="s">
        <v>300</v>
      </c>
    </row>
    <row r="275" spans="1:10" x14ac:dyDescent="0.25">
      <c r="A275" s="4">
        <v>10783</v>
      </c>
      <c r="B275">
        <v>12591</v>
      </c>
      <c r="C275" s="4">
        <v>14308</v>
      </c>
      <c r="D275" t="s">
        <v>306</v>
      </c>
      <c r="E275" s="4">
        <v>9</v>
      </c>
      <c r="F275" s="25">
        <v>43721.558946759258</v>
      </c>
      <c r="G275">
        <v>0</v>
      </c>
      <c r="H275" s="25"/>
      <c r="I275" s="25"/>
      <c r="J275" s="25" t="s">
        <v>300</v>
      </c>
    </row>
    <row r="276" spans="1:10" x14ac:dyDescent="0.25">
      <c r="A276" s="4">
        <v>10783</v>
      </c>
      <c r="B276">
        <v>12591</v>
      </c>
      <c r="C276" s="4">
        <v>14308</v>
      </c>
      <c r="D276" t="s">
        <v>306</v>
      </c>
      <c r="E276" s="4">
        <v>10</v>
      </c>
      <c r="F276" s="25">
        <v>43721.558946759258</v>
      </c>
      <c r="G276">
        <v>0</v>
      </c>
      <c r="H276" s="25"/>
      <c r="I276" s="25"/>
      <c r="J276" s="25" t="s">
        <v>300</v>
      </c>
    </row>
    <row r="277" spans="1:10" x14ac:dyDescent="0.25">
      <c r="A277" s="4">
        <v>10783</v>
      </c>
      <c r="B277">
        <v>12591</v>
      </c>
      <c r="C277" s="4">
        <v>14308</v>
      </c>
      <c r="D277" t="s">
        <v>306</v>
      </c>
      <c r="E277" s="4">
        <v>8</v>
      </c>
      <c r="F277" s="25">
        <v>43721.558935185189</v>
      </c>
      <c r="G277">
        <v>0</v>
      </c>
      <c r="H277" s="25"/>
      <c r="I277" s="25"/>
      <c r="J277" s="25" t="s">
        <v>300</v>
      </c>
    </row>
    <row r="278" spans="1:10" x14ac:dyDescent="0.25">
      <c r="A278" s="4">
        <v>10783</v>
      </c>
      <c r="B278">
        <v>12591</v>
      </c>
      <c r="C278" s="4">
        <v>14308</v>
      </c>
      <c r="D278" t="s">
        <v>306</v>
      </c>
      <c r="E278" s="4">
        <v>6</v>
      </c>
      <c r="F278" s="25">
        <v>43721.558923611112</v>
      </c>
      <c r="G278">
        <v>0</v>
      </c>
      <c r="H278" s="25"/>
      <c r="I278" s="25"/>
      <c r="J278" s="25" t="s">
        <v>300</v>
      </c>
    </row>
    <row r="279" spans="1:10" x14ac:dyDescent="0.25">
      <c r="A279" s="4">
        <v>10783</v>
      </c>
      <c r="B279">
        <v>12591</v>
      </c>
      <c r="C279" s="4">
        <v>14308</v>
      </c>
      <c r="D279" t="s">
        <v>306</v>
      </c>
      <c r="E279" s="4">
        <v>7</v>
      </c>
      <c r="F279" s="25">
        <v>43721.558923611112</v>
      </c>
      <c r="G279">
        <v>0</v>
      </c>
      <c r="H279" s="25"/>
      <c r="I279" s="25"/>
      <c r="J279" s="25" t="s">
        <v>300</v>
      </c>
    </row>
    <row r="280" spans="1:10" x14ac:dyDescent="0.25">
      <c r="A280" s="4">
        <v>10783</v>
      </c>
      <c r="B280">
        <v>12591</v>
      </c>
      <c r="C280" s="4">
        <v>14308</v>
      </c>
      <c r="D280" t="s">
        <v>306</v>
      </c>
      <c r="E280" s="4">
        <v>5</v>
      </c>
      <c r="F280" s="25">
        <v>43721.558912037035</v>
      </c>
      <c r="G280">
        <v>0</v>
      </c>
      <c r="H280" s="25"/>
      <c r="I280" s="25"/>
      <c r="J280" s="25" t="s">
        <v>300</v>
      </c>
    </row>
    <row r="281" spans="1:10" x14ac:dyDescent="0.25">
      <c r="A281" s="4">
        <v>10783</v>
      </c>
      <c r="B281">
        <v>12591</v>
      </c>
      <c r="C281" s="4">
        <v>14308</v>
      </c>
      <c r="D281" t="s">
        <v>306</v>
      </c>
      <c r="E281" s="4">
        <v>4</v>
      </c>
      <c r="F281" s="25">
        <v>43721.558900462966</v>
      </c>
      <c r="G281">
        <v>0</v>
      </c>
      <c r="H281" s="25"/>
      <c r="I281" s="25"/>
      <c r="J281" s="25" t="s">
        <v>300</v>
      </c>
    </row>
    <row r="282" spans="1:10" x14ac:dyDescent="0.25">
      <c r="A282" s="4">
        <v>10783</v>
      </c>
      <c r="B282">
        <v>12591</v>
      </c>
      <c r="C282" s="4">
        <v>14308</v>
      </c>
      <c r="D282" t="s">
        <v>306</v>
      </c>
      <c r="E282" s="4">
        <v>2</v>
      </c>
      <c r="F282" s="25">
        <v>43721.558888888889</v>
      </c>
      <c r="G282">
        <v>0</v>
      </c>
      <c r="H282" s="25"/>
      <c r="I282" s="25"/>
      <c r="J282" s="25" t="s">
        <v>300</v>
      </c>
    </row>
    <row r="283" spans="1:10" x14ac:dyDescent="0.25">
      <c r="A283" s="4">
        <v>10783</v>
      </c>
      <c r="B283">
        <v>12591</v>
      </c>
      <c r="C283" s="4">
        <v>14308</v>
      </c>
      <c r="D283" t="s">
        <v>306</v>
      </c>
      <c r="E283" s="4">
        <v>3</v>
      </c>
      <c r="F283" s="25">
        <v>43721.558888888889</v>
      </c>
      <c r="G283">
        <v>0</v>
      </c>
      <c r="H283" s="25"/>
      <c r="I283" s="25"/>
      <c r="J283" s="25" t="s">
        <v>300</v>
      </c>
    </row>
    <row r="284" spans="1:10" x14ac:dyDescent="0.25">
      <c r="A284" s="4">
        <v>10783</v>
      </c>
      <c r="B284">
        <v>12591</v>
      </c>
      <c r="C284" s="4">
        <v>14308</v>
      </c>
      <c r="D284" t="s">
        <v>306</v>
      </c>
      <c r="E284" s="4">
        <v>1</v>
      </c>
      <c r="F284" s="25">
        <v>43721.558877314812</v>
      </c>
      <c r="G284">
        <v>0</v>
      </c>
      <c r="H284" s="25"/>
      <c r="I284" s="25"/>
      <c r="J284" s="25" t="s">
        <v>300</v>
      </c>
    </row>
    <row r="285" spans="1:10" x14ac:dyDescent="0.25">
      <c r="A285" s="4">
        <v>10783</v>
      </c>
      <c r="B285">
        <v>12591</v>
      </c>
      <c r="C285" s="4">
        <v>14308</v>
      </c>
      <c r="D285" t="s">
        <v>306</v>
      </c>
      <c r="E285" s="4">
        <v>0</v>
      </c>
      <c r="F285" s="25">
        <v>43721.558865740742</v>
      </c>
      <c r="G285">
        <v>0</v>
      </c>
      <c r="H285" s="25"/>
      <c r="I285" s="25"/>
      <c r="J285" s="25" t="s">
        <v>300</v>
      </c>
    </row>
    <row r="286" spans="1:10" x14ac:dyDescent="0.25">
      <c r="A286" s="4">
        <v>32321</v>
      </c>
      <c r="B286">
        <v>4567</v>
      </c>
      <c r="C286" s="4">
        <v>14308</v>
      </c>
      <c r="D286" t="s">
        <v>306</v>
      </c>
      <c r="E286" s="4">
        <v>1</v>
      </c>
      <c r="F286" s="25">
        <v>43721.541666666664</v>
      </c>
      <c r="G286">
        <v>0</v>
      </c>
      <c r="H286" s="25"/>
      <c r="I286" s="25"/>
      <c r="J286" s="25" t="s">
        <v>300</v>
      </c>
    </row>
    <row r="287" spans="1:10" x14ac:dyDescent="0.25">
      <c r="A287" s="4">
        <v>32321</v>
      </c>
      <c r="B287">
        <v>4567</v>
      </c>
      <c r="C287" s="4">
        <v>14308</v>
      </c>
      <c r="D287" t="s">
        <v>306</v>
      </c>
      <c r="E287" s="4">
        <v>0</v>
      </c>
      <c r="F287" s="25">
        <v>43721.519062500003</v>
      </c>
      <c r="G287">
        <v>0</v>
      </c>
      <c r="H287" s="25"/>
      <c r="I287" s="25"/>
      <c r="J287" s="25" t="s">
        <v>300</v>
      </c>
    </row>
    <row r="288" spans="1:10" x14ac:dyDescent="0.25">
      <c r="A288" s="4">
        <v>31995</v>
      </c>
      <c r="B288">
        <v>4568</v>
      </c>
      <c r="C288" s="4">
        <v>14308</v>
      </c>
      <c r="D288" t="s">
        <v>306</v>
      </c>
      <c r="E288" s="4">
        <v>0</v>
      </c>
      <c r="F288" s="25">
        <v>43721.517905092594</v>
      </c>
      <c r="G288">
        <v>0</v>
      </c>
      <c r="H288" s="25"/>
      <c r="I288" s="25"/>
      <c r="J288" s="25" t="s">
        <v>300</v>
      </c>
    </row>
    <row r="289" spans="1:10" x14ac:dyDescent="0.25">
      <c r="A289" s="4">
        <v>30933</v>
      </c>
      <c r="B289">
        <v>12592</v>
      </c>
      <c r="C289" s="4">
        <v>14308</v>
      </c>
      <c r="D289" t="s">
        <v>306</v>
      </c>
      <c r="E289" s="4">
        <v>24</v>
      </c>
      <c r="F289" s="25">
        <v>43721.514317129629</v>
      </c>
      <c r="G289">
        <v>0</v>
      </c>
      <c r="H289" s="25"/>
      <c r="I289" s="25"/>
      <c r="J289" s="25" t="s">
        <v>300</v>
      </c>
    </row>
    <row r="290" spans="1:10" x14ac:dyDescent="0.25">
      <c r="A290" s="4">
        <v>30933</v>
      </c>
      <c r="B290">
        <v>12592</v>
      </c>
      <c r="C290" s="4">
        <v>14308</v>
      </c>
      <c r="D290" t="s">
        <v>306</v>
      </c>
      <c r="E290" s="4">
        <v>23</v>
      </c>
      <c r="F290" s="25">
        <v>43721.514305555553</v>
      </c>
      <c r="G290">
        <v>0</v>
      </c>
      <c r="H290" s="25"/>
      <c r="I290" s="25"/>
      <c r="J290" s="25" t="s">
        <v>300</v>
      </c>
    </row>
    <row r="291" spans="1:10" x14ac:dyDescent="0.25">
      <c r="A291" s="4">
        <v>30933</v>
      </c>
      <c r="B291">
        <v>12592</v>
      </c>
      <c r="C291" s="4">
        <v>14308</v>
      </c>
      <c r="D291" t="s">
        <v>306</v>
      </c>
      <c r="E291" s="4">
        <v>21</v>
      </c>
      <c r="F291" s="25">
        <v>43721.514293981483</v>
      </c>
      <c r="G291">
        <v>0</v>
      </c>
      <c r="H291" s="25"/>
      <c r="I291" s="25"/>
      <c r="J291" s="25" t="s">
        <v>300</v>
      </c>
    </row>
    <row r="292" spans="1:10" x14ac:dyDescent="0.25">
      <c r="A292" s="4">
        <v>30933</v>
      </c>
      <c r="B292">
        <v>12592</v>
      </c>
      <c r="C292" s="4">
        <v>14308</v>
      </c>
      <c r="D292" t="s">
        <v>306</v>
      </c>
      <c r="E292" s="4">
        <v>22</v>
      </c>
      <c r="F292" s="25">
        <v>43721.514293981483</v>
      </c>
      <c r="G292">
        <v>0</v>
      </c>
      <c r="H292" s="25"/>
      <c r="I292" s="25"/>
      <c r="J292" s="25" t="s">
        <v>300</v>
      </c>
    </row>
    <row r="293" spans="1:10" x14ac:dyDescent="0.25">
      <c r="A293" s="4">
        <v>30933</v>
      </c>
      <c r="B293">
        <v>12592</v>
      </c>
      <c r="C293" s="4">
        <v>14308</v>
      </c>
      <c r="D293" t="s">
        <v>306</v>
      </c>
      <c r="E293" s="4">
        <v>19</v>
      </c>
      <c r="F293" s="25">
        <v>43721.514282407406</v>
      </c>
      <c r="G293">
        <v>0</v>
      </c>
      <c r="H293" s="25"/>
      <c r="I293" s="25"/>
      <c r="J293" s="25" t="s">
        <v>300</v>
      </c>
    </row>
    <row r="294" spans="1:10" x14ac:dyDescent="0.25">
      <c r="A294" s="4">
        <v>30933</v>
      </c>
      <c r="B294">
        <v>12592</v>
      </c>
      <c r="C294" s="4">
        <v>14308</v>
      </c>
      <c r="D294" t="s">
        <v>306</v>
      </c>
      <c r="E294" s="4">
        <v>20</v>
      </c>
      <c r="F294" s="25">
        <v>43721.514282407406</v>
      </c>
      <c r="G294">
        <v>0</v>
      </c>
      <c r="H294" s="25"/>
      <c r="I294" s="25"/>
      <c r="J294" s="25" t="s">
        <v>300</v>
      </c>
    </row>
    <row r="295" spans="1:10" x14ac:dyDescent="0.25">
      <c r="A295" s="4">
        <v>30933</v>
      </c>
      <c r="B295">
        <v>12592</v>
      </c>
      <c r="C295" s="4">
        <v>14308</v>
      </c>
      <c r="D295" t="s">
        <v>306</v>
      </c>
      <c r="E295" s="4">
        <v>18</v>
      </c>
      <c r="F295" s="25">
        <v>43721.514270833337</v>
      </c>
      <c r="G295">
        <v>0</v>
      </c>
      <c r="H295" s="25"/>
      <c r="I295" s="25"/>
      <c r="J295" s="25" t="s">
        <v>300</v>
      </c>
    </row>
    <row r="296" spans="1:10" x14ac:dyDescent="0.25">
      <c r="A296" s="4">
        <v>30933</v>
      </c>
      <c r="B296">
        <v>12592</v>
      </c>
      <c r="C296" s="4">
        <v>14308</v>
      </c>
      <c r="D296" t="s">
        <v>306</v>
      </c>
      <c r="E296" s="4">
        <v>16</v>
      </c>
      <c r="F296" s="25">
        <v>43721.51425925926</v>
      </c>
      <c r="G296">
        <v>0</v>
      </c>
      <c r="H296" s="25"/>
      <c r="I296" s="25"/>
      <c r="J296" s="25" t="s">
        <v>300</v>
      </c>
    </row>
    <row r="297" spans="1:10" x14ac:dyDescent="0.25">
      <c r="A297" s="4">
        <v>30933</v>
      </c>
      <c r="B297">
        <v>12592</v>
      </c>
      <c r="C297" s="4">
        <v>14308</v>
      </c>
      <c r="D297" t="s">
        <v>306</v>
      </c>
      <c r="E297" s="4">
        <v>17</v>
      </c>
      <c r="F297" s="25">
        <v>43721.51425925926</v>
      </c>
      <c r="G297">
        <v>0</v>
      </c>
      <c r="H297" s="25"/>
      <c r="I297" s="25"/>
      <c r="J297" s="25" t="s">
        <v>300</v>
      </c>
    </row>
    <row r="298" spans="1:10" x14ac:dyDescent="0.25">
      <c r="A298" s="4">
        <v>30933</v>
      </c>
      <c r="B298">
        <v>12592</v>
      </c>
      <c r="C298" s="4">
        <v>14308</v>
      </c>
      <c r="D298" t="s">
        <v>306</v>
      </c>
      <c r="E298" s="4">
        <v>15</v>
      </c>
      <c r="F298" s="25">
        <v>43721.514247685183</v>
      </c>
      <c r="G298">
        <v>0</v>
      </c>
      <c r="H298" s="25"/>
      <c r="I298" s="25"/>
      <c r="J298" s="25" t="s">
        <v>300</v>
      </c>
    </row>
    <row r="299" spans="1:10" x14ac:dyDescent="0.25">
      <c r="A299" s="4">
        <v>30933</v>
      </c>
      <c r="B299">
        <v>12592</v>
      </c>
      <c r="C299" s="4">
        <v>14308</v>
      </c>
      <c r="D299" t="s">
        <v>306</v>
      </c>
      <c r="E299" s="4">
        <v>13</v>
      </c>
      <c r="F299" s="25">
        <v>43721.514236111114</v>
      </c>
      <c r="G299">
        <v>0</v>
      </c>
      <c r="H299" s="25"/>
      <c r="I299" s="25"/>
      <c r="J299" s="25" t="s">
        <v>300</v>
      </c>
    </row>
    <row r="300" spans="1:10" x14ac:dyDescent="0.25">
      <c r="A300" s="4">
        <v>30933</v>
      </c>
      <c r="B300">
        <v>12592</v>
      </c>
      <c r="C300" s="4">
        <v>14308</v>
      </c>
      <c r="D300" t="s">
        <v>306</v>
      </c>
      <c r="E300" s="4">
        <v>14</v>
      </c>
      <c r="F300" s="25">
        <v>43721.514236111114</v>
      </c>
      <c r="G300">
        <v>0</v>
      </c>
      <c r="H300" s="25"/>
      <c r="I300" s="25"/>
      <c r="J300" s="25" t="s">
        <v>300</v>
      </c>
    </row>
    <row r="301" spans="1:10" x14ac:dyDescent="0.25">
      <c r="A301" s="4">
        <v>30933</v>
      </c>
      <c r="B301">
        <v>12592</v>
      </c>
      <c r="C301" s="4">
        <v>14308</v>
      </c>
      <c r="D301" t="s">
        <v>306</v>
      </c>
      <c r="E301" s="4">
        <v>12</v>
      </c>
      <c r="F301" s="25">
        <v>43721.514224537037</v>
      </c>
      <c r="G301">
        <v>0</v>
      </c>
      <c r="H301" s="25"/>
      <c r="I301" s="25"/>
      <c r="J301" s="25" t="s">
        <v>300</v>
      </c>
    </row>
    <row r="302" spans="1:10" x14ac:dyDescent="0.25">
      <c r="A302" s="4">
        <v>30933</v>
      </c>
      <c r="B302">
        <v>12592</v>
      </c>
      <c r="C302" s="4">
        <v>14308</v>
      </c>
      <c r="D302" t="s">
        <v>306</v>
      </c>
      <c r="E302" s="4">
        <v>10</v>
      </c>
      <c r="F302" s="25">
        <v>43721.51421296296</v>
      </c>
      <c r="G302">
        <v>0</v>
      </c>
      <c r="H302" s="25"/>
      <c r="I302" s="25"/>
      <c r="J302" s="25" t="s">
        <v>300</v>
      </c>
    </row>
    <row r="303" spans="1:10" x14ac:dyDescent="0.25">
      <c r="A303" s="4">
        <v>30933</v>
      </c>
      <c r="B303">
        <v>12592</v>
      </c>
      <c r="C303" s="4">
        <v>14308</v>
      </c>
      <c r="D303" t="s">
        <v>306</v>
      </c>
      <c r="E303" s="4">
        <v>11</v>
      </c>
      <c r="F303" s="25">
        <v>43721.51421296296</v>
      </c>
      <c r="G303">
        <v>0</v>
      </c>
      <c r="H303" s="25"/>
      <c r="I303" s="25"/>
      <c r="J303" s="25" t="s">
        <v>300</v>
      </c>
    </row>
    <row r="304" spans="1:10" x14ac:dyDescent="0.25">
      <c r="A304" s="4">
        <v>30933</v>
      </c>
      <c r="B304">
        <v>12592</v>
      </c>
      <c r="C304" s="4">
        <v>14308</v>
      </c>
      <c r="D304" t="s">
        <v>306</v>
      </c>
      <c r="E304" s="4">
        <v>9</v>
      </c>
      <c r="F304" s="25">
        <v>43721.514201388891</v>
      </c>
      <c r="G304">
        <v>0</v>
      </c>
      <c r="H304" s="25"/>
      <c r="I304" s="25"/>
      <c r="J304" s="25" t="s">
        <v>300</v>
      </c>
    </row>
    <row r="305" spans="1:10" x14ac:dyDescent="0.25">
      <c r="A305" s="4">
        <v>30933</v>
      </c>
      <c r="B305">
        <v>12592</v>
      </c>
      <c r="C305" s="4">
        <v>14308</v>
      </c>
      <c r="D305" t="s">
        <v>306</v>
      </c>
      <c r="E305" s="4">
        <v>7</v>
      </c>
      <c r="F305" s="25">
        <v>43721.514189814814</v>
      </c>
      <c r="G305">
        <v>0</v>
      </c>
      <c r="H305" s="25"/>
      <c r="I305" s="25"/>
      <c r="J305" s="25" t="s">
        <v>300</v>
      </c>
    </row>
    <row r="306" spans="1:10" x14ac:dyDescent="0.25">
      <c r="A306" s="4">
        <v>30933</v>
      </c>
      <c r="B306">
        <v>12592</v>
      </c>
      <c r="C306" s="4">
        <v>14308</v>
      </c>
      <c r="D306" t="s">
        <v>306</v>
      </c>
      <c r="E306" s="4">
        <v>8</v>
      </c>
      <c r="F306" s="25">
        <v>43721.514189814814</v>
      </c>
      <c r="G306">
        <v>0</v>
      </c>
      <c r="H306" s="25"/>
      <c r="I306" s="25"/>
      <c r="J306" s="25" t="s">
        <v>300</v>
      </c>
    </row>
    <row r="307" spans="1:10" x14ac:dyDescent="0.25">
      <c r="A307" s="4">
        <v>30933</v>
      </c>
      <c r="B307">
        <v>12592</v>
      </c>
      <c r="C307" s="4">
        <v>14308</v>
      </c>
      <c r="D307" t="s">
        <v>306</v>
      </c>
      <c r="E307" s="4">
        <v>5</v>
      </c>
      <c r="F307" s="25">
        <v>43721.514178240737</v>
      </c>
      <c r="G307">
        <v>0</v>
      </c>
      <c r="H307" s="25"/>
      <c r="I307" s="25"/>
      <c r="J307" s="25" t="s">
        <v>300</v>
      </c>
    </row>
    <row r="308" spans="1:10" x14ac:dyDescent="0.25">
      <c r="A308" s="4">
        <v>30933</v>
      </c>
      <c r="B308">
        <v>12592</v>
      </c>
      <c r="C308" s="4">
        <v>14308</v>
      </c>
      <c r="D308" t="s">
        <v>306</v>
      </c>
      <c r="E308" s="4">
        <v>6</v>
      </c>
      <c r="F308" s="25">
        <v>43721.514178240737</v>
      </c>
      <c r="G308">
        <v>0</v>
      </c>
      <c r="H308" s="25"/>
      <c r="I308" s="25"/>
      <c r="J308" s="25" t="s">
        <v>300</v>
      </c>
    </row>
    <row r="309" spans="1:10" x14ac:dyDescent="0.25">
      <c r="A309" s="4">
        <v>30933</v>
      </c>
      <c r="B309">
        <v>12592</v>
      </c>
      <c r="C309" s="4">
        <v>14308</v>
      </c>
      <c r="D309" t="s">
        <v>306</v>
      </c>
      <c r="E309" s="4">
        <v>4</v>
      </c>
      <c r="F309" s="25">
        <v>43721.514166666668</v>
      </c>
      <c r="G309">
        <v>0</v>
      </c>
      <c r="H309" s="25"/>
      <c r="I309" s="25"/>
      <c r="J309" s="25" t="s">
        <v>300</v>
      </c>
    </row>
    <row r="310" spans="1:10" x14ac:dyDescent="0.25">
      <c r="A310" s="4">
        <v>30933</v>
      </c>
      <c r="B310">
        <v>12592</v>
      </c>
      <c r="C310" s="4">
        <v>14308</v>
      </c>
      <c r="D310" t="s">
        <v>306</v>
      </c>
      <c r="E310" s="4">
        <v>2</v>
      </c>
      <c r="F310" s="25">
        <v>43721.514155092591</v>
      </c>
      <c r="G310">
        <v>0</v>
      </c>
      <c r="H310" s="25"/>
      <c r="I310" s="25"/>
      <c r="J310" s="25" t="s">
        <v>300</v>
      </c>
    </row>
    <row r="311" spans="1:10" x14ac:dyDescent="0.25">
      <c r="A311" s="4">
        <v>30933</v>
      </c>
      <c r="B311">
        <v>12592</v>
      </c>
      <c r="C311" s="4">
        <v>14308</v>
      </c>
      <c r="D311" t="s">
        <v>306</v>
      </c>
      <c r="E311" s="4">
        <v>3</v>
      </c>
      <c r="F311" s="25">
        <v>43721.514155092591</v>
      </c>
      <c r="G311">
        <v>0</v>
      </c>
      <c r="H311" s="25"/>
      <c r="I311" s="25"/>
      <c r="J311" s="25" t="s">
        <v>300</v>
      </c>
    </row>
    <row r="312" spans="1:10" x14ac:dyDescent="0.25">
      <c r="A312" s="4">
        <v>30933</v>
      </c>
      <c r="B312">
        <v>12592</v>
      </c>
      <c r="C312" s="4">
        <v>14308</v>
      </c>
      <c r="D312" t="s">
        <v>306</v>
      </c>
      <c r="E312" s="4">
        <v>1</v>
      </c>
      <c r="F312" s="25">
        <v>43721.514143518521</v>
      </c>
      <c r="G312">
        <v>0</v>
      </c>
      <c r="H312" s="25"/>
      <c r="I312" s="25"/>
      <c r="J312" s="25" t="s">
        <v>300</v>
      </c>
    </row>
    <row r="313" spans="1:10" x14ac:dyDescent="0.25">
      <c r="A313" s="4">
        <v>30933</v>
      </c>
      <c r="B313">
        <v>12592</v>
      </c>
      <c r="C313" s="4">
        <v>14308</v>
      </c>
      <c r="D313" t="s">
        <v>306</v>
      </c>
      <c r="E313" s="4">
        <v>0</v>
      </c>
      <c r="F313" s="25">
        <v>43721.514131944445</v>
      </c>
      <c r="G313">
        <v>0</v>
      </c>
      <c r="H313" s="25"/>
      <c r="I313" s="25"/>
      <c r="J313" s="25" t="s">
        <v>300</v>
      </c>
    </row>
    <row r="314" spans="1:10" x14ac:dyDescent="0.25">
      <c r="A314" s="4">
        <v>30035</v>
      </c>
      <c r="B314">
        <v>4569</v>
      </c>
      <c r="C314" s="4">
        <v>14308</v>
      </c>
      <c r="D314" t="s">
        <v>306</v>
      </c>
      <c r="E314" s="4">
        <v>0</v>
      </c>
      <c r="F314" s="25">
        <v>43721.510960648149</v>
      </c>
      <c r="G314">
        <v>0</v>
      </c>
      <c r="H314" s="25"/>
      <c r="I314" s="25"/>
      <c r="J314" s="25" t="s">
        <v>300</v>
      </c>
    </row>
    <row r="315" spans="1:10" x14ac:dyDescent="0.25">
      <c r="A315" s="4">
        <v>29503</v>
      </c>
      <c r="B315">
        <v>4570</v>
      </c>
      <c r="C315" s="4">
        <v>14308</v>
      </c>
      <c r="D315" t="s">
        <v>306</v>
      </c>
      <c r="E315" s="4">
        <v>0</v>
      </c>
      <c r="F315" s="25">
        <v>43721.509074074071</v>
      </c>
      <c r="G315">
        <v>0</v>
      </c>
      <c r="H315" s="25"/>
      <c r="I315" s="25"/>
      <c r="J315" s="25" t="s">
        <v>300</v>
      </c>
    </row>
    <row r="316" spans="1:10" x14ac:dyDescent="0.25">
      <c r="A316" s="4">
        <v>28834</v>
      </c>
      <c r="B316">
        <v>4571</v>
      </c>
      <c r="C316" s="4">
        <v>14308</v>
      </c>
      <c r="D316" t="s">
        <v>306</v>
      </c>
      <c r="E316" s="4">
        <v>0</v>
      </c>
      <c r="F316" s="25">
        <v>43721.506701388891</v>
      </c>
      <c r="G316">
        <v>0</v>
      </c>
      <c r="H316" s="25"/>
      <c r="I316" s="25"/>
      <c r="J316" s="25" t="s">
        <v>300</v>
      </c>
    </row>
    <row r="317" spans="1:10" x14ac:dyDescent="0.25">
      <c r="A317" s="4">
        <v>21329</v>
      </c>
      <c r="B317">
        <v>4572</v>
      </c>
      <c r="C317" s="4">
        <v>14308</v>
      </c>
      <c r="D317" t="s">
        <v>306</v>
      </c>
      <c r="E317" s="4">
        <v>1</v>
      </c>
      <c r="F317" s="25">
        <v>43721.5</v>
      </c>
      <c r="G317">
        <v>0</v>
      </c>
      <c r="H317" s="25"/>
      <c r="I317" s="25"/>
      <c r="J317" s="25" t="s">
        <v>300</v>
      </c>
    </row>
    <row r="318" spans="1:10" x14ac:dyDescent="0.25">
      <c r="A318" s="4">
        <v>21329</v>
      </c>
      <c r="B318">
        <v>4572</v>
      </c>
      <c r="C318" s="4">
        <v>14308</v>
      </c>
      <c r="D318" t="s">
        <v>306</v>
      </c>
      <c r="E318" s="4">
        <v>0</v>
      </c>
      <c r="F318" s="25">
        <v>43721.480104166665</v>
      </c>
      <c r="G318">
        <v>0</v>
      </c>
      <c r="H318" s="25"/>
      <c r="I318" s="25"/>
      <c r="J318" s="25" t="s">
        <v>300</v>
      </c>
    </row>
    <row r="319" spans="1:10" x14ac:dyDescent="0.25">
      <c r="A319" s="4">
        <v>99</v>
      </c>
      <c r="B319">
        <v>12096</v>
      </c>
      <c r="C319" s="4">
        <v>14308</v>
      </c>
      <c r="D319" t="s">
        <v>7</v>
      </c>
      <c r="E319" s="4">
        <v>0</v>
      </c>
      <c r="F319" s="25">
        <v>43721.475717592592</v>
      </c>
      <c r="G319">
        <v>0</v>
      </c>
      <c r="H319" s="25"/>
      <c r="I319" s="25" t="s">
        <v>350</v>
      </c>
      <c r="J319" s="25" t="s">
        <v>300</v>
      </c>
    </row>
    <row r="320" spans="1:10" x14ac:dyDescent="0.25">
      <c r="A320" s="4">
        <v>19847</v>
      </c>
      <c r="B320">
        <v>12536</v>
      </c>
      <c r="C320" s="4">
        <v>14308</v>
      </c>
      <c r="D320" t="s">
        <v>306</v>
      </c>
      <c r="E320" s="4">
        <v>0</v>
      </c>
      <c r="F320" s="25">
        <v>43721.474849537037</v>
      </c>
      <c r="G320">
        <v>0</v>
      </c>
      <c r="H320" s="25"/>
      <c r="I320" s="25"/>
      <c r="J320" s="25" t="s">
        <v>300</v>
      </c>
    </row>
    <row r="321" spans="1:10" x14ac:dyDescent="0.25">
      <c r="A321" s="4">
        <v>99</v>
      </c>
      <c r="B321">
        <v>8292</v>
      </c>
      <c r="C321" s="4">
        <v>14308</v>
      </c>
      <c r="D321" t="s">
        <v>7</v>
      </c>
      <c r="E321" s="4">
        <v>0</v>
      </c>
      <c r="F321" s="25">
        <v>43721.468807870369</v>
      </c>
      <c r="G321">
        <v>0</v>
      </c>
      <c r="H321" s="25"/>
      <c r="I321" s="25" t="s">
        <v>333</v>
      </c>
      <c r="J321" s="25" t="s">
        <v>304</v>
      </c>
    </row>
    <row r="322" spans="1:10" x14ac:dyDescent="0.25">
      <c r="A322" s="4">
        <v>31353</v>
      </c>
      <c r="B322">
        <v>1036</v>
      </c>
      <c r="C322" s="4">
        <v>14308</v>
      </c>
      <c r="D322" t="s">
        <v>306</v>
      </c>
      <c r="E322" s="4">
        <v>4</v>
      </c>
      <c r="F322" s="25">
        <v>43720.833344907405</v>
      </c>
      <c r="G322">
        <v>0</v>
      </c>
      <c r="H322" s="25"/>
      <c r="I322" s="25"/>
      <c r="J322" s="25" t="s">
        <v>300</v>
      </c>
    </row>
    <row r="323" spans="1:10" x14ac:dyDescent="0.25">
      <c r="A323" s="4">
        <v>31353</v>
      </c>
      <c r="B323">
        <v>1036</v>
      </c>
      <c r="C323" s="4">
        <v>14308</v>
      </c>
      <c r="D323" t="s">
        <v>306</v>
      </c>
      <c r="E323" s="4">
        <v>3</v>
      </c>
      <c r="F323" s="25">
        <v>43720.791678240741</v>
      </c>
      <c r="G323">
        <v>0</v>
      </c>
      <c r="H323" s="25"/>
      <c r="I323" s="25"/>
      <c r="J323" s="25" t="s">
        <v>300</v>
      </c>
    </row>
    <row r="324" spans="1:10" x14ac:dyDescent="0.25">
      <c r="A324" s="4">
        <v>31353</v>
      </c>
      <c r="B324">
        <v>1036</v>
      </c>
      <c r="C324" s="4">
        <v>14308</v>
      </c>
      <c r="D324" t="s">
        <v>306</v>
      </c>
      <c r="E324" s="4">
        <v>2</v>
      </c>
      <c r="F324" s="25">
        <v>43720.750381944446</v>
      </c>
      <c r="G324">
        <v>0</v>
      </c>
      <c r="H324" s="25"/>
      <c r="I324" s="25"/>
      <c r="J324" s="25" t="s">
        <v>300</v>
      </c>
    </row>
    <row r="325" spans="1:10" x14ac:dyDescent="0.25">
      <c r="A325" s="4">
        <v>31353</v>
      </c>
      <c r="B325">
        <v>1036</v>
      </c>
      <c r="C325" s="4">
        <v>14308</v>
      </c>
      <c r="D325" t="s">
        <v>306</v>
      </c>
      <c r="E325" s="4">
        <v>1</v>
      </c>
      <c r="F325" s="25">
        <v>43720.708298611113</v>
      </c>
      <c r="G325">
        <v>0</v>
      </c>
      <c r="H325" s="25"/>
      <c r="I325" s="25"/>
      <c r="J325" s="25" t="s">
        <v>300</v>
      </c>
    </row>
    <row r="326" spans="1:10" x14ac:dyDescent="0.25">
      <c r="A326" s="4">
        <v>31353</v>
      </c>
      <c r="B326">
        <v>1036</v>
      </c>
      <c r="C326" s="4">
        <v>14308</v>
      </c>
      <c r="D326" t="s">
        <v>306</v>
      </c>
      <c r="E326" s="4">
        <v>0</v>
      </c>
      <c r="F326" s="25">
        <v>43720.702627314815</v>
      </c>
      <c r="G326">
        <v>0</v>
      </c>
      <c r="H326" s="25"/>
      <c r="I326" s="25"/>
      <c r="J326" s="25" t="s">
        <v>300</v>
      </c>
    </row>
    <row r="327" spans="1:10" x14ac:dyDescent="0.25">
      <c r="A327" s="4">
        <v>27558</v>
      </c>
      <c r="B327">
        <v>6844</v>
      </c>
      <c r="C327" s="4">
        <v>14308</v>
      </c>
      <c r="D327" t="s">
        <v>306</v>
      </c>
      <c r="E327" s="4">
        <v>24</v>
      </c>
      <c r="F327" s="25">
        <v>43720.689351851855</v>
      </c>
      <c r="G327">
        <v>0</v>
      </c>
      <c r="H327" s="25"/>
      <c r="I327" s="25"/>
      <c r="J327" s="25" t="s">
        <v>300</v>
      </c>
    </row>
    <row r="328" spans="1:10" x14ac:dyDescent="0.25">
      <c r="A328" s="4">
        <v>27558</v>
      </c>
      <c r="B328">
        <v>6844</v>
      </c>
      <c r="C328" s="4">
        <v>14308</v>
      </c>
      <c r="D328" t="s">
        <v>306</v>
      </c>
      <c r="E328" s="4">
        <v>23</v>
      </c>
      <c r="F328" s="25">
        <v>43720.689340277779</v>
      </c>
      <c r="G328">
        <v>0</v>
      </c>
      <c r="H328" s="25"/>
      <c r="I328" s="25"/>
      <c r="J328" s="25" t="s">
        <v>300</v>
      </c>
    </row>
    <row r="329" spans="1:10" x14ac:dyDescent="0.25">
      <c r="A329" s="4">
        <v>27558</v>
      </c>
      <c r="B329">
        <v>6844</v>
      </c>
      <c r="C329" s="4">
        <v>14308</v>
      </c>
      <c r="D329" t="s">
        <v>306</v>
      </c>
      <c r="E329" s="4">
        <v>21</v>
      </c>
      <c r="F329" s="25">
        <v>43720.689328703702</v>
      </c>
      <c r="G329">
        <v>0</v>
      </c>
      <c r="H329" s="25"/>
      <c r="I329" s="25"/>
      <c r="J329" s="25" t="s">
        <v>300</v>
      </c>
    </row>
    <row r="330" spans="1:10" x14ac:dyDescent="0.25">
      <c r="A330" s="4">
        <v>27558</v>
      </c>
      <c r="B330">
        <v>6844</v>
      </c>
      <c r="C330" s="4">
        <v>14308</v>
      </c>
      <c r="D330" t="s">
        <v>306</v>
      </c>
      <c r="E330" s="4">
        <v>22</v>
      </c>
      <c r="F330" s="25">
        <v>43720.689328703702</v>
      </c>
      <c r="G330">
        <v>0</v>
      </c>
      <c r="H330" s="25"/>
      <c r="I330" s="25"/>
      <c r="J330" s="25" t="s">
        <v>300</v>
      </c>
    </row>
    <row r="331" spans="1:10" x14ac:dyDescent="0.25">
      <c r="A331" s="4">
        <v>27558</v>
      </c>
      <c r="B331">
        <v>6844</v>
      </c>
      <c r="C331" s="4">
        <v>14308</v>
      </c>
      <c r="D331" t="s">
        <v>306</v>
      </c>
      <c r="E331" s="4">
        <v>19</v>
      </c>
      <c r="F331" s="25">
        <v>43720.689317129632</v>
      </c>
      <c r="G331">
        <v>0</v>
      </c>
      <c r="H331" s="25"/>
      <c r="I331" s="25"/>
      <c r="J331" s="25" t="s">
        <v>300</v>
      </c>
    </row>
    <row r="332" spans="1:10" x14ac:dyDescent="0.25">
      <c r="A332" s="4">
        <v>27558</v>
      </c>
      <c r="B332">
        <v>6844</v>
      </c>
      <c r="C332" s="4">
        <v>14308</v>
      </c>
      <c r="D332" t="s">
        <v>306</v>
      </c>
      <c r="E332" s="4">
        <v>20</v>
      </c>
      <c r="F332" s="25">
        <v>43720.689317129632</v>
      </c>
      <c r="G332">
        <v>0</v>
      </c>
      <c r="H332" s="25"/>
      <c r="I332" s="25"/>
      <c r="J332" s="25" t="s">
        <v>300</v>
      </c>
    </row>
    <row r="333" spans="1:10" x14ac:dyDescent="0.25">
      <c r="A333" s="4">
        <v>27558</v>
      </c>
      <c r="B333">
        <v>6844</v>
      </c>
      <c r="C333" s="4">
        <v>14308</v>
      </c>
      <c r="D333" t="s">
        <v>306</v>
      </c>
      <c r="E333" s="4">
        <v>18</v>
      </c>
      <c r="F333" s="25">
        <v>43720.689305555556</v>
      </c>
      <c r="G333">
        <v>0</v>
      </c>
      <c r="H333" s="25"/>
      <c r="I333" s="25"/>
      <c r="J333" s="25" t="s">
        <v>300</v>
      </c>
    </row>
    <row r="334" spans="1:10" x14ac:dyDescent="0.25">
      <c r="A334" s="4">
        <v>27558</v>
      </c>
      <c r="B334">
        <v>6844</v>
      </c>
      <c r="C334" s="4">
        <v>14308</v>
      </c>
      <c r="D334" t="s">
        <v>306</v>
      </c>
      <c r="E334" s="4">
        <v>16</v>
      </c>
      <c r="F334" s="25">
        <v>43720.689293981479</v>
      </c>
      <c r="G334">
        <v>0</v>
      </c>
      <c r="H334" s="25"/>
      <c r="I334" s="25"/>
      <c r="J334" s="25" t="s">
        <v>300</v>
      </c>
    </row>
    <row r="335" spans="1:10" x14ac:dyDescent="0.25">
      <c r="A335" s="4">
        <v>27558</v>
      </c>
      <c r="B335">
        <v>6844</v>
      </c>
      <c r="C335" s="4">
        <v>14308</v>
      </c>
      <c r="D335" t="s">
        <v>306</v>
      </c>
      <c r="E335" s="4">
        <v>17</v>
      </c>
      <c r="F335" s="25">
        <v>43720.689293981479</v>
      </c>
      <c r="G335">
        <v>0</v>
      </c>
      <c r="H335" s="25"/>
      <c r="I335" s="25"/>
      <c r="J335" s="25" t="s">
        <v>300</v>
      </c>
    </row>
    <row r="336" spans="1:10" x14ac:dyDescent="0.25">
      <c r="A336" s="4">
        <v>27558</v>
      </c>
      <c r="B336">
        <v>6844</v>
      </c>
      <c r="C336" s="4">
        <v>14308</v>
      </c>
      <c r="D336" t="s">
        <v>306</v>
      </c>
      <c r="E336" s="4">
        <v>15</v>
      </c>
      <c r="F336" s="25">
        <v>43720.689282407409</v>
      </c>
      <c r="G336">
        <v>0</v>
      </c>
      <c r="H336" s="25"/>
      <c r="I336" s="25"/>
      <c r="J336" s="25" t="s">
        <v>300</v>
      </c>
    </row>
    <row r="337" spans="1:10" x14ac:dyDescent="0.25">
      <c r="A337" s="4">
        <v>27558</v>
      </c>
      <c r="B337">
        <v>6844</v>
      </c>
      <c r="C337" s="4">
        <v>14308</v>
      </c>
      <c r="D337" t="s">
        <v>306</v>
      </c>
      <c r="E337" s="4">
        <v>13</v>
      </c>
      <c r="F337" s="25">
        <v>43720.689270833333</v>
      </c>
      <c r="G337">
        <v>0</v>
      </c>
      <c r="H337" s="25"/>
      <c r="I337" s="25"/>
      <c r="J337" s="25" t="s">
        <v>300</v>
      </c>
    </row>
    <row r="338" spans="1:10" x14ac:dyDescent="0.25">
      <c r="A338" s="4">
        <v>27558</v>
      </c>
      <c r="B338">
        <v>6844</v>
      </c>
      <c r="C338" s="4">
        <v>14308</v>
      </c>
      <c r="D338" t="s">
        <v>306</v>
      </c>
      <c r="E338" s="4">
        <v>14</v>
      </c>
      <c r="F338" s="25">
        <v>43720.689270833333</v>
      </c>
      <c r="G338">
        <v>0</v>
      </c>
      <c r="H338" s="25"/>
      <c r="I338" s="25"/>
      <c r="J338" s="25" t="s">
        <v>300</v>
      </c>
    </row>
    <row r="339" spans="1:10" x14ac:dyDescent="0.25">
      <c r="A339" s="4">
        <v>27558</v>
      </c>
      <c r="B339">
        <v>6844</v>
      </c>
      <c r="C339" s="4">
        <v>14308</v>
      </c>
      <c r="D339" t="s">
        <v>306</v>
      </c>
      <c r="E339" s="4">
        <v>12</v>
      </c>
      <c r="F339" s="25">
        <v>43720.689259259256</v>
      </c>
      <c r="G339">
        <v>0</v>
      </c>
      <c r="H339" s="25"/>
      <c r="I339" s="25"/>
      <c r="J339" s="25" t="s">
        <v>300</v>
      </c>
    </row>
    <row r="340" spans="1:10" x14ac:dyDescent="0.25">
      <c r="A340" s="4">
        <v>27558</v>
      </c>
      <c r="B340">
        <v>6844</v>
      </c>
      <c r="C340" s="4">
        <v>14308</v>
      </c>
      <c r="D340" t="s">
        <v>306</v>
      </c>
      <c r="E340" s="4">
        <v>10</v>
      </c>
      <c r="F340" s="25">
        <v>43720.689247685186</v>
      </c>
      <c r="G340">
        <v>0</v>
      </c>
      <c r="H340" s="25"/>
      <c r="I340" s="25"/>
      <c r="J340" s="25" t="s">
        <v>300</v>
      </c>
    </row>
    <row r="341" spans="1:10" x14ac:dyDescent="0.25">
      <c r="A341" s="4">
        <v>27558</v>
      </c>
      <c r="B341">
        <v>6844</v>
      </c>
      <c r="C341" s="4">
        <v>14308</v>
      </c>
      <c r="D341" t="s">
        <v>306</v>
      </c>
      <c r="E341" s="4">
        <v>11</v>
      </c>
      <c r="F341" s="25">
        <v>43720.689247685186</v>
      </c>
      <c r="G341">
        <v>0</v>
      </c>
      <c r="H341" s="25"/>
      <c r="I341" s="25"/>
      <c r="J341" s="25" t="s">
        <v>300</v>
      </c>
    </row>
    <row r="342" spans="1:10" x14ac:dyDescent="0.25">
      <c r="A342" s="4">
        <v>27558</v>
      </c>
      <c r="B342">
        <v>6844</v>
      </c>
      <c r="C342" s="4">
        <v>14308</v>
      </c>
      <c r="D342" t="s">
        <v>306</v>
      </c>
      <c r="E342" s="4">
        <v>8</v>
      </c>
      <c r="F342" s="25">
        <v>43720.689236111109</v>
      </c>
      <c r="G342">
        <v>0</v>
      </c>
      <c r="H342" s="25"/>
      <c r="I342" s="25"/>
      <c r="J342" s="25" t="s">
        <v>300</v>
      </c>
    </row>
    <row r="343" spans="1:10" x14ac:dyDescent="0.25">
      <c r="A343" s="4">
        <v>27558</v>
      </c>
      <c r="B343">
        <v>6844</v>
      </c>
      <c r="C343" s="4">
        <v>14308</v>
      </c>
      <c r="D343" t="s">
        <v>306</v>
      </c>
      <c r="E343" s="4">
        <v>9</v>
      </c>
      <c r="F343" s="25">
        <v>43720.689236111109</v>
      </c>
      <c r="G343">
        <v>0</v>
      </c>
      <c r="H343" s="25"/>
      <c r="I343" s="25"/>
      <c r="J343" s="25" t="s">
        <v>300</v>
      </c>
    </row>
    <row r="344" spans="1:10" x14ac:dyDescent="0.25">
      <c r="A344" s="4">
        <v>27558</v>
      </c>
      <c r="B344">
        <v>6844</v>
      </c>
      <c r="C344" s="4">
        <v>14308</v>
      </c>
      <c r="D344" t="s">
        <v>306</v>
      </c>
      <c r="E344" s="4">
        <v>7</v>
      </c>
      <c r="F344" s="25">
        <v>43720.68922453704</v>
      </c>
      <c r="G344">
        <v>0</v>
      </c>
      <c r="H344" s="25"/>
      <c r="I344" s="25"/>
      <c r="J344" s="25" t="s">
        <v>300</v>
      </c>
    </row>
    <row r="345" spans="1:10" x14ac:dyDescent="0.25">
      <c r="A345" s="4">
        <v>27558</v>
      </c>
      <c r="B345">
        <v>6844</v>
      </c>
      <c r="C345" s="4">
        <v>14308</v>
      </c>
      <c r="D345" t="s">
        <v>306</v>
      </c>
      <c r="E345" s="4">
        <v>5</v>
      </c>
      <c r="F345" s="25">
        <v>43720.689212962963</v>
      </c>
      <c r="G345">
        <v>0</v>
      </c>
      <c r="H345" s="25"/>
      <c r="I345" s="25"/>
      <c r="J345" s="25" t="s">
        <v>300</v>
      </c>
    </row>
    <row r="346" spans="1:10" x14ac:dyDescent="0.25">
      <c r="A346" s="4">
        <v>27558</v>
      </c>
      <c r="B346">
        <v>6844</v>
      </c>
      <c r="C346" s="4">
        <v>14308</v>
      </c>
      <c r="D346" t="s">
        <v>306</v>
      </c>
      <c r="E346" s="4">
        <v>6</v>
      </c>
      <c r="F346" s="25">
        <v>43720.689212962963</v>
      </c>
      <c r="G346">
        <v>0</v>
      </c>
      <c r="H346" s="25"/>
      <c r="I346" s="25"/>
      <c r="J346" s="25" t="s">
        <v>300</v>
      </c>
    </row>
    <row r="347" spans="1:10" x14ac:dyDescent="0.25">
      <c r="A347" s="4">
        <v>27558</v>
      </c>
      <c r="B347">
        <v>6844</v>
      </c>
      <c r="C347" s="4">
        <v>14308</v>
      </c>
      <c r="D347" t="s">
        <v>306</v>
      </c>
      <c r="E347" s="4">
        <v>4</v>
      </c>
      <c r="F347" s="25">
        <v>43720.689201388886</v>
      </c>
      <c r="G347">
        <v>0</v>
      </c>
      <c r="H347" s="25"/>
      <c r="I347" s="25"/>
      <c r="J347" s="25" t="s">
        <v>300</v>
      </c>
    </row>
    <row r="348" spans="1:10" x14ac:dyDescent="0.25">
      <c r="A348" s="4">
        <v>27558</v>
      </c>
      <c r="B348">
        <v>6844</v>
      </c>
      <c r="C348" s="4">
        <v>14308</v>
      </c>
      <c r="D348" t="s">
        <v>306</v>
      </c>
      <c r="E348" s="4">
        <v>2</v>
      </c>
      <c r="F348" s="25">
        <v>43720.689189814817</v>
      </c>
      <c r="G348">
        <v>0</v>
      </c>
      <c r="H348" s="25"/>
      <c r="I348" s="25"/>
      <c r="J348" s="25" t="s">
        <v>300</v>
      </c>
    </row>
    <row r="349" spans="1:10" x14ac:dyDescent="0.25">
      <c r="A349" s="4">
        <v>27558</v>
      </c>
      <c r="B349">
        <v>6844</v>
      </c>
      <c r="C349" s="4">
        <v>14308</v>
      </c>
      <c r="D349" t="s">
        <v>306</v>
      </c>
      <c r="E349" s="4">
        <v>3</v>
      </c>
      <c r="F349" s="25">
        <v>43720.689189814817</v>
      </c>
      <c r="G349">
        <v>0</v>
      </c>
      <c r="H349" s="25"/>
      <c r="I349" s="25"/>
      <c r="J349" s="25" t="s">
        <v>300</v>
      </c>
    </row>
    <row r="350" spans="1:10" x14ac:dyDescent="0.25">
      <c r="A350" s="4">
        <v>27558</v>
      </c>
      <c r="B350">
        <v>6844</v>
      </c>
      <c r="C350" s="4">
        <v>14308</v>
      </c>
      <c r="D350" t="s">
        <v>306</v>
      </c>
      <c r="E350" s="4">
        <v>1</v>
      </c>
      <c r="F350" s="25">
        <v>43720.68917824074</v>
      </c>
      <c r="G350">
        <v>0</v>
      </c>
      <c r="H350" s="25"/>
      <c r="I350" s="25"/>
      <c r="J350" s="25" t="s">
        <v>300</v>
      </c>
    </row>
    <row r="351" spans="1:10" x14ac:dyDescent="0.25">
      <c r="A351" s="4">
        <v>27558</v>
      </c>
      <c r="B351">
        <v>6844</v>
      </c>
      <c r="C351" s="4">
        <v>14308</v>
      </c>
      <c r="D351" t="s">
        <v>306</v>
      </c>
      <c r="E351" s="4">
        <v>0</v>
      </c>
      <c r="F351" s="25">
        <v>43720.689166666663</v>
      </c>
      <c r="G351">
        <v>0</v>
      </c>
      <c r="H351" s="25"/>
      <c r="I351" s="25"/>
      <c r="J351" s="25" t="s">
        <v>300</v>
      </c>
    </row>
    <row r="352" spans="1:10" x14ac:dyDescent="0.25">
      <c r="A352" s="4">
        <v>25008</v>
      </c>
      <c r="B352">
        <v>10648</v>
      </c>
      <c r="C352" s="4">
        <v>14308</v>
      </c>
      <c r="D352" t="s">
        <v>306</v>
      </c>
      <c r="E352" s="4">
        <v>0</v>
      </c>
      <c r="F352" s="25">
        <v>43720.680138888885</v>
      </c>
      <c r="G352">
        <v>0</v>
      </c>
      <c r="H352" s="25"/>
      <c r="I352" s="25"/>
      <c r="J352" s="25" t="s">
        <v>300</v>
      </c>
    </row>
    <row r="353" spans="1:10" x14ac:dyDescent="0.25">
      <c r="A353" s="4">
        <v>23029</v>
      </c>
      <c r="B353">
        <v>7636</v>
      </c>
      <c r="C353" s="4">
        <v>14308</v>
      </c>
      <c r="D353" t="s">
        <v>306</v>
      </c>
      <c r="E353" s="4">
        <v>24</v>
      </c>
      <c r="F353" s="25">
        <v>43720.673298611109</v>
      </c>
      <c r="G353">
        <v>0</v>
      </c>
      <c r="H353" s="25"/>
      <c r="I353" s="25"/>
      <c r="J353" s="25" t="s">
        <v>300</v>
      </c>
    </row>
    <row r="354" spans="1:10" x14ac:dyDescent="0.25">
      <c r="A354" s="4">
        <v>23029</v>
      </c>
      <c r="B354">
        <v>7636</v>
      </c>
      <c r="C354" s="4">
        <v>14308</v>
      </c>
      <c r="D354" t="s">
        <v>306</v>
      </c>
      <c r="E354" s="4">
        <v>22</v>
      </c>
      <c r="F354" s="25">
        <v>43720.67328703704</v>
      </c>
      <c r="G354">
        <v>0</v>
      </c>
      <c r="H354" s="25"/>
      <c r="I354" s="25"/>
      <c r="J354" s="25" t="s">
        <v>300</v>
      </c>
    </row>
    <row r="355" spans="1:10" x14ac:dyDescent="0.25">
      <c r="A355" s="4">
        <v>23029</v>
      </c>
      <c r="B355">
        <v>7636</v>
      </c>
      <c r="C355" s="4">
        <v>14308</v>
      </c>
      <c r="D355" t="s">
        <v>306</v>
      </c>
      <c r="E355" s="4">
        <v>23</v>
      </c>
      <c r="F355" s="25">
        <v>43720.67328703704</v>
      </c>
      <c r="G355">
        <v>0</v>
      </c>
      <c r="H355" s="25"/>
      <c r="I355" s="25"/>
      <c r="J355" s="25" t="s">
        <v>300</v>
      </c>
    </row>
    <row r="356" spans="1:10" x14ac:dyDescent="0.25">
      <c r="A356" s="4">
        <v>23029</v>
      </c>
      <c r="B356">
        <v>7636</v>
      </c>
      <c r="C356" s="4">
        <v>14308</v>
      </c>
      <c r="D356" t="s">
        <v>306</v>
      </c>
      <c r="E356" s="4">
        <v>21</v>
      </c>
      <c r="F356" s="25">
        <v>43720.673275462963</v>
      </c>
      <c r="G356">
        <v>0</v>
      </c>
      <c r="H356" s="25"/>
      <c r="I356" s="25"/>
      <c r="J356" s="25" t="s">
        <v>300</v>
      </c>
    </row>
    <row r="357" spans="1:10" x14ac:dyDescent="0.25">
      <c r="A357" s="4">
        <v>23029</v>
      </c>
      <c r="B357">
        <v>7636</v>
      </c>
      <c r="C357" s="4">
        <v>14308</v>
      </c>
      <c r="D357" t="s">
        <v>306</v>
      </c>
      <c r="E357" s="4">
        <v>19</v>
      </c>
      <c r="F357" s="25">
        <v>43720.673263888886</v>
      </c>
      <c r="G357">
        <v>0</v>
      </c>
      <c r="H357" s="25"/>
      <c r="I357" s="25"/>
      <c r="J357" s="25" t="s">
        <v>300</v>
      </c>
    </row>
    <row r="358" spans="1:10" x14ac:dyDescent="0.25">
      <c r="A358" s="4">
        <v>23029</v>
      </c>
      <c r="B358">
        <v>7636</v>
      </c>
      <c r="C358" s="4">
        <v>14308</v>
      </c>
      <c r="D358" t="s">
        <v>306</v>
      </c>
      <c r="E358" s="4">
        <v>20</v>
      </c>
      <c r="F358" s="25">
        <v>43720.673263888886</v>
      </c>
      <c r="G358">
        <v>0</v>
      </c>
      <c r="H358" s="25"/>
      <c r="I358" s="25"/>
      <c r="J358" s="25" t="s">
        <v>300</v>
      </c>
    </row>
    <row r="359" spans="1:10" x14ac:dyDescent="0.25">
      <c r="A359" s="4">
        <v>23029</v>
      </c>
      <c r="B359">
        <v>7636</v>
      </c>
      <c r="C359" s="4">
        <v>14308</v>
      </c>
      <c r="D359" t="s">
        <v>306</v>
      </c>
      <c r="E359" s="4">
        <v>18</v>
      </c>
      <c r="F359" s="25">
        <v>43720.673252314817</v>
      </c>
      <c r="G359">
        <v>0</v>
      </c>
      <c r="H359" s="25"/>
      <c r="I359" s="25"/>
      <c r="J359" s="25" t="s">
        <v>300</v>
      </c>
    </row>
    <row r="360" spans="1:10" x14ac:dyDescent="0.25">
      <c r="A360" s="4">
        <v>23029</v>
      </c>
      <c r="B360">
        <v>7636</v>
      </c>
      <c r="C360" s="4">
        <v>14308</v>
      </c>
      <c r="D360" t="s">
        <v>306</v>
      </c>
      <c r="E360" s="4">
        <v>16</v>
      </c>
      <c r="F360" s="25">
        <v>43720.67324074074</v>
      </c>
      <c r="G360">
        <v>0</v>
      </c>
      <c r="H360" s="25"/>
      <c r="I360" s="25"/>
      <c r="J360" s="25" t="s">
        <v>300</v>
      </c>
    </row>
    <row r="361" spans="1:10" x14ac:dyDescent="0.25">
      <c r="A361" s="4">
        <v>23029</v>
      </c>
      <c r="B361">
        <v>7636</v>
      </c>
      <c r="C361" s="4">
        <v>14308</v>
      </c>
      <c r="D361" t="s">
        <v>306</v>
      </c>
      <c r="E361" s="4">
        <v>17</v>
      </c>
      <c r="F361" s="25">
        <v>43720.67324074074</v>
      </c>
      <c r="G361">
        <v>0</v>
      </c>
      <c r="H361" s="25"/>
      <c r="I361" s="25"/>
      <c r="J361" s="25" t="s">
        <v>300</v>
      </c>
    </row>
    <row r="362" spans="1:10" x14ac:dyDescent="0.25">
      <c r="A362" s="4">
        <v>23029</v>
      </c>
      <c r="B362">
        <v>7636</v>
      </c>
      <c r="C362" s="4">
        <v>14308</v>
      </c>
      <c r="D362" t="s">
        <v>306</v>
      </c>
      <c r="E362" s="4">
        <v>15</v>
      </c>
      <c r="F362" s="25">
        <v>43720.673229166663</v>
      </c>
      <c r="G362">
        <v>0</v>
      </c>
      <c r="H362" s="25"/>
      <c r="I362" s="25"/>
      <c r="J362" s="25" t="s">
        <v>300</v>
      </c>
    </row>
    <row r="363" spans="1:10" x14ac:dyDescent="0.25">
      <c r="A363" s="4">
        <v>23029</v>
      </c>
      <c r="B363">
        <v>7636</v>
      </c>
      <c r="C363" s="4">
        <v>14308</v>
      </c>
      <c r="D363" t="s">
        <v>306</v>
      </c>
      <c r="E363" s="4">
        <v>13</v>
      </c>
      <c r="F363" s="25">
        <v>43720.673217592594</v>
      </c>
      <c r="G363">
        <v>0</v>
      </c>
      <c r="H363" s="25"/>
      <c r="I363" s="25"/>
      <c r="J363" s="25" t="s">
        <v>300</v>
      </c>
    </row>
    <row r="364" spans="1:10" x14ac:dyDescent="0.25">
      <c r="A364" s="4">
        <v>23029</v>
      </c>
      <c r="B364">
        <v>7636</v>
      </c>
      <c r="C364" s="4">
        <v>14308</v>
      </c>
      <c r="D364" t="s">
        <v>306</v>
      </c>
      <c r="E364" s="4">
        <v>14</v>
      </c>
      <c r="F364" s="25">
        <v>43720.673217592594</v>
      </c>
      <c r="G364">
        <v>0</v>
      </c>
      <c r="H364" s="25"/>
      <c r="I364" s="25"/>
      <c r="J364" s="25" t="s">
        <v>300</v>
      </c>
    </row>
    <row r="365" spans="1:10" x14ac:dyDescent="0.25">
      <c r="A365" s="4">
        <v>23029</v>
      </c>
      <c r="B365">
        <v>7636</v>
      </c>
      <c r="C365" s="4">
        <v>14308</v>
      </c>
      <c r="D365" t="s">
        <v>306</v>
      </c>
      <c r="E365" s="4">
        <v>12</v>
      </c>
      <c r="F365" s="25">
        <v>43720.673206018517</v>
      </c>
      <c r="G365">
        <v>0</v>
      </c>
      <c r="H365" s="25"/>
      <c r="I365" s="25"/>
      <c r="J365" s="25" t="s">
        <v>300</v>
      </c>
    </row>
    <row r="366" spans="1:10" x14ac:dyDescent="0.25">
      <c r="A366" s="4">
        <v>23029</v>
      </c>
      <c r="B366">
        <v>7636</v>
      </c>
      <c r="C366" s="4">
        <v>14308</v>
      </c>
      <c r="D366" t="s">
        <v>306</v>
      </c>
      <c r="E366" s="4">
        <v>10</v>
      </c>
      <c r="F366" s="25">
        <v>43720.673194444447</v>
      </c>
      <c r="G366">
        <v>0</v>
      </c>
      <c r="H366" s="25"/>
      <c r="I366" s="25"/>
      <c r="J366" s="25" t="s">
        <v>300</v>
      </c>
    </row>
    <row r="367" spans="1:10" x14ac:dyDescent="0.25">
      <c r="A367" s="4">
        <v>23029</v>
      </c>
      <c r="B367">
        <v>7636</v>
      </c>
      <c r="C367" s="4">
        <v>14308</v>
      </c>
      <c r="D367" t="s">
        <v>306</v>
      </c>
      <c r="E367" s="4">
        <v>11</v>
      </c>
      <c r="F367" s="25">
        <v>43720.673194444447</v>
      </c>
      <c r="G367">
        <v>0</v>
      </c>
      <c r="H367" s="25"/>
      <c r="I367" s="25"/>
      <c r="J367" s="25" t="s">
        <v>300</v>
      </c>
    </row>
    <row r="368" spans="1:10" x14ac:dyDescent="0.25">
      <c r="A368" s="4">
        <v>23029</v>
      </c>
      <c r="B368">
        <v>7636</v>
      </c>
      <c r="C368" s="4">
        <v>14308</v>
      </c>
      <c r="D368" t="s">
        <v>306</v>
      </c>
      <c r="E368" s="4">
        <v>8</v>
      </c>
      <c r="F368" s="25">
        <v>43720.673182870371</v>
      </c>
      <c r="G368">
        <v>0</v>
      </c>
      <c r="H368" s="25"/>
      <c r="I368" s="25"/>
      <c r="J368" s="25" t="s">
        <v>300</v>
      </c>
    </row>
    <row r="369" spans="1:10" x14ac:dyDescent="0.25">
      <c r="A369" s="4">
        <v>23029</v>
      </c>
      <c r="B369">
        <v>7636</v>
      </c>
      <c r="C369" s="4">
        <v>14308</v>
      </c>
      <c r="D369" t="s">
        <v>306</v>
      </c>
      <c r="E369" s="4">
        <v>9</v>
      </c>
      <c r="F369" s="25">
        <v>43720.673182870371</v>
      </c>
      <c r="G369">
        <v>0</v>
      </c>
      <c r="H369" s="25"/>
      <c r="I369" s="25"/>
      <c r="J369" s="25" t="s">
        <v>300</v>
      </c>
    </row>
    <row r="370" spans="1:10" x14ac:dyDescent="0.25">
      <c r="A370" s="4">
        <v>23029</v>
      </c>
      <c r="B370">
        <v>7636</v>
      </c>
      <c r="C370" s="4">
        <v>14308</v>
      </c>
      <c r="D370" t="s">
        <v>306</v>
      </c>
      <c r="E370" s="4">
        <v>7</v>
      </c>
      <c r="F370" s="25">
        <v>43720.673171296294</v>
      </c>
      <c r="G370">
        <v>0</v>
      </c>
      <c r="H370" s="25"/>
      <c r="I370" s="25"/>
      <c r="J370" s="25" t="s">
        <v>300</v>
      </c>
    </row>
    <row r="371" spans="1:10" x14ac:dyDescent="0.25">
      <c r="A371" s="4">
        <v>23029</v>
      </c>
      <c r="B371">
        <v>7636</v>
      </c>
      <c r="C371" s="4">
        <v>14308</v>
      </c>
      <c r="D371" t="s">
        <v>306</v>
      </c>
      <c r="E371" s="4">
        <v>5</v>
      </c>
      <c r="F371" s="25">
        <v>43720.673159722224</v>
      </c>
      <c r="G371">
        <v>0</v>
      </c>
      <c r="H371" s="25"/>
      <c r="I371" s="25"/>
      <c r="J371" s="25" t="s">
        <v>300</v>
      </c>
    </row>
    <row r="372" spans="1:10" x14ac:dyDescent="0.25">
      <c r="A372" s="4">
        <v>23029</v>
      </c>
      <c r="B372">
        <v>7636</v>
      </c>
      <c r="C372" s="4">
        <v>14308</v>
      </c>
      <c r="D372" t="s">
        <v>306</v>
      </c>
      <c r="E372" s="4">
        <v>6</v>
      </c>
      <c r="F372" s="25">
        <v>43720.673159722224</v>
      </c>
      <c r="G372">
        <v>0</v>
      </c>
      <c r="H372" s="25"/>
      <c r="I372" s="25"/>
      <c r="J372" s="25" t="s">
        <v>300</v>
      </c>
    </row>
    <row r="373" spans="1:10" x14ac:dyDescent="0.25">
      <c r="A373" s="4">
        <v>23029</v>
      </c>
      <c r="B373">
        <v>7636</v>
      </c>
      <c r="C373" s="4">
        <v>14308</v>
      </c>
      <c r="D373" t="s">
        <v>306</v>
      </c>
      <c r="E373" s="4">
        <v>4</v>
      </c>
      <c r="F373" s="25">
        <v>43720.673148148147</v>
      </c>
      <c r="G373">
        <v>0</v>
      </c>
      <c r="H373" s="25"/>
      <c r="I373" s="25"/>
      <c r="J373" s="25" t="s">
        <v>300</v>
      </c>
    </row>
    <row r="374" spans="1:10" x14ac:dyDescent="0.25">
      <c r="A374" s="4">
        <v>23029</v>
      </c>
      <c r="B374">
        <v>7636</v>
      </c>
      <c r="C374" s="4">
        <v>14308</v>
      </c>
      <c r="D374" t="s">
        <v>306</v>
      </c>
      <c r="E374" s="4">
        <v>2</v>
      </c>
      <c r="F374" s="25">
        <v>43720.673136574071</v>
      </c>
      <c r="G374">
        <v>0</v>
      </c>
      <c r="H374" s="25"/>
      <c r="I374" s="25"/>
      <c r="J374" s="25" t="s">
        <v>300</v>
      </c>
    </row>
    <row r="375" spans="1:10" x14ac:dyDescent="0.25">
      <c r="A375" s="4">
        <v>23029</v>
      </c>
      <c r="B375">
        <v>7636</v>
      </c>
      <c r="C375" s="4">
        <v>14308</v>
      </c>
      <c r="D375" t="s">
        <v>306</v>
      </c>
      <c r="E375" s="4">
        <v>3</v>
      </c>
      <c r="F375" s="25">
        <v>43720.673136574071</v>
      </c>
      <c r="G375">
        <v>0</v>
      </c>
      <c r="H375" s="25"/>
      <c r="I375" s="25"/>
      <c r="J375" s="25" t="s">
        <v>300</v>
      </c>
    </row>
    <row r="376" spans="1:10" x14ac:dyDescent="0.25">
      <c r="A376" s="4">
        <v>23029</v>
      </c>
      <c r="B376">
        <v>7636</v>
      </c>
      <c r="C376" s="4">
        <v>14308</v>
      </c>
      <c r="D376" t="s">
        <v>306</v>
      </c>
      <c r="E376" s="4">
        <v>0</v>
      </c>
      <c r="F376" s="25">
        <v>43720.673125000001</v>
      </c>
      <c r="G376">
        <v>0</v>
      </c>
      <c r="H376" s="25"/>
      <c r="I376" s="25"/>
      <c r="J376" s="25" t="s">
        <v>300</v>
      </c>
    </row>
    <row r="377" spans="1:10" x14ac:dyDescent="0.25">
      <c r="A377" s="4">
        <v>23029</v>
      </c>
      <c r="B377">
        <v>7636</v>
      </c>
      <c r="C377" s="4">
        <v>14308</v>
      </c>
      <c r="D377" t="s">
        <v>306</v>
      </c>
      <c r="E377" s="4">
        <v>1</v>
      </c>
      <c r="F377" s="25">
        <v>43720.673125000001</v>
      </c>
      <c r="G377">
        <v>0</v>
      </c>
      <c r="H377" s="25"/>
      <c r="I377" s="25"/>
      <c r="J377" s="25" t="s">
        <v>300</v>
      </c>
    </row>
    <row r="378" spans="1:10" x14ac:dyDescent="0.25">
      <c r="A378" s="4">
        <v>23921</v>
      </c>
      <c r="B378">
        <v>11594</v>
      </c>
      <c r="C378" s="4">
        <v>14308</v>
      </c>
      <c r="D378" t="s">
        <v>306</v>
      </c>
      <c r="E378" s="4">
        <v>0</v>
      </c>
      <c r="F378" s="25">
        <v>43719.980497685188</v>
      </c>
      <c r="G378">
        <v>0</v>
      </c>
      <c r="H378" s="25"/>
      <c r="I378" s="25"/>
      <c r="J378" s="25" t="s">
        <v>300</v>
      </c>
    </row>
    <row r="379" spans="1:10" x14ac:dyDescent="0.25">
      <c r="A379" s="4">
        <v>21224</v>
      </c>
      <c r="B379">
        <v>11595</v>
      </c>
      <c r="C379" s="4">
        <v>14308</v>
      </c>
      <c r="D379" t="s">
        <v>306</v>
      </c>
      <c r="E379" s="4">
        <v>0</v>
      </c>
      <c r="F379" s="25">
        <v>43719.978576388887</v>
      </c>
      <c r="G379">
        <v>0</v>
      </c>
      <c r="H379" s="25"/>
      <c r="I379" s="25"/>
      <c r="J379" s="25" t="s">
        <v>300</v>
      </c>
    </row>
    <row r="380" spans="1:10" x14ac:dyDescent="0.25">
      <c r="A380" s="4">
        <v>18102</v>
      </c>
      <c r="B380">
        <v>11596</v>
      </c>
      <c r="C380" s="4">
        <v>14308</v>
      </c>
      <c r="D380" t="s">
        <v>306</v>
      </c>
      <c r="E380" s="4">
        <v>0</v>
      </c>
      <c r="F380" s="25">
        <v>43719.969363425924</v>
      </c>
      <c r="G380">
        <v>0</v>
      </c>
      <c r="H380" s="25"/>
      <c r="I380" s="25"/>
      <c r="J380" s="25" t="s">
        <v>300</v>
      </c>
    </row>
    <row r="381" spans="1:10" x14ac:dyDescent="0.25">
      <c r="A381" s="4">
        <v>28895</v>
      </c>
      <c r="B381">
        <v>13892</v>
      </c>
      <c r="C381" s="4">
        <v>14308</v>
      </c>
      <c r="D381" t="s">
        <v>306</v>
      </c>
      <c r="E381" s="4">
        <v>24</v>
      </c>
      <c r="F381" s="25">
        <v>43719.649016203701</v>
      </c>
      <c r="G381">
        <v>0</v>
      </c>
      <c r="H381" s="25"/>
      <c r="I381" s="25"/>
      <c r="J381" s="25" t="s">
        <v>300</v>
      </c>
    </row>
    <row r="382" spans="1:10" x14ac:dyDescent="0.25">
      <c r="A382" s="4">
        <v>28895</v>
      </c>
      <c r="B382">
        <v>13892</v>
      </c>
      <c r="C382" s="4">
        <v>14308</v>
      </c>
      <c r="D382" t="s">
        <v>306</v>
      </c>
      <c r="E382" s="4">
        <v>23</v>
      </c>
      <c r="F382" s="25">
        <v>43719.649004629631</v>
      </c>
      <c r="G382">
        <v>0</v>
      </c>
      <c r="H382" s="25"/>
      <c r="I382" s="25"/>
      <c r="J382" s="25" t="s">
        <v>300</v>
      </c>
    </row>
    <row r="383" spans="1:10" x14ac:dyDescent="0.25">
      <c r="A383" s="4">
        <v>28895</v>
      </c>
      <c r="B383">
        <v>13892</v>
      </c>
      <c r="C383" s="4">
        <v>14308</v>
      </c>
      <c r="D383" t="s">
        <v>306</v>
      </c>
      <c r="E383" s="4">
        <v>21</v>
      </c>
      <c r="F383" s="25">
        <v>43719.648993055554</v>
      </c>
      <c r="G383">
        <v>0</v>
      </c>
      <c r="H383" s="25"/>
      <c r="I383" s="25"/>
      <c r="J383" s="25" t="s">
        <v>300</v>
      </c>
    </row>
    <row r="384" spans="1:10" x14ac:dyDescent="0.25">
      <c r="A384" s="4">
        <v>28895</v>
      </c>
      <c r="B384">
        <v>13892</v>
      </c>
      <c r="C384" s="4">
        <v>14308</v>
      </c>
      <c r="D384" t="s">
        <v>306</v>
      </c>
      <c r="E384" s="4">
        <v>22</v>
      </c>
      <c r="F384" s="25">
        <v>43719.648993055554</v>
      </c>
      <c r="G384">
        <v>0</v>
      </c>
      <c r="H384" s="25"/>
      <c r="I384" s="25"/>
      <c r="J384" s="25" t="s">
        <v>300</v>
      </c>
    </row>
    <row r="385" spans="1:10" x14ac:dyDescent="0.25">
      <c r="A385" s="4">
        <v>28895</v>
      </c>
      <c r="B385">
        <v>13892</v>
      </c>
      <c r="C385" s="4">
        <v>14308</v>
      </c>
      <c r="D385" t="s">
        <v>306</v>
      </c>
      <c r="E385" s="4">
        <v>20</v>
      </c>
      <c r="F385" s="25">
        <v>43719.648981481485</v>
      </c>
      <c r="G385">
        <v>0</v>
      </c>
      <c r="H385" s="25"/>
      <c r="I385" s="25"/>
      <c r="J385" s="25" t="s">
        <v>300</v>
      </c>
    </row>
    <row r="386" spans="1:10" x14ac:dyDescent="0.25">
      <c r="A386" s="4">
        <v>28895</v>
      </c>
      <c r="B386">
        <v>13892</v>
      </c>
      <c r="C386" s="4">
        <v>14308</v>
      </c>
      <c r="D386" t="s">
        <v>306</v>
      </c>
      <c r="E386" s="4">
        <v>18</v>
      </c>
      <c r="F386" s="25">
        <v>43719.648969907408</v>
      </c>
      <c r="G386">
        <v>0</v>
      </c>
      <c r="H386" s="25"/>
      <c r="I386" s="25"/>
      <c r="J386" s="25" t="s">
        <v>300</v>
      </c>
    </row>
    <row r="387" spans="1:10" x14ac:dyDescent="0.25">
      <c r="A387" s="4">
        <v>28895</v>
      </c>
      <c r="B387">
        <v>13892</v>
      </c>
      <c r="C387" s="4">
        <v>14308</v>
      </c>
      <c r="D387" t="s">
        <v>306</v>
      </c>
      <c r="E387" s="4">
        <v>19</v>
      </c>
      <c r="F387" s="25">
        <v>43719.648969907408</v>
      </c>
      <c r="G387">
        <v>0</v>
      </c>
      <c r="H387" s="25"/>
      <c r="I387" s="25"/>
      <c r="J387" s="25" t="s">
        <v>300</v>
      </c>
    </row>
    <row r="388" spans="1:10" x14ac:dyDescent="0.25">
      <c r="A388" s="4">
        <v>28895</v>
      </c>
      <c r="B388">
        <v>13892</v>
      </c>
      <c r="C388" s="4">
        <v>14308</v>
      </c>
      <c r="D388" t="s">
        <v>306</v>
      </c>
      <c r="E388" s="4">
        <v>17</v>
      </c>
      <c r="F388" s="25">
        <v>43719.648958333331</v>
      </c>
      <c r="G388">
        <v>0</v>
      </c>
      <c r="H388" s="25"/>
      <c r="I388" s="25"/>
      <c r="J388" s="25" t="s">
        <v>300</v>
      </c>
    </row>
    <row r="389" spans="1:10" x14ac:dyDescent="0.25">
      <c r="A389" s="4">
        <v>28895</v>
      </c>
      <c r="B389">
        <v>13892</v>
      </c>
      <c r="C389" s="4">
        <v>14308</v>
      </c>
      <c r="D389" t="s">
        <v>306</v>
      </c>
      <c r="E389" s="4">
        <v>15</v>
      </c>
      <c r="F389" s="25">
        <v>43719.648946759262</v>
      </c>
      <c r="G389">
        <v>0</v>
      </c>
      <c r="H389" s="25"/>
      <c r="I389" s="25"/>
      <c r="J389" s="25" t="s">
        <v>300</v>
      </c>
    </row>
    <row r="390" spans="1:10" x14ac:dyDescent="0.25">
      <c r="A390" s="4">
        <v>28895</v>
      </c>
      <c r="B390">
        <v>13892</v>
      </c>
      <c r="C390" s="4">
        <v>14308</v>
      </c>
      <c r="D390" t="s">
        <v>306</v>
      </c>
      <c r="E390" s="4">
        <v>16</v>
      </c>
      <c r="F390" s="25">
        <v>43719.648946759262</v>
      </c>
      <c r="G390">
        <v>0</v>
      </c>
      <c r="H390" s="25"/>
      <c r="I390" s="25"/>
      <c r="J390" s="25" t="s">
        <v>300</v>
      </c>
    </row>
    <row r="391" spans="1:10" x14ac:dyDescent="0.25">
      <c r="A391" s="4">
        <v>28895</v>
      </c>
      <c r="B391">
        <v>13892</v>
      </c>
      <c r="C391" s="4">
        <v>14308</v>
      </c>
      <c r="D391" t="s">
        <v>306</v>
      </c>
      <c r="E391" s="4">
        <v>13</v>
      </c>
      <c r="F391" s="25">
        <v>43719.648935185185</v>
      </c>
      <c r="G391">
        <v>0</v>
      </c>
      <c r="H391" s="25"/>
      <c r="I391" s="25"/>
      <c r="J391" s="25" t="s">
        <v>300</v>
      </c>
    </row>
    <row r="392" spans="1:10" x14ac:dyDescent="0.25">
      <c r="A392" s="4">
        <v>28895</v>
      </c>
      <c r="B392">
        <v>13892</v>
      </c>
      <c r="C392" s="4">
        <v>14308</v>
      </c>
      <c r="D392" t="s">
        <v>306</v>
      </c>
      <c r="E392" s="4">
        <v>14</v>
      </c>
      <c r="F392" s="25">
        <v>43719.648935185185</v>
      </c>
      <c r="G392">
        <v>0</v>
      </c>
      <c r="H392" s="25"/>
      <c r="I392" s="25"/>
      <c r="J392" s="25" t="s">
        <v>300</v>
      </c>
    </row>
    <row r="393" spans="1:10" x14ac:dyDescent="0.25">
      <c r="A393" s="4">
        <v>28895</v>
      </c>
      <c r="B393">
        <v>13892</v>
      </c>
      <c r="C393" s="4">
        <v>14308</v>
      </c>
      <c r="D393" t="s">
        <v>306</v>
      </c>
      <c r="E393" s="4">
        <v>12</v>
      </c>
      <c r="F393" s="25">
        <v>43719.648923611108</v>
      </c>
      <c r="G393">
        <v>0</v>
      </c>
      <c r="H393" s="25"/>
      <c r="I393" s="25"/>
      <c r="J393" s="25" t="s">
        <v>300</v>
      </c>
    </row>
    <row r="394" spans="1:10" x14ac:dyDescent="0.25">
      <c r="A394" s="4">
        <v>28895</v>
      </c>
      <c r="B394">
        <v>13892</v>
      </c>
      <c r="C394" s="4">
        <v>14308</v>
      </c>
      <c r="D394" t="s">
        <v>306</v>
      </c>
      <c r="E394" s="4">
        <v>10</v>
      </c>
      <c r="F394" s="25">
        <v>43719.648912037039</v>
      </c>
      <c r="G394">
        <v>0</v>
      </c>
      <c r="H394" s="25"/>
      <c r="I394" s="25"/>
      <c r="J394" s="25" t="s">
        <v>300</v>
      </c>
    </row>
    <row r="395" spans="1:10" x14ac:dyDescent="0.25">
      <c r="A395" s="4">
        <v>28895</v>
      </c>
      <c r="B395">
        <v>13892</v>
      </c>
      <c r="C395" s="4">
        <v>14308</v>
      </c>
      <c r="D395" t="s">
        <v>306</v>
      </c>
      <c r="E395" s="4">
        <v>11</v>
      </c>
      <c r="F395" s="25">
        <v>43719.648912037039</v>
      </c>
      <c r="G395">
        <v>0</v>
      </c>
      <c r="H395" s="25"/>
      <c r="I395" s="25"/>
      <c r="J395" s="25" t="s">
        <v>300</v>
      </c>
    </row>
    <row r="396" spans="1:10" x14ac:dyDescent="0.25">
      <c r="A396" s="4">
        <v>28895</v>
      </c>
      <c r="B396">
        <v>13892</v>
      </c>
      <c r="C396" s="4">
        <v>14308</v>
      </c>
      <c r="D396" t="s">
        <v>306</v>
      </c>
      <c r="E396" s="4">
        <v>9</v>
      </c>
      <c r="F396" s="25">
        <v>43719.648900462962</v>
      </c>
      <c r="G396">
        <v>0</v>
      </c>
      <c r="H396" s="25"/>
      <c r="I396" s="25"/>
      <c r="J396" s="25" t="s">
        <v>300</v>
      </c>
    </row>
    <row r="397" spans="1:10" x14ac:dyDescent="0.25">
      <c r="A397" s="4">
        <v>28895</v>
      </c>
      <c r="B397">
        <v>13892</v>
      </c>
      <c r="C397" s="4">
        <v>14308</v>
      </c>
      <c r="D397" t="s">
        <v>306</v>
      </c>
      <c r="E397" s="4">
        <v>7</v>
      </c>
      <c r="F397" s="25">
        <v>43719.648888888885</v>
      </c>
      <c r="G397">
        <v>0</v>
      </c>
      <c r="H397" s="25"/>
      <c r="I397" s="25"/>
      <c r="J397" s="25" t="s">
        <v>300</v>
      </c>
    </row>
    <row r="398" spans="1:10" x14ac:dyDescent="0.25">
      <c r="A398" s="4">
        <v>28895</v>
      </c>
      <c r="B398">
        <v>13892</v>
      </c>
      <c r="C398" s="4">
        <v>14308</v>
      </c>
      <c r="D398" t="s">
        <v>306</v>
      </c>
      <c r="E398" s="4">
        <v>8</v>
      </c>
      <c r="F398" s="25">
        <v>43719.648888888885</v>
      </c>
      <c r="G398">
        <v>0</v>
      </c>
      <c r="H398" s="25"/>
      <c r="I398" s="25"/>
      <c r="J398" s="25" t="s">
        <v>300</v>
      </c>
    </row>
    <row r="399" spans="1:10" x14ac:dyDescent="0.25">
      <c r="A399" s="4">
        <v>28895</v>
      </c>
      <c r="B399">
        <v>13892</v>
      </c>
      <c r="C399" s="4">
        <v>14308</v>
      </c>
      <c r="D399" t="s">
        <v>306</v>
      </c>
      <c r="E399" s="4">
        <v>6</v>
      </c>
      <c r="F399" s="25">
        <v>43719.648877314816</v>
      </c>
      <c r="G399">
        <v>0</v>
      </c>
      <c r="H399" s="25"/>
      <c r="I399" s="25"/>
      <c r="J399" s="25" t="s">
        <v>300</v>
      </c>
    </row>
    <row r="400" spans="1:10" x14ac:dyDescent="0.25">
      <c r="A400" s="4">
        <v>28895</v>
      </c>
      <c r="B400">
        <v>13892</v>
      </c>
      <c r="C400" s="4">
        <v>14308</v>
      </c>
      <c r="D400" t="s">
        <v>306</v>
      </c>
      <c r="E400" s="4">
        <v>4</v>
      </c>
      <c r="F400" s="25">
        <v>43719.648865740739</v>
      </c>
      <c r="G400">
        <v>0</v>
      </c>
      <c r="H400" s="25"/>
      <c r="I400" s="25"/>
      <c r="J400" s="25" t="s">
        <v>300</v>
      </c>
    </row>
    <row r="401" spans="1:10" x14ac:dyDescent="0.25">
      <c r="A401" s="4">
        <v>28895</v>
      </c>
      <c r="B401">
        <v>13892</v>
      </c>
      <c r="C401" s="4">
        <v>14308</v>
      </c>
      <c r="D401" t="s">
        <v>306</v>
      </c>
      <c r="E401" s="4">
        <v>5</v>
      </c>
      <c r="F401" s="25">
        <v>43719.648865740739</v>
      </c>
      <c r="G401">
        <v>0</v>
      </c>
      <c r="H401" s="25"/>
      <c r="I401" s="25"/>
      <c r="J401" s="25" t="s">
        <v>300</v>
      </c>
    </row>
    <row r="402" spans="1:10" x14ac:dyDescent="0.25">
      <c r="A402" s="4">
        <v>28895</v>
      </c>
      <c r="B402">
        <v>13892</v>
      </c>
      <c r="C402" s="4">
        <v>14308</v>
      </c>
      <c r="D402" t="s">
        <v>306</v>
      </c>
      <c r="E402" s="4">
        <v>3</v>
      </c>
      <c r="F402" s="25">
        <v>43719.648854166669</v>
      </c>
      <c r="G402">
        <v>0</v>
      </c>
      <c r="H402" s="25"/>
      <c r="I402" s="25"/>
      <c r="J402" s="25" t="s">
        <v>300</v>
      </c>
    </row>
    <row r="403" spans="1:10" x14ac:dyDescent="0.25">
      <c r="A403" s="4">
        <v>28895</v>
      </c>
      <c r="B403">
        <v>13892</v>
      </c>
      <c r="C403" s="4">
        <v>14308</v>
      </c>
      <c r="D403" t="s">
        <v>306</v>
      </c>
      <c r="E403" s="4">
        <v>1</v>
      </c>
      <c r="F403" s="25">
        <v>43719.648842592593</v>
      </c>
      <c r="G403">
        <v>0</v>
      </c>
      <c r="H403" s="25"/>
      <c r="I403" s="25"/>
      <c r="J403" s="25" t="s">
        <v>300</v>
      </c>
    </row>
    <row r="404" spans="1:10" x14ac:dyDescent="0.25">
      <c r="A404" s="4">
        <v>28895</v>
      </c>
      <c r="B404">
        <v>13892</v>
      </c>
      <c r="C404" s="4">
        <v>14308</v>
      </c>
      <c r="D404" t="s">
        <v>306</v>
      </c>
      <c r="E404" s="4">
        <v>2</v>
      </c>
      <c r="F404" s="25">
        <v>43719.648842592593</v>
      </c>
      <c r="G404">
        <v>0</v>
      </c>
      <c r="H404" s="25"/>
      <c r="I404" s="25"/>
      <c r="J404" s="25" t="s">
        <v>300</v>
      </c>
    </row>
    <row r="405" spans="1:10" x14ac:dyDescent="0.25">
      <c r="A405" s="4">
        <v>28895</v>
      </c>
      <c r="B405">
        <v>13892</v>
      </c>
      <c r="C405" s="4">
        <v>14308</v>
      </c>
      <c r="D405" t="s">
        <v>306</v>
      </c>
      <c r="E405" s="4">
        <v>0</v>
      </c>
      <c r="F405" s="25">
        <v>43719.648831018516</v>
      </c>
      <c r="G405">
        <v>0</v>
      </c>
      <c r="H405" s="25"/>
      <c r="I405" s="25"/>
      <c r="J405" s="25" t="s">
        <v>300</v>
      </c>
    </row>
    <row r="406" spans="1:10" x14ac:dyDescent="0.25">
      <c r="A406" s="4">
        <v>26387</v>
      </c>
      <c r="B406">
        <v>4180</v>
      </c>
      <c r="C406" s="4">
        <v>14308</v>
      </c>
      <c r="D406" t="s">
        <v>306</v>
      </c>
      <c r="E406" s="4">
        <v>24</v>
      </c>
      <c r="F406" s="25">
        <v>43719.641597222224</v>
      </c>
      <c r="G406">
        <v>0</v>
      </c>
      <c r="H406" s="25"/>
      <c r="I406" s="25"/>
      <c r="J406" s="25" t="s">
        <v>300</v>
      </c>
    </row>
    <row r="407" spans="1:10" x14ac:dyDescent="0.25">
      <c r="A407" s="4">
        <v>26387</v>
      </c>
      <c r="B407">
        <v>4180</v>
      </c>
      <c r="C407" s="4">
        <v>14308</v>
      </c>
      <c r="D407" t="s">
        <v>306</v>
      </c>
      <c r="E407" s="4">
        <v>23</v>
      </c>
      <c r="F407" s="25">
        <v>43719.641585648147</v>
      </c>
      <c r="G407">
        <v>0</v>
      </c>
      <c r="H407" s="25"/>
      <c r="I407" s="25"/>
      <c r="J407" s="25" t="s">
        <v>300</v>
      </c>
    </row>
    <row r="408" spans="1:10" x14ac:dyDescent="0.25">
      <c r="A408" s="4">
        <v>26387</v>
      </c>
      <c r="B408">
        <v>4180</v>
      </c>
      <c r="C408" s="4">
        <v>14308</v>
      </c>
      <c r="D408" t="s">
        <v>306</v>
      </c>
      <c r="E408" s="4">
        <v>21</v>
      </c>
      <c r="F408" s="25">
        <v>43719.641574074078</v>
      </c>
      <c r="G408">
        <v>0</v>
      </c>
      <c r="H408" s="25"/>
      <c r="I408" s="25"/>
      <c r="J408" s="25" t="s">
        <v>300</v>
      </c>
    </row>
    <row r="409" spans="1:10" x14ac:dyDescent="0.25">
      <c r="A409" s="4">
        <v>26387</v>
      </c>
      <c r="B409">
        <v>4180</v>
      </c>
      <c r="C409" s="4">
        <v>14308</v>
      </c>
      <c r="D409" t="s">
        <v>306</v>
      </c>
      <c r="E409" s="4">
        <v>22</v>
      </c>
      <c r="F409" s="25">
        <v>43719.641574074078</v>
      </c>
      <c r="G409">
        <v>0</v>
      </c>
      <c r="H409" s="25"/>
      <c r="I409" s="25"/>
      <c r="J409" s="25" t="s">
        <v>300</v>
      </c>
    </row>
    <row r="410" spans="1:10" x14ac:dyDescent="0.25">
      <c r="A410" s="4">
        <v>26387</v>
      </c>
      <c r="B410">
        <v>4180</v>
      </c>
      <c r="C410" s="4">
        <v>14308</v>
      </c>
      <c r="D410" t="s">
        <v>306</v>
      </c>
      <c r="E410" s="4">
        <v>20</v>
      </c>
      <c r="F410" s="25">
        <v>43719.641562500001</v>
      </c>
      <c r="G410">
        <v>0</v>
      </c>
      <c r="H410" s="25"/>
      <c r="I410" s="25"/>
      <c r="J410" s="25" t="s">
        <v>300</v>
      </c>
    </row>
    <row r="411" spans="1:10" x14ac:dyDescent="0.25">
      <c r="A411" s="4">
        <v>26387</v>
      </c>
      <c r="B411">
        <v>4180</v>
      </c>
      <c r="C411" s="4">
        <v>14308</v>
      </c>
      <c r="D411" t="s">
        <v>306</v>
      </c>
      <c r="E411" s="4">
        <v>18</v>
      </c>
      <c r="F411" s="25">
        <v>43719.641550925924</v>
      </c>
      <c r="G411">
        <v>0</v>
      </c>
      <c r="H411" s="25"/>
      <c r="I411" s="25"/>
      <c r="J411" s="25" t="s">
        <v>300</v>
      </c>
    </row>
    <row r="412" spans="1:10" x14ac:dyDescent="0.25">
      <c r="A412" s="4">
        <v>26387</v>
      </c>
      <c r="B412">
        <v>4180</v>
      </c>
      <c r="C412" s="4">
        <v>14308</v>
      </c>
      <c r="D412" t="s">
        <v>306</v>
      </c>
      <c r="E412" s="4">
        <v>19</v>
      </c>
      <c r="F412" s="25">
        <v>43719.641550925924</v>
      </c>
      <c r="G412">
        <v>0</v>
      </c>
      <c r="H412" s="25"/>
      <c r="I412" s="25"/>
      <c r="J412" s="25" t="s">
        <v>300</v>
      </c>
    </row>
    <row r="413" spans="1:10" x14ac:dyDescent="0.25">
      <c r="A413" s="4">
        <v>26387</v>
      </c>
      <c r="B413">
        <v>4180</v>
      </c>
      <c r="C413" s="4">
        <v>14308</v>
      </c>
      <c r="D413" t="s">
        <v>306</v>
      </c>
      <c r="E413" s="4">
        <v>17</v>
      </c>
      <c r="F413" s="25">
        <v>43719.641539351855</v>
      </c>
      <c r="G413">
        <v>0</v>
      </c>
      <c r="H413" s="25"/>
      <c r="I413" s="25"/>
      <c r="J413" s="25" t="s">
        <v>300</v>
      </c>
    </row>
    <row r="414" spans="1:10" x14ac:dyDescent="0.25">
      <c r="A414" s="4">
        <v>26387</v>
      </c>
      <c r="B414">
        <v>4180</v>
      </c>
      <c r="C414" s="4">
        <v>14308</v>
      </c>
      <c r="D414" t="s">
        <v>306</v>
      </c>
      <c r="E414" s="4">
        <v>15</v>
      </c>
      <c r="F414" s="25">
        <v>43719.641527777778</v>
      </c>
      <c r="G414">
        <v>0</v>
      </c>
      <c r="H414" s="25"/>
      <c r="I414" s="25"/>
      <c r="J414" s="25" t="s">
        <v>300</v>
      </c>
    </row>
    <row r="415" spans="1:10" x14ac:dyDescent="0.25">
      <c r="A415" s="4">
        <v>26387</v>
      </c>
      <c r="B415">
        <v>4180</v>
      </c>
      <c r="C415" s="4">
        <v>14308</v>
      </c>
      <c r="D415" t="s">
        <v>306</v>
      </c>
      <c r="E415" s="4">
        <v>16</v>
      </c>
      <c r="F415" s="25">
        <v>43719.641527777778</v>
      </c>
      <c r="G415">
        <v>0</v>
      </c>
      <c r="H415" s="25"/>
      <c r="I415" s="25"/>
      <c r="J415" s="25" t="s">
        <v>300</v>
      </c>
    </row>
    <row r="416" spans="1:10" x14ac:dyDescent="0.25">
      <c r="A416" s="4">
        <v>26387</v>
      </c>
      <c r="B416">
        <v>4180</v>
      </c>
      <c r="C416" s="4">
        <v>14308</v>
      </c>
      <c r="D416" t="s">
        <v>306</v>
      </c>
      <c r="E416" s="4">
        <v>14</v>
      </c>
      <c r="F416" s="25">
        <v>43719.641516203701</v>
      </c>
      <c r="G416">
        <v>0</v>
      </c>
      <c r="H416" s="25"/>
      <c r="I416" s="25"/>
      <c r="J416" s="25" t="s">
        <v>300</v>
      </c>
    </row>
    <row r="417" spans="1:10" x14ac:dyDescent="0.25">
      <c r="A417" s="4">
        <v>26387</v>
      </c>
      <c r="B417">
        <v>4180</v>
      </c>
      <c r="C417" s="4">
        <v>14308</v>
      </c>
      <c r="D417" t="s">
        <v>306</v>
      </c>
      <c r="E417" s="4">
        <v>12</v>
      </c>
      <c r="F417" s="25">
        <v>43719.641504629632</v>
      </c>
      <c r="G417">
        <v>0</v>
      </c>
      <c r="H417" s="25"/>
      <c r="I417" s="25"/>
      <c r="J417" s="25" t="s">
        <v>300</v>
      </c>
    </row>
    <row r="418" spans="1:10" x14ac:dyDescent="0.25">
      <c r="A418" s="4">
        <v>26387</v>
      </c>
      <c r="B418">
        <v>4180</v>
      </c>
      <c r="C418" s="4">
        <v>14308</v>
      </c>
      <c r="D418" t="s">
        <v>306</v>
      </c>
      <c r="E418" s="4">
        <v>13</v>
      </c>
      <c r="F418" s="25">
        <v>43719.641504629632</v>
      </c>
      <c r="G418">
        <v>0</v>
      </c>
      <c r="H418" s="25"/>
      <c r="I418" s="25"/>
      <c r="J418" s="25" t="s">
        <v>300</v>
      </c>
    </row>
    <row r="419" spans="1:10" x14ac:dyDescent="0.25">
      <c r="A419" s="4">
        <v>26387</v>
      </c>
      <c r="B419">
        <v>4180</v>
      </c>
      <c r="C419" s="4">
        <v>14308</v>
      </c>
      <c r="D419" t="s">
        <v>306</v>
      </c>
      <c r="E419" s="4">
        <v>11</v>
      </c>
      <c r="F419" s="25">
        <v>43719.641493055555</v>
      </c>
      <c r="G419">
        <v>0</v>
      </c>
      <c r="H419" s="25"/>
      <c r="I419" s="25"/>
      <c r="J419" s="25" t="s">
        <v>300</v>
      </c>
    </row>
    <row r="420" spans="1:10" x14ac:dyDescent="0.25">
      <c r="A420" s="4">
        <v>26387</v>
      </c>
      <c r="B420">
        <v>4180</v>
      </c>
      <c r="C420" s="4">
        <v>14308</v>
      </c>
      <c r="D420" t="s">
        <v>306</v>
      </c>
      <c r="E420" s="4">
        <v>9</v>
      </c>
      <c r="F420" s="25">
        <v>43719.641481481478</v>
      </c>
      <c r="G420">
        <v>0</v>
      </c>
      <c r="H420" s="25"/>
      <c r="I420" s="25"/>
      <c r="J420" s="25" t="s">
        <v>300</v>
      </c>
    </row>
    <row r="421" spans="1:10" x14ac:dyDescent="0.25">
      <c r="A421" s="4">
        <v>26387</v>
      </c>
      <c r="B421">
        <v>4180</v>
      </c>
      <c r="C421" s="4">
        <v>14308</v>
      </c>
      <c r="D421" t="s">
        <v>306</v>
      </c>
      <c r="E421" s="4">
        <v>10</v>
      </c>
      <c r="F421" s="25">
        <v>43719.641481481478</v>
      </c>
      <c r="G421">
        <v>0</v>
      </c>
      <c r="H421" s="25"/>
      <c r="I421" s="25"/>
      <c r="J421" s="25" t="s">
        <v>300</v>
      </c>
    </row>
    <row r="422" spans="1:10" x14ac:dyDescent="0.25">
      <c r="A422" s="4">
        <v>26387</v>
      </c>
      <c r="B422">
        <v>4180</v>
      </c>
      <c r="C422" s="4">
        <v>14308</v>
      </c>
      <c r="D422" t="s">
        <v>306</v>
      </c>
      <c r="E422" s="4">
        <v>8</v>
      </c>
      <c r="F422" s="25">
        <v>43719.641469907408</v>
      </c>
      <c r="G422">
        <v>0</v>
      </c>
      <c r="H422" s="25"/>
      <c r="I422" s="25"/>
      <c r="J422" s="25" t="s">
        <v>300</v>
      </c>
    </row>
    <row r="423" spans="1:10" x14ac:dyDescent="0.25">
      <c r="A423" s="4">
        <v>26387</v>
      </c>
      <c r="B423">
        <v>4180</v>
      </c>
      <c r="C423" s="4">
        <v>14308</v>
      </c>
      <c r="D423" t="s">
        <v>306</v>
      </c>
      <c r="E423" s="4">
        <v>6</v>
      </c>
      <c r="F423" s="25">
        <v>43719.641458333332</v>
      </c>
      <c r="G423">
        <v>0</v>
      </c>
      <c r="H423" s="25"/>
      <c r="I423" s="25"/>
      <c r="J423" s="25" t="s">
        <v>300</v>
      </c>
    </row>
    <row r="424" spans="1:10" x14ac:dyDescent="0.25">
      <c r="A424" s="4">
        <v>26387</v>
      </c>
      <c r="B424">
        <v>4180</v>
      </c>
      <c r="C424" s="4">
        <v>14308</v>
      </c>
      <c r="D424" t="s">
        <v>306</v>
      </c>
      <c r="E424" s="4">
        <v>7</v>
      </c>
      <c r="F424" s="25">
        <v>43719.641458333332</v>
      </c>
      <c r="G424">
        <v>0</v>
      </c>
      <c r="H424" s="25"/>
      <c r="I424" s="25"/>
      <c r="J424" s="25" t="s">
        <v>300</v>
      </c>
    </row>
    <row r="425" spans="1:10" x14ac:dyDescent="0.25">
      <c r="A425" s="4">
        <v>26387</v>
      </c>
      <c r="B425">
        <v>4180</v>
      </c>
      <c r="C425" s="4">
        <v>14308</v>
      </c>
      <c r="D425" t="s">
        <v>306</v>
      </c>
      <c r="E425" s="4">
        <v>5</v>
      </c>
      <c r="F425" s="25">
        <v>43719.641446759262</v>
      </c>
      <c r="G425">
        <v>0</v>
      </c>
      <c r="H425" s="25"/>
      <c r="I425" s="25"/>
      <c r="J425" s="25" t="s">
        <v>300</v>
      </c>
    </row>
    <row r="426" spans="1:10" x14ac:dyDescent="0.25">
      <c r="A426" s="4">
        <v>26387</v>
      </c>
      <c r="B426">
        <v>4180</v>
      </c>
      <c r="C426" s="4">
        <v>14308</v>
      </c>
      <c r="D426" t="s">
        <v>306</v>
      </c>
      <c r="E426" s="4">
        <v>3</v>
      </c>
      <c r="F426" s="25">
        <v>43719.641435185185</v>
      </c>
      <c r="G426">
        <v>0</v>
      </c>
      <c r="H426" s="25"/>
      <c r="I426" s="25"/>
      <c r="J426" s="25" t="s">
        <v>300</v>
      </c>
    </row>
    <row r="427" spans="1:10" x14ac:dyDescent="0.25">
      <c r="A427" s="4">
        <v>26387</v>
      </c>
      <c r="B427">
        <v>4180</v>
      </c>
      <c r="C427" s="4">
        <v>14308</v>
      </c>
      <c r="D427" t="s">
        <v>306</v>
      </c>
      <c r="E427" s="4">
        <v>4</v>
      </c>
      <c r="F427" s="25">
        <v>43719.641435185185</v>
      </c>
      <c r="G427">
        <v>0</v>
      </c>
      <c r="H427" s="25"/>
      <c r="I427" s="25"/>
      <c r="J427" s="25" t="s">
        <v>300</v>
      </c>
    </row>
    <row r="428" spans="1:10" x14ac:dyDescent="0.25">
      <c r="A428" s="4">
        <v>26387</v>
      </c>
      <c r="B428">
        <v>4180</v>
      </c>
      <c r="C428" s="4">
        <v>14308</v>
      </c>
      <c r="D428" t="s">
        <v>306</v>
      </c>
      <c r="E428" s="4">
        <v>2</v>
      </c>
      <c r="F428" s="25">
        <v>43719.641423611109</v>
      </c>
      <c r="G428">
        <v>0</v>
      </c>
      <c r="H428" s="25"/>
      <c r="I428" s="25"/>
      <c r="J428" s="25" t="s">
        <v>300</v>
      </c>
    </row>
    <row r="429" spans="1:10" x14ac:dyDescent="0.25">
      <c r="A429" s="4">
        <v>26387</v>
      </c>
      <c r="B429">
        <v>4180</v>
      </c>
      <c r="C429" s="4">
        <v>14308</v>
      </c>
      <c r="D429" t="s">
        <v>306</v>
      </c>
      <c r="E429" s="4">
        <v>1</v>
      </c>
      <c r="F429" s="25">
        <v>43719.641412037039</v>
      </c>
      <c r="G429">
        <v>0</v>
      </c>
      <c r="H429" s="25"/>
      <c r="I429" s="25"/>
      <c r="J429" s="25" t="s">
        <v>300</v>
      </c>
    </row>
    <row r="430" spans="1:10" x14ac:dyDescent="0.25">
      <c r="A430" s="4">
        <v>26387</v>
      </c>
      <c r="B430">
        <v>4180</v>
      </c>
      <c r="C430" s="4">
        <v>14308</v>
      </c>
      <c r="D430" t="s">
        <v>306</v>
      </c>
      <c r="E430" s="4">
        <v>0</v>
      </c>
      <c r="F430" s="25">
        <v>43719.641400462962</v>
      </c>
      <c r="G430">
        <v>0</v>
      </c>
      <c r="H430" s="25"/>
      <c r="I430" s="25"/>
      <c r="J430" s="25" t="s">
        <v>300</v>
      </c>
    </row>
    <row r="431" spans="1:10" x14ac:dyDescent="0.25">
      <c r="A431" s="4">
        <v>23134</v>
      </c>
      <c r="B431">
        <v>11744</v>
      </c>
      <c r="C431" s="4">
        <v>14308</v>
      </c>
      <c r="D431" t="s">
        <v>306</v>
      </c>
      <c r="E431" s="4">
        <v>24</v>
      </c>
      <c r="F431" s="25">
        <v>43719.629479166666</v>
      </c>
      <c r="G431">
        <v>0</v>
      </c>
      <c r="H431" s="25"/>
      <c r="I431" s="25"/>
      <c r="J431" s="25" t="s">
        <v>300</v>
      </c>
    </row>
    <row r="432" spans="1:10" x14ac:dyDescent="0.25">
      <c r="A432" s="4">
        <v>23134</v>
      </c>
      <c r="B432">
        <v>11744</v>
      </c>
      <c r="C432" s="4">
        <v>14308</v>
      </c>
      <c r="D432" t="s">
        <v>306</v>
      </c>
      <c r="E432" s="4">
        <v>23</v>
      </c>
      <c r="F432" s="25">
        <v>43719.629467592589</v>
      </c>
      <c r="G432">
        <v>0</v>
      </c>
      <c r="H432" s="25"/>
      <c r="I432" s="25"/>
      <c r="J432" s="25" t="s">
        <v>300</v>
      </c>
    </row>
    <row r="433" spans="1:10" x14ac:dyDescent="0.25">
      <c r="A433" s="4">
        <v>23134</v>
      </c>
      <c r="B433">
        <v>11744</v>
      </c>
      <c r="C433" s="4">
        <v>14308</v>
      </c>
      <c r="D433" t="s">
        <v>306</v>
      </c>
      <c r="E433" s="4">
        <v>22</v>
      </c>
      <c r="F433" s="25">
        <v>43719.62945601852</v>
      </c>
      <c r="G433">
        <v>0</v>
      </c>
      <c r="H433" s="25"/>
      <c r="I433" s="25"/>
      <c r="J433" s="25" t="s">
        <v>300</v>
      </c>
    </row>
    <row r="434" spans="1:10" x14ac:dyDescent="0.25">
      <c r="A434" s="4">
        <v>23134</v>
      </c>
      <c r="B434">
        <v>11744</v>
      </c>
      <c r="C434" s="4">
        <v>14308</v>
      </c>
      <c r="D434" t="s">
        <v>306</v>
      </c>
      <c r="E434" s="4">
        <v>20</v>
      </c>
      <c r="F434" s="25">
        <v>43719.629444444443</v>
      </c>
      <c r="G434">
        <v>0</v>
      </c>
      <c r="H434" s="25"/>
      <c r="I434" s="25"/>
      <c r="J434" s="25" t="s">
        <v>300</v>
      </c>
    </row>
    <row r="435" spans="1:10" x14ac:dyDescent="0.25">
      <c r="A435" s="4">
        <v>23134</v>
      </c>
      <c r="B435">
        <v>11744</v>
      </c>
      <c r="C435" s="4">
        <v>14308</v>
      </c>
      <c r="D435" t="s">
        <v>306</v>
      </c>
      <c r="E435" s="4">
        <v>21</v>
      </c>
      <c r="F435" s="25">
        <v>43719.629444444443</v>
      </c>
      <c r="G435">
        <v>0</v>
      </c>
      <c r="H435" s="25"/>
      <c r="I435" s="25"/>
      <c r="J435" s="25" t="s">
        <v>300</v>
      </c>
    </row>
    <row r="436" spans="1:10" x14ac:dyDescent="0.25">
      <c r="A436" s="4">
        <v>23134</v>
      </c>
      <c r="B436">
        <v>11744</v>
      </c>
      <c r="C436" s="4">
        <v>14308</v>
      </c>
      <c r="D436" t="s">
        <v>306</v>
      </c>
      <c r="E436" s="4">
        <v>19</v>
      </c>
      <c r="F436" s="25">
        <v>43719.629432870373</v>
      </c>
      <c r="G436">
        <v>0</v>
      </c>
      <c r="H436" s="25"/>
      <c r="I436" s="25"/>
      <c r="J436" s="25" t="s">
        <v>300</v>
      </c>
    </row>
    <row r="437" spans="1:10" x14ac:dyDescent="0.25">
      <c r="A437" s="4">
        <v>23134</v>
      </c>
      <c r="B437">
        <v>11744</v>
      </c>
      <c r="C437" s="4">
        <v>14308</v>
      </c>
      <c r="D437" t="s">
        <v>306</v>
      </c>
      <c r="E437" s="4">
        <v>17</v>
      </c>
      <c r="F437" s="25">
        <v>43719.629421296297</v>
      </c>
      <c r="G437">
        <v>0</v>
      </c>
      <c r="H437" s="25"/>
      <c r="I437" s="25"/>
      <c r="J437" s="25" t="s">
        <v>300</v>
      </c>
    </row>
    <row r="438" spans="1:10" x14ac:dyDescent="0.25">
      <c r="A438" s="4">
        <v>23134</v>
      </c>
      <c r="B438">
        <v>11744</v>
      </c>
      <c r="C438" s="4">
        <v>14308</v>
      </c>
      <c r="D438" t="s">
        <v>306</v>
      </c>
      <c r="E438" s="4">
        <v>18</v>
      </c>
      <c r="F438" s="25">
        <v>43719.629421296297</v>
      </c>
      <c r="G438">
        <v>0</v>
      </c>
      <c r="H438" s="25"/>
      <c r="I438" s="25"/>
      <c r="J438" s="25" t="s">
        <v>300</v>
      </c>
    </row>
    <row r="439" spans="1:10" x14ac:dyDescent="0.25">
      <c r="A439" s="4">
        <v>23134</v>
      </c>
      <c r="B439">
        <v>11744</v>
      </c>
      <c r="C439" s="4">
        <v>14308</v>
      </c>
      <c r="D439" t="s">
        <v>306</v>
      </c>
      <c r="E439" s="4">
        <v>16</v>
      </c>
      <c r="F439" s="25">
        <v>43719.62940972222</v>
      </c>
      <c r="G439">
        <v>0</v>
      </c>
      <c r="H439" s="25"/>
      <c r="I439" s="25"/>
      <c r="J439" s="25" t="s">
        <v>300</v>
      </c>
    </row>
    <row r="440" spans="1:10" x14ac:dyDescent="0.25">
      <c r="A440" s="4">
        <v>23134</v>
      </c>
      <c r="B440">
        <v>11744</v>
      </c>
      <c r="C440" s="4">
        <v>14308</v>
      </c>
      <c r="D440" t="s">
        <v>306</v>
      </c>
      <c r="E440" s="4">
        <v>14</v>
      </c>
      <c r="F440" s="25">
        <v>43719.62939814815</v>
      </c>
      <c r="G440">
        <v>0</v>
      </c>
      <c r="H440" s="25"/>
      <c r="I440" s="25"/>
      <c r="J440" s="25" t="s">
        <v>300</v>
      </c>
    </row>
    <row r="441" spans="1:10" x14ac:dyDescent="0.25">
      <c r="A441" s="4">
        <v>23134</v>
      </c>
      <c r="B441">
        <v>11744</v>
      </c>
      <c r="C441" s="4">
        <v>14308</v>
      </c>
      <c r="D441" t="s">
        <v>306</v>
      </c>
      <c r="E441" s="4">
        <v>15</v>
      </c>
      <c r="F441" s="25">
        <v>43719.62939814815</v>
      </c>
      <c r="G441">
        <v>0</v>
      </c>
      <c r="H441" s="25"/>
      <c r="I441" s="25"/>
      <c r="J441" s="25" t="s">
        <v>300</v>
      </c>
    </row>
    <row r="442" spans="1:10" x14ac:dyDescent="0.25">
      <c r="A442" s="4">
        <v>23134</v>
      </c>
      <c r="B442">
        <v>11744</v>
      </c>
      <c r="C442" s="4">
        <v>14308</v>
      </c>
      <c r="D442" t="s">
        <v>306</v>
      </c>
      <c r="E442" s="4">
        <v>13</v>
      </c>
      <c r="F442" s="25">
        <v>43719.629386574074</v>
      </c>
      <c r="G442">
        <v>0</v>
      </c>
      <c r="H442" s="25"/>
      <c r="I442" s="25"/>
      <c r="J442" s="25" t="s">
        <v>300</v>
      </c>
    </row>
    <row r="443" spans="1:10" x14ac:dyDescent="0.25">
      <c r="A443" s="4">
        <v>23134</v>
      </c>
      <c r="B443">
        <v>11744</v>
      </c>
      <c r="C443" s="4">
        <v>14308</v>
      </c>
      <c r="D443" t="s">
        <v>306</v>
      </c>
      <c r="E443" s="4">
        <v>11</v>
      </c>
      <c r="F443" s="25">
        <v>43719.629374999997</v>
      </c>
      <c r="G443">
        <v>0</v>
      </c>
      <c r="H443" s="25"/>
      <c r="I443" s="25"/>
      <c r="J443" s="25" t="s">
        <v>300</v>
      </c>
    </row>
    <row r="444" spans="1:10" x14ac:dyDescent="0.25">
      <c r="A444" s="4">
        <v>23134</v>
      </c>
      <c r="B444">
        <v>11744</v>
      </c>
      <c r="C444" s="4">
        <v>14308</v>
      </c>
      <c r="D444" t="s">
        <v>306</v>
      </c>
      <c r="E444" s="4">
        <v>12</v>
      </c>
      <c r="F444" s="25">
        <v>43719.629374999997</v>
      </c>
      <c r="G444">
        <v>0</v>
      </c>
      <c r="H444" s="25"/>
      <c r="I444" s="25"/>
      <c r="J444" s="25" t="s">
        <v>300</v>
      </c>
    </row>
    <row r="445" spans="1:10" x14ac:dyDescent="0.25">
      <c r="A445" s="4">
        <v>23134</v>
      </c>
      <c r="B445">
        <v>11744</v>
      </c>
      <c r="C445" s="4">
        <v>14308</v>
      </c>
      <c r="D445" t="s">
        <v>306</v>
      </c>
      <c r="E445" s="4">
        <v>10</v>
      </c>
      <c r="F445" s="25">
        <v>43719.629363425927</v>
      </c>
      <c r="G445">
        <v>0</v>
      </c>
      <c r="H445" s="25"/>
      <c r="I445" s="25"/>
      <c r="J445" s="25" t="s">
        <v>300</v>
      </c>
    </row>
    <row r="446" spans="1:10" x14ac:dyDescent="0.25">
      <c r="A446" s="4">
        <v>23134</v>
      </c>
      <c r="B446">
        <v>11744</v>
      </c>
      <c r="C446" s="4">
        <v>14308</v>
      </c>
      <c r="D446" t="s">
        <v>306</v>
      </c>
      <c r="E446" s="4">
        <v>9</v>
      </c>
      <c r="F446" s="25">
        <v>43719.629351851851</v>
      </c>
      <c r="G446">
        <v>0</v>
      </c>
      <c r="H446" s="25"/>
      <c r="I446" s="25"/>
      <c r="J446" s="25" t="s">
        <v>300</v>
      </c>
    </row>
    <row r="447" spans="1:10" x14ac:dyDescent="0.25">
      <c r="A447" s="4">
        <v>23134</v>
      </c>
      <c r="B447">
        <v>11744</v>
      </c>
      <c r="C447" s="4">
        <v>14308</v>
      </c>
      <c r="D447" t="s">
        <v>306</v>
      </c>
      <c r="E447" s="4">
        <v>7</v>
      </c>
      <c r="F447" s="25">
        <v>43719.629340277781</v>
      </c>
      <c r="G447">
        <v>0</v>
      </c>
      <c r="H447" s="25"/>
      <c r="I447" s="25"/>
      <c r="J447" s="25" t="s">
        <v>300</v>
      </c>
    </row>
    <row r="448" spans="1:10" x14ac:dyDescent="0.25">
      <c r="A448" s="4">
        <v>23134</v>
      </c>
      <c r="B448">
        <v>11744</v>
      </c>
      <c r="C448" s="4">
        <v>14308</v>
      </c>
      <c r="D448" t="s">
        <v>306</v>
      </c>
      <c r="E448" s="4">
        <v>8</v>
      </c>
      <c r="F448" s="25">
        <v>43719.629340277781</v>
      </c>
      <c r="G448">
        <v>0</v>
      </c>
      <c r="H448" s="25"/>
      <c r="I448" s="25"/>
      <c r="J448" s="25" t="s">
        <v>300</v>
      </c>
    </row>
    <row r="449" spans="1:10" x14ac:dyDescent="0.25">
      <c r="A449" s="4">
        <v>23134</v>
      </c>
      <c r="B449">
        <v>11744</v>
      </c>
      <c r="C449" s="4">
        <v>14308</v>
      </c>
      <c r="D449" t="s">
        <v>306</v>
      </c>
      <c r="E449" s="4">
        <v>6</v>
      </c>
      <c r="F449" s="25">
        <v>43719.629328703704</v>
      </c>
      <c r="G449">
        <v>0</v>
      </c>
      <c r="H449" s="25"/>
      <c r="I449" s="25"/>
      <c r="J449" s="25" t="s">
        <v>300</v>
      </c>
    </row>
    <row r="450" spans="1:10" x14ac:dyDescent="0.25">
      <c r="A450" s="4">
        <v>23134</v>
      </c>
      <c r="B450">
        <v>11744</v>
      </c>
      <c r="C450" s="4">
        <v>14308</v>
      </c>
      <c r="D450" t="s">
        <v>306</v>
      </c>
      <c r="E450" s="4">
        <v>5</v>
      </c>
      <c r="F450" s="25">
        <v>43719.629317129627</v>
      </c>
      <c r="G450">
        <v>0</v>
      </c>
      <c r="H450" s="25"/>
      <c r="I450" s="25"/>
      <c r="J450" s="25" t="s">
        <v>300</v>
      </c>
    </row>
    <row r="451" spans="1:10" x14ac:dyDescent="0.25">
      <c r="A451" s="4">
        <v>23134</v>
      </c>
      <c r="B451">
        <v>11744</v>
      </c>
      <c r="C451" s="4">
        <v>14308</v>
      </c>
      <c r="D451" t="s">
        <v>306</v>
      </c>
      <c r="E451" s="4">
        <v>3</v>
      </c>
      <c r="F451" s="25">
        <v>43719.629305555558</v>
      </c>
      <c r="G451">
        <v>0</v>
      </c>
      <c r="H451" s="25"/>
      <c r="I451" s="25"/>
      <c r="J451" s="25" t="s">
        <v>300</v>
      </c>
    </row>
    <row r="452" spans="1:10" x14ac:dyDescent="0.25">
      <c r="A452" s="4">
        <v>23134</v>
      </c>
      <c r="B452">
        <v>11744</v>
      </c>
      <c r="C452" s="4">
        <v>14308</v>
      </c>
      <c r="D452" t="s">
        <v>306</v>
      </c>
      <c r="E452" s="4">
        <v>4</v>
      </c>
      <c r="F452" s="25">
        <v>43719.629305555558</v>
      </c>
      <c r="G452">
        <v>0</v>
      </c>
      <c r="H452" s="25"/>
      <c r="I452" s="25"/>
      <c r="J452" s="25" t="s">
        <v>300</v>
      </c>
    </row>
    <row r="453" spans="1:10" x14ac:dyDescent="0.25">
      <c r="A453" s="4">
        <v>23134</v>
      </c>
      <c r="B453">
        <v>11744</v>
      </c>
      <c r="C453" s="4">
        <v>14308</v>
      </c>
      <c r="D453" t="s">
        <v>306</v>
      </c>
      <c r="E453" s="4">
        <v>2</v>
      </c>
      <c r="F453" s="25">
        <v>43719.629293981481</v>
      </c>
      <c r="G453">
        <v>0</v>
      </c>
      <c r="H453" s="25"/>
      <c r="I453" s="25"/>
      <c r="J453" s="25" t="s">
        <v>300</v>
      </c>
    </row>
    <row r="454" spans="1:10" x14ac:dyDescent="0.25">
      <c r="A454" s="4">
        <v>23134</v>
      </c>
      <c r="B454">
        <v>11744</v>
      </c>
      <c r="C454" s="4">
        <v>14308</v>
      </c>
      <c r="D454" t="s">
        <v>306</v>
      </c>
      <c r="E454" s="4">
        <v>1</v>
      </c>
      <c r="F454" s="25">
        <v>43719.629282407404</v>
      </c>
      <c r="G454">
        <v>0</v>
      </c>
      <c r="H454" s="25"/>
      <c r="I454" s="25"/>
      <c r="J454" s="25" t="s">
        <v>300</v>
      </c>
    </row>
    <row r="455" spans="1:10" x14ac:dyDescent="0.25">
      <c r="A455" s="4">
        <v>23134</v>
      </c>
      <c r="B455">
        <v>11744</v>
      </c>
      <c r="C455" s="4">
        <v>14308</v>
      </c>
      <c r="D455" t="s">
        <v>306</v>
      </c>
      <c r="E455" s="4">
        <v>0</v>
      </c>
      <c r="F455" s="25">
        <v>43719.629270833335</v>
      </c>
      <c r="G455">
        <v>0</v>
      </c>
      <c r="H455" s="25"/>
      <c r="I455" s="25"/>
      <c r="J455" s="25" t="s">
        <v>300</v>
      </c>
    </row>
    <row r="456" spans="1:10" x14ac:dyDescent="0.25">
      <c r="A456" s="4">
        <v>20186</v>
      </c>
      <c r="B456">
        <v>7624</v>
      </c>
      <c r="C456" s="4">
        <v>14308</v>
      </c>
      <c r="D456" t="s">
        <v>306</v>
      </c>
      <c r="E456" s="4">
        <v>24</v>
      </c>
      <c r="F456" s="25">
        <v>43719.619050925925</v>
      </c>
      <c r="G456">
        <v>0</v>
      </c>
      <c r="H456" s="25"/>
      <c r="I456" s="25"/>
      <c r="J456" s="25" t="s">
        <v>300</v>
      </c>
    </row>
    <row r="457" spans="1:10" x14ac:dyDescent="0.25">
      <c r="A457" s="4">
        <v>20186</v>
      </c>
      <c r="B457">
        <v>7624</v>
      </c>
      <c r="C457" s="4">
        <v>14308</v>
      </c>
      <c r="D457" t="s">
        <v>306</v>
      </c>
      <c r="E457" s="4">
        <v>22</v>
      </c>
      <c r="F457" s="25">
        <v>43719.619039351855</v>
      </c>
      <c r="G457">
        <v>0</v>
      </c>
      <c r="H457" s="25"/>
      <c r="I457" s="25"/>
      <c r="J457" s="25" t="s">
        <v>300</v>
      </c>
    </row>
    <row r="458" spans="1:10" x14ac:dyDescent="0.25">
      <c r="A458" s="4">
        <v>20186</v>
      </c>
      <c r="B458">
        <v>7624</v>
      </c>
      <c r="C458" s="4">
        <v>14308</v>
      </c>
      <c r="D458" t="s">
        <v>306</v>
      </c>
      <c r="E458" s="4">
        <v>23</v>
      </c>
      <c r="F458" s="25">
        <v>43719.619039351855</v>
      </c>
      <c r="G458">
        <v>0</v>
      </c>
      <c r="H458" s="25"/>
      <c r="I458" s="25"/>
      <c r="J458" s="25" t="s">
        <v>300</v>
      </c>
    </row>
    <row r="459" spans="1:10" x14ac:dyDescent="0.25">
      <c r="A459" s="4">
        <v>20186</v>
      </c>
      <c r="B459">
        <v>7624</v>
      </c>
      <c r="C459" s="4">
        <v>14308</v>
      </c>
      <c r="D459" t="s">
        <v>306</v>
      </c>
      <c r="E459" s="4">
        <v>21</v>
      </c>
      <c r="F459" s="25">
        <v>43719.619027777779</v>
      </c>
      <c r="G459">
        <v>0</v>
      </c>
      <c r="H459" s="25"/>
      <c r="I459" s="25"/>
      <c r="J459" s="25" t="s">
        <v>300</v>
      </c>
    </row>
    <row r="460" spans="1:10" x14ac:dyDescent="0.25">
      <c r="A460" s="4">
        <v>20186</v>
      </c>
      <c r="B460">
        <v>7624</v>
      </c>
      <c r="C460" s="4">
        <v>14308</v>
      </c>
      <c r="D460" t="s">
        <v>306</v>
      </c>
      <c r="E460" s="4">
        <v>19</v>
      </c>
      <c r="F460" s="25">
        <v>43719.619016203702</v>
      </c>
      <c r="G460">
        <v>0</v>
      </c>
      <c r="H460" s="25"/>
      <c r="I460" s="25"/>
      <c r="J460" s="25" t="s">
        <v>300</v>
      </c>
    </row>
    <row r="461" spans="1:10" x14ac:dyDescent="0.25">
      <c r="A461" s="4">
        <v>20186</v>
      </c>
      <c r="B461">
        <v>7624</v>
      </c>
      <c r="C461" s="4">
        <v>14308</v>
      </c>
      <c r="D461" t="s">
        <v>306</v>
      </c>
      <c r="E461" s="4">
        <v>20</v>
      </c>
      <c r="F461" s="25">
        <v>43719.619016203702</v>
      </c>
      <c r="G461">
        <v>0</v>
      </c>
      <c r="H461" s="25"/>
      <c r="I461" s="25"/>
      <c r="J461" s="25" t="s">
        <v>300</v>
      </c>
    </row>
    <row r="462" spans="1:10" x14ac:dyDescent="0.25">
      <c r="A462" s="4">
        <v>20186</v>
      </c>
      <c r="B462">
        <v>7624</v>
      </c>
      <c r="C462" s="4">
        <v>14308</v>
      </c>
      <c r="D462" t="s">
        <v>306</v>
      </c>
      <c r="E462" s="4">
        <v>18</v>
      </c>
      <c r="F462" s="25">
        <v>43719.619004629632</v>
      </c>
      <c r="G462">
        <v>0</v>
      </c>
      <c r="H462" s="25"/>
      <c r="I462" s="25"/>
      <c r="J462" s="25" t="s">
        <v>300</v>
      </c>
    </row>
    <row r="463" spans="1:10" x14ac:dyDescent="0.25">
      <c r="A463" s="4">
        <v>20186</v>
      </c>
      <c r="B463">
        <v>7624</v>
      </c>
      <c r="C463" s="4">
        <v>14308</v>
      </c>
      <c r="D463" t="s">
        <v>306</v>
      </c>
      <c r="E463" s="4">
        <v>16</v>
      </c>
      <c r="F463" s="25">
        <v>43719.618993055556</v>
      </c>
      <c r="G463">
        <v>0</v>
      </c>
      <c r="H463" s="25"/>
      <c r="I463" s="25"/>
      <c r="J463" s="25" t="s">
        <v>300</v>
      </c>
    </row>
    <row r="464" spans="1:10" x14ac:dyDescent="0.25">
      <c r="A464" s="4">
        <v>20186</v>
      </c>
      <c r="B464">
        <v>7624</v>
      </c>
      <c r="C464" s="4">
        <v>14308</v>
      </c>
      <c r="D464" t="s">
        <v>306</v>
      </c>
      <c r="E464" s="4">
        <v>17</v>
      </c>
      <c r="F464" s="25">
        <v>43719.618993055556</v>
      </c>
      <c r="G464">
        <v>0</v>
      </c>
      <c r="H464" s="25"/>
      <c r="I464" s="25"/>
      <c r="J464" s="25" t="s">
        <v>300</v>
      </c>
    </row>
    <row r="465" spans="1:10" x14ac:dyDescent="0.25">
      <c r="A465" s="4">
        <v>20186</v>
      </c>
      <c r="B465">
        <v>7624</v>
      </c>
      <c r="C465" s="4">
        <v>14308</v>
      </c>
      <c r="D465" t="s">
        <v>306</v>
      </c>
      <c r="E465" s="4">
        <v>15</v>
      </c>
      <c r="F465" s="25">
        <v>43719.618981481479</v>
      </c>
      <c r="G465">
        <v>0</v>
      </c>
      <c r="H465" s="25"/>
      <c r="I465" s="25"/>
      <c r="J465" s="25" t="s">
        <v>300</v>
      </c>
    </row>
    <row r="466" spans="1:10" x14ac:dyDescent="0.25">
      <c r="A466" s="4">
        <v>20186</v>
      </c>
      <c r="B466">
        <v>7624</v>
      </c>
      <c r="C466" s="4">
        <v>14308</v>
      </c>
      <c r="D466" t="s">
        <v>306</v>
      </c>
      <c r="E466" s="4">
        <v>13</v>
      </c>
      <c r="F466" s="25">
        <v>43719.618969907409</v>
      </c>
      <c r="G466">
        <v>0</v>
      </c>
      <c r="H466" s="25"/>
      <c r="I466" s="25"/>
      <c r="J466" s="25" t="s">
        <v>300</v>
      </c>
    </row>
    <row r="467" spans="1:10" x14ac:dyDescent="0.25">
      <c r="A467" s="4">
        <v>20186</v>
      </c>
      <c r="B467">
        <v>7624</v>
      </c>
      <c r="C467" s="4">
        <v>14308</v>
      </c>
      <c r="D467" t="s">
        <v>306</v>
      </c>
      <c r="E467" s="4">
        <v>14</v>
      </c>
      <c r="F467" s="25">
        <v>43719.618969907409</v>
      </c>
      <c r="G467">
        <v>0</v>
      </c>
      <c r="H467" s="25"/>
      <c r="I467" s="25"/>
      <c r="J467" s="25" t="s">
        <v>300</v>
      </c>
    </row>
    <row r="468" spans="1:10" x14ac:dyDescent="0.25">
      <c r="A468" s="4">
        <v>20186</v>
      </c>
      <c r="B468">
        <v>7624</v>
      </c>
      <c r="C468" s="4">
        <v>14308</v>
      </c>
      <c r="D468" t="s">
        <v>306</v>
      </c>
      <c r="E468" s="4">
        <v>12</v>
      </c>
      <c r="F468" s="25">
        <v>43719.618958333333</v>
      </c>
      <c r="G468">
        <v>0</v>
      </c>
      <c r="H468" s="25"/>
      <c r="I468" s="25"/>
      <c r="J468" s="25" t="s">
        <v>300</v>
      </c>
    </row>
    <row r="469" spans="1:10" x14ac:dyDescent="0.25">
      <c r="A469" s="4">
        <v>20186</v>
      </c>
      <c r="B469">
        <v>7624</v>
      </c>
      <c r="C469" s="4">
        <v>14308</v>
      </c>
      <c r="D469" t="s">
        <v>306</v>
      </c>
      <c r="E469" s="4">
        <v>10</v>
      </c>
      <c r="F469" s="25">
        <v>43719.618946759256</v>
      </c>
      <c r="G469">
        <v>0</v>
      </c>
      <c r="H469" s="25"/>
      <c r="I469" s="25"/>
      <c r="J469" s="25" t="s">
        <v>300</v>
      </c>
    </row>
    <row r="470" spans="1:10" x14ac:dyDescent="0.25">
      <c r="A470" s="4">
        <v>20186</v>
      </c>
      <c r="B470">
        <v>7624</v>
      </c>
      <c r="C470" s="4">
        <v>14308</v>
      </c>
      <c r="D470" t="s">
        <v>306</v>
      </c>
      <c r="E470" s="4">
        <v>11</v>
      </c>
      <c r="F470" s="25">
        <v>43719.618946759256</v>
      </c>
      <c r="G470">
        <v>0</v>
      </c>
      <c r="H470" s="25"/>
      <c r="I470" s="25"/>
      <c r="J470" s="25" t="s">
        <v>300</v>
      </c>
    </row>
    <row r="471" spans="1:10" x14ac:dyDescent="0.25">
      <c r="A471" s="4">
        <v>20186</v>
      </c>
      <c r="B471">
        <v>7624</v>
      </c>
      <c r="C471" s="4">
        <v>14308</v>
      </c>
      <c r="D471" t="s">
        <v>306</v>
      </c>
      <c r="E471" s="4">
        <v>9</v>
      </c>
      <c r="F471" s="25">
        <v>43719.618935185186</v>
      </c>
      <c r="G471">
        <v>0</v>
      </c>
      <c r="H471" s="25"/>
      <c r="I471" s="25"/>
      <c r="J471" s="25" t="s">
        <v>300</v>
      </c>
    </row>
    <row r="472" spans="1:10" x14ac:dyDescent="0.25">
      <c r="A472" s="4">
        <v>20186</v>
      </c>
      <c r="B472">
        <v>7624</v>
      </c>
      <c r="C472" s="4">
        <v>14308</v>
      </c>
      <c r="D472" t="s">
        <v>306</v>
      </c>
      <c r="E472" s="4">
        <v>7</v>
      </c>
      <c r="F472" s="25">
        <v>43719.618923611109</v>
      </c>
      <c r="G472">
        <v>0</v>
      </c>
      <c r="H472" s="25"/>
      <c r="I472" s="25"/>
      <c r="J472" s="25" t="s">
        <v>300</v>
      </c>
    </row>
    <row r="473" spans="1:10" x14ac:dyDescent="0.25">
      <c r="A473" s="4">
        <v>20186</v>
      </c>
      <c r="B473">
        <v>7624</v>
      </c>
      <c r="C473" s="4">
        <v>14308</v>
      </c>
      <c r="D473" t="s">
        <v>306</v>
      </c>
      <c r="E473" s="4">
        <v>8</v>
      </c>
      <c r="F473" s="25">
        <v>43719.618923611109</v>
      </c>
      <c r="G473">
        <v>0</v>
      </c>
      <c r="H473" s="25"/>
      <c r="I473" s="25"/>
      <c r="J473" s="25" t="s">
        <v>300</v>
      </c>
    </row>
    <row r="474" spans="1:10" x14ac:dyDescent="0.25">
      <c r="A474" s="4">
        <v>20186</v>
      </c>
      <c r="B474">
        <v>7624</v>
      </c>
      <c r="C474" s="4">
        <v>14308</v>
      </c>
      <c r="D474" t="s">
        <v>306</v>
      </c>
      <c r="E474" s="4">
        <v>6</v>
      </c>
      <c r="F474" s="25">
        <v>43719.61891203704</v>
      </c>
      <c r="G474">
        <v>0</v>
      </c>
      <c r="H474" s="25"/>
      <c r="I474" s="25"/>
      <c r="J474" s="25" t="s">
        <v>300</v>
      </c>
    </row>
    <row r="475" spans="1:10" x14ac:dyDescent="0.25">
      <c r="A475" s="4">
        <v>20186</v>
      </c>
      <c r="B475">
        <v>7624</v>
      </c>
      <c r="C475" s="4">
        <v>14308</v>
      </c>
      <c r="D475" t="s">
        <v>306</v>
      </c>
      <c r="E475" s="4">
        <v>4</v>
      </c>
      <c r="F475" s="25">
        <v>43719.618900462963</v>
      </c>
      <c r="G475">
        <v>0</v>
      </c>
      <c r="H475" s="25"/>
      <c r="I475" s="25"/>
      <c r="J475" s="25" t="s">
        <v>300</v>
      </c>
    </row>
    <row r="476" spans="1:10" x14ac:dyDescent="0.25">
      <c r="A476" s="4">
        <v>20186</v>
      </c>
      <c r="B476">
        <v>7624</v>
      </c>
      <c r="C476" s="4">
        <v>14308</v>
      </c>
      <c r="D476" t="s">
        <v>306</v>
      </c>
      <c r="E476" s="4">
        <v>5</v>
      </c>
      <c r="F476" s="25">
        <v>43719.618900462963</v>
      </c>
      <c r="G476">
        <v>0</v>
      </c>
      <c r="H476" s="25"/>
      <c r="I476" s="25"/>
      <c r="J476" s="25" t="s">
        <v>300</v>
      </c>
    </row>
    <row r="477" spans="1:10" x14ac:dyDescent="0.25">
      <c r="A477" s="4">
        <v>20186</v>
      </c>
      <c r="B477">
        <v>7624</v>
      </c>
      <c r="C477" s="4">
        <v>14308</v>
      </c>
      <c r="D477" t="s">
        <v>306</v>
      </c>
      <c r="E477" s="4">
        <v>3</v>
      </c>
      <c r="F477" s="25">
        <v>43719.618888888886</v>
      </c>
      <c r="G477">
        <v>0</v>
      </c>
      <c r="H477" s="25"/>
      <c r="I477" s="25"/>
      <c r="J477" s="25" t="s">
        <v>300</v>
      </c>
    </row>
    <row r="478" spans="1:10" x14ac:dyDescent="0.25">
      <c r="A478" s="4">
        <v>20186</v>
      </c>
      <c r="B478">
        <v>7624</v>
      </c>
      <c r="C478" s="4">
        <v>14308</v>
      </c>
      <c r="D478" t="s">
        <v>306</v>
      </c>
      <c r="E478" s="4">
        <v>1</v>
      </c>
      <c r="F478" s="25">
        <v>43719.618877314817</v>
      </c>
      <c r="G478">
        <v>0</v>
      </c>
      <c r="H478" s="25"/>
      <c r="I478" s="25"/>
      <c r="J478" s="25" t="s">
        <v>300</v>
      </c>
    </row>
    <row r="479" spans="1:10" x14ac:dyDescent="0.25">
      <c r="A479" s="4">
        <v>20186</v>
      </c>
      <c r="B479">
        <v>7624</v>
      </c>
      <c r="C479" s="4">
        <v>14308</v>
      </c>
      <c r="D479" t="s">
        <v>306</v>
      </c>
      <c r="E479" s="4">
        <v>2</v>
      </c>
      <c r="F479" s="25">
        <v>43719.618877314817</v>
      </c>
      <c r="G479">
        <v>0</v>
      </c>
      <c r="H479" s="25"/>
      <c r="I479" s="25"/>
      <c r="J479" s="25" t="s">
        <v>300</v>
      </c>
    </row>
    <row r="480" spans="1:10" x14ac:dyDescent="0.25">
      <c r="A480" s="4">
        <v>20186</v>
      </c>
      <c r="B480">
        <v>7624</v>
      </c>
      <c r="C480" s="4">
        <v>14308</v>
      </c>
      <c r="D480" t="s">
        <v>306</v>
      </c>
      <c r="E480" s="4">
        <v>0</v>
      </c>
      <c r="F480" s="25">
        <v>43719.61886574074</v>
      </c>
      <c r="G480">
        <v>0</v>
      </c>
      <c r="H480" s="25"/>
      <c r="I480" s="25"/>
      <c r="J480" s="25" t="s">
        <v>300</v>
      </c>
    </row>
    <row r="481" spans="1:10" x14ac:dyDescent="0.25">
      <c r="A481" s="4">
        <v>21643</v>
      </c>
      <c r="B481">
        <v>9888</v>
      </c>
      <c r="C481" s="4">
        <v>13796</v>
      </c>
      <c r="D481" t="s">
        <v>306</v>
      </c>
      <c r="E481" s="4">
        <v>24</v>
      </c>
      <c r="F481" s="25">
        <v>43719.51284722222</v>
      </c>
      <c r="G481">
        <v>0</v>
      </c>
      <c r="H481" s="25"/>
      <c r="I481" s="25"/>
      <c r="J481" s="25" t="s">
        <v>300</v>
      </c>
    </row>
    <row r="482" spans="1:10" x14ac:dyDescent="0.25">
      <c r="A482" s="4">
        <v>21643</v>
      </c>
      <c r="B482">
        <v>9888</v>
      </c>
      <c r="C482" s="4">
        <v>13796</v>
      </c>
      <c r="D482" t="s">
        <v>306</v>
      </c>
      <c r="E482" s="4">
        <v>22</v>
      </c>
      <c r="F482" s="25">
        <v>43719.512835648151</v>
      </c>
      <c r="G482">
        <v>0</v>
      </c>
      <c r="H482" s="25"/>
      <c r="I482" s="25"/>
      <c r="J482" s="25" t="s">
        <v>300</v>
      </c>
    </row>
    <row r="483" spans="1:10" x14ac:dyDescent="0.25">
      <c r="A483" s="4">
        <v>21643</v>
      </c>
      <c r="B483">
        <v>9888</v>
      </c>
      <c r="C483" s="4">
        <v>13796</v>
      </c>
      <c r="D483" t="s">
        <v>306</v>
      </c>
      <c r="E483" s="4">
        <v>23</v>
      </c>
      <c r="F483" s="25">
        <v>43719.512835648151</v>
      </c>
      <c r="G483">
        <v>0</v>
      </c>
      <c r="H483" s="25"/>
      <c r="I483" s="25"/>
      <c r="J483" s="25" t="s">
        <v>300</v>
      </c>
    </row>
    <row r="484" spans="1:10" x14ac:dyDescent="0.25">
      <c r="A484" s="4">
        <v>21643</v>
      </c>
      <c r="B484">
        <v>9888</v>
      </c>
      <c r="C484" s="4">
        <v>13796</v>
      </c>
      <c r="D484" t="s">
        <v>306</v>
      </c>
      <c r="E484" s="4">
        <v>21</v>
      </c>
      <c r="F484" s="25">
        <v>43719.512824074074</v>
      </c>
      <c r="G484">
        <v>0</v>
      </c>
      <c r="H484" s="25"/>
      <c r="I484" s="25"/>
      <c r="J484" s="25" t="s">
        <v>300</v>
      </c>
    </row>
    <row r="485" spans="1:10" x14ac:dyDescent="0.25">
      <c r="A485" s="4">
        <v>21643</v>
      </c>
      <c r="B485">
        <v>9888</v>
      </c>
      <c r="C485" s="4">
        <v>13796</v>
      </c>
      <c r="D485" t="s">
        <v>306</v>
      </c>
      <c r="E485" s="4">
        <v>19</v>
      </c>
      <c r="F485" s="25">
        <v>43719.512812499997</v>
      </c>
      <c r="G485">
        <v>0</v>
      </c>
      <c r="H485" s="25"/>
      <c r="I485" s="25"/>
      <c r="J485" s="25" t="s">
        <v>300</v>
      </c>
    </row>
    <row r="486" spans="1:10" x14ac:dyDescent="0.25">
      <c r="A486" s="4">
        <v>21643</v>
      </c>
      <c r="B486">
        <v>9888</v>
      </c>
      <c r="C486" s="4">
        <v>13796</v>
      </c>
      <c r="D486" t="s">
        <v>306</v>
      </c>
      <c r="E486" s="4">
        <v>20</v>
      </c>
      <c r="F486" s="25">
        <v>43719.512812499997</v>
      </c>
      <c r="G486">
        <v>0</v>
      </c>
      <c r="H486" s="25"/>
      <c r="I486" s="25"/>
      <c r="J486" s="25" t="s">
        <v>300</v>
      </c>
    </row>
    <row r="487" spans="1:10" x14ac:dyDescent="0.25">
      <c r="A487" s="4">
        <v>21643</v>
      </c>
      <c r="B487">
        <v>9888</v>
      </c>
      <c r="C487" s="4">
        <v>13796</v>
      </c>
      <c r="D487" t="s">
        <v>306</v>
      </c>
      <c r="E487" s="4">
        <v>18</v>
      </c>
      <c r="F487" s="25">
        <v>43719.512800925928</v>
      </c>
      <c r="G487">
        <v>0</v>
      </c>
      <c r="H487" s="25"/>
      <c r="I487" s="25"/>
      <c r="J487" s="25" t="s">
        <v>300</v>
      </c>
    </row>
    <row r="488" spans="1:10" x14ac:dyDescent="0.25">
      <c r="A488" s="4">
        <v>21643</v>
      </c>
      <c r="B488">
        <v>9888</v>
      </c>
      <c r="C488" s="4">
        <v>13796</v>
      </c>
      <c r="D488" t="s">
        <v>306</v>
      </c>
      <c r="E488" s="4">
        <v>16</v>
      </c>
      <c r="F488" s="25">
        <v>43719.512789351851</v>
      </c>
      <c r="G488">
        <v>0</v>
      </c>
      <c r="H488" s="25"/>
      <c r="I488" s="25"/>
      <c r="J488" s="25" t="s">
        <v>300</v>
      </c>
    </row>
    <row r="489" spans="1:10" x14ac:dyDescent="0.25">
      <c r="A489" s="4">
        <v>21643</v>
      </c>
      <c r="B489">
        <v>9888</v>
      </c>
      <c r="C489" s="4">
        <v>13796</v>
      </c>
      <c r="D489" t="s">
        <v>306</v>
      </c>
      <c r="E489" s="4">
        <v>17</v>
      </c>
      <c r="F489" s="25">
        <v>43719.512789351851</v>
      </c>
      <c r="G489">
        <v>0</v>
      </c>
      <c r="H489" s="25"/>
      <c r="I489" s="25"/>
      <c r="J489" s="25" t="s">
        <v>300</v>
      </c>
    </row>
    <row r="490" spans="1:10" x14ac:dyDescent="0.25">
      <c r="A490" s="4">
        <v>21643</v>
      </c>
      <c r="B490">
        <v>9888</v>
      </c>
      <c r="C490" s="4">
        <v>13796</v>
      </c>
      <c r="D490" t="s">
        <v>306</v>
      </c>
      <c r="E490" s="4">
        <v>15</v>
      </c>
      <c r="F490" s="25">
        <v>43719.512777777774</v>
      </c>
      <c r="G490">
        <v>0</v>
      </c>
      <c r="H490" s="25"/>
      <c r="I490" s="25"/>
      <c r="J490" s="25" t="s">
        <v>300</v>
      </c>
    </row>
    <row r="491" spans="1:10" x14ac:dyDescent="0.25">
      <c r="A491" s="4">
        <v>21643</v>
      </c>
      <c r="B491">
        <v>9888</v>
      </c>
      <c r="C491" s="4">
        <v>13796</v>
      </c>
      <c r="D491" t="s">
        <v>306</v>
      </c>
      <c r="E491" s="4">
        <v>13</v>
      </c>
      <c r="F491" s="25">
        <v>43719.512766203705</v>
      </c>
      <c r="G491">
        <v>0</v>
      </c>
      <c r="H491" s="25"/>
      <c r="I491" s="25"/>
      <c r="J491" s="25" t="s">
        <v>300</v>
      </c>
    </row>
    <row r="492" spans="1:10" x14ac:dyDescent="0.25">
      <c r="A492" s="4">
        <v>21643</v>
      </c>
      <c r="B492">
        <v>9888</v>
      </c>
      <c r="C492" s="4">
        <v>13796</v>
      </c>
      <c r="D492" t="s">
        <v>306</v>
      </c>
      <c r="E492" s="4">
        <v>14</v>
      </c>
      <c r="F492" s="25">
        <v>43719.512766203705</v>
      </c>
      <c r="G492">
        <v>0</v>
      </c>
      <c r="H492" s="25"/>
      <c r="I492" s="25"/>
      <c r="J492" s="25" t="s">
        <v>300</v>
      </c>
    </row>
    <row r="493" spans="1:10" x14ac:dyDescent="0.25">
      <c r="A493" s="4">
        <v>21643</v>
      </c>
      <c r="B493">
        <v>9888</v>
      </c>
      <c r="C493" s="4">
        <v>13796</v>
      </c>
      <c r="D493" t="s">
        <v>306</v>
      </c>
      <c r="E493" s="4">
        <v>12</v>
      </c>
      <c r="F493" s="25">
        <v>43719.512754629628</v>
      </c>
      <c r="G493">
        <v>0</v>
      </c>
      <c r="H493" s="25"/>
      <c r="I493" s="25"/>
      <c r="J493" s="25" t="s">
        <v>300</v>
      </c>
    </row>
    <row r="494" spans="1:10" x14ac:dyDescent="0.25">
      <c r="A494" s="4">
        <v>21643</v>
      </c>
      <c r="B494">
        <v>9888</v>
      </c>
      <c r="C494" s="4">
        <v>13796</v>
      </c>
      <c r="D494" t="s">
        <v>306</v>
      </c>
      <c r="E494" s="4">
        <v>10</v>
      </c>
      <c r="F494" s="25">
        <v>43719.512743055559</v>
      </c>
      <c r="G494">
        <v>0</v>
      </c>
      <c r="H494" s="25"/>
      <c r="I494" s="25"/>
      <c r="J494" s="25" t="s">
        <v>300</v>
      </c>
    </row>
    <row r="495" spans="1:10" x14ac:dyDescent="0.25">
      <c r="A495" s="4">
        <v>21643</v>
      </c>
      <c r="B495">
        <v>9888</v>
      </c>
      <c r="C495" s="4">
        <v>13796</v>
      </c>
      <c r="D495" t="s">
        <v>306</v>
      </c>
      <c r="E495" s="4">
        <v>11</v>
      </c>
      <c r="F495" s="25">
        <v>43719.512743055559</v>
      </c>
      <c r="G495">
        <v>0</v>
      </c>
      <c r="H495" s="25"/>
      <c r="I495" s="25"/>
      <c r="J495" s="25" t="s">
        <v>300</v>
      </c>
    </row>
    <row r="496" spans="1:10" x14ac:dyDescent="0.25">
      <c r="A496" s="4">
        <v>21643</v>
      </c>
      <c r="B496">
        <v>9888</v>
      </c>
      <c r="C496" s="4">
        <v>13796</v>
      </c>
      <c r="D496" t="s">
        <v>306</v>
      </c>
      <c r="E496" s="4">
        <v>9</v>
      </c>
      <c r="F496" s="25">
        <v>43719.512731481482</v>
      </c>
      <c r="G496">
        <v>0</v>
      </c>
      <c r="H496" s="25"/>
      <c r="I496" s="25"/>
      <c r="J496" s="25" t="s">
        <v>300</v>
      </c>
    </row>
    <row r="497" spans="1:10" x14ac:dyDescent="0.25">
      <c r="A497" s="4">
        <v>21643</v>
      </c>
      <c r="B497">
        <v>9888</v>
      </c>
      <c r="C497" s="4">
        <v>13796</v>
      </c>
      <c r="D497" t="s">
        <v>306</v>
      </c>
      <c r="E497" s="4">
        <v>7</v>
      </c>
      <c r="F497" s="25">
        <v>43719.512719907405</v>
      </c>
      <c r="G497">
        <v>0</v>
      </c>
      <c r="H497" s="25"/>
      <c r="I497" s="25"/>
      <c r="J497" s="25" t="s">
        <v>300</v>
      </c>
    </row>
    <row r="498" spans="1:10" x14ac:dyDescent="0.25">
      <c r="A498" s="4">
        <v>21643</v>
      </c>
      <c r="B498">
        <v>9888</v>
      </c>
      <c r="C498" s="4">
        <v>13796</v>
      </c>
      <c r="D498" t="s">
        <v>306</v>
      </c>
      <c r="E498" s="4">
        <v>8</v>
      </c>
      <c r="F498" s="25">
        <v>43719.512719907405</v>
      </c>
      <c r="G498">
        <v>0</v>
      </c>
      <c r="H498" s="25"/>
      <c r="I498" s="25"/>
      <c r="J498" s="25" t="s">
        <v>300</v>
      </c>
    </row>
    <row r="499" spans="1:10" x14ac:dyDescent="0.25">
      <c r="A499" s="4">
        <v>21643</v>
      </c>
      <c r="B499">
        <v>9888</v>
      </c>
      <c r="C499" s="4">
        <v>13796</v>
      </c>
      <c r="D499" t="s">
        <v>306</v>
      </c>
      <c r="E499" s="4">
        <v>5</v>
      </c>
      <c r="F499" s="25">
        <v>43719.512708333335</v>
      </c>
      <c r="G499">
        <v>0</v>
      </c>
      <c r="H499" s="25"/>
      <c r="I499" s="25"/>
      <c r="J499" s="25" t="s">
        <v>300</v>
      </c>
    </row>
    <row r="500" spans="1:10" x14ac:dyDescent="0.25">
      <c r="A500" s="4">
        <v>21643</v>
      </c>
      <c r="B500">
        <v>9888</v>
      </c>
      <c r="C500" s="4">
        <v>13796</v>
      </c>
      <c r="D500" t="s">
        <v>306</v>
      </c>
      <c r="E500" s="4">
        <v>6</v>
      </c>
      <c r="F500" s="25">
        <v>43719.512708333335</v>
      </c>
      <c r="G500">
        <v>0</v>
      </c>
      <c r="H500" s="25"/>
      <c r="I500" s="25"/>
      <c r="J500" s="25" t="s">
        <v>300</v>
      </c>
    </row>
    <row r="501" spans="1:10" x14ac:dyDescent="0.25">
      <c r="A501" s="4">
        <v>21643</v>
      </c>
      <c r="B501">
        <v>9888</v>
      </c>
      <c r="C501" s="4">
        <v>13796</v>
      </c>
      <c r="D501" t="s">
        <v>306</v>
      </c>
      <c r="E501" s="4">
        <v>4</v>
      </c>
      <c r="F501" s="25">
        <v>43719.512696759259</v>
      </c>
      <c r="G501">
        <v>0</v>
      </c>
      <c r="H501" s="25"/>
      <c r="I501" s="25"/>
      <c r="J501" s="25" t="s">
        <v>300</v>
      </c>
    </row>
    <row r="502" spans="1:10" x14ac:dyDescent="0.25">
      <c r="A502" s="4">
        <v>21643</v>
      </c>
      <c r="B502">
        <v>9888</v>
      </c>
      <c r="C502" s="4">
        <v>13796</v>
      </c>
      <c r="D502" t="s">
        <v>306</v>
      </c>
      <c r="E502" s="4">
        <v>3</v>
      </c>
      <c r="F502" s="25">
        <v>43719.512685185182</v>
      </c>
      <c r="G502">
        <v>0</v>
      </c>
      <c r="H502" s="25"/>
      <c r="I502" s="25"/>
      <c r="J502" s="25" t="s">
        <v>300</v>
      </c>
    </row>
    <row r="503" spans="1:10" x14ac:dyDescent="0.25">
      <c r="A503" s="4">
        <v>21643</v>
      </c>
      <c r="B503">
        <v>9888</v>
      </c>
      <c r="C503" s="4">
        <v>13796</v>
      </c>
      <c r="D503" t="s">
        <v>306</v>
      </c>
      <c r="E503" s="4">
        <v>1</v>
      </c>
      <c r="F503" s="25">
        <v>43719.512673611112</v>
      </c>
      <c r="G503">
        <v>0</v>
      </c>
      <c r="H503" s="25"/>
      <c r="I503" s="25"/>
      <c r="J503" s="25" t="s">
        <v>300</v>
      </c>
    </row>
    <row r="504" spans="1:10" x14ac:dyDescent="0.25">
      <c r="A504" s="4">
        <v>21643</v>
      </c>
      <c r="B504">
        <v>9888</v>
      </c>
      <c r="C504" s="4">
        <v>13796</v>
      </c>
      <c r="D504" t="s">
        <v>306</v>
      </c>
      <c r="E504" s="4">
        <v>2</v>
      </c>
      <c r="F504" s="25">
        <v>43719.512673611112</v>
      </c>
      <c r="G504">
        <v>0</v>
      </c>
      <c r="H504" s="25"/>
      <c r="I504" s="25"/>
      <c r="J504" s="25" t="s">
        <v>300</v>
      </c>
    </row>
    <row r="505" spans="1:10" x14ac:dyDescent="0.25">
      <c r="A505" s="4">
        <v>21643</v>
      </c>
      <c r="B505">
        <v>9888</v>
      </c>
      <c r="C505" s="4">
        <v>13796</v>
      </c>
      <c r="D505" t="s">
        <v>306</v>
      </c>
      <c r="E505" s="4">
        <v>0</v>
      </c>
      <c r="F505" s="25">
        <v>43719.512662037036</v>
      </c>
      <c r="G505">
        <v>0</v>
      </c>
      <c r="H505" s="25"/>
      <c r="I505" s="25"/>
      <c r="J505" s="25" t="s">
        <v>300</v>
      </c>
    </row>
    <row r="506" spans="1:10" x14ac:dyDescent="0.25">
      <c r="A506" s="4">
        <v>9590</v>
      </c>
      <c r="B506">
        <v>9404</v>
      </c>
      <c r="C506" s="4">
        <v>14308</v>
      </c>
      <c r="D506" t="s">
        <v>306</v>
      </c>
      <c r="E506" s="4">
        <v>24</v>
      </c>
      <c r="F506" s="25">
        <v>43719.464317129627</v>
      </c>
      <c r="G506">
        <v>0</v>
      </c>
      <c r="H506" s="25"/>
      <c r="I506" s="25"/>
      <c r="J506" s="25" t="s">
        <v>300</v>
      </c>
    </row>
    <row r="507" spans="1:10" x14ac:dyDescent="0.25">
      <c r="A507" s="4">
        <v>9590</v>
      </c>
      <c r="B507">
        <v>9404</v>
      </c>
      <c r="C507" s="4">
        <v>14308</v>
      </c>
      <c r="D507" t="s">
        <v>306</v>
      </c>
      <c r="E507" s="4">
        <v>23</v>
      </c>
      <c r="F507" s="25">
        <v>43719.464305555557</v>
      </c>
      <c r="G507">
        <v>0</v>
      </c>
      <c r="H507" s="25"/>
      <c r="I507" s="25"/>
      <c r="J507" s="25" t="s">
        <v>300</v>
      </c>
    </row>
    <row r="508" spans="1:10" x14ac:dyDescent="0.25">
      <c r="A508" s="4">
        <v>9590</v>
      </c>
      <c r="B508">
        <v>9404</v>
      </c>
      <c r="C508" s="4">
        <v>14308</v>
      </c>
      <c r="D508" t="s">
        <v>306</v>
      </c>
      <c r="E508" s="4">
        <v>21</v>
      </c>
      <c r="F508" s="25">
        <v>43719.46429398148</v>
      </c>
      <c r="G508">
        <v>0</v>
      </c>
      <c r="H508" s="25"/>
      <c r="I508" s="25"/>
      <c r="J508" s="25" t="s">
        <v>300</v>
      </c>
    </row>
    <row r="509" spans="1:10" x14ac:dyDescent="0.25">
      <c r="A509" s="4">
        <v>9590</v>
      </c>
      <c r="B509">
        <v>9404</v>
      </c>
      <c r="C509" s="4">
        <v>14308</v>
      </c>
      <c r="D509" t="s">
        <v>306</v>
      </c>
      <c r="E509" s="4">
        <v>22</v>
      </c>
      <c r="F509" s="25">
        <v>43719.46429398148</v>
      </c>
      <c r="G509">
        <v>0</v>
      </c>
      <c r="H509" s="25"/>
      <c r="I509" s="25"/>
      <c r="J509" s="25" t="s">
        <v>300</v>
      </c>
    </row>
    <row r="510" spans="1:10" x14ac:dyDescent="0.25">
      <c r="A510" s="4">
        <v>9590</v>
      </c>
      <c r="B510">
        <v>9404</v>
      </c>
      <c r="C510" s="4">
        <v>14308</v>
      </c>
      <c r="D510" t="s">
        <v>306</v>
      </c>
      <c r="E510" s="4">
        <v>20</v>
      </c>
      <c r="F510" s="25">
        <v>43719.464282407411</v>
      </c>
      <c r="G510">
        <v>0</v>
      </c>
      <c r="H510" s="25"/>
      <c r="I510" s="25"/>
      <c r="J510" s="25" t="s">
        <v>300</v>
      </c>
    </row>
    <row r="511" spans="1:10" x14ac:dyDescent="0.25">
      <c r="A511" s="4">
        <v>9590</v>
      </c>
      <c r="B511">
        <v>9404</v>
      </c>
      <c r="C511" s="4">
        <v>14308</v>
      </c>
      <c r="D511" t="s">
        <v>306</v>
      </c>
      <c r="E511" s="4">
        <v>18</v>
      </c>
      <c r="F511" s="25">
        <v>43719.464270833334</v>
      </c>
      <c r="G511">
        <v>0</v>
      </c>
      <c r="H511" s="25"/>
      <c r="I511" s="25"/>
      <c r="J511" s="25" t="s">
        <v>300</v>
      </c>
    </row>
    <row r="512" spans="1:10" x14ac:dyDescent="0.25">
      <c r="A512" s="4">
        <v>9590</v>
      </c>
      <c r="B512">
        <v>9404</v>
      </c>
      <c r="C512" s="4">
        <v>14308</v>
      </c>
      <c r="D512" t="s">
        <v>306</v>
      </c>
      <c r="E512" s="4">
        <v>19</v>
      </c>
      <c r="F512" s="25">
        <v>43719.464270833334</v>
      </c>
      <c r="G512">
        <v>0</v>
      </c>
      <c r="H512" s="25"/>
      <c r="I512" s="25"/>
      <c r="J512" s="25" t="s">
        <v>300</v>
      </c>
    </row>
    <row r="513" spans="1:10" x14ac:dyDescent="0.25">
      <c r="A513" s="4">
        <v>9590</v>
      </c>
      <c r="B513">
        <v>9404</v>
      </c>
      <c r="C513" s="4">
        <v>14308</v>
      </c>
      <c r="D513" t="s">
        <v>306</v>
      </c>
      <c r="E513" s="4">
        <v>17</v>
      </c>
      <c r="F513" s="25">
        <v>43719.464259259257</v>
      </c>
      <c r="G513">
        <v>0</v>
      </c>
      <c r="H513" s="25"/>
      <c r="I513" s="25"/>
      <c r="J513" s="25" t="s">
        <v>300</v>
      </c>
    </row>
    <row r="514" spans="1:10" x14ac:dyDescent="0.25">
      <c r="A514" s="4">
        <v>9590</v>
      </c>
      <c r="B514">
        <v>9404</v>
      </c>
      <c r="C514" s="4">
        <v>14308</v>
      </c>
      <c r="D514" t="s">
        <v>306</v>
      </c>
      <c r="E514" s="4">
        <v>15</v>
      </c>
      <c r="F514" s="25">
        <v>43719.464247685188</v>
      </c>
      <c r="G514">
        <v>0</v>
      </c>
      <c r="H514" s="25"/>
      <c r="I514" s="25"/>
      <c r="J514" s="25" t="s">
        <v>300</v>
      </c>
    </row>
    <row r="515" spans="1:10" x14ac:dyDescent="0.25">
      <c r="A515" s="4">
        <v>9590</v>
      </c>
      <c r="B515">
        <v>9404</v>
      </c>
      <c r="C515" s="4">
        <v>14308</v>
      </c>
      <c r="D515" t="s">
        <v>306</v>
      </c>
      <c r="E515" s="4">
        <v>16</v>
      </c>
      <c r="F515" s="25">
        <v>43719.464247685188</v>
      </c>
      <c r="G515">
        <v>0</v>
      </c>
      <c r="H515" s="25"/>
      <c r="I515" s="25"/>
      <c r="J515" s="25" t="s">
        <v>300</v>
      </c>
    </row>
    <row r="516" spans="1:10" x14ac:dyDescent="0.25">
      <c r="A516" s="4">
        <v>9590</v>
      </c>
      <c r="B516">
        <v>9404</v>
      </c>
      <c r="C516" s="4">
        <v>14308</v>
      </c>
      <c r="D516" t="s">
        <v>306</v>
      </c>
      <c r="E516" s="4">
        <v>14</v>
      </c>
      <c r="F516" s="25">
        <v>43719.464236111111</v>
      </c>
      <c r="G516">
        <v>0</v>
      </c>
      <c r="H516" s="25"/>
      <c r="I516" s="25"/>
      <c r="J516" s="25" t="s">
        <v>300</v>
      </c>
    </row>
    <row r="517" spans="1:10" x14ac:dyDescent="0.25">
      <c r="A517" s="4">
        <v>9590</v>
      </c>
      <c r="B517">
        <v>9404</v>
      </c>
      <c r="C517" s="4">
        <v>14308</v>
      </c>
      <c r="D517" t="s">
        <v>306</v>
      </c>
      <c r="E517" s="4">
        <v>12</v>
      </c>
      <c r="F517" s="25">
        <v>43719.464224537034</v>
      </c>
      <c r="G517">
        <v>0</v>
      </c>
      <c r="H517" s="25"/>
      <c r="I517" s="25"/>
      <c r="J517" s="25" t="s">
        <v>300</v>
      </c>
    </row>
    <row r="518" spans="1:10" x14ac:dyDescent="0.25">
      <c r="A518" s="4">
        <v>9590</v>
      </c>
      <c r="B518">
        <v>9404</v>
      </c>
      <c r="C518" s="4">
        <v>14308</v>
      </c>
      <c r="D518" t="s">
        <v>306</v>
      </c>
      <c r="E518" s="4">
        <v>13</v>
      </c>
      <c r="F518" s="25">
        <v>43719.464224537034</v>
      </c>
      <c r="G518">
        <v>0</v>
      </c>
      <c r="H518" s="25"/>
      <c r="I518" s="25"/>
      <c r="J518" s="25" t="s">
        <v>300</v>
      </c>
    </row>
    <row r="519" spans="1:10" x14ac:dyDescent="0.25">
      <c r="A519" s="4">
        <v>9590</v>
      </c>
      <c r="B519">
        <v>9404</v>
      </c>
      <c r="C519" s="4">
        <v>14308</v>
      </c>
      <c r="D519" t="s">
        <v>306</v>
      </c>
      <c r="E519" s="4">
        <v>11</v>
      </c>
      <c r="F519" s="25">
        <v>43719.464212962965</v>
      </c>
      <c r="G519">
        <v>0</v>
      </c>
      <c r="H519" s="25"/>
      <c r="I519" s="25"/>
      <c r="J519" s="25" t="s">
        <v>300</v>
      </c>
    </row>
    <row r="520" spans="1:10" x14ac:dyDescent="0.25">
      <c r="A520" s="4">
        <v>9590</v>
      </c>
      <c r="B520">
        <v>9404</v>
      </c>
      <c r="C520" s="4">
        <v>14308</v>
      </c>
      <c r="D520" t="s">
        <v>306</v>
      </c>
      <c r="E520" s="4">
        <v>9</v>
      </c>
      <c r="F520" s="25">
        <v>43719.464201388888</v>
      </c>
      <c r="G520">
        <v>0</v>
      </c>
      <c r="H520" s="25"/>
      <c r="I520" s="25"/>
      <c r="J520" s="25" t="s">
        <v>300</v>
      </c>
    </row>
    <row r="521" spans="1:10" x14ac:dyDescent="0.25">
      <c r="A521" s="4">
        <v>9590</v>
      </c>
      <c r="B521">
        <v>9404</v>
      </c>
      <c r="C521" s="4">
        <v>14308</v>
      </c>
      <c r="D521" t="s">
        <v>306</v>
      </c>
      <c r="E521" s="4">
        <v>10</v>
      </c>
      <c r="F521" s="25">
        <v>43719.464201388888</v>
      </c>
      <c r="G521">
        <v>0</v>
      </c>
      <c r="H521" s="25"/>
      <c r="I521" s="25"/>
      <c r="J521" s="25" t="s">
        <v>300</v>
      </c>
    </row>
    <row r="522" spans="1:10" x14ac:dyDescent="0.25">
      <c r="A522" s="4">
        <v>9590</v>
      </c>
      <c r="B522">
        <v>9404</v>
      </c>
      <c r="C522" s="4">
        <v>14308</v>
      </c>
      <c r="D522" t="s">
        <v>306</v>
      </c>
      <c r="E522" s="4">
        <v>7</v>
      </c>
      <c r="F522" s="25">
        <v>43719.464189814818</v>
      </c>
      <c r="G522">
        <v>0</v>
      </c>
      <c r="H522" s="25"/>
      <c r="I522" s="25"/>
      <c r="J522" s="25" t="s">
        <v>300</v>
      </c>
    </row>
    <row r="523" spans="1:10" x14ac:dyDescent="0.25">
      <c r="A523" s="4">
        <v>9590</v>
      </c>
      <c r="B523">
        <v>9404</v>
      </c>
      <c r="C523" s="4">
        <v>14308</v>
      </c>
      <c r="D523" t="s">
        <v>306</v>
      </c>
      <c r="E523" s="4">
        <v>8</v>
      </c>
      <c r="F523" s="25">
        <v>43719.464189814818</v>
      </c>
      <c r="G523">
        <v>0</v>
      </c>
      <c r="H523" s="25"/>
      <c r="I523" s="25"/>
      <c r="J523" s="25" t="s">
        <v>300</v>
      </c>
    </row>
    <row r="524" spans="1:10" x14ac:dyDescent="0.25">
      <c r="A524" s="4">
        <v>9590</v>
      </c>
      <c r="B524">
        <v>9404</v>
      </c>
      <c r="C524" s="4">
        <v>14308</v>
      </c>
      <c r="D524" t="s">
        <v>306</v>
      </c>
      <c r="E524" s="4">
        <v>6</v>
      </c>
      <c r="F524" s="25">
        <v>43719.464178240742</v>
      </c>
      <c r="G524">
        <v>0</v>
      </c>
      <c r="H524" s="25"/>
      <c r="I524" s="25"/>
      <c r="J524" s="25" t="s">
        <v>300</v>
      </c>
    </row>
    <row r="525" spans="1:10" x14ac:dyDescent="0.25">
      <c r="A525" s="4">
        <v>9590</v>
      </c>
      <c r="B525">
        <v>9404</v>
      </c>
      <c r="C525" s="4">
        <v>14308</v>
      </c>
      <c r="D525" t="s">
        <v>306</v>
      </c>
      <c r="E525" s="4">
        <v>4</v>
      </c>
      <c r="F525" s="25">
        <v>43719.464166666665</v>
      </c>
      <c r="G525">
        <v>0</v>
      </c>
      <c r="H525" s="25"/>
      <c r="I525" s="25"/>
      <c r="J525" s="25" t="s">
        <v>300</v>
      </c>
    </row>
    <row r="526" spans="1:10" x14ac:dyDescent="0.25">
      <c r="A526" s="4">
        <v>9590</v>
      </c>
      <c r="B526">
        <v>9404</v>
      </c>
      <c r="C526" s="4">
        <v>14308</v>
      </c>
      <c r="D526" t="s">
        <v>306</v>
      </c>
      <c r="E526" s="4">
        <v>5</v>
      </c>
      <c r="F526" s="25">
        <v>43719.464166666665</v>
      </c>
      <c r="G526">
        <v>0</v>
      </c>
      <c r="H526" s="25"/>
      <c r="I526" s="25"/>
      <c r="J526" s="25" t="s">
        <v>300</v>
      </c>
    </row>
    <row r="527" spans="1:10" x14ac:dyDescent="0.25">
      <c r="A527" s="4">
        <v>9590</v>
      </c>
      <c r="B527">
        <v>9404</v>
      </c>
      <c r="C527" s="4">
        <v>14308</v>
      </c>
      <c r="D527" t="s">
        <v>306</v>
      </c>
      <c r="E527" s="4">
        <v>3</v>
      </c>
      <c r="F527" s="25">
        <v>43719.464155092595</v>
      </c>
      <c r="G527">
        <v>0</v>
      </c>
      <c r="H527" s="25"/>
      <c r="I527" s="25"/>
      <c r="J527" s="25" t="s">
        <v>300</v>
      </c>
    </row>
    <row r="528" spans="1:10" x14ac:dyDescent="0.25">
      <c r="A528" s="4">
        <v>9590</v>
      </c>
      <c r="B528">
        <v>9404</v>
      </c>
      <c r="C528" s="4">
        <v>14308</v>
      </c>
      <c r="D528" t="s">
        <v>306</v>
      </c>
      <c r="E528" s="4">
        <v>1</v>
      </c>
      <c r="F528" s="25">
        <v>43719.464143518519</v>
      </c>
      <c r="G528">
        <v>0</v>
      </c>
      <c r="H528" s="25"/>
      <c r="I528" s="25"/>
      <c r="J528" s="25" t="s">
        <v>300</v>
      </c>
    </row>
    <row r="529" spans="1:10" x14ac:dyDescent="0.25">
      <c r="A529" s="4">
        <v>9590</v>
      </c>
      <c r="B529">
        <v>9404</v>
      </c>
      <c r="C529" s="4">
        <v>14308</v>
      </c>
      <c r="D529" t="s">
        <v>306</v>
      </c>
      <c r="E529" s="4">
        <v>2</v>
      </c>
      <c r="F529" s="25">
        <v>43719.464143518519</v>
      </c>
      <c r="G529">
        <v>0</v>
      </c>
      <c r="H529" s="25"/>
      <c r="I529" s="25"/>
      <c r="J529" s="25" t="s">
        <v>300</v>
      </c>
    </row>
    <row r="530" spans="1:10" x14ac:dyDescent="0.25">
      <c r="A530" s="4">
        <v>9590</v>
      </c>
      <c r="B530">
        <v>9404</v>
      </c>
      <c r="C530" s="4">
        <v>14308</v>
      </c>
      <c r="D530" t="s">
        <v>306</v>
      </c>
      <c r="E530" s="4">
        <v>0</v>
      </c>
      <c r="F530" s="25">
        <v>43719.464131944442</v>
      </c>
      <c r="G530">
        <v>0</v>
      </c>
      <c r="H530" s="25"/>
      <c r="I530" s="25"/>
      <c r="J530" s="25" t="s">
        <v>300</v>
      </c>
    </row>
    <row r="531" spans="1:10" x14ac:dyDescent="0.25">
      <c r="A531" s="4">
        <v>9094</v>
      </c>
      <c r="B531">
        <v>12583</v>
      </c>
      <c r="C531" s="4">
        <v>14308</v>
      </c>
      <c r="D531" t="s">
        <v>306</v>
      </c>
      <c r="E531" s="4">
        <v>0</v>
      </c>
      <c r="F531" s="25">
        <v>43719.462384259263</v>
      </c>
      <c r="G531">
        <v>0</v>
      </c>
      <c r="H531" s="25"/>
      <c r="I531" s="25"/>
      <c r="J531" s="25" t="s">
        <v>300</v>
      </c>
    </row>
    <row r="532" spans="1:10" x14ac:dyDescent="0.25">
      <c r="A532" s="4">
        <v>4979</v>
      </c>
      <c r="B532">
        <v>12584</v>
      </c>
      <c r="C532" s="4">
        <v>14308</v>
      </c>
      <c r="D532" t="s">
        <v>306</v>
      </c>
      <c r="E532" s="4">
        <v>1</v>
      </c>
      <c r="F532" s="25">
        <v>43719.458321759259</v>
      </c>
      <c r="G532">
        <v>0</v>
      </c>
      <c r="H532" s="25"/>
      <c r="I532" s="25"/>
      <c r="J532" s="25" t="s">
        <v>300</v>
      </c>
    </row>
    <row r="533" spans="1:10" x14ac:dyDescent="0.25">
      <c r="A533" s="4">
        <v>4979</v>
      </c>
      <c r="B533">
        <v>12584</v>
      </c>
      <c r="C533" s="4">
        <v>14308</v>
      </c>
      <c r="D533" t="s">
        <v>306</v>
      </c>
      <c r="E533" s="4">
        <v>0</v>
      </c>
      <c r="F533" s="25">
        <v>43719.447800925926</v>
      </c>
      <c r="G533">
        <v>0</v>
      </c>
      <c r="H533" s="25"/>
      <c r="I533" s="25"/>
      <c r="J533" s="25" t="s">
        <v>300</v>
      </c>
    </row>
    <row r="534" spans="1:10" x14ac:dyDescent="0.25">
      <c r="A534" s="4">
        <v>29958</v>
      </c>
      <c r="B534">
        <v>8440</v>
      </c>
      <c r="C534" s="4">
        <v>14308</v>
      </c>
      <c r="D534" t="s">
        <v>306</v>
      </c>
      <c r="E534" s="4">
        <v>0</v>
      </c>
      <c r="F534" s="25">
        <v>43719.420208333337</v>
      </c>
      <c r="G534">
        <v>0</v>
      </c>
      <c r="H534" s="25"/>
      <c r="I534" s="25"/>
      <c r="J534" s="25" t="s">
        <v>300</v>
      </c>
    </row>
    <row r="535" spans="1:10" x14ac:dyDescent="0.25">
      <c r="A535" s="4">
        <v>100</v>
      </c>
      <c r="B535">
        <v>11608</v>
      </c>
      <c r="C535" s="4">
        <v>14308</v>
      </c>
      <c r="D535" t="s">
        <v>7</v>
      </c>
      <c r="E535" s="4">
        <v>0</v>
      </c>
      <c r="F535" s="25">
        <v>43719.415891203702</v>
      </c>
      <c r="G535">
        <v>0</v>
      </c>
      <c r="H535" s="25"/>
      <c r="I535" s="25" t="s">
        <v>425</v>
      </c>
      <c r="J535" s="25" t="s">
        <v>300</v>
      </c>
    </row>
    <row r="536" spans="1:10" x14ac:dyDescent="0.25">
      <c r="A536" s="4">
        <v>100</v>
      </c>
      <c r="B536">
        <v>10208</v>
      </c>
      <c r="C536" s="4">
        <v>14308</v>
      </c>
      <c r="D536" t="s">
        <v>7</v>
      </c>
      <c r="E536" s="4">
        <v>0</v>
      </c>
      <c r="F536" s="25">
        <v>43719.41574074074</v>
      </c>
      <c r="G536">
        <v>0</v>
      </c>
      <c r="H536" s="25"/>
      <c r="I536" s="25" t="s">
        <v>426</v>
      </c>
      <c r="J536" s="25" t="s">
        <v>300</v>
      </c>
    </row>
    <row r="537" spans="1:10" x14ac:dyDescent="0.25">
      <c r="A537" s="4">
        <v>100</v>
      </c>
      <c r="B537">
        <v>9364</v>
      </c>
      <c r="C537" s="4">
        <v>14308</v>
      </c>
      <c r="D537" t="s">
        <v>7</v>
      </c>
      <c r="E537" s="4">
        <v>0</v>
      </c>
      <c r="F537" s="25">
        <v>43719.415590277778</v>
      </c>
      <c r="G537">
        <v>0</v>
      </c>
      <c r="H537" s="25"/>
      <c r="I537" s="25" t="s">
        <v>427</v>
      </c>
      <c r="J537" s="25" t="s">
        <v>300</v>
      </c>
    </row>
    <row r="538" spans="1:10" x14ac:dyDescent="0.25">
      <c r="A538" s="4">
        <v>100</v>
      </c>
      <c r="B538">
        <v>6136</v>
      </c>
      <c r="C538" s="4">
        <v>14308</v>
      </c>
      <c r="D538" t="s">
        <v>7</v>
      </c>
      <c r="E538" s="4">
        <v>0</v>
      </c>
      <c r="F538" s="25">
        <v>43719.41542824074</v>
      </c>
      <c r="G538">
        <v>0</v>
      </c>
      <c r="H538" s="25"/>
      <c r="I538" s="25" t="s">
        <v>428</v>
      </c>
      <c r="J538" s="25" t="s">
        <v>300</v>
      </c>
    </row>
    <row r="539" spans="1:10" x14ac:dyDescent="0.25">
      <c r="A539" s="4">
        <v>100</v>
      </c>
      <c r="B539">
        <v>804</v>
      </c>
      <c r="C539" s="4">
        <v>14308</v>
      </c>
      <c r="D539" t="s">
        <v>7</v>
      </c>
      <c r="E539" s="4">
        <v>0</v>
      </c>
      <c r="F539" s="25">
        <v>43719.415266203701</v>
      </c>
      <c r="G539">
        <v>0</v>
      </c>
      <c r="H539" s="25"/>
      <c r="I539" s="25" t="s">
        <v>429</v>
      </c>
      <c r="J539" s="25" t="s">
        <v>300</v>
      </c>
    </row>
    <row r="540" spans="1:10" x14ac:dyDescent="0.25">
      <c r="A540" s="4">
        <v>100</v>
      </c>
      <c r="B540">
        <v>11532</v>
      </c>
      <c r="C540" s="4">
        <v>14308</v>
      </c>
      <c r="D540" t="s">
        <v>7</v>
      </c>
      <c r="E540" s="4">
        <v>0</v>
      </c>
      <c r="F540" s="25">
        <v>43719.415069444447</v>
      </c>
      <c r="G540">
        <v>0</v>
      </c>
      <c r="H540" s="25"/>
      <c r="I540" s="25" t="s">
        <v>430</v>
      </c>
      <c r="J540" s="25" t="s">
        <v>300</v>
      </c>
    </row>
    <row r="541" spans="1:10" x14ac:dyDescent="0.25">
      <c r="A541" s="4">
        <v>100</v>
      </c>
      <c r="B541">
        <v>3796</v>
      </c>
      <c r="C541" s="4">
        <v>14308</v>
      </c>
      <c r="D541" t="s">
        <v>7</v>
      </c>
      <c r="E541" s="4">
        <v>0</v>
      </c>
      <c r="F541" s="25">
        <v>43719.414907407408</v>
      </c>
      <c r="G541">
        <v>0</v>
      </c>
      <c r="H541" s="25"/>
      <c r="I541" s="25" t="s">
        <v>431</v>
      </c>
      <c r="J541" s="25" t="s">
        <v>300</v>
      </c>
    </row>
    <row r="542" spans="1:10" x14ac:dyDescent="0.25">
      <c r="A542" s="4">
        <v>100</v>
      </c>
      <c r="B542">
        <v>8407</v>
      </c>
      <c r="C542" s="4">
        <v>14308</v>
      </c>
      <c r="D542" t="s">
        <v>7</v>
      </c>
      <c r="E542" s="4">
        <v>0</v>
      </c>
      <c r="F542" s="25">
        <v>43719.414687500001</v>
      </c>
      <c r="G542">
        <v>0</v>
      </c>
      <c r="H542" s="25"/>
      <c r="I542" s="25" t="s">
        <v>432</v>
      </c>
      <c r="J542" s="25" t="s">
        <v>300</v>
      </c>
    </row>
    <row r="543" spans="1:10" x14ac:dyDescent="0.25">
      <c r="A543" s="4">
        <v>99</v>
      </c>
      <c r="B543">
        <v>13640</v>
      </c>
      <c r="C543" s="4">
        <v>14308</v>
      </c>
      <c r="D543" t="s">
        <v>7</v>
      </c>
      <c r="E543" s="4">
        <v>0</v>
      </c>
      <c r="F543" s="25">
        <v>43719.413032407407</v>
      </c>
      <c r="G543">
        <v>0</v>
      </c>
      <c r="H543" s="25"/>
      <c r="I543" s="25" t="s">
        <v>433</v>
      </c>
      <c r="J543" s="25" t="s">
        <v>300</v>
      </c>
    </row>
    <row r="544" spans="1:10" x14ac:dyDescent="0.25">
      <c r="A544" s="4">
        <v>99</v>
      </c>
      <c r="B544">
        <v>7432</v>
      </c>
      <c r="C544" s="4">
        <v>14308</v>
      </c>
      <c r="D544" t="s">
        <v>7</v>
      </c>
      <c r="E544" s="4">
        <v>0</v>
      </c>
      <c r="F544" s="25">
        <v>43719.28334490741</v>
      </c>
      <c r="G544">
        <v>0</v>
      </c>
      <c r="H544" s="25"/>
      <c r="I544" s="25" t="s">
        <v>433</v>
      </c>
      <c r="J544" s="25" t="s">
        <v>300</v>
      </c>
    </row>
    <row r="545" spans="1:10" x14ac:dyDescent="0.25">
      <c r="A545" s="4">
        <v>83</v>
      </c>
      <c r="B545">
        <v>14044</v>
      </c>
      <c r="C545" s="4">
        <v>14308</v>
      </c>
      <c r="D545" t="s">
        <v>7</v>
      </c>
      <c r="E545" s="4">
        <v>0</v>
      </c>
      <c r="F545" s="25">
        <v>43718.966006944444</v>
      </c>
      <c r="G545">
        <v>0</v>
      </c>
      <c r="H545" s="25"/>
      <c r="I545" s="25" t="s">
        <v>425</v>
      </c>
      <c r="J545" s="25" t="s">
        <v>300</v>
      </c>
    </row>
    <row r="546" spans="1:10" x14ac:dyDescent="0.25">
      <c r="A546" s="4">
        <v>83</v>
      </c>
      <c r="B546">
        <v>13560</v>
      </c>
      <c r="C546" s="4">
        <v>14308</v>
      </c>
      <c r="D546" t="s">
        <v>7</v>
      </c>
      <c r="E546" s="4">
        <v>0</v>
      </c>
      <c r="F546" s="25">
        <v>43718.957361111112</v>
      </c>
      <c r="G546">
        <v>0</v>
      </c>
      <c r="H546" s="25"/>
      <c r="I546" s="25" t="s">
        <v>425</v>
      </c>
      <c r="J546" s="25" t="s">
        <v>300</v>
      </c>
    </row>
    <row r="547" spans="1:10" x14ac:dyDescent="0.25">
      <c r="A547" s="4">
        <v>30</v>
      </c>
      <c r="B547">
        <v>6104</v>
      </c>
      <c r="C547" s="4">
        <v>5644</v>
      </c>
      <c r="D547" t="s">
        <v>7</v>
      </c>
      <c r="E547" s="4">
        <v>0</v>
      </c>
      <c r="F547" s="25">
        <v>43718.93854166667</v>
      </c>
      <c r="G547">
        <v>0</v>
      </c>
      <c r="H547" s="25"/>
      <c r="I547" s="25" t="s">
        <v>432</v>
      </c>
      <c r="J547" s="25" t="s">
        <v>300</v>
      </c>
    </row>
    <row r="548" spans="1:10" x14ac:dyDescent="0.25">
      <c r="A548" s="4">
        <v>30</v>
      </c>
      <c r="B548">
        <v>12756</v>
      </c>
      <c r="C548" s="4">
        <v>5644</v>
      </c>
      <c r="D548" t="s">
        <v>7</v>
      </c>
      <c r="E548" s="4">
        <v>0</v>
      </c>
      <c r="F548" s="25">
        <v>43718.935219907406</v>
      </c>
      <c r="G548">
        <v>0</v>
      </c>
      <c r="H548" s="25"/>
      <c r="I548" s="25" t="s">
        <v>331</v>
      </c>
      <c r="J548" s="25" t="s">
        <v>300</v>
      </c>
    </row>
    <row r="549" spans="1:10" x14ac:dyDescent="0.25">
      <c r="A549" s="4">
        <v>99</v>
      </c>
      <c r="B549">
        <v>11380</v>
      </c>
      <c r="C549" s="4">
        <v>14308</v>
      </c>
      <c r="D549" t="s">
        <v>7</v>
      </c>
      <c r="E549" s="4">
        <v>0</v>
      </c>
      <c r="F549" s="25">
        <v>43718.918657407405</v>
      </c>
      <c r="G549">
        <v>0</v>
      </c>
      <c r="H549" s="25"/>
      <c r="I549" s="25" t="s">
        <v>335</v>
      </c>
      <c r="J549" s="25" t="s">
        <v>300</v>
      </c>
    </row>
    <row r="550" spans="1:10" x14ac:dyDescent="0.25">
      <c r="A550" s="4">
        <v>99</v>
      </c>
      <c r="B550">
        <v>11723</v>
      </c>
      <c r="C550" s="4">
        <v>14308</v>
      </c>
      <c r="D550" t="s">
        <v>7</v>
      </c>
      <c r="E550" s="4">
        <v>0</v>
      </c>
      <c r="F550" s="25">
        <v>43718.916990740741</v>
      </c>
      <c r="G550">
        <v>0</v>
      </c>
      <c r="H550" s="25"/>
      <c r="I550" s="25" t="s">
        <v>335</v>
      </c>
      <c r="J550" s="25" t="s">
        <v>300</v>
      </c>
    </row>
    <row r="551" spans="1:10" x14ac:dyDescent="0.25">
      <c r="A551" s="4">
        <v>99</v>
      </c>
      <c r="B551">
        <v>14260</v>
      </c>
      <c r="C551" s="4">
        <v>14308</v>
      </c>
      <c r="D551" t="s">
        <v>7</v>
      </c>
      <c r="E551" s="4">
        <v>0</v>
      </c>
      <c r="F551" s="25">
        <v>43718.9141087963</v>
      </c>
      <c r="G551">
        <v>0</v>
      </c>
      <c r="H551" s="25"/>
      <c r="I551" s="25" t="s">
        <v>335</v>
      </c>
      <c r="J551" s="25" t="s">
        <v>300</v>
      </c>
    </row>
    <row r="552" spans="1:10" x14ac:dyDescent="0.25">
      <c r="A552" s="4">
        <v>99</v>
      </c>
      <c r="B552">
        <v>13308</v>
      </c>
      <c r="C552" s="4">
        <v>14308</v>
      </c>
      <c r="D552" t="s">
        <v>7</v>
      </c>
      <c r="E552" s="4">
        <v>0</v>
      </c>
      <c r="F552" s="25">
        <v>43718.900787037041</v>
      </c>
      <c r="G552">
        <v>0</v>
      </c>
      <c r="H552" s="25"/>
      <c r="I552" s="25" t="s">
        <v>335</v>
      </c>
      <c r="J552" s="25" t="s">
        <v>300</v>
      </c>
    </row>
    <row r="553" spans="1:10" x14ac:dyDescent="0.25">
      <c r="A553" s="4">
        <v>99</v>
      </c>
      <c r="B553">
        <v>5940</v>
      </c>
      <c r="C553" s="4">
        <v>14308</v>
      </c>
      <c r="D553" t="s">
        <v>7</v>
      </c>
      <c r="E553" s="4">
        <v>0</v>
      </c>
      <c r="F553" s="25">
        <v>43718.899664351855</v>
      </c>
      <c r="G553">
        <v>0</v>
      </c>
      <c r="H553" s="25"/>
      <c r="I553" s="25" t="s">
        <v>335</v>
      </c>
      <c r="J553" s="25" t="s">
        <v>300</v>
      </c>
    </row>
    <row r="554" spans="1:10" x14ac:dyDescent="0.25">
      <c r="A554" s="4">
        <v>90</v>
      </c>
      <c r="B554">
        <v>5688</v>
      </c>
      <c r="C554" s="4">
        <v>16504</v>
      </c>
      <c r="D554" t="s">
        <v>7</v>
      </c>
      <c r="E554" s="4">
        <v>0</v>
      </c>
      <c r="F554" s="25">
        <v>43718.865358796298</v>
      </c>
      <c r="G554">
        <v>0</v>
      </c>
      <c r="H554" s="25"/>
      <c r="I554" s="25" t="s">
        <v>434</v>
      </c>
      <c r="J554" s="25" t="s">
        <v>304</v>
      </c>
    </row>
    <row r="555" spans="1:10" x14ac:dyDescent="0.25">
      <c r="A555" s="4">
        <v>90</v>
      </c>
      <c r="B555">
        <v>16504</v>
      </c>
      <c r="C555" s="4">
        <v>16504</v>
      </c>
      <c r="D555" t="s">
        <v>7</v>
      </c>
      <c r="E555" s="4">
        <v>0</v>
      </c>
      <c r="F555" s="25">
        <v>43718.607048611113</v>
      </c>
      <c r="G555">
        <v>1</v>
      </c>
      <c r="H555" s="25" t="s">
        <v>321</v>
      </c>
      <c r="I555" s="25"/>
      <c r="J555" s="25" t="s">
        <v>435</v>
      </c>
    </row>
    <row r="556" spans="1:10" x14ac:dyDescent="0.25">
      <c r="A556" s="4">
        <v>99</v>
      </c>
      <c r="B556">
        <v>13616</v>
      </c>
      <c r="C556" s="4">
        <v>14308</v>
      </c>
      <c r="D556" t="s">
        <v>7</v>
      </c>
      <c r="E556" s="4">
        <v>0</v>
      </c>
      <c r="F556" s="25">
        <v>43718.530925925923</v>
      </c>
      <c r="G556">
        <v>0</v>
      </c>
      <c r="H556" s="25"/>
      <c r="I556" s="25" t="s">
        <v>335</v>
      </c>
      <c r="J556" s="25" t="s">
        <v>304</v>
      </c>
    </row>
    <row r="557" spans="1:10" x14ac:dyDescent="0.25">
      <c r="A557" s="4">
        <v>99</v>
      </c>
      <c r="B557">
        <v>12060</v>
      </c>
      <c r="C557" s="4">
        <v>14308</v>
      </c>
      <c r="D557" t="s">
        <v>7</v>
      </c>
      <c r="E557" s="4">
        <v>0</v>
      </c>
      <c r="F557" s="25">
        <v>43718.527326388888</v>
      </c>
      <c r="G557">
        <v>0</v>
      </c>
      <c r="H557" s="25"/>
      <c r="I557" s="25" t="s">
        <v>335</v>
      </c>
      <c r="J557" s="25" t="s">
        <v>304</v>
      </c>
    </row>
    <row r="558" spans="1:10" x14ac:dyDescent="0.25">
      <c r="A558" s="4">
        <v>99</v>
      </c>
      <c r="B558">
        <v>9204</v>
      </c>
      <c r="C558" s="4">
        <v>12292</v>
      </c>
      <c r="D558" t="s">
        <v>7</v>
      </c>
      <c r="E558" s="4">
        <v>0</v>
      </c>
      <c r="F558" s="25">
        <v>43715.478877314818</v>
      </c>
      <c r="G558">
        <v>0</v>
      </c>
      <c r="H558" s="25"/>
      <c r="I558" s="25" t="s">
        <v>335</v>
      </c>
      <c r="J558" s="25" t="s">
        <v>300</v>
      </c>
    </row>
    <row r="559" spans="1:10" x14ac:dyDescent="0.25">
      <c r="A559" s="4">
        <v>99</v>
      </c>
      <c r="B559">
        <v>12260</v>
      </c>
      <c r="C559" s="4">
        <v>12292</v>
      </c>
      <c r="D559" t="s">
        <v>7</v>
      </c>
      <c r="E559" s="4">
        <v>0</v>
      </c>
      <c r="F559" s="25">
        <v>43715.477071759262</v>
      </c>
      <c r="G559">
        <v>0</v>
      </c>
      <c r="H559" s="25"/>
      <c r="I559" s="25" t="s">
        <v>335</v>
      </c>
      <c r="J559" s="25" t="s">
        <v>300</v>
      </c>
    </row>
    <row r="560" spans="1:10" x14ac:dyDescent="0.25">
      <c r="A560" s="4">
        <v>99</v>
      </c>
      <c r="B560">
        <v>11704</v>
      </c>
      <c r="C560" s="4">
        <v>14308</v>
      </c>
      <c r="D560" t="s">
        <v>7</v>
      </c>
      <c r="E560" s="4">
        <v>0</v>
      </c>
      <c r="F560" s="25">
        <v>43715.47552083333</v>
      </c>
      <c r="G560">
        <v>0</v>
      </c>
      <c r="H560" s="25"/>
      <c r="I560" s="25" t="s">
        <v>335</v>
      </c>
      <c r="J560" s="25" t="s">
        <v>304</v>
      </c>
    </row>
    <row r="561" spans="1:10" x14ac:dyDescent="0.25">
      <c r="A561" s="4">
        <v>22716</v>
      </c>
      <c r="B561">
        <v>15148</v>
      </c>
      <c r="C561" s="4">
        <v>14308</v>
      </c>
      <c r="D561" t="s">
        <v>306</v>
      </c>
      <c r="E561" s="4">
        <v>0</v>
      </c>
      <c r="F561" s="25">
        <v>43715.447592592594</v>
      </c>
      <c r="G561">
        <v>0</v>
      </c>
      <c r="H561" s="25"/>
      <c r="I561" s="25"/>
      <c r="J561" s="25" t="s">
        <v>300</v>
      </c>
    </row>
    <row r="562" spans="1:10" x14ac:dyDescent="0.25">
      <c r="A562" s="4">
        <v>83</v>
      </c>
      <c r="B562">
        <v>7896</v>
      </c>
      <c r="C562" s="4">
        <v>14308</v>
      </c>
      <c r="D562" t="s">
        <v>7</v>
      </c>
      <c r="E562" s="4">
        <v>0</v>
      </c>
      <c r="F562" s="25">
        <v>43714.951192129629</v>
      </c>
      <c r="G562">
        <v>0</v>
      </c>
      <c r="H562" s="25"/>
      <c r="I562" s="25" t="s">
        <v>335</v>
      </c>
      <c r="J562" s="25" t="s">
        <v>300</v>
      </c>
    </row>
    <row r="563" spans="1:10" x14ac:dyDescent="0.25">
      <c r="A563" s="4">
        <v>83</v>
      </c>
      <c r="B563">
        <v>4312</v>
      </c>
      <c r="C563" s="4">
        <v>14308</v>
      </c>
      <c r="D563" t="s">
        <v>7</v>
      </c>
      <c r="E563" s="4">
        <v>0</v>
      </c>
      <c r="F563" s="25">
        <v>43714.950150462966</v>
      </c>
      <c r="G563">
        <v>0</v>
      </c>
      <c r="H563" s="25"/>
      <c r="I563" s="25" t="s">
        <v>335</v>
      </c>
      <c r="J563" s="25" t="s">
        <v>304</v>
      </c>
    </row>
    <row r="564" spans="1:10" x14ac:dyDescent="0.25">
      <c r="A564" s="4">
        <v>83</v>
      </c>
      <c r="B564">
        <v>1325</v>
      </c>
      <c r="C564" s="4">
        <v>14308</v>
      </c>
      <c r="D564" t="s">
        <v>7</v>
      </c>
      <c r="E564" s="4">
        <v>0</v>
      </c>
      <c r="F564" s="25">
        <v>43714.942164351851</v>
      </c>
      <c r="G564">
        <v>0</v>
      </c>
      <c r="H564" s="25"/>
      <c r="I564" s="25" t="s">
        <v>335</v>
      </c>
      <c r="J564" s="25" t="s">
        <v>304</v>
      </c>
    </row>
    <row r="565" spans="1:10" x14ac:dyDescent="0.25">
      <c r="A565" s="4">
        <v>6974</v>
      </c>
      <c r="B565">
        <v>8724</v>
      </c>
      <c r="C565" s="4">
        <v>13796</v>
      </c>
      <c r="D565" t="s">
        <v>306</v>
      </c>
      <c r="E565" s="4">
        <v>23</v>
      </c>
      <c r="F565" s="25">
        <v>43714.930150462962</v>
      </c>
      <c r="G565">
        <v>0</v>
      </c>
      <c r="H565" s="25"/>
      <c r="I565" s="25"/>
      <c r="J565" s="25" t="s">
        <v>300</v>
      </c>
    </row>
    <row r="566" spans="1:10" x14ac:dyDescent="0.25">
      <c r="A566" s="4">
        <v>6974</v>
      </c>
      <c r="B566">
        <v>8724</v>
      </c>
      <c r="C566" s="4">
        <v>13796</v>
      </c>
      <c r="D566" t="s">
        <v>306</v>
      </c>
      <c r="E566" s="4">
        <v>24</v>
      </c>
      <c r="F566" s="25">
        <v>43714.930150462962</v>
      </c>
      <c r="G566">
        <v>0</v>
      </c>
      <c r="H566" s="25"/>
      <c r="I566" s="25"/>
      <c r="J566" s="25" t="s">
        <v>300</v>
      </c>
    </row>
    <row r="567" spans="1:10" x14ac:dyDescent="0.25">
      <c r="A567" s="4">
        <v>6974</v>
      </c>
      <c r="B567">
        <v>8724</v>
      </c>
      <c r="C567" s="4">
        <v>13796</v>
      </c>
      <c r="D567" t="s">
        <v>306</v>
      </c>
      <c r="E567" s="4">
        <v>22</v>
      </c>
      <c r="F567" s="25">
        <v>43714.930138888885</v>
      </c>
      <c r="G567">
        <v>0</v>
      </c>
      <c r="H567" s="25"/>
      <c r="I567" s="25"/>
      <c r="J567" s="25" t="s">
        <v>300</v>
      </c>
    </row>
    <row r="568" spans="1:10" x14ac:dyDescent="0.25">
      <c r="A568" s="4">
        <v>6974</v>
      </c>
      <c r="B568">
        <v>8724</v>
      </c>
      <c r="C568" s="4">
        <v>13796</v>
      </c>
      <c r="D568" t="s">
        <v>306</v>
      </c>
      <c r="E568" s="4">
        <v>20</v>
      </c>
      <c r="F568" s="25">
        <v>43714.930127314816</v>
      </c>
      <c r="G568">
        <v>0</v>
      </c>
      <c r="H568" s="25"/>
      <c r="I568" s="25"/>
      <c r="J568" s="25" t="s">
        <v>300</v>
      </c>
    </row>
    <row r="569" spans="1:10" x14ac:dyDescent="0.25">
      <c r="A569" s="4">
        <v>6974</v>
      </c>
      <c r="B569">
        <v>8724</v>
      </c>
      <c r="C569" s="4">
        <v>13796</v>
      </c>
      <c r="D569" t="s">
        <v>306</v>
      </c>
      <c r="E569" s="4">
        <v>21</v>
      </c>
      <c r="F569" s="25">
        <v>43714.930127314816</v>
      </c>
      <c r="G569">
        <v>0</v>
      </c>
      <c r="H569" s="25"/>
      <c r="I569" s="25"/>
      <c r="J569" s="25" t="s">
        <v>300</v>
      </c>
    </row>
    <row r="570" spans="1:10" x14ac:dyDescent="0.25">
      <c r="A570" s="4">
        <v>6974</v>
      </c>
      <c r="B570">
        <v>8724</v>
      </c>
      <c r="C570" s="4">
        <v>13796</v>
      </c>
      <c r="D570" t="s">
        <v>306</v>
      </c>
      <c r="E570" s="4">
        <v>19</v>
      </c>
      <c r="F570" s="25">
        <v>43714.930115740739</v>
      </c>
      <c r="G570">
        <v>0</v>
      </c>
      <c r="H570" s="25"/>
      <c r="I570" s="25"/>
      <c r="J570" s="25" t="s">
        <v>300</v>
      </c>
    </row>
    <row r="571" spans="1:10" x14ac:dyDescent="0.25">
      <c r="A571" s="4">
        <v>6974</v>
      </c>
      <c r="B571">
        <v>8724</v>
      </c>
      <c r="C571" s="4">
        <v>13796</v>
      </c>
      <c r="D571" t="s">
        <v>306</v>
      </c>
      <c r="E571" s="4">
        <v>17</v>
      </c>
      <c r="F571" s="25">
        <v>43714.930104166669</v>
      </c>
      <c r="G571">
        <v>0</v>
      </c>
      <c r="H571" s="25"/>
      <c r="I571" s="25"/>
      <c r="J571" s="25" t="s">
        <v>300</v>
      </c>
    </row>
    <row r="572" spans="1:10" x14ac:dyDescent="0.25">
      <c r="A572" s="4">
        <v>6974</v>
      </c>
      <c r="B572">
        <v>8724</v>
      </c>
      <c r="C572" s="4">
        <v>13796</v>
      </c>
      <c r="D572" t="s">
        <v>306</v>
      </c>
      <c r="E572" s="4">
        <v>18</v>
      </c>
      <c r="F572" s="25">
        <v>43714.930104166669</v>
      </c>
      <c r="G572">
        <v>0</v>
      </c>
      <c r="H572" s="25"/>
      <c r="I572" s="25"/>
      <c r="J572" s="25" t="s">
        <v>300</v>
      </c>
    </row>
    <row r="573" spans="1:10" x14ac:dyDescent="0.25">
      <c r="A573" s="4">
        <v>6974</v>
      </c>
      <c r="B573">
        <v>8724</v>
      </c>
      <c r="C573" s="4">
        <v>13796</v>
      </c>
      <c r="D573" t="s">
        <v>306</v>
      </c>
      <c r="E573" s="4">
        <v>16</v>
      </c>
      <c r="F573" s="25">
        <v>43714.930092592593</v>
      </c>
      <c r="G573">
        <v>0</v>
      </c>
      <c r="H573" s="25"/>
      <c r="I573" s="25"/>
      <c r="J573" s="25" t="s">
        <v>300</v>
      </c>
    </row>
    <row r="574" spans="1:10" x14ac:dyDescent="0.25">
      <c r="A574" s="4">
        <v>6974</v>
      </c>
      <c r="B574">
        <v>8724</v>
      </c>
      <c r="C574" s="4">
        <v>13796</v>
      </c>
      <c r="D574" t="s">
        <v>306</v>
      </c>
      <c r="E574" s="4">
        <v>14</v>
      </c>
      <c r="F574" s="25">
        <v>43714.930081018516</v>
      </c>
      <c r="G574">
        <v>0</v>
      </c>
      <c r="H574" s="25"/>
      <c r="I574" s="25"/>
      <c r="J574" s="25" t="s">
        <v>300</v>
      </c>
    </row>
    <row r="575" spans="1:10" x14ac:dyDescent="0.25">
      <c r="A575" s="4">
        <v>6974</v>
      </c>
      <c r="B575">
        <v>8724</v>
      </c>
      <c r="C575" s="4">
        <v>13796</v>
      </c>
      <c r="D575" t="s">
        <v>306</v>
      </c>
      <c r="E575" s="4">
        <v>15</v>
      </c>
      <c r="F575" s="25">
        <v>43714.930081018516</v>
      </c>
      <c r="G575">
        <v>0</v>
      </c>
      <c r="H575" s="25"/>
      <c r="I575" s="25"/>
      <c r="J575" s="25" t="s">
        <v>300</v>
      </c>
    </row>
    <row r="576" spans="1:10" x14ac:dyDescent="0.25">
      <c r="A576" s="4">
        <v>6974</v>
      </c>
      <c r="B576">
        <v>8724</v>
      </c>
      <c r="C576" s="4">
        <v>13796</v>
      </c>
      <c r="D576" t="s">
        <v>306</v>
      </c>
      <c r="E576" s="4">
        <v>13</v>
      </c>
      <c r="F576" s="25">
        <v>43714.930069444446</v>
      </c>
      <c r="G576">
        <v>0</v>
      </c>
      <c r="H576" s="25"/>
      <c r="I576" s="25"/>
      <c r="J576" s="25" t="s">
        <v>300</v>
      </c>
    </row>
    <row r="577" spans="1:10" x14ac:dyDescent="0.25">
      <c r="A577" s="4">
        <v>6974</v>
      </c>
      <c r="B577">
        <v>8724</v>
      </c>
      <c r="C577" s="4">
        <v>13796</v>
      </c>
      <c r="D577" t="s">
        <v>306</v>
      </c>
      <c r="E577" s="4">
        <v>11</v>
      </c>
      <c r="F577" s="25">
        <v>43714.93005787037</v>
      </c>
      <c r="G577">
        <v>0</v>
      </c>
      <c r="H577" s="25"/>
      <c r="I577" s="25"/>
      <c r="J577" s="25" t="s">
        <v>300</v>
      </c>
    </row>
    <row r="578" spans="1:10" x14ac:dyDescent="0.25">
      <c r="A578" s="4">
        <v>6974</v>
      </c>
      <c r="B578">
        <v>8724</v>
      </c>
      <c r="C578" s="4">
        <v>13796</v>
      </c>
      <c r="D578" t="s">
        <v>306</v>
      </c>
      <c r="E578" s="4">
        <v>12</v>
      </c>
      <c r="F578" s="25">
        <v>43714.93005787037</v>
      </c>
      <c r="G578">
        <v>0</v>
      </c>
      <c r="H578" s="25"/>
      <c r="I578" s="25"/>
      <c r="J578" s="25" t="s">
        <v>300</v>
      </c>
    </row>
    <row r="579" spans="1:10" x14ac:dyDescent="0.25">
      <c r="A579" s="4">
        <v>6974</v>
      </c>
      <c r="B579">
        <v>8724</v>
      </c>
      <c r="C579" s="4">
        <v>13796</v>
      </c>
      <c r="D579" t="s">
        <v>306</v>
      </c>
      <c r="E579" s="4">
        <v>10</v>
      </c>
      <c r="F579" s="25">
        <v>43714.930046296293</v>
      </c>
      <c r="G579">
        <v>0</v>
      </c>
      <c r="H579" s="25"/>
      <c r="I579" s="25"/>
      <c r="J579" s="25" t="s">
        <v>300</v>
      </c>
    </row>
    <row r="580" spans="1:10" x14ac:dyDescent="0.25">
      <c r="A580" s="4">
        <v>6974</v>
      </c>
      <c r="B580">
        <v>8724</v>
      </c>
      <c r="C580" s="4">
        <v>13796</v>
      </c>
      <c r="D580" t="s">
        <v>306</v>
      </c>
      <c r="E580" s="4">
        <v>9</v>
      </c>
      <c r="F580" s="25">
        <v>43714.930034722223</v>
      </c>
      <c r="G580">
        <v>0</v>
      </c>
      <c r="H580" s="25"/>
      <c r="I580" s="25"/>
      <c r="J580" s="25" t="s">
        <v>300</v>
      </c>
    </row>
    <row r="581" spans="1:10" x14ac:dyDescent="0.25">
      <c r="A581" s="4">
        <v>6974</v>
      </c>
      <c r="B581">
        <v>8724</v>
      </c>
      <c r="C581" s="4">
        <v>13796</v>
      </c>
      <c r="D581" t="s">
        <v>306</v>
      </c>
      <c r="E581" s="4">
        <v>7</v>
      </c>
      <c r="F581" s="25">
        <v>43714.930023148147</v>
      </c>
      <c r="G581">
        <v>0</v>
      </c>
      <c r="H581" s="25"/>
      <c r="I581" s="25"/>
      <c r="J581" s="25" t="s">
        <v>300</v>
      </c>
    </row>
    <row r="582" spans="1:10" x14ac:dyDescent="0.25">
      <c r="A582" s="4">
        <v>6974</v>
      </c>
      <c r="B582">
        <v>8724</v>
      </c>
      <c r="C582" s="4">
        <v>13796</v>
      </c>
      <c r="D582" t="s">
        <v>306</v>
      </c>
      <c r="E582" s="4">
        <v>8</v>
      </c>
      <c r="F582" s="25">
        <v>43714.930023148147</v>
      </c>
      <c r="G582">
        <v>0</v>
      </c>
      <c r="H582" s="25"/>
      <c r="I582" s="25"/>
      <c r="J582" s="25" t="s">
        <v>300</v>
      </c>
    </row>
    <row r="583" spans="1:10" x14ac:dyDescent="0.25">
      <c r="A583" s="4">
        <v>6974</v>
      </c>
      <c r="B583">
        <v>8724</v>
      </c>
      <c r="C583" s="4">
        <v>13796</v>
      </c>
      <c r="D583" t="s">
        <v>306</v>
      </c>
      <c r="E583" s="4">
        <v>6</v>
      </c>
      <c r="F583" s="25">
        <v>43714.930011574077</v>
      </c>
      <c r="G583">
        <v>0</v>
      </c>
      <c r="H583" s="25"/>
      <c r="I583" s="25"/>
      <c r="J583" s="25" t="s">
        <v>300</v>
      </c>
    </row>
    <row r="584" spans="1:10" x14ac:dyDescent="0.25">
      <c r="A584" s="4">
        <v>6974</v>
      </c>
      <c r="B584">
        <v>8724</v>
      </c>
      <c r="C584" s="4">
        <v>13796</v>
      </c>
      <c r="D584" t="s">
        <v>306</v>
      </c>
      <c r="E584" s="4">
        <v>4</v>
      </c>
      <c r="F584" s="25">
        <v>43714.93</v>
      </c>
      <c r="G584">
        <v>0</v>
      </c>
      <c r="H584" s="25"/>
      <c r="I584" s="25"/>
      <c r="J584" s="25" t="s">
        <v>300</v>
      </c>
    </row>
    <row r="585" spans="1:10" x14ac:dyDescent="0.25">
      <c r="A585" s="4">
        <v>6974</v>
      </c>
      <c r="B585">
        <v>8724</v>
      </c>
      <c r="C585" s="4">
        <v>13796</v>
      </c>
      <c r="D585" t="s">
        <v>306</v>
      </c>
      <c r="E585" s="4">
        <v>5</v>
      </c>
      <c r="F585" s="25">
        <v>43714.93</v>
      </c>
      <c r="G585">
        <v>0</v>
      </c>
      <c r="H585" s="25"/>
      <c r="I585" s="25"/>
      <c r="J585" s="25" t="s">
        <v>300</v>
      </c>
    </row>
    <row r="586" spans="1:10" x14ac:dyDescent="0.25">
      <c r="A586" s="4">
        <v>6974</v>
      </c>
      <c r="B586">
        <v>8724</v>
      </c>
      <c r="C586" s="4">
        <v>13796</v>
      </c>
      <c r="D586" t="s">
        <v>306</v>
      </c>
      <c r="E586" s="4">
        <v>3</v>
      </c>
      <c r="F586" s="25">
        <v>43714.929988425924</v>
      </c>
      <c r="G586">
        <v>0</v>
      </c>
      <c r="H586" s="25"/>
      <c r="I586" s="25"/>
      <c r="J586" s="25" t="s">
        <v>300</v>
      </c>
    </row>
    <row r="587" spans="1:10" x14ac:dyDescent="0.25">
      <c r="A587" s="4">
        <v>6974</v>
      </c>
      <c r="B587">
        <v>8724</v>
      </c>
      <c r="C587" s="4">
        <v>13796</v>
      </c>
      <c r="D587" t="s">
        <v>306</v>
      </c>
      <c r="E587" s="4">
        <v>1</v>
      </c>
      <c r="F587" s="25">
        <v>43714.929976851854</v>
      </c>
      <c r="G587">
        <v>0</v>
      </c>
      <c r="H587" s="25"/>
      <c r="I587" s="25"/>
      <c r="J587" s="25" t="s">
        <v>300</v>
      </c>
    </row>
    <row r="588" spans="1:10" x14ac:dyDescent="0.25">
      <c r="A588" s="4">
        <v>6974</v>
      </c>
      <c r="B588">
        <v>8724</v>
      </c>
      <c r="C588" s="4">
        <v>13796</v>
      </c>
      <c r="D588" t="s">
        <v>306</v>
      </c>
      <c r="E588" s="4">
        <v>2</v>
      </c>
      <c r="F588" s="25">
        <v>43714.929976851854</v>
      </c>
      <c r="G588">
        <v>0</v>
      </c>
      <c r="H588" s="25"/>
      <c r="I588" s="25"/>
      <c r="J588" s="25" t="s">
        <v>300</v>
      </c>
    </row>
    <row r="589" spans="1:10" x14ac:dyDescent="0.25">
      <c r="A589" s="4">
        <v>6974</v>
      </c>
      <c r="B589">
        <v>8724</v>
      </c>
      <c r="C589" s="4">
        <v>13796</v>
      </c>
      <c r="D589" t="s">
        <v>306</v>
      </c>
      <c r="E589" s="4">
        <v>0</v>
      </c>
      <c r="F589" s="25">
        <v>43714.929965277777</v>
      </c>
      <c r="G589">
        <v>0</v>
      </c>
      <c r="H589" s="25"/>
      <c r="I589" s="25"/>
      <c r="J589" s="25" t="s">
        <v>300</v>
      </c>
    </row>
    <row r="590" spans="1:10" x14ac:dyDescent="0.25">
      <c r="A590" s="4">
        <v>4783</v>
      </c>
      <c r="B590">
        <v>6592</v>
      </c>
      <c r="C590" s="4">
        <v>14308</v>
      </c>
      <c r="D590" t="s">
        <v>306</v>
      </c>
      <c r="E590" s="4">
        <v>0</v>
      </c>
      <c r="F590" s="25">
        <v>43714.918136574073</v>
      </c>
      <c r="G590">
        <v>0</v>
      </c>
      <c r="H590" s="25"/>
      <c r="I590" s="25"/>
      <c r="J590" s="25" t="s">
        <v>300</v>
      </c>
    </row>
    <row r="591" spans="1:10" x14ac:dyDescent="0.25">
      <c r="A591" s="4">
        <v>3728</v>
      </c>
      <c r="B591">
        <v>15456</v>
      </c>
      <c r="C591" s="4">
        <v>14308</v>
      </c>
      <c r="D591" t="s">
        <v>306</v>
      </c>
      <c r="E591" s="4">
        <v>1</v>
      </c>
      <c r="F591" s="25">
        <v>43714.916678240741</v>
      </c>
      <c r="G591">
        <v>0</v>
      </c>
      <c r="H591" s="25"/>
      <c r="I591" s="25"/>
      <c r="J591" s="25" t="s">
        <v>300</v>
      </c>
    </row>
    <row r="592" spans="1:10" x14ac:dyDescent="0.25">
      <c r="A592" s="4">
        <v>3728</v>
      </c>
      <c r="B592">
        <v>15456</v>
      </c>
      <c r="C592" s="4">
        <v>14308</v>
      </c>
      <c r="D592" t="s">
        <v>306</v>
      </c>
      <c r="E592" s="4">
        <v>0</v>
      </c>
      <c r="F592" s="25">
        <v>43714.914189814815</v>
      </c>
      <c r="G592">
        <v>0</v>
      </c>
      <c r="H592" s="25"/>
      <c r="I592" s="25"/>
      <c r="J592" s="25" t="s">
        <v>300</v>
      </c>
    </row>
    <row r="593" spans="1:10" x14ac:dyDescent="0.25">
      <c r="A593" s="4">
        <v>2706</v>
      </c>
      <c r="B593">
        <v>7115</v>
      </c>
      <c r="C593" s="4">
        <v>14308</v>
      </c>
      <c r="D593" t="s">
        <v>306</v>
      </c>
      <c r="E593" s="4">
        <v>0</v>
      </c>
      <c r="F593" s="25">
        <v>43714.910567129627</v>
      </c>
      <c r="G593">
        <v>0</v>
      </c>
      <c r="H593" s="25"/>
      <c r="I593" s="25"/>
      <c r="J593" s="25" t="s">
        <v>300</v>
      </c>
    </row>
    <row r="594" spans="1:10" x14ac:dyDescent="0.25">
      <c r="A594" s="4">
        <v>83</v>
      </c>
      <c r="B594">
        <v>13852</v>
      </c>
      <c r="C594" s="4">
        <v>1284</v>
      </c>
      <c r="D594" t="s">
        <v>7</v>
      </c>
      <c r="E594" s="4">
        <v>0</v>
      </c>
      <c r="F594" s="25">
        <v>43714.902499999997</v>
      </c>
      <c r="G594">
        <v>0</v>
      </c>
      <c r="H594" s="25"/>
      <c r="I594" s="25" t="s">
        <v>335</v>
      </c>
      <c r="J594" s="25" t="s">
        <v>300</v>
      </c>
    </row>
    <row r="595" spans="1:10" x14ac:dyDescent="0.25">
      <c r="A595" s="4">
        <v>83</v>
      </c>
      <c r="B595">
        <v>15756</v>
      </c>
      <c r="C595" s="4">
        <v>1284</v>
      </c>
      <c r="D595" t="s">
        <v>7</v>
      </c>
      <c r="E595" s="4">
        <v>0</v>
      </c>
      <c r="F595" s="25">
        <v>43714.902048611111</v>
      </c>
      <c r="G595">
        <v>0</v>
      </c>
      <c r="H595" s="25"/>
      <c r="I595" s="25" t="s">
        <v>335</v>
      </c>
      <c r="J595" s="25" t="s">
        <v>300</v>
      </c>
    </row>
    <row r="596" spans="1:10" x14ac:dyDescent="0.25">
      <c r="A596" s="4">
        <v>83</v>
      </c>
      <c r="B596">
        <v>6984</v>
      </c>
      <c r="C596" s="4">
        <v>1284</v>
      </c>
      <c r="D596" t="s">
        <v>7</v>
      </c>
      <c r="E596" s="4">
        <v>0</v>
      </c>
      <c r="F596" s="25">
        <v>43714.901423611111</v>
      </c>
      <c r="G596">
        <v>0</v>
      </c>
      <c r="H596" s="25"/>
      <c r="I596" s="25" t="s">
        <v>335</v>
      </c>
      <c r="J596" s="25" t="s">
        <v>304</v>
      </c>
    </row>
    <row r="597" spans="1:10" x14ac:dyDescent="0.25">
      <c r="A597" s="4">
        <v>83</v>
      </c>
      <c r="B597">
        <v>10304</v>
      </c>
      <c r="C597" s="4">
        <v>1284</v>
      </c>
      <c r="D597" t="s">
        <v>7</v>
      </c>
      <c r="E597" s="4">
        <v>0</v>
      </c>
      <c r="F597" s="25">
        <v>43714.899687500001</v>
      </c>
      <c r="G597">
        <v>0</v>
      </c>
      <c r="H597" s="25"/>
      <c r="I597" s="25" t="s">
        <v>335</v>
      </c>
      <c r="J597" s="25" t="s">
        <v>304</v>
      </c>
    </row>
    <row r="598" spans="1:10" x14ac:dyDescent="0.25">
      <c r="A598" s="4">
        <v>83</v>
      </c>
      <c r="B598">
        <v>1284</v>
      </c>
      <c r="C598" s="4">
        <v>1284</v>
      </c>
      <c r="D598" t="s">
        <v>7</v>
      </c>
      <c r="E598" s="4">
        <v>0</v>
      </c>
      <c r="F598" s="25">
        <v>43714.89571759259</v>
      </c>
      <c r="G598">
        <v>1</v>
      </c>
      <c r="H598" s="25" t="s">
        <v>308</v>
      </c>
      <c r="I598" s="25"/>
      <c r="J598" s="25" t="s">
        <v>436</v>
      </c>
    </row>
    <row r="599" spans="1:10" x14ac:dyDescent="0.25">
      <c r="A599" s="4">
        <v>83</v>
      </c>
      <c r="B599">
        <v>11840</v>
      </c>
      <c r="C599" s="4">
        <v>14308</v>
      </c>
      <c r="D599" t="s">
        <v>7</v>
      </c>
      <c r="E599" s="4">
        <v>0</v>
      </c>
      <c r="F599" s="25">
        <v>43714.890497685185</v>
      </c>
      <c r="G599">
        <v>0</v>
      </c>
      <c r="H599" s="25"/>
      <c r="I599" s="25" t="s">
        <v>335</v>
      </c>
      <c r="J599" s="25" t="s">
        <v>304</v>
      </c>
    </row>
    <row r="600" spans="1:10" x14ac:dyDescent="0.25">
      <c r="A600" s="4">
        <v>83</v>
      </c>
      <c r="B600">
        <v>8072</v>
      </c>
      <c r="C600" s="4">
        <v>14308</v>
      </c>
      <c r="D600" t="s">
        <v>7</v>
      </c>
      <c r="E600" s="4">
        <v>0</v>
      </c>
      <c r="F600" s="25">
        <v>43714.887395833335</v>
      </c>
      <c r="G600">
        <v>0</v>
      </c>
      <c r="H600" s="25"/>
      <c r="I600" s="25" t="s">
        <v>335</v>
      </c>
      <c r="J600" s="25" t="s">
        <v>300</v>
      </c>
    </row>
    <row r="601" spans="1:10" x14ac:dyDescent="0.25">
      <c r="A601" s="4">
        <v>83</v>
      </c>
      <c r="B601">
        <v>1980</v>
      </c>
      <c r="C601" s="4">
        <v>14308</v>
      </c>
      <c r="D601" t="s">
        <v>7</v>
      </c>
      <c r="E601" s="4">
        <v>0</v>
      </c>
      <c r="F601" s="25">
        <v>43714.885879629626</v>
      </c>
      <c r="G601">
        <v>0</v>
      </c>
      <c r="H601" s="25"/>
      <c r="I601" s="25" t="s">
        <v>335</v>
      </c>
      <c r="J601" s="25" t="s">
        <v>300</v>
      </c>
    </row>
    <row r="602" spans="1:10" x14ac:dyDescent="0.25">
      <c r="A602" s="4">
        <v>83</v>
      </c>
      <c r="B602">
        <v>10552</v>
      </c>
      <c r="C602" s="4">
        <v>14308</v>
      </c>
      <c r="D602" t="s">
        <v>7</v>
      </c>
      <c r="E602" s="4">
        <v>0</v>
      </c>
      <c r="F602" s="25">
        <v>43714.884143518517</v>
      </c>
      <c r="G602">
        <v>0</v>
      </c>
      <c r="H602" s="25"/>
      <c r="I602" s="25" t="s">
        <v>335</v>
      </c>
      <c r="J602" s="25" t="s">
        <v>300</v>
      </c>
    </row>
    <row r="603" spans="1:10" x14ac:dyDescent="0.25">
      <c r="A603" s="4">
        <v>83</v>
      </c>
      <c r="B603">
        <v>14308</v>
      </c>
      <c r="C603" s="4">
        <v>14308</v>
      </c>
      <c r="D603" t="s">
        <v>7</v>
      </c>
      <c r="E603" s="4">
        <v>0</v>
      </c>
      <c r="F603" s="25">
        <v>43714.880277777775</v>
      </c>
      <c r="G603">
        <v>1</v>
      </c>
      <c r="H603" s="25" t="s">
        <v>308</v>
      </c>
      <c r="I603" s="25"/>
      <c r="J603" s="25" t="s">
        <v>437</v>
      </c>
    </row>
    <row r="604" spans="1:10" x14ac:dyDescent="0.25">
      <c r="A604" s="4">
        <v>82</v>
      </c>
      <c r="B604">
        <v>9488</v>
      </c>
      <c r="C604" s="4">
        <v>14524</v>
      </c>
      <c r="D604" t="s">
        <v>7</v>
      </c>
      <c r="E604" s="4">
        <v>0</v>
      </c>
      <c r="F604" s="25">
        <v>43714.873402777775</v>
      </c>
      <c r="G604">
        <v>0</v>
      </c>
      <c r="H604" s="25"/>
      <c r="I604" s="25" t="s">
        <v>335</v>
      </c>
      <c r="J604" s="25" t="s">
        <v>300</v>
      </c>
    </row>
    <row r="605" spans="1:10" x14ac:dyDescent="0.25">
      <c r="A605" s="4">
        <v>23754</v>
      </c>
      <c r="B605">
        <v>5192</v>
      </c>
      <c r="C605" s="4">
        <v>13796</v>
      </c>
      <c r="D605" t="s">
        <v>306</v>
      </c>
      <c r="E605" s="4">
        <v>24</v>
      </c>
      <c r="F605" s="25">
        <v>43714.869837962964</v>
      </c>
      <c r="G605">
        <v>0</v>
      </c>
      <c r="H605" s="25"/>
      <c r="I605" s="25"/>
      <c r="J605" s="25" t="s">
        <v>300</v>
      </c>
    </row>
    <row r="606" spans="1:10" x14ac:dyDescent="0.25">
      <c r="A606" s="4">
        <v>23754</v>
      </c>
      <c r="B606">
        <v>5192</v>
      </c>
      <c r="C606" s="4">
        <v>13796</v>
      </c>
      <c r="D606" t="s">
        <v>306</v>
      </c>
      <c r="E606" s="4">
        <v>22</v>
      </c>
      <c r="F606" s="25">
        <v>43714.869826388887</v>
      </c>
      <c r="G606">
        <v>0</v>
      </c>
      <c r="H606" s="25"/>
      <c r="I606" s="25"/>
      <c r="J606" s="25" t="s">
        <v>300</v>
      </c>
    </row>
    <row r="607" spans="1:10" x14ac:dyDescent="0.25">
      <c r="A607" s="4">
        <v>23754</v>
      </c>
      <c r="B607">
        <v>5192</v>
      </c>
      <c r="C607" s="4">
        <v>13796</v>
      </c>
      <c r="D607" t="s">
        <v>306</v>
      </c>
      <c r="E607" s="4">
        <v>23</v>
      </c>
      <c r="F607" s="25">
        <v>43714.869826388887</v>
      </c>
      <c r="G607">
        <v>0</v>
      </c>
      <c r="H607" s="25"/>
      <c r="I607" s="25"/>
      <c r="J607" s="25" t="s">
        <v>300</v>
      </c>
    </row>
    <row r="608" spans="1:10" x14ac:dyDescent="0.25">
      <c r="A608" s="4">
        <v>23754</v>
      </c>
      <c r="B608">
        <v>5192</v>
      </c>
      <c r="C608" s="4">
        <v>13796</v>
      </c>
      <c r="D608" t="s">
        <v>306</v>
      </c>
      <c r="E608" s="4">
        <v>21</v>
      </c>
      <c r="F608" s="25">
        <v>43714.869814814818</v>
      </c>
      <c r="G608">
        <v>0</v>
      </c>
      <c r="H608" s="25"/>
      <c r="I608" s="25"/>
      <c r="J608" s="25" t="s">
        <v>300</v>
      </c>
    </row>
    <row r="609" spans="1:10" x14ac:dyDescent="0.25">
      <c r="A609" s="4">
        <v>23754</v>
      </c>
      <c r="B609">
        <v>5192</v>
      </c>
      <c r="C609" s="4">
        <v>13796</v>
      </c>
      <c r="D609" t="s">
        <v>306</v>
      </c>
      <c r="E609" s="4">
        <v>20</v>
      </c>
      <c r="F609" s="25">
        <v>43714.869803240741</v>
      </c>
      <c r="G609">
        <v>0</v>
      </c>
      <c r="H609" s="25"/>
      <c r="I609" s="25"/>
      <c r="J609" s="25" t="s">
        <v>300</v>
      </c>
    </row>
    <row r="610" spans="1:10" x14ac:dyDescent="0.25">
      <c r="A610" s="4">
        <v>23754</v>
      </c>
      <c r="B610">
        <v>5192</v>
      </c>
      <c r="C610" s="4">
        <v>13796</v>
      </c>
      <c r="D610" t="s">
        <v>306</v>
      </c>
      <c r="E610" s="4">
        <v>18</v>
      </c>
      <c r="F610" s="25">
        <v>43714.869791666664</v>
      </c>
      <c r="G610">
        <v>0</v>
      </c>
      <c r="H610" s="25"/>
      <c r="I610" s="25"/>
      <c r="J610" s="25" t="s">
        <v>300</v>
      </c>
    </row>
    <row r="611" spans="1:10" x14ac:dyDescent="0.25">
      <c r="A611" s="4">
        <v>23754</v>
      </c>
      <c r="B611">
        <v>5192</v>
      </c>
      <c r="C611" s="4">
        <v>13796</v>
      </c>
      <c r="D611" t="s">
        <v>306</v>
      </c>
      <c r="E611" s="4">
        <v>19</v>
      </c>
      <c r="F611" s="25">
        <v>43714.869791666664</v>
      </c>
      <c r="G611">
        <v>0</v>
      </c>
      <c r="H611" s="25"/>
      <c r="I611" s="25"/>
      <c r="J611" s="25" t="s">
        <v>300</v>
      </c>
    </row>
    <row r="612" spans="1:10" x14ac:dyDescent="0.25">
      <c r="A612" s="4">
        <v>23754</v>
      </c>
      <c r="B612">
        <v>5192</v>
      </c>
      <c r="C612" s="4">
        <v>13796</v>
      </c>
      <c r="D612" t="s">
        <v>306</v>
      </c>
      <c r="E612" s="4">
        <v>17</v>
      </c>
      <c r="F612" s="25">
        <v>43714.869780092595</v>
      </c>
      <c r="G612">
        <v>0</v>
      </c>
      <c r="H612" s="25"/>
      <c r="I612" s="25"/>
      <c r="J612" s="25" t="s">
        <v>300</v>
      </c>
    </row>
    <row r="613" spans="1:10" x14ac:dyDescent="0.25">
      <c r="A613" s="4">
        <v>23754</v>
      </c>
      <c r="B613">
        <v>5192</v>
      </c>
      <c r="C613" s="4">
        <v>13796</v>
      </c>
      <c r="D613" t="s">
        <v>306</v>
      </c>
      <c r="E613" s="4">
        <v>15</v>
      </c>
      <c r="F613" s="25">
        <v>43714.869768518518</v>
      </c>
      <c r="G613">
        <v>0</v>
      </c>
      <c r="H613" s="25"/>
      <c r="I613" s="25"/>
      <c r="J613" s="25" t="s">
        <v>300</v>
      </c>
    </row>
    <row r="614" spans="1:10" x14ac:dyDescent="0.25">
      <c r="A614" s="4">
        <v>23754</v>
      </c>
      <c r="B614">
        <v>5192</v>
      </c>
      <c r="C614" s="4">
        <v>13796</v>
      </c>
      <c r="D614" t="s">
        <v>306</v>
      </c>
      <c r="E614" s="4">
        <v>16</v>
      </c>
      <c r="F614" s="25">
        <v>43714.869768518518</v>
      </c>
      <c r="G614">
        <v>0</v>
      </c>
      <c r="H614" s="25"/>
      <c r="I614" s="25"/>
      <c r="J614" s="25" t="s">
        <v>300</v>
      </c>
    </row>
    <row r="615" spans="1:10" x14ac:dyDescent="0.25">
      <c r="A615" s="4">
        <v>23754</v>
      </c>
      <c r="B615">
        <v>5192</v>
      </c>
      <c r="C615" s="4">
        <v>13796</v>
      </c>
      <c r="D615" t="s">
        <v>306</v>
      </c>
      <c r="E615" s="4">
        <v>14</v>
      </c>
      <c r="F615" s="25">
        <v>43714.869756944441</v>
      </c>
      <c r="G615">
        <v>0</v>
      </c>
      <c r="H615" s="25"/>
      <c r="I615" s="25"/>
      <c r="J615" s="25" t="s">
        <v>300</v>
      </c>
    </row>
    <row r="616" spans="1:10" x14ac:dyDescent="0.25">
      <c r="A616" s="4">
        <v>23754</v>
      </c>
      <c r="B616">
        <v>5192</v>
      </c>
      <c r="C616" s="4">
        <v>13796</v>
      </c>
      <c r="D616" t="s">
        <v>306</v>
      </c>
      <c r="E616" s="4">
        <v>12</v>
      </c>
      <c r="F616" s="25">
        <v>43714.869745370372</v>
      </c>
      <c r="G616">
        <v>0</v>
      </c>
      <c r="H616" s="25"/>
      <c r="I616" s="25"/>
      <c r="J616" s="25" t="s">
        <v>300</v>
      </c>
    </row>
    <row r="617" spans="1:10" x14ac:dyDescent="0.25">
      <c r="A617" s="4">
        <v>23754</v>
      </c>
      <c r="B617">
        <v>5192</v>
      </c>
      <c r="C617" s="4">
        <v>13796</v>
      </c>
      <c r="D617" t="s">
        <v>306</v>
      </c>
      <c r="E617" s="4">
        <v>13</v>
      </c>
      <c r="F617" s="25">
        <v>43714.869745370372</v>
      </c>
      <c r="G617">
        <v>0</v>
      </c>
      <c r="H617" s="25"/>
      <c r="I617" s="25"/>
      <c r="J617" s="25" t="s">
        <v>300</v>
      </c>
    </row>
    <row r="618" spans="1:10" x14ac:dyDescent="0.25">
      <c r="A618" s="4">
        <v>23754</v>
      </c>
      <c r="B618">
        <v>5192</v>
      </c>
      <c r="C618" s="4">
        <v>13796</v>
      </c>
      <c r="D618" t="s">
        <v>306</v>
      </c>
      <c r="E618" s="4">
        <v>11</v>
      </c>
      <c r="F618" s="25">
        <v>43714.869733796295</v>
      </c>
      <c r="G618">
        <v>0</v>
      </c>
      <c r="H618" s="25"/>
      <c r="I618" s="25"/>
      <c r="J618" s="25" t="s">
        <v>300</v>
      </c>
    </row>
    <row r="619" spans="1:10" x14ac:dyDescent="0.25">
      <c r="A619" s="4">
        <v>23754</v>
      </c>
      <c r="B619">
        <v>5192</v>
      </c>
      <c r="C619" s="4">
        <v>13796</v>
      </c>
      <c r="D619" t="s">
        <v>306</v>
      </c>
      <c r="E619" s="4">
        <v>9</v>
      </c>
      <c r="F619" s="25">
        <v>43714.869722222225</v>
      </c>
      <c r="G619">
        <v>0</v>
      </c>
      <c r="H619" s="25"/>
      <c r="I619" s="25"/>
      <c r="J619" s="25" t="s">
        <v>300</v>
      </c>
    </row>
    <row r="620" spans="1:10" x14ac:dyDescent="0.25">
      <c r="A620" s="4">
        <v>23754</v>
      </c>
      <c r="B620">
        <v>5192</v>
      </c>
      <c r="C620" s="4">
        <v>13796</v>
      </c>
      <c r="D620" t="s">
        <v>306</v>
      </c>
      <c r="E620" s="4">
        <v>10</v>
      </c>
      <c r="F620" s="25">
        <v>43714.869722222225</v>
      </c>
      <c r="G620">
        <v>0</v>
      </c>
      <c r="H620" s="25"/>
      <c r="I620" s="25"/>
      <c r="J620" s="25" t="s">
        <v>300</v>
      </c>
    </row>
    <row r="621" spans="1:10" x14ac:dyDescent="0.25">
      <c r="A621" s="4">
        <v>23754</v>
      </c>
      <c r="B621">
        <v>5192</v>
      </c>
      <c r="C621" s="4">
        <v>13796</v>
      </c>
      <c r="D621" t="s">
        <v>306</v>
      </c>
      <c r="E621" s="4">
        <v>8</v>
      </c>
      <c r="F621" s="25">
        <v>43714.869710648149</v>
      </c>
      <c r="G621">
        <v>0</v>
      </c>
      <c r="H621" s="25"/>
      <c r="I621" s="25"/>
      <c r="J621" s="25" t="s">
        <v>300</v>
      </c>
    </row>
    <row r="622" spans="1:10" x14ac:dyDescent="0.25">
      <c r="A622" s="4">
        <v>23754</v>
      </c>
      <c r="B622">
        <v>5192</v>
      </c>
      <c r="C622" s="4">
        <v>13796</v>
      </c>
      <c r="D622" t="s">
        <v>306</v>
      </c>
      <c r="E622" s="4">
        <v>6</v>
      </c>
      <c r="F622" s="25">
        <v>43714.869699074072</v>
      </c>
      <c r="G622">
        <v>0</v>
      </c>
      <c r="H622" s="25"/>
      <c r="I622" s="25"/>
      <c r="J622" s="25" t="s">
        <v>300</v>
      </c>
    </row>
    <row r="623" spans="1:10" x14ac:dyDescent="0.25">
      <c r="A623" s="4">
        <v>23754</v>
      </c>
      <c r="B623">
        <v>5192</v>
      </c>
      <c r="C623" s="4">
        <v>13796</v>
      </c>
      <c r="D623" t="s">
        <v>306</v>
      </c>
      <c r="E623" s="4">
        <v>7</v>
      </c>
      <c r="F623" s="25">
        <v>43714.869699074072</v>
      </c>
      <c r="G623">
        <v>0</v>
      </c>
      <c r="H623" s="25"/>
      <c r="I623" s="25"/>
      <c r="J623" s="25" t="s">
        <v>300</v>
      </c>
    </row>
    <row r="624" spans="1:10" x14ac:dyDescent="0.25">
      <c r="A624" s="4">
        <v>23754</v>
      </c>
      <c r="B624">
        <v>5192</v>
      </c>
      <c r="C624" s="4">
        <v>13796</v>
      </c>
      <c r="D624" t="s">
        <v>306</v>
      </c>
      <c r="E624" s="4">
        <v>5</v>
      </c>
      <c r="F624" s="25">
        <v>43714.869687500002</v>
      </c>
      <c r="G624">
        <v>0</v>
      </c>
      <c r="H624" s="25"/>
      <c r="I624" s="25"/>
      <c r="J624" s="25" t="s">
        <v>300</v>
      </c>
    </row>
    <row r="625" spans="1:10" x14ac:dyDescent="0.25">
      <c r="A625" s="4">
        <v>23754</v>
      </c>
      <c r="B625">
        <v>5192</v>
      </c>
      <c r="C625" s="4">
        <v>13796</v>
      </c>
      <c r="D625" t="s">
        <v>306</v>
      </c>
      <c r="E625" s="4">
        <v>4</v>
      </c>
      <c r="F625" s="25">
        <v>43714.869675925926</v>
      </c>
      <c r="G625">
        <v>0</v>
      </c>
      <c r="H625" s="25"/>
      <c r="I625" s="25"/>
      <c r="J625" s="25" t="s">
        <v>300</v>
      </c>
    </row>
    <row r="626" spans="1:10" x14ac:dyDescent="0.25">
      <c r="A626" s="4">
        <v>23754</v>
      </c>
      <c r="B626">
        <v>5192</v>
      </c>
      <c r="C626" s="4">
        <v>13796</v>
      </c>
      <c r="D626" t="s">
        <v>306</v>
      </c>
      <c r="E626" s="4">
        <v>2</v>
      </c>
      <c r="F626" s="25">
        <v>43714.869664351849</v>
      </c>
      <c r="G626">
        <v>0</v>
      </c>
      <c r="H626" s="25"/>
      <c r="I626" s="25"/>
      <c r="J626" s="25" t="s">
        <v>300</v>
      </c>
    </row>
    <row r="627" spans="1:10" x14ac:dyDescent="0.25">
      <c r="A627" s="4">
        <v>23754</v>
      </c>
      <c r="B627">
        <v>5192</v>
      </c>
      <c r="C627" s="4">
        <v>13796</v>
      </c>
      <c r="D627" t="s">
        <v>306</v>
      </c>
      <c r="E627" s="4">
        <v>3</v>
      </c>
      <c r="F627" s="25">
        <v>43714.869664351849</v>
      </c>
      <c r="G627">
        <v>0</v>
      </c>
      <c r="H627" s="25"/>
      <c r="I627" s="25"/>
      <c r="J627" s="25" t="s">
        <v>300</v>
      </c>
    </row>
    <row r="628" spans="1:10" x14ac:dyDescent="0.25">
      <c r="A628" s="4">
        <v>23754</v>
      </c>
      <c r="B628">
        <v>5192</v>
      </c>
      <c r="C628" s="4">
        <v>13796</v>
      </c>
      <c r="D628" t="s">
        <v>306</v>
      </c>
      <c r="E628" s="4">
        <v>1</v>
      </c>
      <c r="F628" s="25">
        <v>43714.869652777779</v>
      </c>
      <c r="G628">
        <v>0</v>
      </c>
      <c r="H628" s="25"/>
      <c r="I628" s="25"/>
      <c r="J628" s="25" t="s">
        <v>300</v>
      </c>
    </row>
    <row r="629" spans="1:10" x14ac:dyDescent="0.25">
      <c r="A629" s="4">
        <v>23754</v>
      </c>
      <c r="B629">
        <v>5192</v>
      </c>
      <c r="C629" s="4">
        <v>13796</v>
      </c>
      <c r="D629" t="s">
        <v>306</v>
      </c>
      <c r="E629" s="4">
        <v>0</v>
      </c>
      <c r="F629" s="25">
        <v>43714.869641203702</v>
      </c>
      <c r="G629">
        <v>0</v>
      </c>
      <c r="H629" s="25"/>
      <c r="I629" s="25"/>
      <c r="J629" s="25" t="s">
        <v>300</v>
      </c>
    </row>
    <row r="630" spans="1:10" x14ac:dyDescent="0.25">
      <c r="A630" s="4">
        <v>82</v>
      </c>
      <c r="B630">
        <v>12112</v>
      </c>
      <c r="C630" s="4">
        <v>14524</v>
      </c>
      <c r="D630" t="s">
        <v>7</v>
      </c>
      <c r="E630" s="4">
        <v>0</v>
      </c>
      <c r="F630" s="25">
        <v>43714.863819444443</v>
      </c>
      <c r="G630">
        <v>0</v>
      </c>
      <c r="H630" s="25"/>
      <c r="I630" s="25" t="s">
        <v>335</v>
      </c>
      <c r="J630" s="25" t="s">
        <v>304</v>
      </c>
    </row>
    <row r="631" spans="1:10" x14ac:dyDescent="0.25">
      <c r="A631" s="4">
        <v>82</v>
      </c>
      <c r="B631">
        <v>14524</v>
      </c>
      <c r="C631" s="4">
        <v>14524</v>
      </c>
      <c r="D631" t="s">
        <v>7</v>
      </c>
      <c r="E631" s="4">
        <v>0</v>
      </c>
      <c r="F631" s="25">
        <v>43714.86078703704</v>
      </c>
      <c r="G631">
        <v>1</v>
      </c>
      <c r="H631" s="25" t="s">
        <v>308</v>
      </c>
      <c r="I631" s="25"/>
      <c r="J631" s="25" t="s">
        <v>438</v>
      </c>
    </row>
    <row r="632" spans="1:10" x14ac:dyDescent="0.25">
      <c r="A632" s="4">
        <v>16064</v>
      </c>
      <c r="B632">
        <v>9512</v>
      </c>
      <c r="C632" s="4">
        <v>13796</v>
      </c>
      <c r="D632" t="s">
        <v>306</v>
      </c>
      <c r="E632" s="4">
        <v>24</v>
      </c>
      <c r="F632" s="25">
        <v>43714.842118055552</v>
      </c>
      <c r="G632">
        <v>0</v>
      </c>
      <c r="H632" s="25"/>
      <c r="I632" s="25"/>
      <c r="J632" s="25" t="s">
        <v>300</v>
      </c>
    </row>
    <row r="633" spans="1:10" x14ac:dyDescent="0.25">
      <c r="A633" s="4">
        <v>16064</v>
      </c>
      <c r="B633">
        <v>9512</v>
      </c>
      <c r="C633" s="4">
        <v>13796</v>
      </c>
      <c r="D633" t="s">
        <v>306</v>
      </c>
      <c r="E633" s="4">
        <v>22</v>
      </c>
      <c r="F633" s="25">
        <v>43714.842106481483</v>
      </c>
      <c r="G633">
        <v>0</v>
      </c>
      <c r="H633" s="25"/>
      <c r="I633" s="25"/>
      <c r="J633" s="25" t="s">
        <v>300</v>
      </c>
    </row>
    <row r="634" spans="1:10" x14ac:dyDescent="0.25">
      <c r="A634" s="4">
        <v>16064</v>
      </c>
      <c r="B634">
        <v>9512</v>
      </c>
      <c r="C634" s="4">
        <v>13796</v>
      </c>
      <c r="D634" t="s">
        <v>306</v>
      </c>
      <c r="E634" s="4">
        <v>23</v>
      </c>
      <c r="F634" s="25">
        <v>43714.842106481483</v>
      </c>
      <c r="G634">
        <v>0</v>
      </c>
      <c r="H634" s="25"/>
      <c r="I634" s="25"/>
      <c r="J634" s="25" t="s">
        <v>300</v>
      </c>
    </row>
    <row r="635" spans="1:10" x14ac:dyDescent="0.25">
      <c r="A635" s="4">
        <v>16064</v>
      </c>
      <c r="B635">
        <v>9512</v>
      </c>
      <c r="C635" s="4">
        <v>13796</v>
      </c>
      <c r="D635" t="s">
        <v>306</v>
      </c>
      <c r="E635" s="4">
        <v>21</v>
      </c>
      <c r="F635" s="25">
        <v>43714.842094907406</v>
      </c>
      <c r="G635">
        <v>0</v>
      </c>
      <c r="H635" s="25"/>
      <c r="I635" s="25"/>
      <c r="J635" s="25" t="s">
        <v>300</v>
      </c>
    </row>
    <row r="636" spans="1:10" x14ac:dyDescent="0.25">
      <c r="A636" s="4">
        <v>16064</v>
      </c>
      <c r="B636">
        <v>9512</v>
      </c>
      <c r="C636" s="4">
        <v>13796</v>
      </c>
      <c r="D636" t="s">
        <v>306</v>
      </c>
      <c r="E636" s="4">
        <v>19</v>
      </c>
      <c r="F636" s="25">
        <v>43714.842083333337</v>
      </c>
      <c r="G636">
        <v>0</v>
      </c>
      <c r="H636" s="25"/>
      <c r="I636" s="25"/>
      <c r="J636" s="25" t="s">
        <v>300</v>
      </c>
    </row>
    <row r="637" spans="1:10" x14ac:dyDescent="0.25">
      <c r="A637" s="4">
        <v>16064</v>
      </c>
      <c r="B637">
        <v>9512</v>
      </c>
      <c r="C637" s="4">
        <v>13796</v>
      </c>
      <c r="D637" t="s">
        <v>306</v>
      </c>
      <c r="E637" s="4">
        <v>20</v>
      </c>
      <c r="F637" s="25">
        <v>43714.842083333337</v>
      </c>
      <c r="G637">
        <v>0</v>
      </c>
      <c r="H637" s="25"/>
      <c r="I637" s="25"/>
      <c r="J637" s="25" t="s">
        <v>300</v>
      </c>
    </row>
    <row r="638" spans="1:10" x14ac:dyDescent="0.25">
      <c r="A638" s="4">
        <v>16064</v>
      </c>
      <c r="B638">
        <v>9512</v>
      </c>
      <c r="C638" s="4">
        <v>13796</v>
      </c>
      <c r="D638" t="s">
        <v>306</v>
      </c>
      <c r="E638" s="4">
        <v>18</v>
      </c>
      <c r="F638" s="25">
        <v>43714.84207175926</v>
      </c>
      <c r="G638">
        <v>0</v>
      </c>
      <c r="H638" s="25"/>
      <c r="I638" s="25"/>
      <c r="J638" s="25" t="s">
        <v>300</v>
      </c>
    </row>
    <row r="639" spans="1:10" x14ac:dyDescent="0.25">
      <c r="A639" s="4">
        <v>16064</v>
      </c>
      <c r="B639">
        <v>9512</v>
      </c>
      <c r="C639" s="4">
        <v>13796</v>
      </c>
      <c r="D639" t="s">
        <v>306</v>
      </c>
      <c r="E639" s="4">
        <v>16</v>
      </c>
      <c r="F639" s="25">
        <v>43714.842060185183</v>
      </c>
      <c r="G639">
        <v>0</v>
      </c>
      <c r="H639" s="25"/>
      <c r="I639" s="25"/>
      <c r="J639" s="25" t="s">
        <v>300</v>
      </c>
    </row>
    <row r="640" spans="1:10" x14ac:dyDescent="0.25">
      <c r="A640" s="4">
        <v>16064</v>
      </c>
      <c r="B640">
        <v>9512</v>
      </c>
      <c r="C640" s="4">
        <v>13796</v>
      </c>
      <c r="D640" t="s">
        <v>306</v>
      </c>
      <c r="E640" s="4">
        <v>17</v>
      </c>
      <c r="F640" s="25">
        <v>43714.842060185183</v>
      </c>
      <c r="G640">
        <v>0</v>
      </c>
      <c r="H640" s="25"/>
      <c r="I640" s="25"/>
      <c r="J640" s="25" t="s">
        <v>300</v>
      </c>
    </row>
    <row r="641" spans="1:10" x14ac:dyDescent="0.25">
      <c r="A641" s="4">
        <v>16064</v>
      </c>
      <c r="B641">
        <v>9512</v>
      </c>
      <c r="C641" s="4">
        <v>13796</v>
      </c>
      <c r="D641" t="s">
        <v>306</v>
      </c>
      <c r="E641" s="4">
        <v>15</v>
      </c>
      <c r="F641" s="25">
        <v>43714.842048611114</v>
      </c>
      <c r="G641">
        <v>0</v>
      </c>
      <c r="H641" s="25"/>
      <c r="I641" s="25"/>
      <c r="J641" s="25" t="s">
        <v>300</v>
      </c>
    </row>
    <row r="642" spans="1:10" x14ac:dyDescent="0.25">
      <c r="A642" s="4">
        <v>16064</v>
      </c>
      <c r="B642">
        <v>9512</v>
      </c>
      <c r="C642" s="4">
        <v>13796</v>
      </c>
      <c r="D642" t="s">
        <v>306</v>
      </c>
      <c r="E642" s="4">
        <v>13</v>
      </c>
      <c r="F642" s="25">
        <v>43714.842037037037</v>
      </c>
      <c r="G642">
        <v>0</v>
      </c>
      <c r="H642" s="25"/>
      <c r="I642" s="25"/>
      <c r="J642" s="25" t="s">
        <v>300</v>
      </c>
    </row>
    <row r="643" spans="1:10" x14ac:dyDescent="0.25">
      <c r="A643" s="4">
        <v>16064</v>
      </c>
      <c r="B643">
        <v>9512</v>
      </c>
      <c r="C643" s="4">
        <v>13796</v>
      </c>
      <c r="D643" t="s">
        <v>306</v>
      </c>
      <c r="E643" s="4">
        <v>14</v>
      </c>
      <c r="F643" s="25">
        <v>43714.842037037037</v>
      </c>
      <c r="G643">
        <v>0</v>
      </c>
      <c r="H643" s="25"/>
      <c r="I643" s="25"/>
      <c r="J643" s="25" t="s">
        <v>300</v>
      </c>
    </row>
    <row r="644" spans="1:10" x14ac:dyDescent="0.25">
      <c r="A644" s="4">
        <v>16064</v>
      </c>
      <c r="B644">
        <v>9512</v>
      </c>
      <c r="C644" s="4">
        <v>13796</v>
      </c>
      <c r="D644" t="s">
        <v>306</v>
      </c>
      <c r="E644" s="4">
        <v>12</v>
      </c>
      <c r="F644" s="25">
        <v>43714.84202546296</v>
      </c>
      <c r="G644">
        <v>0</v>
      </c>
      <c r="H644" s="25"/>
      <c r="I644" s="25"/>
      <c r="J644" s="25" t="s">
        <v>300</v>
      </c>
    </row>
    <row r="645" spans="1:10" x14ac:dyDescent="0.25">
      <c r="A645" s="4">
        <v>16064</v>
      </c>
      <c r="B645">
        <v>9512</v>
      </c>
      <c r="C645" s="4">
        <v>13796</v>
      </c>
      <c r="D645" t="s">
        <v>306</v>
      </c>
      <c r="E645" s="4">
        <v>11</v>
      </c>
      <c r="F645" s="25">
        <v>43714.842013888891</v>
      </c>
      <c r="G645">
        <v>0</v>
      </c>
      <c r="H645" s="25"/>
      <c r="I645" s="25"/>
      <c r="J645" s="25" t="s">
        <v>300</v>
      </c>
    </row>
    <row r="646" spans="1:10" x14ac:dyDescent="0.25">
      <c r="A646" s="4">
        <v>16064</v>
      </c>
      <c r="B646">
        <v>9512</v>
      </c>
      <c r="C646" s="4">
        <v>13796</v>
      </c>
      <c r="D646" t="s">
        <v>306</v>
      </c>
      <c r="E646" s="4">
        <v>9</v>
      </c>
      <c r="F646" s="25">
        <v>43714.842002314814</v>
      </c>
      <c r="G646">
        <v>0</v>
      </c>
      <c r="H646" s="25"/>
      <c r="I646" s="25"/>
      <c r="J646" s="25" t="s">
        <v>300</v>
      </c>
    </row>
    <row r="647" spans="1:10" x14ac:dyDescent="0.25">
      <c r="A647" s="4">
        <v>16064</v>
      </c>
      <c r="B647">
        <v>9512</v>
      </c>
      <c r="C647" s="4">
        <v>13796</v>
      </c>
      <c r="D647" t="s">
        <v>306</v>
      </c>
      <c r="E647" s="4">
        <v>10</v>
      </c>
      <c r="F647" s="25">
        <v>43714.842002314814</v>
      </c>
      <c r="G647">
        <v>0</v>
      </c>
      <c r="H647" s="25"/>
      <c r="I647" s="25"/>
      <c r="J647" s="25" t="s">
        <v>300</v>
      </c>
    </row>
    <row r="648" spans="1:10" x14ac:dyDescent="0.25">
      <c r="A648" s="4">
        <v>16064</v>
      </c>
      <c r="B648">
        <v>9512</v>
      </c>
      <c r="C648" s="4">
        <v>13796</v>
      </c>
      <c r="D648" t="s">
        <v>306</v>
      </c>
      <c r="E648" s="4">
        <v>8</v>
      </c>
      <c r="F648" s="25">
        <v>43714.841990740744</v>
      </c>
      <c r="G648">
        <v>0</v>
      </c>
      <c r="H648" s="25"/>
      <c r="I648" s="25"/>
      <c r="J648" s="25" t="s">
        <v>300</v>
      </c>
    </row>
    <row r="649" spans="1:10" x14ac:dyDescent="0.25">
      <c r="A649" s="4">
        <v>16064</v>
      </c>
      <c r="B649">
        <v>9512</v>
      </c>
      <c r="C649" s="4">
        <v>13796</v>
      </c>
      <c r="D649" t="s">
        <v>306</v>
      </c>
      <c r="E649" s="4">
        <v>6</v>
      </c>
      <c r="F649" s="25">
        <v>43714.841979166667</v>
      </c>
      <c r="G649">
        <v>0</v>
      </c>
      <c r="H649" s="25"/>
      <c r="I649" s="25"/>
      <c r="J649" s="25" t="s">
        <v>300</v>
      </c>
    </row>
    <row r="650" spans="1:10" x14ac:dyDescent="0.25">
      <c r="A650" s="4">
        <v>16064</v>
      </c>
      <c r="B650">
        <v>9512</v>
      </c>
      <c r="C650" s="4">
        <v>13796</v>
      </c>
      <c r="D650" t="s">
        <v>306</v>
      </c>
      <c r="E650" s="4">
        <v>7</v>
      </c>
      <c r="F650" s="25">
        <v>43714.841979166667</v>
      </c>
      <c r="G650">
        <v>0</v>
      </c>
      <c r="H650" s="25"/>
      <c r="I650" s="25"/>
      <c r="J650" s="25" t="s">
        <v>300</v>
      </c>
    </row>
    <row r="651" spans="1:10" x14ac:dyDescent="0.25">
      <c r="A651" s="4">
        <v>16064</v>
      </c>
      <c r="B651">
        <v>9512</v>
      </c>
      <c r="C651" s="4">
        <v>13796</v>
      </c>
      <c r="D651" t="s">
        <v>306</v>
      </c>
      <c r="E651" s="4">
        <v>5</v>
      </c>
      <c r="F651" s="25">
        <v>43714.841967592591</v>
      </c>
      <c r="G651">
        <v>0</v>
      </c>
      <c r="H651" s="25"/>
      <c r="I651" s="25"/>
      <c r="J651" s="25" t="s">
        <v>300</v>
      </c>
    </row>
    <row r="652" spans="1:10" x14ac:dyDescent="0.25">
      <c r="A652" s="4">
        <v>16064</v>
      </c>
      <c r="B652">
        <v>9512</v>
      </c>
      <c r="C652" s="4">
        <v>13796</v>
      </c>
      <c r="D652" t="s">
        <v>306</v>
      </c>
      <c r="E652" s="4">
        <v>3</v>
      </c>
      <c r="F652" s="25">
        <v>43714.841956018521</v>
      </c>
      <c r="G652">
        <v>0</v>
      </c>
      <c r="H652" s="25"/>
      <c r="I652" s="25"/>
      <c r="J652" s="25" t="s">
        <v>300</v>
      </c>
    </row>
    <row r="653" spans="1:10" x14ac:dyDescent="0.25">
      <c r="A653" s="4">
        <v>16064</v>
      </c>
      <c r="B653">
        <v>9512</v>
      </c>
      <c r="C653" s="4">
        <v>13796</v>
      </c>
      <c r="D653" t="s">
        <v>306</v>
      </c>
      <c r="E653" s="4">
        <v>4</v>
      </c>
      <c r="F653" s="25">
        <v>43714.841956018521</v>
      </c>
      <c r="G653">
        <v>0</v>
      </c>
      <c r="H653" s="25"/>
      <c r="I653" s="25"/>
      <c r="J653" s="25" t="s">
        <v>300</v>
      </c>
    </row>
    <row r="654" spans="1:10" x14ac:dyDescent="0.25">
      <c r="A654" s="4">
        <v>16064</v>
      </c>
      <c r="B654">
        <v>9512</v>
      </c>
      <c r="C654" s="4">
        <v>13796</v>
      </c>
      <c r="D654" t="s">
        <v>306</v>
      </c>
      <c r="E654" s="4">
        <v>1</v>
      </c>
      <c r="F654" s="25">
        <v>43714.841944444444</v>
      </c>
      <c r="G654">
        <v>0</v>
      </c>
      <c r="H654" s="25"/>
      <c r="I654" s="25"/>
      <c r="J654" s="25" t="s">
        <v>300</v>
      </c>
    </row>
    <row r="655" spans="1:10" x14ac:dyDescent="0.25">
      <c r="A655" s="4">
        <v>16064</v>
      </c>
      <c r="B655">
        <v>9512</v>
      </c>
      <c r="C655" s="4">
        <v>13796</v>
      </c>
      <c r="D655" t="s">
        <v>306</v>
      </c>
      <c r="E655" s="4">
        <v>2</v>
      </c>
      <c r="F655" s="25">
        <v>43714.841944444444</v>
      </c>
      <c r="G655">
        <v>0</v>
      </c>
      <c r="H655" s="25"/>
      <c r="I655" s="25"/>
      <c r="J655" s="25" t="s">
        <v>300</v>
      </c>
    </row>
    <row r="656" spans="1:10" x14ac:dyDescent="0.25">
      <c r="A656" s="4">
        <v>16064</v>
      </c>
      <c r="B656">
        <v>9512</v>
      </c>
      <c r="C656" s="4">
        <v>13796</v>
      </c>
      <c r="D656" t="s">
        <v>306</v>
      </c>
      <c r="E656" s="4">
        <v>0</v>
      </c>
      <c r="F656" s="25">
        <v>43714.841932870368</v>
      </c>
      <c r="G656">
        <v>0</v>
      </c>
      <c r="H656" s="25"/>
      <c r="I656" s="25"/>
      <c r="J656" s="25" t="s">
        <v>300</v>
      </c>
    </row>
    <row r="657" spans="1:10" x14ac:dyDescent="0.25">
      <c r="A657" s="4">
        <v>81</v>
      </c>
      <c r="B657">
        <v>11724</v>
      </c>
      <c r="C657" s="4">
        <v>13796</v>
      </c>
      <c r="D657" t="s">
        <v>7</v>
      </c>
      <c r="E657" s="4">
        <v>0</v>
      </c>
      <c r="F657" s="25">
        <v>43714.840243055558</v>
      </c>
      <c r="G657">
        <v>0</v>
      </c>
      <c r="H657" s="25"/>
      <c r="I657" s="25" t="s">
        <v>339</v>
      </c>
      <c r="J657" s="25" t="s">
        <v>300</v>
      </c>
    </row>
    <row r="658" spans="1:10" x14ac:dyDescent="0.25">
      <c r="A658" s="4">
        <v>81</v>
      </c>
      <c r="B658">
        <v>9348</v>
      </c>
      <c r="C658" s="4">
        <v>13796</v>
      </c>
      <c r="D658" t="s">
        <v>7</v>
      </c>
      <c r="E658" s="4">
        <v>0</v>
      </c>
      <c r="F658" s="25">
        <v>43714.840243055558</v>
      </c>
      <c r="G658">
        <v>0</v>
      </c>
      <c r="H658" s="25"/>
      <c r="I658" s="25" t="s">
        <v>342</v>
      </c>
      <c r="J658" s="25" t="s">
        <v>300</v>
      </c>
    </row>
    <row r="659" spans="1:10" x14ac:dyDescent="0.25">
      <c r="A659" s="4">
        <v>81</v>
      </c>
      <c r="B659">
        <v>11448</v>
      </c>
      <c r="C659" s="4">
        <v>13796</v>
      </c>
      <c r="D659" t="s">
        <v>7</v>
      </c>
      <c r="E659" s="4">
        <v>0</v>
      </c>
      <c r="F659" s="25">
        <v>43714.840243055558</v>
      </c>
      <c r="G659">
        <v>0</v>
      </c>
      <c r="H659" s="25"/>
      <c r="I659" s="25" t="s">
        <v>341</v>
      </c>
      <c r="J659" s="25" t="s">
        <v>300</v>
      </c>
    </row>
    <row r="660" spans="1:10" x14ac:dyDescent="0.25">
      <c r="A660" s="4">
        <v>81</v>
      </c>
      <c r="B660">
        <v>5316</v>
      </c>
      <c r="C660" s="4">
        <v>13796</v>
      </c>
      <c r="D660" t="s">
        <v>7</v>
      </c>
      <c r="E660" s="4">
        <v>0</v>
      </c>
      <c r="F660" s="25">
        <v>43714.840208333335</v>
      </c>
      <c r="G660">
        <v>0</v>
      </c>
      <c r="H660" s="25"/>
      <c r="I660" s="25" t="s">
        <v>329</v>
      </c>
      <c r="J660" s="25" t="s">
        <v>300</v>
      </c>
    </row>
    <row r="661" spans="1:10" x14ac:dyDescent="0.25">
      <c r="A661" s="4">
        <v>81</v>
      </c>
      <c r="B661">
        <v>7796</v>
      </c>
      <c r="C661" s="4">
        <v>13796</v>
      </c>
      <c r="D661" t="s">
        <v>7</v>
      </c>
      <c r="E661" s="4">
        <v>0</v>
      </c>
      <c r="F661" s="25">
        <v>43714.840208333335</v>
      </c>
      <c r="G661">
        <v>0</v>
      </c>
      <c r="H661" s="25"/>
      <c r="I661" s="25" t="s">
        <v>340</v>
      </c>
      <c r="J661" s="25" t="s">
        <v>300</v>
      </c>
    </row>
    <row r="662" spans="1:10" x14ac:dyDescent="0.25">
      <c r="A662" s="4">
        <v>81</v>
      </c>
      <c r="B662">
        <v>4232</v>
      </c>
      <c r="C662" s="4">
        <v>13796</v>
      </c>
      <c r="D662" t="s">
        <v>7</v>
      </c>
      <c r="E662" s="4">
        <v>0</v>
      </c>
      <c r="F662" s="25">
        <v>43714.834270833337</v>
      </c>
      <c r="G662">
        <v>0</v>
      </c>
      <c r="H662" s="25"/>
      <c r="I662" s="25" t="s">
        <v>335</v>
      </c>
      <c r="J662" s="25" t="s">
        <v>300</v>
      </c>
    </row>
    <row r="663" spans="1:10" x14ac:dyDescent="0.25">
      <c r="A663" s="4">
        <v>81</v>
      </c>
      <c r="B663">
        <v>13796</v>
      </c>
      <c r="C663" s="4">
        <v>13796</v>
      </c>
      <c r="D663" t="s">
        <v>7</v>
      </c>
      <c r="E663" s="4">
        <v>0</v>
      </c>
      <c r="F663" s="25">
        <v>43714.829317129632</v>
      </c>
      <c r="G663">
        <v>1</v>
      </c>
      <c r="H663" s="25" t="s">
        <v>308</v>
      </c>
      <c r="I663" s="25"/>
      <c r="J663" s="25" t="s">
        <v>439</v>
      </c>
    </row>
    <row r="664" spans="1:10" x14ac:dyDescent="0.25">
      <c r="A664" s="4">
        <v>11838</v>
      </c>
      <c r="B664">
        <v>9735</v>
      </c>
      <c r="C664" s="4">
        <v>10012</v>
      </c>
      <c r="D664" t="s">
        <v>306</v>
      </c>
      <c r="E664" s="4">
        <v>24</v>
      </c>
      <c r="F664" s="25">
        <v>43714.82707175926</v>
      </c>
      <c r="G664">
        <v>0</v>
      </c>
      <c r="H664" s="25"/>
      <c r="I664" s="25"/>
      <c r="J664" s="25" t="s">
        <v>300</v>
      </c>
    </row>
    <row r="665" spans="1:10" x14ac:dyDescent="0.25">
      <c r="A665" s="4">
        <v>11838</v>
      </c>
      <c r="B665">
        <v>9735</v>
      </c>
      <c r="C665" s="4">
        <v>10012</v>
      </c>
      <c r="D665" t="s">
        <v>306</v>
      </c>
      <c r="E665" s="4">
        <v>23</v>
      </c>
      <c r="F665" s="25">
        <v>43714.827060185184</v>
      </c>
      <c r="G665">
        <v>0</v>
      </c>
      <c r="H665" s="25"/>
      <c r="I665" s="25"/>
      <c r="J665" s="25" t="s">
        <v>300</v>
      </c>
    </row>
    <row r="666" spans="1:10" x14ac:dyDescent="0.25">
      <c r="A666" s="4">
        <v>11838</v>
      </c>
      <c r="B666">
        <v>9735</v>
      </c>
      <c r="C666" s="4">
        <v>10012</v>
      </c>
      <c r="D666" t="s">
        <v>306</v>
      </c>
      <c r="E666" s="4">
        <v>21</v>
      </c>
      <c r="F666" s="25">
        <v>43714.827048611114</v>
      </c>
      <c r="G666">
        <v>0</v>
      </c>
      <c r="H666" s="25"/>
      <c r="I666" s="25"/>
      <c r="J666" s="25" t="s">
        <v>300</v>
      </c>
    </row>
    <row r="667" spans="1:10" x14ac:dyDescent="0.25">
      <c r="A667" s="4">
        <v>11838</v>
      </c>
      <c r="B667">
        <v>9735</v>
      </c>
      <c r="C667" s="4">
        <v>10012</v>
      </c>
      <c r="D667" t="s">
        <v>306</v>
      </c>
      <c r="E667" s="4">
        <v>22</v>
      </c>
      <c r="F667" s="25">
        <v>43714.827048611114</v>
      </c>
      <c r="G667">
        <v>0</v>
      </c>
      <c r="H667" s="25"/>
      <c r="I667" s="25"/>
      <c r="J667" s="25" t="s">
        <v>300</v>
      </c>
    </row>
    <row r="668" spans="1:10" x14ac:dyDescent="0.25">
      <c r="A668" s="4">
        <v>11838</v>
      </c>
      <c r="B668">
        <v>9735</v>
      </c>
      <c r="C668" s="4">
        <v>10012</v>
      </c>
      <c r="D668" t="s">
        <v>306</v>
      </c>
      <c r="E668" s="4">
        <v>20</v>
      </c>
      <c r="F668" s="25">
        <v>43714.827037037037</v>
      </c>
      <c r="G668">
        <v>0</v>
      </c>
      <c r="H668" s="25"/>
      <c r="I668" s="25"/>
      <c r="J668" s="25" t="s">
        <v>300</v>
      </c>
    </row>
    <row r="669" spans="1:10" x14ac:dyDescent="0.25">
      <c r="A669" s="4">
        <v>11838</v>
      </c>
      <c r="B669">
        <v>9735</v>
      </c>
      <c r="C669" s="4">
        <v>10012</v>
      </c>
      <c r="D669" t="s">
        <v>306</v>
      </c>
      <c r="E669" s="4">
        <v>18</v>
      </c>
      <c r="F669" s="25">
        <v>43714.827025462961</v>
      </c>
      <c r="G669">
        <v>0</v>
      </c>
      <c r="H669" s="25"/>
      <c r="I669" s="25"/>
      <c r="J669" s="25" t="s">
        <v>300</v>
      </c>
    </row>
    <row r="670" spans="1:10" x14ac:dyDescent="0.25">
      <c r="A670" s="4">
        <v>11838</v>
      </c>
      <c r="B670">
        <v>9735</v>
      </c>
      <c r="C670" s="4">
        <v>10012</v>
      </c>
      <c r="D670" t="s">
        <v>306</v>
      </c>
      <c r="E670" s="4">
        <v>19</v>
      </c>
      <c r="F670" s="25">
        <v>43714.827025462961</v>
      </c>
      <c r="G670">
        <v>0</v>
      </c>
      <c r="H670" s="25"/>
      <c r="I670" s="25"/>
      <c r="J670" s="25" t="s">
        <v>300</v>
      </c>
    </row>
    <row r="671" spans="1:10" x14ac:dyDescent="0.25">
      <c r="A671" s="4">
        <v>11838</v>
      </c>
      <c r="B671">
        <v>9735</v>
      </c>
      <c r="C671" s="4">
        <v>10012</v>
      </c>
      <c r="D671" t="s">
        <v>306</v>
      </c>
      <c r="E671" s="4">
        <v>17</v>
      </c>
      <c r="F671" s="25">
        <v>43714.827013888891</v>
      </c>
      <c r="G671">
        <v>0</v>
      </c>
      <c r="H671" s="25"/>
      <c r="I671" s="25"/>
      <c r="J671" s="25" t="s">
        <v>300</v>
      </c>
    </row>
    <row r="672" spans="1:10" x14ac:dyDescent="0.25">
      <c r="A672" s="4">
        <v>11838</v>
      </c>
      <c r="B672">
        <v>9735</v>
      </c>
      <c r="C672" s="4">
        <v>10012</v>
      </c>
      <c r="D672" t="s">
        <v>306</v>
      </c>
      <c r="E672" s="4">
        <v>15</v>
      </c>
      <c r="F672" s="25">
        <v>43714.827002314814</v>
      </c>
      <c r="G672">
        <v>0</v>
      </c>
      <c r="H672" s="25"/>
      <c r="I672" s="25"/>
      <c r="J672" s="25" t="s">
        <v>300</v>
      </c>
    </row>
    <row r="673" spans="1:10" x14ac:dyDescent="0.25">
      <c r="A673" s="4">
        <v>11838</v>
      </c>
      <c r="B673">
        <v>9735</v>
      </c>
      <c r="C673" s="4">
        <v>10012</v>
      </c>
      <c r="D673" t="s">
        <v>306</v>
      </c>
      <c r="E673" s="4">
        <v>16</v>
      </c>
      <c r="F673" s="25">
        <v>43714.827002314814</v>
      </c>
      <c r="G673">
        <v>0</v>
      </c>
      <c r="H673" s="25"/>
      <c r="I673" s="25"/>
      <c r="J673" s="25" t="s">
        <v>300</v>
      </c>
    </row>
    <row r="674" spans="1:10" x14ac:dyDescent="0.25">
      <c r="A674" s="4">
        <v>11838</v>
      </c>
      <c r="B674">
        <v>9735</v>
      </c>
      <c r="C674" s="4">
        <v>10012</v>
      </c>
      <c r="D674" t="s">
        <v>306</v>
      </c>
      <c r="E674" s="4">
        <v>14</v>
      </c>
      <c r="F674" s="25">
        <v>43714.826990740738</v>
      </c>
      <c r="G674">
        <v>0</v>
      </c>
      <c r="H674" s="25"/>
      <c r="I674" s="25"/>
      <c r="J674" s="25" t="s">
        <v>300</v>
      </c>
    </row>
    <row r="675" spans="1:10" x14ac:dyDescent="0.25">
      <c r="A675" s="4">
        <v>11838</v>
      </c>
      <c r="B675">
        <v>9735</v>
      </c>
      <c r="C675" s="4">
        <v>10012</v>
      </c>
      <c r="D675" t="s">
        <v>306</v>
      </c>
      <c r="E675" s="4">
        <v>13</v>
      </c>
      <c r="F675" s="25">
        <v>43714.826979166668</v>
      </c>
      <c r="G675">
        <v>0</v>
      </c>
      <c r="H675" s="25"/>
      <c r="I675" s="25"/>
      <c r="J675" s="25" t="s">
        <v>300</v>
      </c>
    </row>
    <row r="676" spans="1:10" x14ac:dyDescent="0.25">
      <c r="A676" s="4">
        <v>11838</v>
      </c>
      <c r="B676">
        <v>9735</v>
      </c>
      <c r="C676" s="4">
        <v>10012</v>
      </c>
      <c r="D676" t="s">
        <v>306</v>
      </c>
      <c r="E676" s="4">
        <v>11</v>
      </c>
      <c r="F676" s="25">
        <v>43714.826967592591</v>
      </c>
      <c r="G676">
        <v>0</v>
      </c>
      <c r="H676" s="25"/>
      <c r="I676" s="25"/>
      <c r="J676" s="25" t="s">
        <v>300</v>
      </c>
    </row>
    <row r="677" spans="1:10" x14ac:dyDescent="0.25">
      <c r="A677" s="4">
        <v>11838</v>
      </c>
      <c r="B677">
        <v>9735</v>
      </c>
      <c r="C677" s="4">
        <v>10012</v>
      </c>
      <c r="D677" t="s">
        <v>306</v>
      </c>
      <c r="E677" s="4">
        <v>12</v>
      </c>
      <c r="F677" s="25">
        <v>43714.826967592591</v>
      </c>
      <c r="G677">
        <v>0</v>
      </c>
      <c r="H677" s="25"/>
      <c r="I677" s="25"/>
      <c r="J677" s="25" t="s">
        <v>300</v>
      </c>
    </row>
    <row r="678" spans="1:10" x14ac:dyDescent="0.25">
      <c r="A678" s="4">
        <v>11838</v>
      </c>
      <c r="B678">
        <v>9735</v>
      </c>
      <c r="C678" s="4">
        <v>10012</v>
      </c>
      <c r="D678" t="s">
        <v>306</v>
      </c>
      <c r="E678" s="4">
        <v>10</v>
      </c>
      <c r="F678" s="25">
        <v>43714.826956018522</v>
      </c>
      <c r="G678">
        <v>0</v>
      </c>
      <c r="H678" s="25"/>
      <c r="I678" s="25"/>
      <c r="J678" s="25" t="s">
        <v>300</v>
      </c>
    </row>
    <row r="679" spans="1:10" x14ac:dyDescent="0.25">
      <c r="A679" s="4">
        <v>11838</v>
      </c>
      <c r="B679">
        <v>9735</v>
      </c>
      <c r="C679" s="4">
        <v>10012</v>
      </c>
      <c r="D679" t="s">
        <v>306</v>
      </c>
      <c r="E679" s="4">
        <v>8</v>
      </c>
      <c r="F679" s="25">
        <v>43714.826944444445</v>
      </c>
      <c r="G679">
        <v>0</v>
      </c>
      <c r="H679" s="25"/>
      <c r="I679" s="25"/>
      <c r="J679" s="25" t="s">
        <v>300</v>
      </c>
    </row>
    <row r="680" spans="1:10" x14ac:dyDescent="0.25">
      <c r="A680" s="4">
        <v>11838</v>
      </c>
      <c r="B680">
        <v>9735</v>
      </c>
      <c r="C680" s="4">
        <v>10012</v>
      </c>
      <c r="D680" t="s">
        <v>306</v>
      </c>
      <c r="E680" s="4">
        <v>9</v>
      </c>
      <c r="F680" s="25">
        <v>43714.826944444445</v>
      </c>
      <c r="G680">
        <v>0</v>
      </c>
      <c r="H680" s="25"/>
      <c r="I680" s="25"/>
      <c r="J680" s="25" t="s">
        <v>300</v>
      </c>
    </row>
    <row r="681" spans="1:10" x14ac:dyDescent="0.25">
      <c r="A681" s="4">
        <v>11838</v>
      </c>
      <c r="B681">
        <v>9735</v>
      </c>
      <c r="C681" s="4">
        <v>10012</v>
      </c>
      <c r="D681" t="s">
        <v>306</v>
      </c>
      <c r="E681" s="4">
        <v>7</v>
      </c>
      <c r="F681" s="25">
        <v>43714.826932870368</v>
      </c>
      <c r="G681">
        <v>0</v>
      </c>
      <c r="H681" s="25"/>
      <c r="I681" s="25"/>
      <c r="J681" s="25" t="s">
        <v>300</v>
      </c>
    </row>
    <row r="682" spans="1:10" x14ac:dyDescent="0.25">
      <c r="A682" s="4">
        <v>11838</v>
      </c>
      <c r="B682">
        <v>9735</v>
      </c>
      <c r="C682" s="4">
        <v>10012</v>
      </c>
      <c r="D682" t="s">
        <v>306</v>
      </c>
      <c r="E682" s="4">
        <v>5</v>
      </c>
      <c r="F682" s="25">
        <v>43714.826921296299</v>
      </c>
      <c r="G682">
        <v>0</v>
      </c>
      <c r="H682" s="25"/>
      <c r="I682" s="25"/>
      <c r="J682" s="25" t="s">
        <v>300</v>
      </c>
    </row>
    <row r="683" spans="1:10" x14ac:dyDescent="0.25">
      <c r="A683" s="4">
        <v>11838</v>
      </c>
      <c r="B683">
        <v>9735</v>
      </c>
      <c r="C683" s="4">
        <v>10012</v>
      </c>
      <c r="D683" t="s">
        <v>306</v>
      </c>
      <c r="E683" s="4">
        <v>6</v>
      </c>
      <c r="F683" s="25">
        <v>43714.826921296299</v>
      </c>
      <c r="G683">
        <v>0</v>
      </c>
      <c r="H683" s="25"/>
      <c r="I683" s="25"/>
      <c r="J683" s="25" t="s">
        <v>300</v>
      </c>
    </row>
    <row r="684" spans="1:10" x14ac:dyDescent="0.25">
      <c r="A684" s="4">
        <v>11838</v>
      </c>
      <c r="B684">
        <v>9735</v>
      </c>
      <c r="C684" s="4">
        <v>10012</v>
      </c>
      <c r="D684" t="s">
        <v>306</v>
      </c>
      <c r="E684" s="4">
        <v>4</v>
      </c>
      <c r="F684" s="25">
        <v>43714.826909722222</v>
      </c>
      <c r="G684">
        <v>0</v>
      </c>
      <c r="H684" s="25"/>
      <c r="I684" s="25"/>
      <c r="J684" s="25" t="s">
        <v>300</v>
      </c>
    </row>
    <row r="685" spans="1:10" x14ac:dyDescent="0.25">
      <c r="A685" s="4">
        <v>11838</v>
      </c>
      <c r="B685">
        <v>9735</v>
      </c>
      <c r="C685" s="4">
        <v>10012</v>
      </c>
      <c r="D685" t="s">
        <v>306</v>
      </c>
      <c r="E685" s="4">
        <v>2</v>
      </c>
      <c r="F685" s="25">
        <v>43714.826898148145</v>
      </c>
      <c r="G685">
        <v>0</v>
      </c>
      <c r="H685" s="25"/>
      <c r="I685" s="25"/>
      <c r="J685" s="25" t="s">
        <v>300</v>
      </c>
    </row>
    <row r="686" spans="1:10" x14ac:dyDescent="0.25">
      <c r="A686" s="4">
        <v>11838</v>
      </c>
      <c r="B686">
        <v>9735</v>
      </c>
      <c r="C686" s="4">
        <v>10012</v>
      </c>
      <c r="D686" t="s">
        <v>306</v>
      </c>
      <c r="E686" s="4">
        <v>3</v>
      </c>
      <c r="F686" s="25">
        <v>43714.826898148145</v>
      </c>
      <c r="G686">
        <v>0</v>
      </c>
      <c r="H686" s="25"/>
      <c r="I686" s="25"/>
      <c r="J686" s="25" t="s">
        <v>300</v>
      </c>
    </row>
    <row r="687" spans="1:10" x14ac:dyDescent="0.25">
      <c r="A687" s="4">
        <v>11838</v>
      </c>
      <c r="B687">
        <v>9735</v>
      </c>
      <c r="C687" s="4">
        <v>10012</v>
      </c>
      <c r="D687" t="s">
        <v>306</v>
      </c>
      <c r="E687" s="4">
        <v>1</v>
      </c>
      <c r="F687" s="25">
        <v>43714.826886574076</v>
      </c>
      <c r="G687">
        <v>0</v>
      </c>
      <c r="H687" s="25"/>
      <c r="I687" s="25"/>
      <c r="J687" s="25" t="s">
        <v>300</v>
      </c>
    </row>
    <row r="688" spans="1:10" x14ac:dyDescent="0.25">
      <c r="A688" s="4">
        <v>11838</v>
      </c>
      <c r="B688">
        <v>9735</v>
      </c>
      <c r="C688" s="4">
        <v>10012</v>
      </c>
      <c r="D688" t="s">
        <v>306</v>
      </c>
      <c r="E688" s="4">
        <v>0</v>
      </c>
      <c r="F688" s="25">
        <v>43714.826874999999</v>
      </c>
      <c r="G688">
        <v>0</v>
      </c>
      <c r="H688" s="25"/>
      <c r="I688" s="25"/>
      <c r="J688" s="25" t="s">
        <v>300</v>
      </c>
    </row>
    <row r="689" spans="1:10" x14ac:dyDescent="0.25">
      <c r="A689" s="4">
        <v>80</v>
      </c>
      <c r="B689">
        <v>5072</v>
      </c>
      <c r="C689" s="4">
        <v>10012</v>
      </c>
      <c r="D689" t="s">
        <v>7</v>
      </c>
      <c r="E689" s="4">
        <v>0</v>
      </c>
      <c r="F689" s="25">
        <v>43714.806030092594</v>
      </c>
      <c r="G689">
        <v>0</v>
      </c>
      <c r="H689" s="25"/>
      <c r="I689" s="25" t="s">
        <v>344</v>
      </c>
      <c r="J689" s="25" t="s">
        <v>300</v>
      </c>
    </row>
    <row r="690" spans="1:10" x14ac:dyDescent="0.25">
      <c r="A690" s="4">
        <v>80</v>
      </c>
      <c r="B690">
        <v>9036</v>
      </c>
      <c r="C690" s="4">
        <v>10012</v>
      </c>
      <c r="D690" t="s">
        <v>7</v>
      </c>
      <c r="E690" s="4">
        <v>0</v>
      </c>
      <c r="F690" s="25">
        <v>43714.806006944447</v>
      </c>
      <c r="G690">
        <v>0</v>
      </c>
      <c r="H690" s="25"/>
      <c r="I690" s="25" t="s">
        <v>343</v>
      </c>
      <c r="J690" s="25" t="s">
        <v>300</v>
      </c>
    </row>
    <row r="691" spans="1:10" x14ac:dyDescent="0.25">
      <c r="A691" s="4">
        <v>80</v>
      </c>
      <c r="B691">
        <v>12124</v>
      </c>
      <c r="C691" s="4">
        <v>10012</v>
      </c>
      <c r="D691" t="s">
        <v>7</v>
      </c>
      <c r="E691" s="4">
        <v>0</v>
      </c>
      <c r="F691" s="25">
        <v>43714.805937500001</v>
      </c>
      <c r="G691">
        <v>0</v>
      </c>
      <c r="H691" s="25"/>
      <c r="I691" s="25" t="s">
        <v>342</v>
      </c>
      <c r="J691" s="25" t="s">
        <v>300</v>
      </c>
    </row>
    <row r="692" spans="1:10" x14ac:dyDescent="0.25">
      <c r="A692" s="4">
        <v>80</v>
      </c>
      <c r="B692">
        <v>1796</v>
      </c>
      <c r="C692" s="4">
        <v>10012</v>
      </c>
      <c r="D692" t="s">
        <v>7</v>
      </c>
      <c r="E692" s="4">
        <v>0</v>
      </c>
      <c r="F692" s="25">
        <v>43714.805787037039</v>
      </c>
      <c r="G692">
        <v>0</v>
      </c>
      <c r="H692" s="25"/>
      <c r="I692" s="25" t="s">
        <v>341</v>
      </c>
      <c r="J692" s="25" t="s">
        <v>304</v>
      </c>
    </row>
    <row r="693" spans="1:10" x14ac:dyDescent="0.25">
      <c r="A693" s="4">
        <v>80</v>
      </c>
      <c r="B693">
        <v>10608</v>
      </c>
      <c r="C693" s="4">
        <v>10012</v>
      </c>
      <c r="D693" t="s">
        <v>7</v>
      </c>
      <c r="E693" s="4">
        <v>0</v>
      </c>
      <c r="F693" s="25">
        <v>43714.805011574077</v>
      </c>
      <c r="G693">
        <v>0</v>
      </c>
      <c r="H693" s="25"/>
      <c r="I693" s="25" t="s">
        <v>329</v>
      </c>
      <c r="J693" s="25" t="s">
        <v>300</v>
      </c>
    </row>
    <row r="694" spans="1:10" x14ac:dyDescent="0.25">
      <c r="A694" s="4">
        <v>80</v>
      </c>
      <c r="B694">
        <v>5420</v>
      </c>
      <c r="C694" s="4">
        <v>10012</v>
      </c>
      <c r="D694" t="s">
        <v>7</v>
      </c>
      <c r="E694" s="4">
        <v>0</v>
      </c>
      <c r="F694" s="25">
        <v>43714.804814814815</v>
      </c>
      <c r="G694">
        <v>0</v>
      </c>
      <c r="H694" s="25"/>
      <c r="I694" s="25" t="s">
        <v>340</v>
      </c>
      <c r="J694" s="25" t="s">
        <v>300</v>
      </c>
    </row>
    <row r="695" spans="1:10" x14ac:dyDescent="0.25">
      <c r="A695" s="4">
        <v>80</v>
      </c>
      <c r="B695">
        <v>12916</v>
      </c>
      <c r="C695" s="4">
        <v>10012</v>
      </c>
      <c r="D695" t="s">
        <v>7</v>
      </c>
      <c r="E695" s="4">
        <v>0</v>
      </c>
      <c r="F695" s="25">
        <v>43714.804212962961</v>
      </c>
      <c r="G695">
        <v>0</v>
      </c>
      <c r="H695" s="25"/>
      <c r="I695" s="25" t="s">
        <v>339</v>
      </c>
      <c r="J695" s="25" t="s">
        <v>300</v>
      </c>
    </row>
    <row r="696" spans="1:10" x14ac:dyDescent="0.25">
      <c r="A696" s="4">
        <v>80</v>
      </c>
      <c r="B696">
        <v>7832</v>
      </c>
      <c r="C696" s="4">
        <v>10012</v>
      </c>
      <c r="D696" t="s">
        <v>7</v>
      </c>
      <c r="E696" s="4">
        <v>0</v>
      </c>
      <c r="F696" s="25">
        <v>43714.80395833333</v>
      </c>
      <c r="G696">
        <v>0</v>
      </c>
      <c r="H696" s="25"/>
      <c r="I696" s="25" t="s">
        <v>335</v>
      </c>
      <c r="J696" s="25" t="s">
        <v>304</v>
      </c>
    </row>
    <row r="697" spans="1:10" x14ac:dyDescent="0.25">
      <c r="A697" s="4">
        <v>32749</v>
      </c>
      <c r="B697">
        <v>9736</v>
      </c>
      <c r="C697" s="4">
        <v>10012</v>
      </c>
      <c r="D697" t="s">
        <v>306</v>
      </c>
      <c r="E697" s="4">
        <v>48</v>
      </c>
      <c r="F697" s="25">
        <v>43714.785150462965</v>
      </c>
      <c r="G697">
        <v>0</v>
      </c>
      <c r="H697" s="25"/>
      <c r="I697" s="25"/>
      <c r="J697" s="25" t="s">
        <v>300</v>
      </c>
    </row>
    <row r="698" spans="1:10" x14ac:dyDescent="0.25">
      <c r="A698" s="4">
        <v>32749</v>
      </c>
      <c r="B698">
        <v>9736</v>
      </c>
      <c r="C698" s="4">
        <v>10012</v>
      </c>
      <c r="D698" t="s">
        <v>306</v>
      </c>
      <c r="E698" s="4">
        <v>47</v>
      </c>
      <c r="F698" s="25">
        <v>43714.785138888888</v>
      </c>
      <c r="G698">
        <v>0</v>
      </c>
      <c r="H698" s="25"/>
      <c r="I698" s="25"/>
      <c r="J698" s="25" t="s">
        <v>300</v>
      </c>
    </row>
    <row r="699" spans="1:10" x14ac:dyDescent="0.25">
      <c r="A699" s="4">
        <v>32749</v>
      </c>
      <c r="B699">
        <v>9736</v>
      </c>
      <c r="C699" s="4">
        <v>10012</v>
      </c>
      <c r="D699" t="s">
        <v>306</v>
      </c>
      <c r="E699" s="4">
        <v>45</v>
      </c>
      <c r="F699" s="25">
        <v>43714.785127314812</v>
      </c>
      <c r="G699">
        <v>0</v>
      </c>
      <c r="H699" s="25"/>
      <c r="I699" s="25"/>
      <c r="J699" s="25" t="s">
        <v>300</v>
      </c>
    </row>
    <row r="700" spans="1:10" x14ac:dyDescent="0.25">
      <c r="A700" s="4">
        <v>32749</v>
      </c>
      <c r="B700">
        <v>9736</v>
      </c>
      <c r="C700" s="4">
        <v>10012</v>
      </c>
      <c r="D700" t="s">
        <v>306</v>
      </c>
      <c r="E700" s="4">
        <v>46</v>
      </c>
      <c r="F700" s="25">
        <v>43714.785127314812</v>
      </c>
      <c r="G700">
        <v>0</v>
      </c>
      <c r="H700" s="25"/>
      <c r="I700" s="25"/>
      <c r="J700" s="25" t="s">
        <v>300</v>
      </c>
    </row>
    <row r="701" spans="1:10" x14ac:dyDescent="0.25">
      <c r="A701" s="4">
        <v>32749</v>
      </c>
      <c r="B701">
        <v>9736</v>
      </c>
      <c r="C701" s="4">
        <v>10012</v>
      </c>
      <c r="D701" t="s">
        <v>306</v>
      </c>
      <c r="E701" s="4">
        <v>44</v>
      </c>
      <c r="F701" s="25">
        <v>43714.785115740742</v>
      </c>
      <c r="G701">
        <v>0</v>
      </c>
      <c r="H701" s="25"/>
      <c r="I701" s="25"/>
      <c r="J701" s="25" t="s">
        <v>300</v>
      </c>
    </row>
    <row r="702" spans="1:10" x14ac:dyDescent="0.25">
      <c r="A702" s="4">
        <v>32749</v>
      </c>
      <c r="B702">
        <v>9736</v>
      </c>
      <c r="C702" s="4">
        <v>10012</v>
      </c>
      <c r="D702" t="s">
        <v>306</v>
      </c>
      <c r="E702" s="4">
        <v>42</v>
      </c>
      <c r="F702" s="25">
        <v>43714.785104166665</v>
      </c>
      <c r="G702">
        <v>0</v>
      </c>
      <c r="H702" s="25"/>
      <c r="I702" s="25"/>
      <c r="J702" s="25" t="s">
        <v>300</v>
      </c>
    </row>
    <row r="703" spans="1:10" x14ac:dyDescent="0.25">
      <c r="A703" s="4">
        <v>32749</v>
      </c>
      <c r="B703">
        <v>9736</v>
      </c>
      <c r="C703" s="4">
        <v>10012</v>
      </c>
      <c r="D703" t="s">
        <v>306</v>
      </c>
      <c r="E703" s="4">
        <v>43</v>
      </c>
      <c r="F703" s="25">
        <v>43714.785104166665</v>
      </c>
      <c r="G703">
        <v>0</v>
      </c>
      <c r="H703" s="25"/>
      <c r="I703" s="25"/>
      <c r="J703" s="25" t="s">
        <v>300</v>
      </c>
    </row>
    <row r="704" spans="1:10" x14ac:dyDescent="0.25">
      <c r="A704" s="4">
        <v>32749</v>
      </c>
      <c r="B704">
        <v>9736</v>
      </c>
      <c r="C704" s="4">
        <v>10012</v>
      </c>
      <c r="D704" t="s">
        <v>306</v>
      </c>
      <c r="E704" s="4">
        <v>41</v>
      </c>
      <c r="F704" s="25">
        <v>43714.785092592596</v>
      </c>
      <c r="G704">
        <v>0</v>
      </c>
      <c r="H704" s="25"/>
      <c r="I704" s="25"/>
      <c r="J704" s="25" t="s">
        <v>300</v>
      </c>
    </row>
    <row r="705" spans="1:10" x14ac:dyDescent="0.25">
      <c r="A705" s="4">
        <v>32749</v>
      </c>
      <c r="B705">
        <v>9736</v>
      </c>
      <c r="C705" s="4">
        <v>10012</v>
      </c>
      <c r="D705" t="s">
        <v>306</v>
      </c>
      <c r="E705" s="4">
        <v>40</v>
      </c>
      <c r="F705" s="25">
        <v>43714.785081018519</v>
      </c>
      <c r="G705">
        <v>0</v>
      </c>
      <c r="H705" s="25"/>
      <c r="I705" s="25"/>
      <c r="J705" s="25" t="s">
        <v>300</v>
      </c>
    </row>
    <row r="706" spans="1:10" x14ac:dyDescent="0.25">
      <c r="A706" s="4">
        <v>32749</v>
      </c>
      <c r="B706">
        <v>9736</v>
      </c>
      <c r="C706" s="4">
        <v>10012</v>
      </c>
      <c r="D706" t="s">
        <v>306</v>
      </c>
      <c r="E706" s="4">
        <v>38</v>
      </c>
      <c r="F706" s="25">
        <v>43714.785069444442</v>
      </c>
      <c r="G706">
        <v>0</v>
      </c>
      <c r="H706" s="25"/>
      <c r="I706" s="25"/>
      <c r="J706" s="25" t="s">
        <v>300</v>
      </c>
    </row>
    <row r="707" spans="1:10" x14ac:dyDescent="0.25">
      <c r="A707" s="4">
        <v>32749</v>
      </c>
      <c r="B707">
        <v>9736</v>
      </c>
      <c r="C707" s="4">
        <v>10012</v>
      </c>
      <c r="D707" t="s">
        <v>306</v>
      </c>
      <c r="E707" s="4">
        <v>39</v>
      </c>
      <c r="F707" s="25">
        <v>43714.785069444442</v>
      </c>
      <c r="G707">
        <v>0</v>
      </c>
      <c r="H707" s="25"/>
      <c r="I707" s="25"/>
      <c r="J707" s="25" t="s">
        <v>300</v>
      </c>
    </row>
    <row r="708" spans="1:10" x14ac:dyDescent="0.25">
      <c r="A708" s="4">
        <v>32749</v>
      </c>
      <c r="B708">
        <v>9736</v>
      </c>
      <c r="C708" s="4">
        <v>10012</v>
      </c>
      <c r="D708" t="s">
        <v>306</v>
      </c>
      <c r="E708" s="4">
        <v>37</v>
      </c>
      <c r="F708" s="25">
        <v>43714.785057870373</v>
      </c>
      <c r="G708">
        <v>0</v>
      </c>
      <c r="H708" s="25"/>
      <c r="I708" s="25"/>
      <c r="J708" s="25" t="s">
        <v>300</v>
      </c>
    </row>
    <row r="709" spans="1:10" x14ac:dyDescent="0.25">
      <c r="A709" s="4">
        <v>32749</v>
      </c>
      <c r="B709">
        <v>9736</v>
      </c>
      <c r="C709" s="4">
        <v>10012</v>
      </c>
      <c r="D709" t="s">
        <v>306</v>
      </c>
      <c r="E709" s="4">
        <v>35</v>
      </c>
      <c r="F709" s="25">
        <v>43714.785046296296</v>
      </c>
      <c r="G709">
        <v>0</v>
      </c>
      <c r="H709" s="25"/>
      <c r="I709" s="25"/>
      <c r="J709" s="25" t="s">
        <v>300</v>
      </c>
    </row>
    <row r="710" spans="1:10" x14ac:dyDescent="0.25">
      <c r="A710" s="4">
        <v>32749</v>
      </c>
      <c r="B710">
        <v>9736</v>
      </c>
      <c r="C710" s="4">
        <v>10012</v>
      </c>
      <c r="D710" t="s">
        <v>306</v>
      </c>
      <c r="E710" s="4">
        <v>36</v>
      </c>
      <c r="F710" s="25">
        <v>43714.785046296296</v>
      </c>
      <c r="G710">
        <v>0</v>
      </c>
      <c r="H710" s="25"/>
      <c r="I710" s="25"/>
      <c r="J710" s="25" t="s">
        <v>300</v>
      </c>
    </row>
    <row r="711" spans="1:10" x14ac:dyDescent="0.25">
      <c r="A711" s="4">
        <v>32749</v>
      </c>
      <c r="B711">
        <v>9736</v>
      </c>
      <c r="C711" s="4">
        <v>10012</v>
      </c>
      <c r="D711" t="s">
        <v>306</v>
      </c>
      <c r="E711" s="4">
        <v>34</v>
      </c>
      <c r="F711" s="25">
        <v>43714.785034722219</v>
      </c>
      <c r="G711">
        <v>0</v>
      </c>
      <c r="H711" s="25"/>
      <c r="I711" s="25"/>
      <c r="J711" s="25" t="s">
        <v>300</v>
      </c>
    </row>
    <row r="712" spans="1:10" x14ac:dyDescent="0.25">
      <c r="A712" s="4">
        <v>32749</v>
      </c>
      <c r="B712">
        <v>9736</v>
      </c>
      <c r="C712" s="4">
        <v>10012</v>
      </c>
      <c r="D712" t="s">
        <v>306</v>
      </c>
      <c r="E712" s="4">
        <v>32</v>
      </c>
      <c r="F712" s="25">
        <v>43714.78502314815</v>
      </c>
      <c r="G712">
        <v>0</v>
      </c>
      <c r="H712" s="25"/>
      <c r="I712" s="25"/>
      <c r="J712" s="25" t="s">
        <v>300</v>
      </c>
    </row>
    <row r="713" spans="1:10" x14ac:dyDescent="0.25">
      <c r="A713" s="4">
        <v>32749</v>
      </c>
      <c r="B713">
        <v>9736</v>
      </c>
      <c r="C713" s="4">
        <v>10012</v>
      </c>
      <c r="D713" t="s">
        <v>306</v>
      </c>
      <c r="E713" s="4">
        <v>33</v>
      </c>
      <c r="F713" s="25">
        <v>43714.78502314815</v>
      </c>
      <c r="G713">
        <v>0</v>
      </c>
      <c r="H713" s="25"/>
      <c r="I713" s="25"/>
      <c r="J713" s="25" t="s">
        <v>300</v>
      </c>
    </row>
    <row r="714" spans="1:10" x14ac:dyDescent="0.25">
      <c r="A714" s="4">
        <v>32749</v>
      </c>
      <c r="B714">
        <v>9736</v>
      </c>
      <c r="C714" s="4">
        <v>10012</v>
      </c>
      <c r="D714" t="s">
        <v>306</v>
      </c>
      <c r="E714" s="4">
        <v>31</v>
      </c>
      <c r="F714" s="25">
        <v>43714.785011574073</v>
      </c>
      <c r="G714">
        <v>0</v>
      </c>
      <c r="H714" s="25"/>
      <c r="I714" s="25"/>
      <c r="J714" s="25" t="s">
        <v>300</v>
      </c>
    </row>
    <row r="715" spans="1:10" x14ac:dyDescent="0.25">
      <c r="A715" s="4">
        <v>32749</v>
      </c>
      <c r="B715">
        <v>9736</v>
      </c>
      <c r="C715" s="4">
        <v>10012</v>
      </c>
      <c r="D715" t="s">
        <v>306</v>
      </c>
      <c r="E715" s="4">
        <v>29</v>
      </c>
      <c r="F715" s="25">
        <v>43714.785000000003</v>
      </c>
      <c r="G715">
        <v>0</v>
      </c>
      <c r="H715" s="25"/>
      <c r="I715" s="25"/>
      <c r="J715" s="25" t="s">
        <v>300</v>
      </c>
    </row>
    <row r="716" spans="1:10" x14ac:dyDescent="0.25">
      <c r="A716" s="4">
        <v>32749</v>
      </c>
      <c r="B716">
        <v>9736</v>
      </c>
      <c r="C716" s="4">
        <v>10012</v>
      </c>
      <c r="D716" t="s">
        <v>306</v>
      </c>
      <c r="E716" s="4">
        <v>30</v>
      </c>
      <c r="F716" s="25">
        <v>43714.785000000003</v>
      </c>
      <c r="G716">
        <v>0</v>
      </c>
      <c r="H716" s="25"/>
      <c r="I716" s="25"/>
      <c r="J716" s="25" t="s">
        <v>300</v>
      </c>
    </row>
    <row r="717" spans="1:10" x14ac:dyDescent="0.25">
      <c r="A717" s="4">
        <v>32749</v>
      </c>
      <c r="B717">
        <v>9736</v>
      </c>
      <c r="C717" s="4">
        <v>10012</v>
      </c>
      <c r="D717" t="s">
        <v>306</v>
      </c>
      <c r="E717" s="4">
        <v>28</v>
      </c>
      <c r="F717" s="25">
        <v>43714.784988425927</v>
      </c>
      <c r="G717">
        <v>0</v>
      </c>
      <c r="H717" s="25"/>
      <c r="I717" s="25"/>
      <c r="J717" s="25" t="s">
        <v>300</v>
      </c>
    </row>
    <row r="718" spans="1:10" x14ac:dyDescent="0.25">
      <c r="A718" s="4">
        <v>32749</v>
      </c>
      <c r="B718">
        <v>9736</v>
      </c>
      <c r="C718" s="4">
        <v>10012</v>
      </c>
      <c r="D718" t="s">
        <v>306</v>
      </c>
      <c r="E718" s="4">
        <v>26</v>
      </c>
      <c r="F718" s="25">
        <v>43714.78497685185</v>
      </c>
      <c r="G718">
        <v>0</v>
      </c>
      <c r="H718" s="25"/>
      <c r="I718" s="25"/>
      <c r="J718" s="25" t="s">
        <v>300</v>
      </c>
    </row>
    <row r="719" spans="1:10" x14ac:dyDescent="0.25">
      <c r="A719" s="4">
        <v>32749</v>
      </c>
      <c r="B719">
        <v>9736</v>
      </c>
      <c r="C719" s="4">
        <v>10012</v>
      </c>
      <c r="D719" t="s">
        <v>306</v>
      </c>
      <c r="E719" s="4">
        <v>27</v>
      </c>
      <c r="F719" s="25">
        <v>43714.78497685185</v>
      </c>
      <c r="G719">
        <v>0</v>
      </c>
      <c r="H719" s="25"/>
      <c r="I719" s="25"/>
      <c r="J719" s="25" t="s">
        <v>300</v>
      </c>
    </row>
    <row r="720" spans="1:10" x14ac:dyDescent="0.25">
      <c r="A720" s="4">
        <v>32749</v>
      </c>
      <c r="B720">
        <v>9736</v>
      </c>
      <c r="C720" s="4">
        <v>10012</v>
      </c>
      <c r="D720" t="s">
        <v>306</v>
      </c>
      <c r="E720" s="4">
        <v>25</v>
      </c>
      <c r="F720" s="25">
        <v>43714.78496527778</v>
      </c>
      <c r="G720">
        <v>0</v>
      </c>
      <c r="H720" s="25"/>
      <c r="I720" s="25"/>
      <c r="J720" s="25" t="s">
        <v>300</v>
      </c>
    </row>
    <row r="721" spans="1:10" x14ac:dyDescent="0.25">
      <c r="A721" s="4">
        <v>32749</v>
      </c>
      <c r="B721">
        <v>9736</v>
      </c>
      <c r="C721" s="4">
        <v>10012</v>
      </c>
      <c r="D721" t="s">
        <v>306</v>
      </c>
      <c r="E721" s="4">
        <v>23</v>
      </c>
      <c r="F721" s="25">
        <v>43714.784953703704</v>
      </c>
      <c r="G721">
        <v>0</v>
      </c>
      <c r="H721" s="25"/>
      <c r="I721" s="25"/>
      <c r="J721" s="25" t="s">
        <v>300</v>
      </c>
    </row>
    <row r="722" spans="1:10" x14ac:dyDescent="0.25">
      <c r="A722" s="4">
        <v>32749</v>
      </c>
      <c r="B722">
        <v>9736</v>
      </c>
      <c r="C722" s="4">
        <v>10012</v>
      </c>
      <c r="D722" t="s">
        <v>306</v>
      </c>
      <c r="E722" s="4">
        <v>24</v>
      </c>
      <c r="F722" s="25">
        <v>43714.784953703704</v>
      </c>
      <c r="G722">
        <v>0</v>
      </c>
      <c r="H722" s="25"/>
      <c r="I722" s="25"/>
      <c r="J722" s="25" t="s">
        <v>300</v>
      </c>
    </row>
    <row r="723" spans="1:10" x14ac:dyDescent="0.25">
      <c r="A723" s="4">
        <v>32749</v>
      </c>
      <c r="B723">
        <v>9736</v>
      </c>
      <c r="C723" s="4">
        <v>10012</v>
      </c>
      <c r="D723" t="s">
        <v>306</v>
      </c>
      <c r="E723" s="4">
        <v>22</v>
      </c>
      <c r="F723" s="25">
        <v>43714.784942129627</v>
      </c>
      <c r="G723">
        <v>0</v>
      </c>
      <c r="H723" s="25"/>
      <c r="I723" s="25"/>
      <c r="J723" s="25" t="s">
        <v>300</v>
      </c>
    </row>
    <row r="724" spans="1:10" x14ac:dyDescent="0.25">
      <c r="A724" s="4">
        <v>32749</v>
      </c>
      <c r="B724">
        <v>9736</v>
      </c>
      <c r="C724" s="4">
        <v>10012</v>
      </c>
      <c r="D724" t="s">
        <v>306</v>
      </c>
      <c r="E724" s="4">
        <v>20</v>
      </c>
      <c r="F724" s="25">
        <v>43714.784930555557</v>
      </c>
      <c r="G724">
        <v>0</v>
      </c>
      <c r="H724" s="25"/>
      <c r="I724" s="25"/>
      <c r="J724" s="25" t="s">
        <v>300</v>
      </c>
    </row>
    <row r="725" spans="1:10" x14ac:dyDescent="0.25">
      <c r="A725" s="4">
        <v>32749</v>
      </c>
      <c r="B725">
        <v>9736</v>
      </c>
      <c r="C725" s="4">
        <v>10012</v>
      </c>
      <c r="D725" t="s">
        <v>306</v>
      </c>
      <c r="E725" s="4">
        <v>21</v>
      </c>
      <c r="F725" s="25">
        <v>43714.784930555557</v>
      </c>
      <c r="G725">
        <v>0</v>
      </c>
      <c r="H725" s="25"/>
      <c r="I725" s="25"/>
      <c r="J725" s="25" t="s">
        <v>300</v>
      </c>
    </row>
    <row r="726" spans="1:10" x14ac:dyDescent="0.25">
      <c r="A726" s="4">
        <v>32749</v>
      </c>
      <c r="B726">
        <v>9736</v>
      </c>
      <c r="C726" s="4">
        <v>10012</v>
      </c>
      <c r="D726" t="s">
        <v>306</v>
      </c>
      <c r="E726" s="4">
        <v>19</v>
      </c>
      <c r="F726" s="25">
        <v>43714.784918981481</v>
      </c>
      <c r="G726">
        <v>0</v>
      </c>
      <c r="H726" s="25"/>
      <c r="I726" s="25"/>
      <c r="J726" s="25" t="s">
        <v>300</v>
      </c>
    </row>
    <row r="727" spans="1:10" x14ac:dyDescent="0.25">
      <c r="A727" s="4">
        <v>32749</v>
      </c>
      <c r="B727">
        <v>9736</v>
      </c>
      <c r="C727" s="4">
        <v>10012</v>
      </c>
      <c r="D727" t="s">
        <v>306</v>
      </c>
      <c r="E727" s="4">
        <v>17</v>
      </c>
      <c r="F727" s="25">
        <v>43714.784907407404</v>
      </c>
      <c r="G727">
        <v>0</v>
      </c>
      <c r="H727" s="25"/>
      <c r="I727" s="25"/>
      <c r="J727" s="25" t="s">
        <v>300</v>
      </c>
    </row>
    <row r="728" spans="1:10" x14ac:dyDescent="0.25">
      <c r="A728" s="4">
        <v>32749</v>
      </c>
      <c r="B728">
        <v>9736</v>
      </c>
      <c r="C728" s="4">
        <v>10012</v>
      </c>
      <c r="D728" t="s">
        <v>306</v>
      </c>
      <c r="E728" s="4">
        <v>18</v>
      </c>
      <c r="F728" s="25">
        <v>43714.784907407404</v>
      </c>
      <c r="G728">
        <v>0</v>
      </c>
      <c r="H728" s="25"/>
      <c r="I728" s="25"/>
      <c r="J728" s="25" t="s">
        <v>300</v>
      </c>
    </row>
    <row r="729" spans="1:10" x14ac:dyDescent="0.25">
      <c r="A729" s="4">
        <v>32749</v>
      </c>
      <c r="B729">
        <v>9736</v>
      </c>
      <c r="C729" s="4">
        <v>10012</v>
      </c>
      <c r="D729" t="s">
        <v>306</v>
      </c>
      <c r="E729" s="4">
        <v>15</v>
      </c>
      <c r="F729" s="25">
        <v>43714.784895833334</v>
      </c>
      <c r="G729">
        <v>0</v>
      </c>
      <c r="H729" s="25"/>
      <c r="I729" s="25"/>
      <c r="J729" s="25" t="s">
        <v>300</v>
      </c>
    </row>
    <row r="730" spans="1:10" x14ac:dyDescent="0.25">
      <c r="A730" s="4">
        <v>32749</v>
      </c>
      <c r="B730">
        <v>9736</v>
      </c>
      <c r="C730" s="4">
        <v>10012</v>
      </c>
      <c r="D730" t="s">
        <v>306</v>
      </c>
      <c r="E730" s="4">
        <v>16</v>
      </c>
      <c r="F730" s="25">
        <v>43714.784895833334</v>
      </c>
      <c r="G730">
        <v>0</v>
      </c>
      <c r="H730" s="25"/>
      <c r="I730" s="25"/>
      <c r="J730" s="25" t="s">
        <v>300</v>
      </c>
    </row>
    <row r="731" spans="1:10" x14ac:dyDescent="0.25">
      <c r="A731" s="4">
        <v>32749</v>
      </c>
      <c r="B731">
        <v>9736</v>
      </c>
      <c r="C731" s="4">
        <v>10012</v>
      </c>
      <c r="D731" t="s">
        <v>306</v>
      </c>
      <c r="E731" s="4">
        <v>14</v>
      </c>
      <c r="F731" s="25">
        <v>43714.784884259258</v>
      </c>
      <c r="G731">
        <v>0</v>
      </c>
      <c r="H731" s="25"/>
      <c r="I731" s="25"/>
      <c r="J731" s="25" t="s">
        <v>300</v>
      </c>
    </row>
    <row r="732" spans="1:10" x14ac:dyDescent="0.25">
      <c r="A732" s="4">
        <v>32749</v>
      </c>
      <c r="B732">
        <v>9736</v>
      </c>
      <c r="C732" s="4">
        <v>10012</v>
      </c>
      <c r="D732" t="s">
        <v>306</v>
      </c>
      <c r="E732" s="4">
        <v>12</v>
      </c>
      <c r="F732" s="25">
        <v>43714.784872685188</v>
      </c>
      <c r="G732">
        <v>0</v>
      </c>
      <c r="H732" s="25"/>
      <c r="I732" s="25"/>
      <c r="J732" s="25" t="s">
        <v>300</v>
      </c>
    </row>
    <row r="733" spans="1:10" x14ac:dyDescent="0.25">
      <c r="A733" s="4">
        <v>32749</v>
      </c>
      <c r="B733">
        <v>9736</v>
      </c>
      <c r="C733" s="4">
        <v>10012</v>
      </c>
      <c r="D733" t="s">
        <v>306</v>
      </c>
      <c r="E733" s="4">
        <v>13</v>
      </c>
      <c r="F733" s="25">
        <v>43714.784872685188</v>
      </c>
      <c r="G733">
        <v>0</v>
      </c>
      <c r="H733" s="25"/>
      <c r="I733" s="25"/>
      <c r="J733" s="25" t="s">
        <v>300</v>
      </c>
    </row>
    <row r="734" spans="1:10" x14ac:dyDescent="0.25">
      <c r="A734" s="4">
        <v>32749</v>
      </c>
      <c r="B734">
        <v>9736</v>
      </c>
      <c r="C734" s="4">
        <v>10012</v>
      </c>
      <c r="D734" t="s">
        <v>306</v>
      </c>
      <c r="E734" s="4">
        <v>11</v>
      </c>
      <c r="F734" s="25">
        <v>43714.784861111111</v>
      </c>
      <c r="G734">
        <v>0</v>
      </c>
      <c r="H734" s="25"/>
      <c r="I734" s="25"/>
      <c r="J734" s="25" t="s">
        <v>300</v>
      </c>
    </row>
    <row r="735" spans="1:10" x14ac:dyDescent="0.25">
      <c r="A735" s="4">
        <v>32749</v>
      </c>
      <c r="B735">
        <v>9736</v>
      </c>
      <c r="C735" s="4">
        <v>10012</v>
      </c>
      <c r="D735" t="s">
        <v>306</v>
      </c>
      <c r="E735" s="4">
        <v>10</v>
      </c>
      <c r="F735" s="25">
        <v>43714.784849537034</v>
      </c>
      <c r="G735">
        <v>0</v>
      </c>
      <c r="H735" s="25"/>
      <c r="I735" s="25"/>
      <c r="J735" s="25" t="s">
        <v>300</v>
      </c>
    </row>
    <row r="736" spans="1:10" x14ac:dyDescent="0.25">
      <c r="A736" s="4">
        <v>32749</v>
      </c>
      <c r="B736">
        <v>9736</v>
      </c>
      <c r="C736" s="4">
        <v>10012</v>
      </c>
      <c r="D736" t="s">
        <v>306</v>
      </c>
      <c r="E736" s="4">
        <v>8</v>
      </c>
      <c r="F736" s="25">
        <v>43714.784837962965</v>
      </c>
      <c r="G736">
        <v>0</v>
      </c>
      <c r="H736" s="25"/>
      <c r="I736" s="25"/>
      <c r="J736" s="25" t="s">
        <v>300</v>
      </c>
    </row>
    <row r="737" spans="1:10" x14ac:dyDescent="0.25">
      <c r="A737" s="4">
        <v>32749</v>
      </c>
      <c r="B737">
        <v>9736</v>
      </c>
      <c r="C737" s="4">
        <v>10012</v>
      </c>
      <c r="D737" t="s">
        <v>306</v>
      </c>
      <c r="E737" s="4">
        <v>9</v>
      </c>
      <c r="F737" s="25">
        <v>43714.784837962965</v>
      </c>
      <c r="G737">
        <v>0</v>
      </c>
      <c r="H737" s="25"/>
      <c r="I737" s="25"/>
      <c r="J737" s="25" t="s">
        <v>300</v>
      </c>
    </row>
    <row r="738" spans="1:10" x14ac:dyDescent="0.25">
      <c r="A738" s="4">
        <v>32749</v>
      </c>
      <c r="B738">
        <v>9736</v>
      </c>
      <c r="C738" s="4">
        <v>10012</v>
      </c>
      <c r="D738" t="s">
        <v>306</v>
      </c>
      <c r="E738" s="4">
        <v>6</v>
      </c>
      <c r="F738" s="25">
        <v>43714.784826388888</v>
      </c>
      <c r="G738">
        <v>0</v>
      </c>
      <c r="H738" s="25"/>
      <c r="I738" s="25"/>
      <c r="J738" s="25" t="s">
        <v>300</v>
      </c>
    </row>
    <row r="739" spans="1:10" x14ac:dyDescent="0.25">
      <c r="A739" s="4">
        <v>32749</v>
      </c>
      <c r="B739">
        <v>9736</v>
      </c>
      <c r="C739" s="4">
        <v>10012</v>
      </c>
      <c r="D739" t="s">
        <v>306</v>
      </c>
      <c r="E739" s="4">
        <v>7</v>
      </c>
      <c r="F739" s="25">
        <v>43714.784826388888</v>
      </c>
      <c r="G739">
        <v>0</v>
      </c>
      <c r="H739" s="25"/>
      <c r="I739" s="25"/>
      <c r="J739" s="25" t="s">
        <v>300</v>
      </c>
    </row>
    <row r="740" spans="1:10" x14ac:dyDescent="0.25">
      <c r="A740" s="4">
        <v>32749</v>
      </c>
      <c r="B740">
        <v>9736</v>
      </c>
      <c r="C740" s="4">
        <v>10012</v>
      </c>
      <c r="D740" t="s">
        <v>306</v>
      </c>
      <c r="E740" s="4">
        <v>5</v>
      </c>
      <c r="F740" s="25">
        <v>43714.784814814811</v>
      </c>
      <c r="G740">
        <v>0</v>
      </c>
      <c r="H740" s="25"/>
      <c r="I740" s="25"/>
      <c r="J740" s="25" t="s">
        <v>300</v>
      </c>
    </row>
    <row r="741" spans="1:10" x14ac:dyDescent="0.25">
      <c r="A741" s="4">
        <v>32749</v>
      </c>
      <c r="B741">
        <v>9736</v>
      </c>
      <c r="C741" s="4">
        <v>10012</v>
      </c>
      <c r="D741" t="s">
        <v>306</v>
      </c>
      <c r="E741" s="4">
        <v>3</v>
      </c>
      <c r="F741" s="25">
        <v>43714.784803240742</v>
      </c>
      <c r="G741">
        <v>0</v>
      </c>
      <c r="H741" s="25"/>
      <c r="I741" s="25"/>
      <c r="J741" s="25" t="s">
        <v>300</v>
      </c>
    </row>
    <row r="742" spans="1:10" x14ac:dyDescent="0.25">
      <c r="A742" s="4">
        <v>32749</v>
      </c>
      <c r="B742">
        <v>9736</v>
      </c>
      <c r="C742" s="4">
        <v>10012</v>
      </c>
      <c r="D742" t="s">
        <v>306</v>
      </c>
      <c r="E742" s="4">
        <v>4</v>
      </c>
      <c r="F742" s="25">
        <v>43714.784803240742</v>
      </c>
      <c r="G742">
        <v>0</v>
      </c>
      <c r="H742" s="25"/>
      <c r="I742" s="25"/>
      <c r="J742" s="25" t="s">
        <v>300</v>
      </c>
    </row>
    <row r="743" spans="1:10" x14ac:dyDescent="0.25">
      <c r="A743" s="4">
        <v>32749</v>
      </c>
      <c r="B743">
        <v>9736</v>
      </c>
      <c r="C743" s="4">
        <v>10012</v>
      </c>
      <c r="D743" t="s">
        <v>306</v>
      </c>
      <c r="E743" s="4">
        <v>2</v>
      </c>
      <c r="F743" s="25">
        <v>43714.784791666665</v>
      </c>
      <c r="G743">
        <v>0</v>
      </c>
      <c r="H743" s="25"/>
      <c r="I743" s="25"/>
      <c r="J743" s="25" t="s">
        <v>300</v>
      </c>
    </row>
    <row r="744" spans="1:10" x14ac:dyDescent="0.25">
      <c r="A744" s="4">
        <v>32749</v>
      </c>
      <c r="B744">
        <v>9736</v>
      </c>
      <c r="C744" s="4">
        <v>10012</v>
      </c>
      <c r="D744" t="s">
        <v>306</v>
      </c>
      <c r="E744" s="4">
        <v>0</v>
      </c>
      <c r="F744" s="25">
        <v>43714.784780092596</v>
      </c>
      <c r="G744">
        <v>0</v>
      </c>
      <c r="H744" s="25"/>
      <c r="I744" s="25"/>
      <c r="J744" s="25" t="s">
        <v>300</v>
      </c>
    </row>
    <row r="745" spans="1:10" x14ac:dyDescent="0.25">
      <c r="A745" s="4">
        <v>32749</v>
      </c>
      <c r="B745">
        <v>9736</v>
      </c>
      <c r="C745" s="4">
        <v>10012</v>
      </c>
      <c r="D745" t="s">
        <v>306</v>
      </c>
      <c r="E745" s="4">
        <v>1</v>
      </c>
      <c r="F745" s="25">
        <v>43714.784780092596</v>
      </c>
      <c r="G745">
        <v>0</v>
      </c>
      <c r="H745" s="25"/>
      <c r="I745" s="25"/>
      <c r="J745" s="25" t="s">
        <v>300</v>
      </c>
    </row>
    <row r="746" spans="1:10" x14ac:dyDescent="0.25">
      <c r="A746" s="4">
        <v>32595</v>
      </c>
      <c r="B746">
        <v>2932</v>
      </c>
      <c r="C746" s="4">
        <v>12292</v>
      </c>
      <c r="D746" t="s">
        <v>306</v>
      </c>
      <c r="E746" s="4">
        <v>0</v>
      </c>
      <c r="F746" s="25">
        <v>43714.784201388888</v>
      </c>
      <c r="G746">
        <v>0</v>
      </c>
      <c r="H746" s="25"/>
      <c r="I746" s="25"/>
      <c r="J746" s="25" t="s">
        <v>300</v>
      </c>
    </row>
    <row r="747" spans="1:10" x14ac:dyDescent="0.25">
      <c r="A747" s="4">
        <v>80</v>
      </c>
      <c r="B747">
        <v>5292</v>
      </c>
      <c r="C747" s="4">
        <v>10012</v>
      </c>
      <c r="D747" t="s">
        <v>7</v>
      </c>
      <c r="E747" s="4">
        <v>0</v>
      </c>
      <c r="F747" s="25">
        <v>43714.782048611109</v>
      </c>
      <c r="G747">
        <v>0</v>
      </c>
      <c r="H747" s="25"/>
      <c r="I747" s="25" t="s">
        <v>335</v>
      </c>
      <c r="J747" s="25" t="s">
        <v>300</v>
      </c>
    </row>
    <row r="748" spans="1:10" x14ac:dyDescent="0.25">
      <c r="A748" s="4">
        <v>80</v>
      </c>
      <c r="B748">
        <v>7116</v>
      </c>
      <c r="C748" s="4">
        <v>10012</v>
      </c>
      <c r="D748" t="s">
        <v>7</v>
      </c>
      <c r="E748" s="4">
        <v>0</v>
      </c>
      <c r="F748" s="25">
        <v>43714.77884259259</v>
      </c>
      <c r="G748">
        <v>0</v>
      </c>
      <c r="H748" s="25"/>
      <c r="I748" s="25" t="s">
        <v>341</v>
      </c>
      <c r="J748" s="25" t="s">
        <v>300</v>
      </c>
    </row>
    <row r="749" spans="1:10" x14ac:dyDescent="0.25">
      <c r="A749" s="4">
        <v>80</v>
      </c>
      <c r="B749">
        <v>10680</v>
      </c>
      <c r="C749" s="4">
        <v>10012</v>
      </c>
      <c r="D749" t="s">
        <v>7</v>
      </c>
      <c r="E749" s="4">
        <v>0</v>
      </c>
      <c r="F749" s="25">
        <v>43714.778819444444</v>
      </c>
      <c r="G749">
        <v>0</v>
      </c>
      <c r="H749" s="25"/>
      <c r="I749" s="25" t="s">
        <v>340</v>
      </c>
      <c r="J749" s="25" t="s">
        <v>300</v>
      </c>
    </row>
    <row r="750" spans="1:10" x14ac:dyDescent="0.25">
      <c r="A750" s="4">
        <v>80</v>
      </c>
      <c r="B750">
        <v>11308</v>
      </c>
      <c r="C750" s="4">
        <v>10012</v>
      </c>
      <c r="D750" t="s">
        <v>7</v>
      </c>
      <c r="E750" s="4">
        <v>0</v>
      </c>
      <c r="F750" s="25">
        <v>43714.778807870367</v>
      </c>
      <c r="G750">
        <v>0</v>
      </c>
      <c r="H750" s="25"/>
      <c r="I750" s="25" t="s">
        <v>329</v>
      </c>
      <c r="J750" s="25" t="s">
        <v>300</v>
      </c>
    </row>
    <row r="751" spans="1:10" x14ac:dyDescent="0.25">
      <c r="A751" s="4">
        <v>80</v>
      </c>
      <c r="B751">
        <v>12040</v>
      </c>
      <c r="C751" s="4">
        <v>10012</v>
      </c>
      <c r="D751" t="s">
        <v>7</v>
      </c>
      <c r="E751" s="4">
        <v>0</v>
      </c>
      <c r="F751" s="25">
        <v>43714.778564814813</v>
      </c>
      <c r="G751">
        <v>0</v>
      </c>
      <c r="H751" s="25"/>
      <c r="I751" s="25" t="s">
        <v>339</v>
      </c>
      <c r="J751" s="25" t="s">
        <v>300</v>
      </c>
    </row>
    <row r="752" spans="1:10" x14ac:dyDescent="0.25">
      <c r="A752" s="4">
        <v>80</v>
      </c>
      <c r="B752">
        <v>15900</v>
      </c>
      <c r="C752" s="4">
        <v>10012</v>
      </c>
      <c r="D752" t="s">
        <v>7</v>
      </c>
      <c r="E752" s="4">
        <v>0</v>
      </c>
      <c r="F752" s="25">
        <v>43714.778344907405</v>
      </c>
      <c r="G752">
        <v>0</v>
      </c>
      <c r="H752" s="25"/>
      <c r="I752" s="25" t="s">
        <v>339</v>
      </c>
      <c r="J752" s="25" t="s">
        <v>300</v>
      </c>
    </row>
    <row r="753" spans="1:10" x14ac:dyDescent="0.25">
      <c r="A753" s="4">
        <v>80</v>
      </c>
      <c r="B753">
        <v>368</v>
      </c>
      <c r="C753" s="4">
        <v>10012</v>
      </c>
      <c r="D753" t="s">
        <v>7</v>
      </c>
      <c r="E753" s="4">
        <v>0</v>
      </c>
      <c r="F753" s="25">
        <v>43714.778090277781</v>
      </c>
      <c r="G753">
        <v>0</v>
      </c>
      <c r="H753" s="25"/>
      <c r="I753" s="25" t="s">
        <v>339</v>
      </c>
      <c r="J753" s="25" t="s">
        <v>304</v>
      </c>
    </row>
    <row r="754" spans="1:10" x14ac:dyDescent="0.25">
      <c r="A754" s="4">
        <v>80</v>
      </c>
      <c r="B754">
        <v>7648</v>
      </c>
      <c r="C754" s="4">
        <v>10012</v>
      </c>
      <c r="D754" t="s">
        <v>7</v>
      </c>
      <c r="E754" s="4">
        <v>0</v>
      </c>
      <c r="F754" s="25">
        <v>43714.773252314815</v>
      </c>
      <c r="G754">
        <v>0</v>
      </c>
      <c r="H754" s="25"/>
      <c r="I754" s="25" t="s">
        <v>335</v>
      </c>
      <c r="J754" s="25" t="s">
        <v>300</v>
      </c>
    </row>
    <row r="755" spans="1:10" x14ac:dyDescent="0.25">
      <c r="A755" s="4">
        <v>80</v>
      </c>
      <c r="B755">
        <v>10012</v>
      </c>
      <c r="C755" s="4">
        <v>10012</v>
      </c>
      <c r="D755" t="s">
        <v>7</v>
      </c>
      <c r="E755" s="4">
        <v>0</v>
      </c>
      <c r="F755" s="25">
        <v>43714.769745370373</v>
      </c>
      <c r="G755">
        <v>1</v>
      </c>
      <c r="H755" s="25" t="s">
        <v>441</v>
      </c>
      <c r="I755" s="25"/>
      <c r="J755" s="25" t="s">
        <v>440</v>
      </c>
    </row>
    <row r="756" spans="1:10" x14ac:dyDescent="0.25">
      <c r="A756" s="4">
        <v>25088</v>
      </c>
      <c r="B756">
        <v>13656</v>
      </c>
      <c r="C756" s="4">
        <v>12292</v>
      </c>
      <c r="D756" t="s">
        <v>306</v>
      </c>
      <c r="E756" s="4">
        <v>0</v>
      </c>
      <c r="F756" s="25">
        <v>43714.757592592592</v>
      </c>
      <c r="G756">
        <v>0</v>
      </c>
      <c r="H756" s="25"/>
      <c r="I756" s="25"/>
      <c r="J756" s="25" t="s">
        <v>300</v>
      </c>
    </row>
    <row r="757" spans="1:10" x14ac:dyDescent="0.25">
      <c r="A757" s="4">
        <v>7937</v>
      </c>
      <c r="B757">
        <v>7324</v>
      </c>
      <c r="C757" s="4">
        <v>14360</v>
      </c>
      <c r="D757" t="s">
        <v>306</v>
      </c>
      <c r="E757" s="4">
        <v>47</v>
      </c>
      <c r="F757" s="25">
        <v>43714.001736111109</v>
      </c>
      <c r="G757">
        <v>0</v>
      </c>
      <c r="H757" s="25"/>
      <c r="I757" s="25"/>
      <c r="J757" s="25" t="s">
        <v>300</v>
      </c>
    </row>
    <row r="758" spans="1:10" x14ac:dyDescent="0.25">
      <c r="A758" s="4">
        <v>7937</v>
      </c>
      <c r="B758">
        <v>7324</v>
      </c>
      <c r="C758" s="4">
        <v>14360</v>
      </c>
      <c r="D758" t="s">
        <v>306</v>
      </c>
      <c r="E758" s="4">
        <v>48</v>
      </c>
      <c r="F758" s="25">
        <v>43714.001736111109</v>
      </c>
      <c r="G758">
        <v>0</v>
      </c>
      <c r="H758" s="25"/>
      <c r="I758" s="25"/>
      <c r="J758" s="25" t="s">
        <v>300</v>
      </c>
    </row>
    <row r="759" spans="1:10" x14ac:dyDescent="0.25">
      <c r="A759" s="4">
        <v>7937</v>
      </c>
      <c r="B759">
        <v>7324</v>
      </c>
      <c r="C759" s="4">
        <v>14360</v>
      </c>
      <c r="D759" t="s">
        <v>306</v>
      </c>
      <c r="E759" s="4">
        <v>46</v>
      </c>
      <c r="F759" s="25">
        <v>43714.00172453704</v>
      </c>
      <c r="G759">
        <v>0</v>
      </c>
      <c r="H759" s="25"/>
      <c r="I759" s="25"/>
      <c r="J759" s="25" t="s">
        <v>300</v>
      </c>
    </row>
    <row r="760" spans="1:10" x14ac:dyDescent="0.25">
      <c r="A760" s="4">
        <v>7937</v>
      </c>
      <c r="B760">
        <v>7324</v>
      </c>
      <c r="C760" s="4">
        <v>14360</v>
      </c>
      <c r="D760" t="s">
        <v>306</v>
      </c>
      <c r="E760" s="4">
        <v>45</v>
      </c>
      <c r="F760" s="25">
        <v>43714.001712962963</v>
      </c>
      <c r="G760">
        <v>0</v>
      </c>
      <c r="H760" s="25"/>
      <c r="I760" s="25"/>
      <c r="J760" s="25" t="s">
        <v>300</v>
      </c>
    </row>
    <row r="761" spans="1:10" x14ac:dyDescent="0.25">
      <c r="A761" s="4">
        <v>7937</v>
      </c>
      <c r="B761">
        <v>7324</v>
      </c>
      <c r="C761" s="4">
        <v>14360</v>
      </c>
      <c r="D761" t="s">
        <v>306</v>
      </c>
      <c r="E761" s="4">
        <v>43</v>
      </c>
      <c r="F761" s="25">
        <v>43714.001701388886</v>
      </c>
      <c r="G761">
        <v>0</v>
      </c>
      <c r="H761" s="25"/>
      <c r="I761" s="25"/>
      <c r="J761" s="25" t="s">
        <v>300</v>
      </c>
    </row>
    <row r="762" spans="1:10" x14ac:dyDescent="0.25">
      <c r="A762" s="4">
        <v>7937</v>
      </c>
      <c r="B762">
        <v>7324</v>
      </c>
      <c r="C762" s="4">
        <v>14360</v>
      </c>
      <c r="D762" t="s">
        <v>306</v>
      </c>
      <c r="E762" s="4">
        <v>44</v>
      </c>
      <c r="F762" s="25">
        <v>43714.001701388886</v>
      </c>
      <c r="G762">
        <v>0</v>
      </c>
      <c r="H762" s="25"/>
      <c r="I762" s="25"/>
      <c r="J762" s="25" t="s">
        <v>300</v>
      </c>
    </row>
    <row r="763" spans="1:10" x14ac:dyDescent="0.25">
      <c r="A763" s="4">
        <v>7937</v>
      </c>
      <c r="B763">
        <v>7324</v>
      </c>
      <c r="C763" s="4">
        <v>14360</v>
      </c>
      <c r="D763" t="s">
        <v>306</v>
      </c>
      <c r="E763" s="4">
        <v>42</v>
      </c>
      <c r="F763" s="25">
        <v>43714.001689814817</v>
      </c>
      <c r="G763">
        <v>0</v>
      </c>
      <c r="H763" s="25"/>
      <c r="I763" s="25"/>
      <c r="J763" s="25" t="s">
        <v>300</v>
      </c>
    </row>
    <row r="764" spans="1:10" x14ac:dyDescent="0.25">
      <c r="A764" s="4">
        <v>7937</v>
      </c>
      <c r="B764">
        <v>7324</v>
      </c>
      <c r="C764" s="4">
        <v>14360</v>
      </c>
      <c r="D764" t="s">
        <v>306</v>
      </c>
      <c r="E764" s="4">
        <v>41</v>
      </c>
      <c r="F764" s="25">
        <v>43714.00167824074</v>
      </c>
      <c r="G764">
        <v>0</v>
      </c>
      <c r="H764" s="25"/>
      <c r="I764" s="25"/>
      <c r="J764" s="25" t="s">
        <v>300</v>
      </c>
    </row>
    <row r="765" spans="1:10" x14ac:dyDescent="0.25">
      <c r="A765" s="4">
        <v>7937</v>
      </c>
      <c r="B765">
        <v>7324</v>
      </c>
      <c r="C765" s="4">
        <v>14360</v>
      </c>
      <c r="D765" t="s">
        <v>306</v>
      </c>
      <c r="E765" s="4">
        <v>39</v>
      </c>
      <c r="F765" s="25">
        <v>43714.001666666663</v>
      </c>
      <c r="G765">
        <v>0</v>
      </c>
      <c r="H765" s="25"/>
      <c r="I765" s="25"/>
      <c r="J765" s="25" t="s">
        <v>300</v>
      </c>
    </row>
    <row r="766" spans="1:10" x14ac:dyDescent="0.25">
      <c r="A766" s="4">
        <v>7937</v>
      </c>
      <c r="B766">
        <v>7324</v>
      </c>
      <c r="C766" s="4">
        <v>14360</v>
      </c>
      <c r="D766" t="s">
        <v>306</v>
      </c>
      <c r="E766" s="4">
        <v>40</v>
      </c>
      <c r="F766" s="25">
        <v>43714.001666666663</v>
      </c>
      <c r="G766">
        <v>0</v>
      </c>
      <c r="H766" s="25"/>
      <c r="I766" s="25"/>
      <c r="J766" s="25" t="s">
        <v>300</v>
      </c>
    </row>
    <row r="767" spans="1:10" x14ac:dyDescent="0.25">
      <c r="A767" s="4">
        <v>7937</v>
      </c>
      <c r="B767">
        <v>7324</v>
      </c>
      <c r="C767" s="4">
        <v>14360</v>
      </c>
      <c r="D767" t="s">
        <v>306</v>
      </c>
      <c r="E767" s="4">
        <v>38</v>
      </c>
      <c r="F767" s="25">
        <v>43714.001655092594</v>
      </c>
      <c r="G767">
        <v>0</v>
      </c>
      <c r="H767" s="25"/>
      <c r="I767" s="25"/>
      <c r="J767" s="25" t="s">
        <v>300</v>
      </c>
    </row>
    <row r="768" spans="1:10" x14ac:dyDescent="0.25">
      <c r="A768" s="4">
        <v>7937</v>
      </c>
      <c r="B768">
        <v>7324</v>
      </c>
      <c r="C768" s="4">
        <v>14360</v>
      </c>
      <c r="D768" t="s">
        <v>306</v>
      </c>
      <c r="E768" s="4">
        <v>37</v>
      </c>
      <c r="F768" s="25">
        <v>43714.001643518517</v>
      </c>
      <c r="G768">
        <v>0</v>
      </c>
      <c r="H768" s="25"/>
      <c r="I768" s="25"/>
      <c r="J768" s="25" t="s">
        <v>300</v>
      </c>
    </row>
    <row r="769" spans="1:10" x14ac:dyDescent="0.25">
      <c r="A769" s="4">
        <v>7937</v>
      </c>
      <c r="B769">
        <v>7324</v>
      </c>
      <c r="C769" s="4">
        <v>14360</v>
      </c>
      <c r="D769" t="s">
        <v>306</v>
      </c>
      <c r="E769" s="4">
        <v>35</v>
      </c>
      <c r="F769" s="25">
        <v>43714.001631944448</v>
      </c>
      <c r="G769">
        <v>0</v>
      </c>
      <c r="H769" s="25"/>
      <c r="I769" s="25"/>
      <c r="J769" s="25" t="s">
        <v>300</v>
      </c>
    </row>
    <row r="770" spans="1:10" x14ac:dyDescent="0.25">
      <c r="A770" s="4">
        <v>7937</v>
      </c>
      <c r="B770">
        <v>7324</v>
      </c>
      <c r="C770" s="4">
        <v>14360</v>
      </c>
      <c r="D770" t="s">
        <v>306</v>
      </c>
      <c r="E770" s="4">
        <v>36</v>
      </c>
      <c r="F770" s="25">
        <v>43714.001631944448</v>
      </c>
      <c r="G770">
        <v>0</v>
      </c>
      <c r="H770" s="25"/>
      <c r="I770" s="25"/>
      <c r="J770" s="25" t="s">
        <v>300</v>
      </c>
    </row>
    <row r="771" spans="1:10" x14ac:dyDescent="0.25">
      <c r="A771" s="4">
        <v>7937</v>
      </c>
      <c r="B771">
        <v>7324</v>
      </c>
      <c r="C771" s="4">
        <v>14360</v>
      </c>
      <c r="D771" t="s">
        <v>306</v>
      </c>
      <c r="E771" s="4">
        <v>34</v>
      </c>
      <c r="F771" s="25">
        <v>43714.001620370371</v>
      </c>
      <c r="G771">
        <v>0</v>
      </c>
      <c r="H771" s="25"/>
      <c r="I771" s="25"/>
      <c r="J771" s="25" t="s">
        <v>300</v>
      </c>
    </row>
    <row r="772" spans="1:10" x14ac:dyDescent="0.25">
      <c r="A772" s="4">
        <v>7937</v>
      </c>
      <c r="B772">
        <v>7324</v>
      </c>
      <c r="C772" s="4">
        <v>14360</v>
      </c>
      <c r="D772" t="s">
        <v>306</v>
      </c>
      <c r="E772" s="4">
        <v>33</v>
      </c>
      <c r="F772" s="25">
        <v>43714.001608796294</v>
      </c>
      <c r="G772">
        <v>0</v>
      </c>
      <c r="H772" s="25"/>
      <c r="I772" s="25"/>
      <c r="J772" s="25" t="s">
        <v>300</v>
      </c>
    </row>
    <row r="773" spans="1:10" x14ac:dyDescent="0.25">
      <c r="A773" s="4">
        <v>7937</v>
      </c>
      <c r="B773">
        <v>7324</v>
      </c>
      <c r="C773" s="4">
        <v>14360</v>
      </c>
      <c r="D773" t="s">
        <v>306</v>
      </c>
      <c r="E773" s="4">
        <v>31</v>
      </c>
      <c r="F773" s="25">
        <v>43714.001597222225</v>
      </c>
      <c r="G773">
        <v>0</v>
      </c>
      <c r="H773" s="25"/>
      <c r="I773" s="25"/>
      <c r="J773" s="25" t="s">
        <v>300</v>
      </c>
    </row>
    <row r="774" spans="1:10" x14ac:dyDescent="0.25">
      <c r="A774" s="4">
        <v>7937</v>
      </c>
      <c r="B774">
        <v>7324</v>
      </c>
      <c r="C774" s="4">
        <v>14360</v>
      </c>
      <c r="D774" t="s">
        <v>306</v>
      </c>
      <c r="E774" s="4">
        <v>32</v>
      </c>
      <c r="F774" s="25">
        <v>43714.001597222225</v>
      </c>
      <c r="G774">
        <v>0</v>
      </c>
      <c r="H774" s="25"/>
      <c r="I774" s="25"/>
      <c r="J774" s="25" t="s">
        <v>300</v>
      </c>
    </row>
    <row r="775" spans="1:10" x14ac:dyDescent="0.25">
      <c r="A775" s="4">
        <v>7937</v>
      </c>
      <c r="B775">
        <v>7324</v>
      </c>
      <c r="C775" s="4">
        <v>14360</v>
      </c>
      <c r="D775" t="s">
        <v>306</v>
      </c>
      <c r="E775" s="4">
        <v>30</v>
      </c>
      <c r="F775" s="25">
        <v>43714.001585648148</v>
      </c>
      <c r="G775">
        <v>0</v>
      </c>
      <c r="H775" s="25"/>
      <c r="I775" s="25"/>
      <c r="J775" s="25" t="s">
        <v>300</v>
      </c>
    </row>
    <row r="776" spans="1:10" x14ac:dyDescent="0.25">
      <c r="A776" s="4">
        <v>7937</v>
      </c>
      <c r="B776">
        <v>7324</v>
      </c>
      <c r="C776" s="4">
        <v>14360</v>
      </c>
      <c r="D776" t="s">
        <v>306</v>
      </c>
      <c r="E776" s="4">
        <v>29</v>
      </c>
      <c r="F776" s="25">
        <v>43714.001574074071</v>
      </c>
      <c r="G776">
        <v>0</v>
      </c>
      <c r="H776" s="25"/>
      <c r="I776" s="25"/>
      <c r="J776" s="25" t="s">
        <v>300</v>
      </c>
    </row>
    <row r="777" spans="1:10" x14ac:dyDescent="0.25">
      <c r="A777" s="4">
        <v>7937</v>
      </c>
      <c r="B777">
        <v>7324</v>
      </c>
      <c r="C777" s="4">
        <v>14360</v>
      </c>
      <c r="D777" t="s">
        <v>306</v>
      </c>
      <c r="E777" s="4">
        <v>27</v>
      </c>
      <c r="F777" s="25">
        <v>43714.001562500001</v>
      </c>
      <c r="G777">
        <v>0</v>
      </c>
      <c r="H777" s="25"/>
      <c r="I777" s="25"/>
      <c r="J777" s="25" t="s">
        <v>300</v>
      </c>
    </row>
    <row r="778" spans="1:10" x14ac:dyDescent="0.25">
      <c r="A778" s="4">
        <v>7937</v>
      </c>
      <c r="B778">
        <v>7324</v>
      </c>
      <c r="C778" s="4">
        <v>14360</v>
      </c>
      <c r="D778" t="s">
        <v>306</v>
      </c>
      <c r="E778" s="4">
        <v>28</v>
      </c>
      <c r="F778" s="25">
        <v>43714.001562500001</v>
      </c>
      <c r="G778">
        <v>0</v>
      </c>
      <c r="H778" s="25"/>
      <c r="I778" s="25"/>
      <c r="J778" s="25" t="s">
        <v>300</v>
      </c>
    </row>
    <row r="779" spans="1:10" x14ac:dyDescent="0.25">
      <c r="A779" s="4">
        <v>7937</v>
      </c>
      <c r="B779">
        <v>7324</v>
      </c>
      <c r="C779" s="4">
        <v>14360</v>
      </c>
      <c r="D779" t="s">
        <v>306</v>
      </c>
      <c r="E779" s="4">
        <v>26</v>
      </c>
      <c r="F779" s="25">
        <v>43714.001550925925</v>
      </c>
      <c r="G779">
        <v>0</v>
      </c>
      <c r="H779" s="25"/>
      <c r="I779" s="25"/>
      <c r="J779" s="25" t="s">
        <v>300</v>
      </c>
    </row>
    <row r="780" spans="1:10" x14ac:dyDescent="0.25">
      <c r="A780" s="4">
        <v>7937</v>
      </c>
      <c r="B780">
        <v>7324</v>
      </c>
      <c r="C780" s="4">
        <v>14360</v>
      </c>
      <c r="D780" t="s">
        <v>306</v>
      </c>
      <c r="E780" s="4">
        <v>25</v>
      </c>
      <c r="F780" s="25">
        <v>43714.001539351855</v>
      </c>
      <c r="G780">
        <v>0</v>
      </c>
      <c r="H780" s="25"/>
      <c r="I780" s="25"/>
      <c r="J780" s="25" t="s">
        <v>300</v>
      </c>
    </row>
    <row r="781" spans="1:10" x14ac:dyDescent="0.25">
      <c r="A781" s="4">
        <v>7937</v>
      </c>
      <c r="B781">
        <v>7324</v>
      </c>
      <c r="C781" s="4">
        <v>14360</v>
      </c>
      <c r="D781" t="s">
        <v>306</v>
      </c>
      <c r="E781" s="4">
        <v>23</v>
      </c>
      <c r="F781" s="25">
        <v>43714.001527777778</v>
      </c>
      <c r="G781">
        <v>0</v>
      </c>
      <c r="H781" s="25"/>
      <c r="I781" s="25"/>
      <c r="J781" s="25" t="s">
        <v>300</v>
      </c>
    </row>
    <row r="782" spans="1:10" x14ac:dyDescent="0.25">
      <c r="A782" s="4">
        <v>7937</v>
      </c>
      <c r="B782">
        <v>7324</v>
      </c>
      <c r="C782" s="4">
        <v>14360</v>
      </c>
      <c r="D782" t="s">
        <v>306</v>
      </c>
      <c r="E782" s="4">
        <v>24</v>
      </c>
      <c r="F782" s="25">
        <v>43714.001527777778</v>
      </c>
      <c r="G782">
        <v>0</v>
      </c>
      <c r="H782" s="25"/>
      <c r="I782" s="25"/>
      <c r="J782" s="25" t="s">
        <v>300</v>
      </c>
    </row>
    <row r="783" spans="1:10" x14ac:dyDescent="0.25">
      <c r="A783" s="4">
        <v>7937</v>
      </c>
      <c r="B783">
        <v>7324</v>
      </c>
      <c r="C783" s="4">
        <v>14360</v>
      </c>
      <c r="D783" t="s">
        <v>306</v>
      </c>
      <c r="E783" s="4">
        <v>22</v>
      </c>
      <c r="F783" s="25">
        <v>43714.001516203702</v>
      </c>
      <c r="G783">
        <v>0</v>
      </c>
      <c r="H783" s="25"/>
      <c r="I783" s="25"/>
      <c r="J783" s="25" t="s">
        <v>300</v>
      </c>
    </row>
    <row r="784" spans="1:10" x14ac:dyDescent="0.25">
      <c r="A784" s="4">
        <v>7937</v>
      </c>
      <c r="B784">
        <v>7324</v>
      </c>
      <c r="C784" s="4">
        <v>14360</v>
      </c>
      <c r="D784" t="s">
        <v>306</v>
      </c>
      <c r="E784" s="4">
        <v>20</v>
      </c>
      <c r="F784" s="25">
        <v>43714.001504629632</v>
      </c>
      <c r="G784">
        <v>0</v>
      </c>
      <c r="H784" s="25"/>
      <c r="I784" s="25"/>
      <c r="J784" s="25" t="s">
        <v>300</v>
      </c>
    </row>
    <row r="785" spans="1:10" x14ac:dyDescent="0.25">
      <c r="A785" s="4">
        <v>7937</v>
      </c>
      <c r="B785">
        <v>7324</v>
      </c>
      <c r="C785" s="4">
        <v>14360</v>
      </c>
      <c r="D785" t="s">
        <v>306</v>
      </c>
      <c r="E785" s="4">
        <v>21</v>
      </c>
      <c r="F785" s="25">
        <v>43714.001504629632</v>
      </c>
      <c r="G785">
        <v>0</v>
      </c>
      <c r="H785" s="25"/>
      <c r="I785" s="25"/>
      <c r="J785" s="25" t="s">
        <v>300</v>
      </c>
    </row>
    <row r="786" spans="1:10" x14ac:dyDescent="0.25">
      <c r="A786" s="4">
        <v>7937</v>
      </c>
      <c r="B786">
        <v>7324</v>
      </c>
      <c r="C786" s="4">
        <v>14360</v>
      </c>
      <c r="D786" t="s">
        <v>306</v>
      </c>
      <c r="E786" s="4">
        <v>19</v>
      </c>
      <c r="F786" s="25">
        <v>43714.001493055555</v>
      </c>
      <c r="G786">
        <v>0</v>
      </c>
      <c r="H786" s="25"/>
      <c r="I786" s="25"/>
      <c r="J786" s="25" t="s">
        <v>300</v>
      </c>
    </row>
    <row r="787" spans="1:10" x14ac:dyDescent="0.25">
      <c r="A787" s="4">
        <v>7937</v>
      </c>
      <c r="B787">
        <v>7324</v>
      </c>
      <c r="C787" s="4">
        <v>14360</v>
      </c>
      <c r="D787" t="s">
        <v>306</v>
      </c>
      <c r="E787" s="4">
        <v>18</v>
      </c>
      <c r="F787" s="25">
        <v>43714.001481481479</v>
      </c>
      <c r="G787">
        <v>0</v>
      </c>
      <c r="H787" s="25"/>
      <c r="I787" s="25"/>
      <c r="J787" s="25" t="s">
        <v>300</v>
      </c>
    </row>
    <row r="788" spans="1:10" x14ac:dyDescent="0.25">
      <c r="A788" s="4">
        <v>7937</v>
      </c>
      <c r="B788">
        <v>7324</v>
      </c>
      <c r="C788" s="4">
        <v>14360</v>
      </c>
      <c r="D788" t="s">
        <v>306</v>
      </c>
      <c r="E788" s="4">
        <v>16</v>
      </c>
      <c r="F788" s="25">
        <v>43714.001469907409</v>
      </c>
      <c r="G788">
        <v>0</v>
      </c>
      <c r="H788" s="25"/>
      <c r="I788" s="25"/>
      <c r="J788" s="25" t="s">
        <v>300</v>
      </c>
    </row>
    <row r="789" spans="1:10" x14ac:dyDescent="0.25">
      <c r="A789" s="4">
        <v>7937</v>
      </c>
      <c r="B789">
        <v>7324</v>
      </c>
      <c r="C789" s="4">
        <v>14360</v>
      </c>
      <c r="D789" t="s">
        <v>306</v>
      </c>
      <c r="E789" s="4">
        <v>17</v>
      </c>
      <c r="F789" s="25">
        <v>43714.001469907409</v>
      </c>
      <c r="G789">
        <v>0</v>
      </c>
      <c r="H789" s="25"/>
      <c r="I789" s="25"/>
      <c r="J789" s="25" t="s">
        <v>300</v>
      </c>
    </row>
    <row r="790" spans="1:10" x14ac:dyDescent="0.25">
      <c r="A790" s="4">
        <v>7937</v>
      </c>
      <c r="B790">
        <v>7324</v>
      </c>
      <c r="C790" s="4">
        <v>14360</v>
      </c>
      <c r="D790" t="s">
        <v>306</v>
      </c>
      <c r="E790" s="4">
        <v>15</v>
      </c>
      <c r="F790" s="25">
        <v>43714.001458333332</v>
      </c>
      <c r="G790">
        <v>0</v>
      </c>
      <c r="H790" s="25"/>
      <c r="I790" s="25"/>
      <c r="J790" s="25" t="s">
        <v>300</v>
      </c>
    </row>
    <row r="791" spans="1:10" x14ac:dyDescent="0.25">
      <c r="A791" s="4">
        <v>7937</v>
      </c>
      <c r="B791">
        <v>7324</v>
      </c>
      <c r="C791" s="4">
        <v>14360</v>
      </c>
      <c r="D791" t="s">
        <v>306</v>
      </c>
      <c r="E791" s="4">
        <v>13</v>
      </c>
      <c r="F791" s="25">
        <v>43714.001446759263</v>
      </c>
      <c r="G791">
        <v>0</v>
      </c>
      <c r="H791" s="25"/>
      <c r="I791" s="25"/>
      <c r="J791" s="25" t="s">
        <v>300</v>
      </c>
    </row>
    <row r="792" spans="1:10" x14ac:dyDescent="0.25">
      <c r="A792" s="4">
        <v>7937</v>
      </c>
      <c r="B792">
        <v>7324</v>
      </c>
      <c r="C792" s="4">
        <v>14360</v>
      </c>
      <c r="D792" t="s">
        <v>306</v>
      </c>
      <c r="E792" s="4">
        <v>14</v>
      </c>
      <c r="F792" s="25">
        <v>43714.001446759263</v>
      </c>
      <c r="G792">
        <v>0</v>
      </c>
      <c r="H792" s="25"/>
      <c r="I792" s="25"/>
      <c r="J792" s="25" t="s">
        <v>300</v>
      </c>
    </row>
    <row r="793" spans="1:10" x14ac:dyDescent="0.25">
      <c r="A793" s="4">
        <v>7937</v>
      </c>
      <c r="B793">
        <v>7324</v>
      </c>
      <c r="C793" s="4">
        <v>14360</v>
      </c>
      <c r="D793" t="s">
        <v>306</v>
      </c>
      <c r="E793" s="4">
        <v>12</v>
      </c>
      <c r="F793" s="25">
        <v>43714.001435185186</v>
      </c>
      <c r="G793">
        <v>0</v>
      </c>
      <c r="H793" s="25"/>
      <c r="I793" s="25"/>
      <c r="J793" s="25" t="s">
        <v>300</v>
      </c>
    </row>
    <row r="794" spans="1:10" x14ac:dyDescent="0.25">
      <c r="A794" s="4">
        <v>7937</v>
      </c>
      <c r="B794">
        <v>7324</v>
      </c>
      <c r="C794" s="4">
        <v>14360</v>
      </c>
      <c r="D794" t="s">
        <v>306</v>
      </c>
      <c r="E794" s="4">
        <v>11</v>
      </c>
      <c r="F794" s="25">
        <v>43714.001423611109</v>
      </c>
      <c r="G794">
        <v>0</v>
      </c>
      <c r="H794" s="25"/>
      <c r="I794" s="25"/>
      <c r="J794" s="25" t="s">
        <v>300</v>
      </c>
    </row>
    <row r="795" spans="1:10" x14ac:dyDescent="0.25">
      <c r="A795" s="4">
        <v>7937</v>
      </c>
      <c r="B795">
        <v>7324</v>
      </c>
      <c r="C795" s="4">
        <v>14360</v>
      </c>
      <c r="D795" t="s">
        <v>306</v>
      </c>
      <c r="E795" s="4">
        <v>9</v>
      </c>
      <c r="F795" s="25">
        <v>43714.00141203704</v>
      </c>
      <c r="G795">
        <v>0</v>
      </c>
      <c r="H795" s="25"/>
      <c r="I795" s="25"/>
      <c r="J795" s="25" t="s">
        <v>300</v>
      </c>
    </row>
    <row r="796" spans="1:10" x14ac:dyDescent="0.25">
      <c r="A796" s="4">
        <v>7937</v>
      </c>
      <c r="B796">
        <v>7324</v>
      </c>
      <c r="C796" s="4">
        <v>14360</v>
      </c>
      <c r="D796" t="s">
        <v>306</v>
      </c>
      <c r="E796" s="4">
        <v>10</v>
      </c>
      <c r="F796" s="25">
        <v>43714.00141203704</v>
      </c>
      <c r="G796">
        <v>0</v>
      </c>
      <c r="H796" s="25"/>
      <c r="I796" s="25"/>
      <c r="J796" s="25" t="s">
        <v>300</v>
      </c>
    </row>
    <row r="797" spans="1:10" x14ac:dyDescent="0.25">
      <c r="A797" s="4">
        <v>7937</v>
      </c>
      <c r="B797">
        <v>7324</v>
      </c>
      <c r="C797" s="4">
        <v>14360</v>
      </c>
      <c r="D797" t="s">
        <v>306</v>
      </c>
      <c r="E797" s="4">
        <v>8</v>
      </c>
      <c r="F797" s="25">
        <v>43714.001400462963</v>
      </c>
      <c r="G797">
        <v>0</v>
      </c>
      <c r="H797" s="25"/>
      <c r="I797" s="25"/>
      <c r="J797" s="25" t="s">
        <v>300</v>
      </c>
    </row>
    <row r="798" spans="1:10" x14ac:dyDescent="0.25">
      <c r="A798" s="4">
        <v>7937</v>
      </c>
      <c r="B798">
        <v>7324</v>
      </c>
      <c r="C798" s="4">
        <v>14360</v>
      </c>
      <c r="D798" t="s">
        <v>306</v>
      </c>
      <c r="E798" s="4">
        <v>6</v>
      </c>
      <c r="F798" s="25">
        <v>43714.001388888886</v>
      </c>
      <c r="G798">
        <v>0</v>
      </c>
      <c r="H798" s="25"/>
      <c r="I798" s="25"/>
      <c r="J798" s="25" t="s">
        <v>300</v>
      </c>
    </row>
    <row r="799" spans="1:10" x14ac:dyDescent="0.25">
      <c r="A799" s="4">
        <v>7937</v>
      </c>
      <c r="B799">
        <v>7324</v>
      </c>
      <c r="C799" s="4">
        <v>14360</v>
      </c>
      <c r="D799" t="s">
        <v>306</v>
      </c>
      <c r="E799" s="4">
        <v>7</v>
      </c>
      <c r="F799" s="25">
        <v>43714.001388888886</v>
      </c>
      <c r="G799">
        <v>0</v>
      </c>
      <c r="H799" s="25"/>
      <c r="I799" s="25"/>
      <c r="J799" s="25" t="s">
        <v>300</v>
      </c>
    </row>
    <row r="800" spans="1:10" x14ac:dyDescent="0.25">
      <c r="A800" s="4">
        <v>7937</v>
      </c>
      <c r="B800">
        <v>7324</v>
      </c>
      <c r="C800" s="4">
        <v>14360</v>
      </c>
      <c r="D800" t="s">
        <v>306</v>
      </c>
      <c r="E800" s="4">
        <v>5</v>
      </c>
      <c r="F800" s="25">
        <v>43714.001377314817</v>
      </c>
      <c r="G800">
        <v>0</v>
      </c>
      <c r="H800" s="25"/>
      <c r="I800" s="25"/>
      <c r="J800" s="25" t="s">
        <v>300</v>
      </c>
    </row>
    <row r="801" spans="1:10" x14ac:dyDescent="0.25">
      <c r="A801" s="4">
        <v>7937</v>
      </c>
      <c r="B801">
        <v>7324</v>
      </c>
      <c r="C801" s="4">
        <v>14360</v>
      </c>
      <c r="D801" t="s">
        <v>306</v>
      </c>
      <c r="E801" s="4">
        <v>3</v>
      </c>
      <c r="F801" s="25">
        <v>43714.00136574074</v>
      </c>
      <c r="G801">
        <v>0</v>
      </c>
      <c r="H801" s="25"/>
      <c r="I801" s="25"/>
      <c r="J801" s="25" t="s">
        <v>300</v>
      </c>
    </row>
    <row r="802" spans="1:10" x14ac:dyDescent="0.25">
      <c r="A802" s="4">
        <v>7937</v>
      </c>
      <c r="B802">
        <v>7324</v>
      </c>
      <c r="C802" s="4">
        <v>14360</v>
      </c>
      <c r="D802" t="s">
        <v>306</v>
      </c>
      <c r="E802" s="4">
        <v>4</v>
      </c>
      <c r="F802" s="25">
        <v>43714.00136574074</v>
      </c>
      <c r="G802">
        <v>0</v>
      </c>
      <c r="H802" s="25"/>
      <c r="I802" s="25"/>
      <c r="J802" s="25" t="s">
        <v>300</v>
      </c>
    </row>
    <row r="803" spans="1:10" x14ac:dyDescent="0.25">
      <c r="A803" s="4">
        <v>7937</v>
      </c>
      <c r="B803">
        <v>7324</v>
      </c>
      <c r="C803" s="4">
        <v>14360</v>
      </c>
      <c r="D803" t="s">
        <v>306</v>
      </c>
      <c r="E803" s="4">
        <v>2</v>
      </c>
      <c r="F803" s="25">
        <v>43714.001354166663</v>
      </c>
      <c r="G803">
        <v>0</v>
      </c>
      <c r="H803" s="25"/>
      <c r="I803" s="25"/>
      <c r="J803" s="25" t="s">
        <v>300</v>
      </c>
    </row>
    <row r="804" spans="1:10" x14ac:dyDescent="0.25">
      <c r="A804" s="4">
        <v>7937</v>
      </c>
      <c r="B804">
        <v>7324</v>
      </c>
      <c r="C804" s="4">
        <v>14360</v>
      </c>
      <c r="D804" t="s">
        <v>306</v>
      </c>
      <c r="E804" s="4">
        <v>1</v>
      </c>
      <c r="F804" s="25">
        <v>43714.001342592594</v>
      </c>
      <c r="G804">
        <v>0</v>
      </c>
      <c r="H804" s="25"/>
      <c r="I804" s="25"/>
      <c r="J804" s="25" t="s">
        <v>300</v>
      </c>
    </row>
    <row r="805" spans="1:10" x14ac:dyDescent="0.25">
      <c r="A805" s="4">
        <v>7937</v>
      </c>
      <c r="B805">
        <v>7324</v>
      </c>
      <c r="C805" s="4">
        <v>14360</v>
      </c>
      <c r="D805" t="s">
        <v>306</v>
      </c>
      <c r="E805" s="4">
        <v>0</v>
      </c>
      <c r="F805" s="25">
        <v>43714.001331018517</v>
      </c>
      <c r="G805">
        <v>0</v>
      </c>
      <c r="H805" s="25"/>
      <c r="I805" s="25"/>
      <c r="J805" s="25" t="s">
        <v>300</v>
      </c>
    </row>
    <row r="806" spans="1:10" x14ac:dyDescent="0.25">
      <c r="A806" s="4">
        <v>30131</v>
      </c>
      <c r="B806">
        <v>2568</v>
      </c>
      <c r="C806" s="4">
        <v>12292</v>
      </c>
      <c r="D806" t="s">
        <v>306</v>
      </c>
      <c r="E806" s="4">
        <v>7</v>
      </c>
      <c r="F806" s="25">
        <v>43714.000023148146</v>
      </c>
      <c r="G806">
        <v>0</v>
      </c>
      <c r="H806" s="25"/>
      <c r="I806" s="25"/>
      <c r="J806" s="25" t="s">
        <v>300</v>
      </c>
    </row>
    <row r="807" spans="1:10" x14ac:dyDescent="0.25">
      <c r="A807" s="4">
        <v>80</v>
      </c>
      <c r="B807">
        <v>1708</v>
      </c>
      <c r="C807" s="4">
        <v>14360</v>
      </c>
      <c r="D807" t="s">
        <v>7</v>
      </c>
      <c r="E807" s="4">
        <v>0</v>
      </c>
      <c r="F807" s="25">
        <v>43713.998564814814</v>
      </c>
      <c r="G807">
        <v>0</v>
      </c>
      <c r="H807" s="25"/>
      <c r="I807" s="25" t="s">
        <v>335</v>
      </c>
      <c r="J807" s="25" t="s">
        <v>300</v>
      </c>
    </row>
    <row r="808" spans="1:10" x14ac:dyDescent="0.25">
      <c r="A808" s="4">
        <v>80</v>
      </c>
      <c r="B808">
        <v>14360</v>
      </c>
      <c r="C808" s="4">
        <v>14360</v>
      </c>
      <c r="D808" t="s">
        <v>7</v>
      </c>
      <c r="E808" s="4">
        <v>0</v>
      </c>
      <c r="F808" s="25">
        <v>43713.991956018515</v>
      </c>
      <c r="G808">
        <v>1</v>
      </c>
      <c r="H808" s="25" t="s">
        <v>424</v>
      </c>
      <c r="I808" s="25"/>
      <c r="J808" s="25" t="s">
        <v>315</v>
      </c>
    </row>
    <row r="809" spans="1:10" x14ac:dyDescent="0.25">
      <c r="A809" s="4">
        <v>61</v>
      </c>
      <c r="B809">
        <v>14536</v>
      </c>
      <c r="C809" s="4">
        <v>12292</v>
      </c>
      <c r="D809" t="s">
        <v>7</v>
      </c>
      <c r="E809" s="4">
        <v>0</v>
      </c>
      <c r="F809" s="25">
        <v>43713.975752314815</v>
      </c>
      <c r="G809">
        <v>0</v>
      </c>
      <c r="H809" s="25"/>
      <c r="I809" s="25" t="s">
        <v>344</v>
      </c>
      <c r="J809" s="25" t="s">
        <v>300</v>
      </c>
    </row>
    <row r="810" spans="1:10" x14ac:dyDescent="0.25">
      <c r="A810" s="4">
        <v>61</v>
      </c>
      <c r="B810">
        <v>11260</v>
      </c>
      <c r="C810" s="4">
        <v>12292</v>
      </c>
      <c r="D810" t="s">
        <v>7</v>
      </c>
      <c r="E810" s="4">
        <v>0</v>
      </c>
      <c r="F810" s="25">
        <v>43713.973379629628</v>
      </c>
      <c r="G810">
        <v>0</v>
      </c>
      <c r="H810" s="25"/>
      <c r="I810" s="25" t="s">
        <v>344</v>
      </c>
      <c r="J810" s="25" t="s">
        <v>300</v>
      </c>
    </row>
    <row r="811" spans="1:10" x14ac:dyDescent="0.25">
      <c r="A811" s="4">
        <v>29508</v>
      </c>
      <c r="B811">
        <v>7348</v>
      </c>
      <c r="C811" s="4">
        <v>12292</v>
      </c>
      <c r="D811" t="s">
        <v>306</v>
      </c>
      <c r="E811" s="4">
        <v>48</v>
      </c>
      <c r="F811" s="25">
        <v>43713.961527777778</v>
      </c>
      <c r="G811">
        <v>0</v>
      </c>
      <c r="H811" s="25"/>
      <c r="I811" s="25"/>
      <c r="J811" s="25" t="s">
        <v>300</v>
      </c>
    </row>
    <row r="812" spans="1:10" x14ac:dyDescent="0.25">
      <c r="A812" s="4">
        <v>29508</v>
      </c>
      <c r="B812">
        <v>7348</v>
      </c>
      <c r="C812" s="4">
        <v>12292</v>
      </c>
      <c r="D812" t="s">
        <v>306</v>
      </c>
      <c r="E812" s="4">
        <v>47</v>
      </c>
      <c r="F812" s="25">
        <v>43713.961516203701</v>
      </c>
      <c r="G812">
        <v>0</v>
      </c>
      <c r="H812" s="25"/>
      <c r="I812" s="25"/>
      <c r="J812" s="25" t="s">
        <v>300</v>
      </c>
    </row>
    <row r="813" spans="1:10" x14ac:dyDescent="0.25">
      <c r="A813" s="4">
        <v>29508</v>
      </c>
      <c r="B813">
        <v>7348</v>
      </c>
      <c r="C813" s="4">
        <v>12292</v>
      </c>
      <c r="D813" t="s">
        <v>306</v>
      </c>
      <c r="E813" s="4">
        <v>46</v>
      </c>
      <c r="F813" s="25">
        <v>43713.961504629631</v>
      </c>
      <c r="G813">
        <v>0</v>
      </c>
      <c r="H813" s="25"/>
      <c r="I813" s="25"/>
      <c r="J813" s="25" t="s">
        <v>300</v>
      </c>
    </row>
    <row r="814" spans="1:10" x14ac:dyDescent="0.25">
      <c r="A814" s="4">
        <v>29508</v>
      </c>
      <c r="B814">
        <v>7348</v>
      </c>
      <c r="C814" s="4">
        <v>12292</v>
      </c>
      <c r="D814" t="s">
        <v>306</v>
      </c>
      <c r="E814" s="4">
        <v>44</v>
      </c>
      <c r="F814" s="25">
        <v>43713.961493055554</v>
      </c>
      <c r="G814">
        <v>0</v>
      </c>
      <c r="H814" s="25"/>
      <c r="I814" s="25"/>
      <c r="J814" s="25" t="s">
        <v>300</v>
      </c>
    </row>
    <row r="815" spans="1:10" x14ac:dyDescent="0.25">
      <c r="A815" s="4">
        <v>29508</v>
      </c>
      <c r="B815">
        <v>7348</v>
      </c>
      <c r="C815" s="4">
        <v>12292</v>
      </c>
      <c r="D815" t="s">
        <v>306</v>
      </c>
      <c r="E815" s="4">
        <v>45</v>
      </c>
      <c r="F815" s="25">
        <v>43713.961493055554</v>
      </c>
      <c r="G815">
        <v>0</v>
      </c>
      <c r="H815" s="25"/>
      <c r="I815" s="25"/>
      <c r="J815" s="25" t="s">
        <v>300</v>
      </c>
    </row>
    <row r="816" spans="1:10" x14ac:dyDescent="0.25">
      <c r="A816" s="4">
        <v>29508</v>
      </c>
      <c r="B816">
        <v>7348</v>
      </c>
      <c r="C816" s="4">
        <v>12292</v>
      </c>
      <c r="D816" t="s">
        <v>306</v>
      </c>
      <c r="E816" s="4">
        <v>43</v>
      </c>
      <c r="F816" s="25">
        <v>43713.961481481485</v>
      </c>
      <c r="G816">
        <v>0</v>
      </c>
      <c r="H816" s="25"/>
      <c r="I816" s="25"/>
      <c r="J816" s="25" t="s">
        <v>300</v>
      </c>
    </row>
    <row r="817" spans="1:10" x14ac:dyDescent="0.25">
      <c r="A817" s="4">
        <v>29508</v>
      </c>
      <c r="B817">
        <v>7348</v>
      </c>
      <c r="C817" s="4">
        <v>12292</v>
      </c>
      <c r="D817" t="s">
        <v>306</v>
      </c>
      <c r="E817" s="4">
        <v>42</v>
      </c>
      <c r="F817" s="25">
        <v>43713.961469907408</v>
      </c>
      <c r="G817">
        <v>0</v>
      </c>
      <c r="H817" s="25"/>
      <c r="I817" s="25"/>
      <c r="J817" s="25" t="s">
        <v>300</v>
      </c>
    </row>
    <row r="818" spans="1:10" x14ac:dyDescent="0.25">
      <c r="A818" s="4">
        <v>29508</v>
      </c>
      <c r="B818">
        <v>7348</v>
      </c>
      <c r="C818" s="4">
        <v>12292</v>
      </c>
      <c r="D818" t="s">
        <v>306</v>
      </c>
      <c r="E818" s="4">
        <v>40</v>
      </c>
      <c r="F818" s="25">
        <v>43713.961458333331</v>
      </c>
      <c r="G818">
        <v>0</v>
      </c>
      <c r="H818" s="25"/>
      <c r="I818" s="25"/>
      <c r="J818" s="25" t="s">
        <v>300</v>
      </c>
    </row>
    <row r="819" spans="1:10" x14ac:dyDescent="0.25">
      <c r="A819" s="4">
        <v>29508</v>
      </c>
      <c r="B819">
        <v>7348</v>
      </c>
      <c r="C819" s="4">
        <v>12292</v>
      </c>
      <c r="D819" t="s">
        <v>306</v>
      </c>
      <c r="E819" s="4">
        <v>41</v>
      </c>
      <c r="F819" s="25">
        <v>43713.961458333331</v>
      </c>
      <c r="G819">
        <v>0</v>
      </c>
      <c r="H819" s="25"/>
      <c r="I819" s="25"/>
      <c r="J819" s="25" t="s">
        <v>300</v>
      </c>
    </row>
    <row r="820" spans="1:10" x14ac:dyDescent="0.25">
      <c r="A820" s="4">
        <v>29508</v>
      </c>
      <c r="B820">
        <v>7348</v>
      </c>
      <c r="C820" s="4">
        <v>12292</v>
      </c>
      <c r="D820" t="s">
        <v>306</v>
      </c>
      <c r="E820" s="4">
        <v>39</v>
      </c>
      <c r="F820" s="25">
        <v>43713.961446759262</v>
      </c>
      <c r="G820">
        <v>0</v>
      </c>
      <c r="H820" s="25"/>
      <c r="I820" s="25"/>
      <c r="J820" s="25" t="s">
        <v>300</v>
      </c>
    </row>
    <row r="821" spans="1:10" x14ac:dyDescent="0.25">
      <c r="A821" s="4">
        <v>29508</v>
      </c>
      <c r="B821">
        <v>7348</v>
      </c>
      <c r="C821" s="4">
        <v>12292</v>
      </c>
      <c r="D821" t="s">
        <v>306</v>
      </c>
      <c r="E821" s="4">
        <v>37</v>
      </c>
      <c r="F821" s="25">
        <v>43713.961435185185</v>
      </c>
      <c r="G821">
        <v>0</v>
      </c>
      <c r="H821" s="25"/>
      <c r="I821" s="25"/>
      <c r="J821" s="25" t="s">
        <v>300</v>
      </c>
    </row>
    <row r="822" spans="1:10" x14ac:dyDescent="0.25">
      <c r="A822" s="4">
        <v>29508</v>
      </c>
      <c r="B822">
        <v>7348</v>
      </c>
      <c r="C822" s="4">
        <v>12292</v>
      </c>
      <c r="D822" t="s">
        <v>306</v>
      </c>
      <c r="E822" s="4">
        <v>38</v>
      </c>
      <c r="F822" s="25">
        <v>43713.961435185185</v>
      </c>
      <c r="G822">
        <v>0</v>
      </c>
      <c r="H822" s="25"/>
      <c r="I822" s="25"/>
      <c r="J822" s="25" t="s">
        <v>300</v>
      </c>
    </row>
    <row r="823" spans="1:10" x14ac:dyDescent="0.25">
      <c r="A823" s="4">
        <v>29508</v>
      </c>
      <c r="B823">
        <v>7348</v>
      </c>
      <c r="C823" s="4">
        <v>12292</v>
      </c>
      <c r="D823" t="s">
        <v>306</v>
      </c>
      <c r="E823" s="4">
        <v>36</v>
      </c>
      <c r="F823" s="25">
        <v>43713.961423611108</v>
      </c>
      <c r="G823">
        <v>0</v>
      </c>
      <c r="H823" s="25"/>
      <c r="I823" s="25"/>
      <c r="J823" s="25" t="s">
        <v>300</v>
      </c>
    </row>
    <row r="824" spans="1:10" x14ac:dyDescent="0.25">
      <c r="A824" s="4">
        <v>29508</v>
      </c>
      <c r="B824">
        <v>7348</v>
      </c>
      <c r="C824" s="4">
        <v>12292</v>
      </c>
      <c r="D824" t="s">
        <v>306</v>
      </c>
      <c r="E824" s="4">
        <v>34</v>
      </c>
      <c r="F824" s="25">
        <v>43713.961412037039</v>
      </c>
      <c r="G824">
        <v>0</v>
      </c>
      <c r="H824" s="25"/>
      <c r="I824" s="25"/>
      <c r="J824" s="25" t="s">
        <v>300</v>
      </c>
    </row>
    <row r="825" spans="1:10" x14ac:dyDescent="0.25">
      <c r="A825" s="4">
        <v>29508</v>
      </c>
      <c r="B825">
        <v>7348</v>
      </c>
      <c r="C825" s="4">
        <v>12292</v>
      </c>
      <c r="D825" t="s">
        <v>306</v>
      </c>
      <c r="E825" s="4">
        <v>35</v>
      </c>
      <c r="F825" s="25">
        <v>43713.961412037039</v>
      </c>
      <c r="G825">
        <v>0</v>
      </c>
      <c r="H825" s="25"/>
      <c r="I825" s="25"/>
      <c r="J825" s="25" t="s">
        <v>300</v>
      </c>
    </row>
    <row r="826" spans="1:10" x14ac:dyDescent="0.25">
      <c r="A826" s="4">
        <v>29508</v>
      </c>
      <c r="B826">
        <v>7348</v>
      </c>
      <c r="C826" s="4">
        <v>12292</v>
      </c>
      <c r="D826" t="s">
        <v>306</v>
      </c>
      <c r="E826" s="4">
        <v>33</v>
      </c>
      <c r="F826" s="25">
        <v>43713.961400462962</v>
      </c>
      <c r="G826">
        <v>0</v>
      </c>
      <c r="H826" s="25"/>
      <c r="I826" s="25"/>
      <c r="J826" s="25" t="s">
        <v>300</v>
      </c>
    </row>
    <row r="827" spans="1:10" x14ac:dyDescent="0.25">
      <c r="A827" s="4">
        <v>29508</v>
      </c>
      <c r="B827">
        <v>7348</v>
      </c>
      <c r="C827" s="4">
        <v>12292</v>
      </c>
      <c r="D827" t="s">
        <v>306</v>
      </c>
      <c r="E827" s="4">
        <v>32</v>
      </c>
      <c r="F827" s="25">
        <v>43713.961388888885</v>
      </c>
      <c r="G827">
        <v>0</v>
      </c>
      <c r="H827" s="25"/>
      <c r="I827" s="25"/>
      <c r="J827" s="25" t="s">
        <v>300</v>
      </c>
    </row>
    <row r="828" spans="1:10" x14ac:dyDescent="0.25">
      <c r="A828" s="4">
        <v>29508</v>
      </c>
      <c r="B828">
        <v>7348</v>
      </c>
      <c r="C828" s="4">
        <v>12292</v>
      </c>
      <c r="D828" t="s">
        <v>306</v>
      </c>
      <c r="E828" s="4">
        <v>30</v>
      </c>
      <c r="F828" s="25">
        <v>43713.961377314816</v>
      </c>
      <c r="G828">
        <v>0</v>
      </c>
      <c r="H828" s="25"/>
      <c r="I828" s="25"/>
      <c r="J828" s="25" t="s">
        <v>300</v>
      </c>
    </row>
    <row r="829" spans="1:10" x14ac:dyDescent="0.25">
      <c r="A829" s="4">
        <v>29508</v>
      </c>
      <c r="B829">
        <v>7348</v>
      </c>
      <c r="C829" s="4">
        <v>12292</v>
      </c>
      <c r="D829" t="s">
        <v>306</v>
      </c>
      <c r="E829" s="4">
        <v>31</v>
      </c>
      <c r="F829" s="25">
        <v>43713.961377314816</v>
      </c>
      <c r="G829">
        <v>0</v>
      </c>
      <c r="H829" s="25"/>
      <c r="I829" s="25"/>
      <c r="J829" s="25" t="s">
        <v>300</v>
      </c>
    </row>
    <row r="830" spans="1:10" x14ac:dyDescent="0.25">
      <c r="A830" s="4">
        <v>29508</v>
      </c>
      <c r="B830">
        <v>7348</v>
      </c>
      <c r="C830" s="4">
        <v>12292</v>
      </c>
      <c r="D830" t="s">
        <v>306</v>
      </c>
      <c r="E830" s="4">
        <v>29</v>
      </c>
      <c r="F830" s="25">
        <v>43713.961365740739</v>
      </c>
      <c r="G830">
        <v>0</v>
      </c>
      <c r="H830" s="25"/>
      <c r="I830" s="25"/>
      <c r="J830" s="25" t="s">
        <v>300</v>
      </c>
    </row>
    <row r="831" spans="1:10" x14ac:dyDescent="0.25">
      <c r="A831" s="4">
        <v>29508</v>
      </c>
      <c r="B831">
        <v>7348</v>
      </c>
      <c r="C831" s="4">
        <v>12292</v>
      </c>
      <c r="D831" t="s">
        <v>306</v>
      </c>
      <c r="E831" s="4">
        <v>27</v>
      </c>
      <c r="F831" s="25">
        <v>43713.961354166669</v>
      </c>
      <c r="G831">
        <v>0</v>
      </c>
      <c r="H831" s="25"/>
      <c r="I831" s="25"/>
      <c r="J831" s="25" t="s">
        <v>300</v>
      </c>
    </row>
    <row r="832" spans="1:10" x14ac:dyDescent="0.25">
      <c r="A832" s="4">
        <v>29508</v>
      </c>
      <c r="B832">
        <v>7348</v>
      </c>
      <c r="C832" s="4">
        <v>12292</v>
      </c>
      <c r="D832" t="s">
        <v>306</v>
      </c>
      <c r="E832" s="4">
        <v>28</v>
      </c>
      <c r="F832" s="25">
        <v>43713.961354166669</v>
      </c>
      <c r="G832">
        <v>0</v>
      </c>
      <c r="H832" s="25"/>
      <c r="I832" s="25"/>
      <c r="J832" s="25" t="s">
        <v>300</v>
      </c>
    </row>
    <row r="833" spans="1:10" x14ac:dyDescent="0.25">
      <c r="A833" s="4">
        <v>29508</v>
      </c>
      <c r="B833">
        <v>7348</v>
      </c>
      <c r="C833" s="4">
        <v>12292</v>
      </c>
      <c r="D833" t="s">
        <v>306</v>
      </c>
      <c r="E833" s="4">
        <v>26</v>
      </c>
      <c r="F833" s="25">
        <v>43713.961342592593</v>
      </c>
      <c r="G833">
        <v>0</v>
      </c>
      <c r="H833" s="25"/>
      <c r="I833" s="25"/>
      <c r="J833" s="25" t="s">
        <v>300</v>
      </c>
    </row>
    <row r="834" spans="1:10" x14ac:dyDescent="0.25">
      <c r="A834" s="4">
        <v>29508</v>
      </c>
      <c r="B834">
        <v>7348</v>
      </c>
      <c r="C834" s="4">
        <v>12292</v>
      </c>
      <c r="D834" t="s">
        <v>306</v>
      </c>
      <c r="E834" s="4">
        <v>24</v>
      </c>
      <c r="F834" s="25">
        <v>43713.961331018516</v>
      </c>
      <c r="G834">
        <v>0</v>
      </c>
      <c r="H834" s="25"/>
      <c r="I834" s="25"/>
      <c r="J834" s="25" t="s">
        <v>300</v>
      </c>
    </row>
    <row r="835" spans="1:10" x14ac:dyDescent="0.25">
      <c r="A835" s="4">
        <v>29508</v>
      </c>
      <c r="B835">
        <v>7348</v>
      </c>
      <c r="C835" s="4">
        <v>12292</v>
      </c>
      <c r="D835" t="s">
        <v>306</v>
      </c>
      <c r="E835" s="4">
        <v>25</v>
      </c>
      <c r="F835" s="25">
        <v>43713.961331018516</v>
      </c>
      <c r="G835">
        <v>0</v>
      </c>
      <c r="H835" s="25"/>
      <c r="I835" s="25"/>
      <c r="J835" s="25" t="s">
        <v>300</v>
      </c>
    </row>
    <row r="836" spans="1:10" x14ac:dyDescent="0.25">
      <c r="A836" s="4">
        <v>29508</v>
      </c>
      <c r="B836">
        <v>7348</v>
      </c>
      <c r="C836" s="4">
        <v>12292</v>
      </c>
      <c r="D836" t="s">
        <v>306</v>
      </c>
      <c r="E836" s="4">
        <v>23</v>
      </c>
      <c r="F836" s="25">
        <v>43713.961319444446</v>
      </c>
      <c r="G836">
        <v>0</v>
      </c>
      <c r="H836" s="25"/>
      <c r="I836" s="25"/>
      <c r="J836" s="25" t="s">
        <v>300</v>
      </c>
    </row>
    <row r="837" spans="1:10" x14ac:dyDescent="0.25">
      <c r="A837" s="4">
        <v>29508</v>
      </c>
      <c r="B837">
        <v>7348</v>
      </c>
      <c r="C837" s="4">
        <v>12292</v>
      </c>
      <c r="D837" t="s">
        <v>306</v>
      </c>
      <c r="E837" s="4">
        <v>21</v>
      </c>
      <c r="F837" s="25">
        <v>43713.96130787037</v>
      </c>
      <c r="G837">
        <v>0</v>
      </c>
      <c r="H837" s="25"/>
      <c r="I837" s="25"/>
      <c r="J837" s="25" t="s">
        <v>300</v>
      </c>
    </row>
    <row r="838" spans="1:10" x14ac:dyDescent="0.25">
      <c r="A838" s="4">
        <v>29508</v>
      </c>
      <c r="B838">
        <v>7348</v>
      </c>
      <c r="C838" s="4">
        <v>12292</v>
      </c>
      <c r="D838" t="s">
        <v>306</v>
      </c>
      <c r="E838" s="4">
        <v>22</v>
      </c>
      <c r="F838" s="25">
        <v>43713.96130787037</v>
      </c>
      <c r="G838">
        <v>0</v>
      </c>
      <c r="H838" s="25"/>
      <c r="I838" s="25"/>
      <c r="J838" s="25" t="s">
        <v>300</v>
      </c>
    </row>
    <row r="839" spans="1:10" x14ac:dyDescent="0.25">
      <c r="A839" s="4">
        <v>29508</v>
      </c>
      <c r="B839">
        <v>7348</v>
      </c>
      <c r="C839" s="4">
        <v>12292</v>
      </c>
      <c r="D839" t="s">
        <v>306</v>
      </c>
      <c r="E839" s="4">
        <v>20</v>
      </c>
      <c r="F839" s="25">
        <v>43713.961296296293</v>
      </c>
      <c r="G839">
        <v>0</v>
      </c>
      <c r="H839" s="25"/>
      <c r="I839" s="25"/>
      <c r="J839" s="25" t="s">
        <v>300</v>
      </c>
    </row>
    <row r="840" spans="1:10" x14ac:dyDescent="0.25">
      <c r="A840" s="4">
        <v>29508</v>
      </c>
      <c r="B840">
        <v>7348</v>
      </c>
      <c r="C840" s="4">
        <v>12292</v>
      </c>
      <c r="D840" t="s">
        <v>306</v>
      </c>
      <c r="E840" s="4">
        <v>18</v>
      </c>
      <c r="F840" s="25">
        <v>43713.961284722223</v>
      </c>
      <c r="G840">
        <v>0</v>
      </c>
      <c r="H840" s="25"/>
      <c r="I840" s="25"/>
      <c r="J840" s="25" t="s">
        <v>300</v>
      </c>
    </row>
    <row r="841" spans="1:10" x14ac:dyDescent="0.25">
      <c r="A841" s="4">
        <v>29508</v>
      </c>
      <c r="B841">
        <v>7348</v>
      </c>
      <c r="C841" s="4">
        <v>12292</v>
      </c>
      <c r="D841" t="s">
        <v>306</v>
      </c>
      <c r="E841" s="4">
        <v>19</v>
      </c>
      <c r="F841" s="25">
        <v>43713.961284722223</v>
      </c>
      <c r="G841">
        <v>0</v>
      </c>
      <c r="H841" s="25"/>
      <c r="I841" s="25"/>
      <c r="J841" s="25" t="s">
        <v>300</v>
      </c>
    </row>
    <row r="842" spans="1:10" x14ac:dyDescent="0.25">
      <c r="A842" s="4">
        <v>29508</v>
      </c>
      <c r="B842">
        <v>7348</v>
      </c>
      <c r="C842" s="4">
        <v>12292</v>
      </c>
      <c r="D842" t="s">
        <v>306</v>
      </c>
      <c r="E842" s="4">
        <v>17</v>
      </c>
      <c r="F842" s="25">
        <v>43713.961273148147</v>
      </c>
      <c r="G842">
        <v>0</v>
      </c>
      <c r="H842" s="25"/>
      <c r="I842" s="25"/>
      <c r="J842" s="25" t="s">
        <v>300</v>
      </c>
    </row>
    <row r="843" spans="1:10" x14ac:dyDescent="0.25">
      <c r="A843" s="4">
        <v>29508</v>
      </c>
      <c r="B843">
        <v>7348</v>
      </c>
      <c r="C843" s="4">
        <v>12292</v>
      </c>
      <c r="D843" t="s">
        <v>306</v>
      </c>
      <c r="E843" s="4">
        <v>16</v>
      </c>
      <c r="F843" s="25">
        <v>43713.961261574077</v>
      </c>
      <c r="G843">
        <v>0</v>
      </c>
      <c r="H843" s="25"/>
      <c r="I843" s="25"/>
      <c r="J843" s="25" t="s">
        <v>300</v>
      </c>
    </row>
    <row r="844" spans="1:10" x14ac:dyDescent="0.25">
      <c r="A844" s="4">
        <v>29508</v>
      </c>
      <c r="B844">
        <v>7348</v>
      </c>
      <c r="C844" s="4">
        <v>12292</v>
      </c>
      <c r="D844" t="s">
        <v>306</v>
      </c>
      <c r="E844" s="4">
        <v>14</v>
      </c>
      <c r="F844" s="25">
        <v>43713.96125</v>
      </c>
      <c r="G844">
        <v>0</v>
      </c>
      <c r="H844" s="25"/>
      <c r="I844" s="25"/>
      <c r="J844" s="25" t="s">
        <v>300</v>
      </c>
    </row>
    <row r="845" spans="1:10" x14ac:dyDescent="0.25">
      <c r="A845" s="4">
        <v>29508</v>
      </c>
      <c r="B845">
        <v>7348</v>
      </c>
      <c r="C845" s="4">
        <v>12292</v>
      </c>
      <c r="D845" t="s">
        <v>306</v>
      </c>
      <c r="E845" s="4">
        <v>15</v>
      </c>
      <c r="F845" s="25">
        <v>43713.96125</v>
      </c>
      <c r="G845">
        <v>0</v>
      </c>
      <c r="H845" s="25"/>
      <c r="I845" s="25"/>
      <c r="J845" s="25" t="s">
        <v>300</v>
      </c>
    </row>
    <row r="846" spans="1:10" x14ac:dyDescent="0.25">
      <c r="A846" s="4">
        <v>29508</v>
      </c>
      <c r="B846">
        <v>7348</v>
      </c>
      <c r="C846" s="4">
        <v>12292</v>
      </c>
      <c r="D846" t="s">
        <v>306</v>
      </c>
      <c r="E846" s="4">
        <v>13</v>
      </c>
      <c r="F846" s="25">
        <v>43713.961238425924</v>
      </c>
      <c r="G846">
        <v>0</v>
      </c>
      <c r="H846" s="25"/>
      <c r="I846" s="25"/>
      <c r="J846" s="25" t="s">
        <v>300</v>
      </c>
    </row>
    <row r="847" spans="1:10" x14ac:dyDescent="0.25">
      <c r="A847" s="4">
        <v>29508</v>
      </c>
      <c r="B847">
        <v>7348</v>
      </c>
      <c r="C847" s="4">
        <v>12292</v>
      </c>
      <c r="D847" t="s">
        <v>306</v>
      </c>
      <c r="E847" s="4">
        <v>11</v>
      </c>
      <c r="F847" s="25">
        <v>43713.961226851854</v>
      </c>
      <c r="G847">
        <v>0</v>
      </c>
      <c r="H847" s="25"/>
      <c r="I847" s="25"/>
      <c r="J847" s="25" t="s">
        <v>300</v>
      </c>
    </row>
    <row r="848" spans="1:10" x14ac:dyDescent="0.25">
      <c r="A848" s="4">
        <v>29508</v>
      </c>
      <c r="B848">
        <v>7348</v>
      </c>
      <c r="C848" s="4">
        <v>12292</v>
      </c>
      <c r="D848" t="s">
        <v>306</v>
      </c>
      <c r="E848" s="4">
        <v>12</v>
      </c>
      <c r="F848" s="25">
        <v>43713.961226851854</v>
      </c>
      <c r="G848">
        <v>0</v>
      </c>
      <c r="H848" s="25"/>
      <c r="I848" s="25"/>
      <c r="J848" s="25" t="s">
        <v>300</v>
      </c>
    </row>
    <row r="849" spans="1:10" x14ac:dyDescent="0.25">
      <c r="A849" s="4">
        <v>29508</v>
      </c>
      <c r="B849">
        <v>7348</v>
      </c>
      <c r="C849" s="4">
        <v>12292</v>
      </c>
      <c r="D849" t="s">
        <v>306</v>
      </c>
      <c r="E849" s="4">
        <v>10</v>
      </c>
      <c r="F849" s="25">
        <v>43713.961215277777</v>
      </c>
      <c r="G849">
        <v>0</v>
      </c>
      <c r="H849" s="25"/>
      <c r="I849" s="25"/>
      <c r="J849" s="25" t="s">
        <v>300</v>
      </c>
    </row>
    <row r="850" spans="1:10" x14ac:dyDescent="0.25">
      <c r="A850" s="4">
        <v>29508</v>
      </c>
      <c r="B850">
        <v>7348</v>
      </c>
      <c r="C850" s="4">
        <v>12292</v>
      </c>
      <c r="D850" t="s">
        <v>306</v>
      </c>
      <c r="E850" s="4">
        <v>8</v>
      </c>
      <c r="F850" s="25">
        <v>43713.9612037037</v>
      </c>
      <c r="G850">
        <v>0</v>
      </c>
      <c r="H850" s="25"/>
      <c r="I850" s="25"/>
      <c r="J850" s="25" t="s">
        <v>300</v>
      </c>
    </row>
    <row r="851" spans="1:10" x14ac:dyDescent="0.25">
      <c r="A851" s="4">
        <v>29508</v>
      </c>
      <c r="B851">
        <v>7348</v>
      </c>
      <c r="C851" s="4">
        <v>12292</v>
      </c>
      <c r="D851" t="s">
        <v>306</v>
      </c>
      <c r="E851" s="4">
        <v>9</v>
      </c>
      <c r="F851" s="25">
        <v>43713.9612037037</v>
      </c>
      <c r="G851">
        <v>0</v>
      </c>
      <c r="H851" s="25"/>
      <c r="I851" s="25"/>
      <c r="J851" s="25" t="s">
        <v>300</v>
      </c>
    </row>
    <row r="852" spans="1:10" x14ac:dyDescent="0.25">
      <c r="A852" s="4">
        <v>29508</v>
      </c>
      <c r="B852">
        <v>7348</v>
      </c>
      <c r="C852" s="4">
        <v>12292</v>
      </c>
      <c r="D852" t="s">
        <v>306</v>
      </c>
      <c r="E852" s="4">
        <v>7</v>
      </c>
      <c r="F852" s="25">
        <v>43713.961192129631</v>
      </c>
      <c r="G852">
        <v>0</v>
      </c>
      <c r="H852" s="25"/>
      <c r="I852" s="25"/>
      <c r="J852" s="25" t="s">
        <v>300</v>
      </c>
    </row>
    <row r="853" spans="1:10" x14ac:dyDescent="0.25">
      <c r="A853" s="4">
        <v>29508</v>
      </c>
      <c r="B853">
        <v>7348</v>
      </c>
      <c r="C853" s="4">
        <v>12292</v>
      </c>
      <c r="D853" t="s">
        <v>306</v>
      </c>
      <c r="E853" s="4">
        <v>6</v>
      </c>
      <c r="F853" s="25">
        <v>43713.961180555554</v>
      </c>
      <c r="G853">
        <v>0</v>
      </c>
      <c r="H853" s="25"/>
      <c r="I853" s="25"/>
      <c r="J853" s="25" t="s">
        <v>300</v>
      </c>
    </row>
    <row r="854" spans="1:10" x14ac:dyDescent="0.25">
      <c r="A854" s="4">
        <v>29508</v>
      </c>
      <c r="B854">
        <v>7348</v>
      </c>
      <c r="C854" s="4">
        <v>12292</v>
      </c>
      <c r="D854" t="s">
        <v>306</v>
      </c>
      <c r="E854" s="4">
        <v>4</v>
      </c>
      <c r="F854" s="25">
        <v>43713.961168981485</v>
      </c>
      <c r="G854">
        <v>0</v>
      </c>
      <c r="H854" s="25"/>
      <c r="I854" s="25"/>
      <c r="J854" s="25" t="s">
        <v>300</v>
      </c>
    </row>
    <row r="855" spans="1:10" x14ac:dyDescent="0.25">
      <c r="A855" s="4">
        <v>29508</v>
      </c>
      <c r="B855">
        <v>7348</v>
      </c>
      <c r="C855" s="4">
        <v>12292</v>
      </c>
      <c r="D855" t="s">
        <v>306</v>
      </c>
      <c r="E855" s="4">
        <v>5</v>
      </c>
      <c r="F855" s="25">
        <v>43713.961168981485</v>
      </c>
      <c r="G855">
        <v>0</v>
      </c>
      <c r="H855" s="25"/>
      <c r="I855" s="25"/>
      <c r="J855" s="25" t="s">
        <v>300</v>
      </c>
    </row>
    <row r="856" spans="1:10" x14ac:dyDescent="0.25">
      <c r="A856" s="4">
        <v>29508</v>
      </c>
      <c r="B856">
        <v>7348</v>
      </c>
      <c r="C856" s="4">
        <v>12292</v>
      </c>
      <c r="D856" t="s">
        <v>306</v>
      </c>
      <c r="E856" s="4">
        <v>3</v>
      </c>
      <c r="F856" s="25">
        <v>43713.961157407408</v>
      </c>
      <c r="G856">
        <v>0</v>
      </c>
      <c r="H856" s="25"/>
      <c r="I856" s="25"/>
      <c r="J856" s="25" t="s">
        <v>300</v>
      </c>
    </row>
    <row r="857" spans="1:10" x14ac:dyDescent="0.25">
      <c r="A857" s="4">
        <v>29508</v>
      </c>
      <c r="B857">
        <v>7348</v>
      </c>
      <c r="C857" s="4">
        <v>12292</v>
      </c>
      <c r="D857" t="s">
        <v>306</v>
      </c>
      <c r="E857" s="4">
        <v>1</v>
      </c>
      <c r="F857" s="25">
        <v>43713.961145833331</v>
      </c>
      <c r="G857">
        <v>0</v>
      </c>
      <c r="H857" s="25"/>
      <c r="I857" s="25"/>
      <c r="J857" s="25" t="s">
        <v>300</v>
      </c>
    </row>
    <row r="858" spans="1:10" x14ac:dyDescent="0.25">
      <c r="A858" s="4">
        <v>29508</v>
      </c>
      <c r="B858">
        <v>7348</v>
      </c>
      <c r="C858" s="4">
        <v>12292</v>
      </c>
      <c r="D858" t="s">
        <v>306</v>
      </c>
      <c r="E858" s="4">
        <v>2</v>
      </c>
      <c r="F858" s="25">
        <v>43713.961145833331</v>
      </c>
      <c r="G858">
        <v>0</v>
      </c>
      <c r="H858" s="25"/>
      <c r="I858" s="25"/>
      <c r="J858" s="25" t="s">
        <v>300</v>
      </c>
    </row>
    <row r="859" spans="1:10" x14ac:dyDescent="0.25">
      <c r="A859" s="4">
        <v>29508</v>
      </c>
      <c r="B859">
        <v>7348</v>
      </c>
      <c r="C859" s="4">
        <v>12292</v>
      </c>
      <c r="D859" t="s">
        <v>306</v>
      </c>
      <c r="E859" s="4">
        <v>0</v>
      </c>
      <c r="F859" s="25">
        <v>43713.961134259262</v>
      </c>
      <c r="G859">
        <v>0</v>
      </c>
      <c r="H859" s="25"/>
      <c r="I859" s="25"/>
      <c r="J859" s="25" t="s">
        <v>300</v>
      </c>
    </row>
    <row r="860" spans="1:10" x14ac:dyDescent="0.25">
      <c r="A860" s="4">
        <v>30131</v>
      </c>
      <c r="B860">
        <v>2568</v>
      </c>
      <c r="C860" s="4">
        <v>12292</v>
      </c>
      <c r="D860" t="s">
        <v>306</v>
      </c>
      <c r="E860" s="4">
        <v>6</v>
      </c>
      <c r="F860" s="25">
        <v>43713.958414351851</v>
      </c>
      <c r="G860">
        <v>0</v>
      </c>
      <c r="H860" s="25"/>
      <c r="I860" s="25"/>
      <c r="J860" s="25" t="s">
        <v>300</v>
      </c>
    </row>
    <row r="861" spans="1:10" x14ac:dyDescent="0.25">
      <c r="A861" s="4">
        <v>61</v>
      </c>
      <c r="B861">
        <v>13000</v>
      </c>
      <c r="C861" s="4">
        <v>12292</v>
      </c>
      <c r="D861" t="s">
        <v>7</v>
      </c>
      <c r="E861" s="4">
        <v>0</v>
      </c>
      <c r="F861" s="25">
        <v>43713.951122685183</v>
      </c>
      <c r="G861">
        <v>0</v>
      </c>
      <c r="H861" s="25"/>
      <c r="I861" s="25" t="s">
        <v>344</v>
      </c>
      <c r="J861" s="25" t="s">
        <v>304</v>
      </c>
    </row>
    <row r="862" spans="1:10" x14ac:dyDescent="0.25">
      <c r="A862" s="4">
        <v>61</v>
      </c>
      <c r="B862">
        <v>16028</v>
      </c>
      <c r="C862" s="4">
        <v>12292</v>
      </c>
      <c r="D862" t="s">
        <v>7</v>
      </c>
      <c r="E862" s="4">
        <v>0</v>
      </c>
      <c r="F862" s="25">
        <v>43713.943877314814</v>
      </c>
      <c r="G862">
        <v>0</v>
      </c>
      <c r="H862" s="25"/>
      <c r="I862" s="25" t="s">
        <v>344</v>
      </c>
      <c r="J862" s="25" t="s">
        <v>417</v>
      </c>
    </row>
    <row r="863" spans="1:10" x14ac:dyDescent="0.25">
      <c r="A863" s="4">
        <v>61</v>
      </c>
      <c r="B863">
        <v>14208</v>
      </c>
      <c r="C863" s="4">
        <v>12292</v>
      </c>
      <c r="D863" t="s">
        <v>7</v>
      </c>
      <c r="E863" s="4">
        <v>0</v>
      </c>
      <c r="F863" s="25">
        <v>43713.935034722221</v>
      </c>
      <c r="G863">
        <v>0</v>
      </c>
      <c r="H863" s="25"/>
      <c r="I863" s="25" t="s">
        <v>344</v>
      </c>
      <c r="J863" s="25" t="s">
        <v>304</v>
      </c>
    </row>
    <row r="864" spans="1:10" x14ac:dyDescent="0.25">
      <c r="A864" s="4">
        <v>30131</v>
      </c>
      <c r="B864">
        <v>2568</v>
      </c>
      <c r="C864" s="4">
        <v>12292</v>
      </c>
      <c r="D864" t="s">
        <v>306</v>
      </c>
      <c r="E864" s="4">
        <v>5</v>
      </c>
      <c r="F864" s="25">
        <v>43713.916678240741</v>
      </c>
      <c r="G864">
        <v>0</v>
      </c>
      <c r="H864" s="25"/>
      <c r="I864" s="25"/>
      <c r="J864" s="25" t="s">
        <v>300</v>
      </c>
    </row>
    <row r="865" spans="1:10" x14ac:dyDescent="0.25">
      <c r="A865" s="4">
        <v>30131</v>
      </c>
      <c r="B865">
        <v>2568</v>
      </c>
      <c r="C865" s="4">
        <v>12292</v>
      </c>
      <c r="D865" t="s">
        <v>306</v>
      </c>
      <c r="E865" s="4">
        <v>4</v>
      </c>
      <c r="F865" s="25">
        <v>43713.875023148146</v>
      </c>
      <c r="G865">
        <v>0</v>
      </c>
      <c r="H865" s="25"/>
      <c r="I865" s="25"/>
      <c r="J865" s="25" t="s">
        <v>300</v>
      </c>
    </row>
    <row r="866" spans="1:10" x14ac:dyDescent="0.25">
      <c r="A866" s="4">
        <v>3210</v>
      </c>
      <c r="B866">
        <v>16280</v>
      </c>
      <c r="C866" s="4">
        <v>12292</v>
      </c>
      <c r="D866" t="s">
        <v>306</v>
      </c>
      <c r="E866" s="4">
        <v>24</v>
      </c>
      <c r="F866" s="25">
        <v>43713.868125000001</v>
      </c>
      <c r="G866">
        <v>0</v>
      </c>
      <c r="H866" s="25"/>
      <c r="I866" s="25"/>
      <c r="J866" s="25" t="s">
        <v>300</v>
      </c>
    </row>
    <row r="867" spans="1:10" x14ac:dyDescent="0.25">
      <c r="A867" s="4">
        <v>3210</v>
      </c>
      <c r="B867">
        <v>16280</v>
      </c>
      <c r="C867" s="4">
        <v>12292</v>
      </c>
      <c r="D867" t="s">
        <v>306</v>
      </c>
      <c r="E867" s="4">
        <v>23</v>
      </c>
      <c r="F867" s="25">
        <v>43713.868113425924</v>
      </c>
      <c r="G867">
        <v>0</v>
      </c>
      <c r="H867" s="25"/>
      <c r="I867" s="25"/>
      <c r="J867" s="25" t="s">
        <v>300</v>
      </c>
    </row>
    <row r="868" spans="1:10" x14ac:dyDescent="0.25">
      <c r="A868" s="4">
        <v>3210</v>
      </c>
      <c r="B868">
        <v>16280</v>
      </c>
      <c r="C868" s="4">
        <v>12292</v>
      </c>
      <c r="D868" t="s">
        <v>306</v>
      </c>
      <c r="E868" s="4">
        <v>21</v>
      </c>
      <c r="F868" s="25">
        <v>43713.868101851855</v>
      </c>
      <c r="G868">
        <v>0</v>
      </c>
      <c r="H868" s="25"/>
      <c r="I868" s="25"/>
      <c r="J868" s="25" t="s">
        <v>300</v>
      </c>
    </row>
    <row r="869" spans="1:10" x14ac:dyDescent="0.25">
      <c r="A869" s="4">
        <v>3210</v>
      </c>
      <c r="B869">
        <v>16280</v>
      </c>
      <c r="C869" s="4">
        <v>12292</v>
      </c>
      <c r="D869" t="s">
        <v>306</v>
      </c>
      <c r="E869" s="4">
        <v>22</v>
      </c>
      <c r="F869" s="25">
        <v>43713.868101851855</v>
      </c>
      <c r="G869">
        <v>0</v>
      </c>
      <c r="H869" s="25"/>
      <c r="I869" s="25"/>
      <c r="J869" s="25" t="s">
        <v>300</v>
      </c>
    </row>
    <row r="870" spans="1:10" x14ac:dyDescent="0.25">
      <c r="A870" s="4">
        <v>3210</v>
      </c>
      <c r="B870">
        <v>16280</v>
      </c>
      <c r="C870" s="4">
        <v>12292</v>
      </c>
      <c r="D870" t="s">
        <v>306</v>
      </c>
      <c r="E870" s="4">
        <v>20</v>
      </c>
      <c r="F870" s="25">
        <v>43713.868090277778</v>
      </c>
      <c r="G870">
        <v>0</v>
      </c>
      <c r="H870" s="25"/>
      <c r="I870" s="25"/>
      <c r="J870" s="25" t="s">
        <v>300</v>
      </c>
    </row>
    <row r="871" spans="1:10" x14ac:dyDescent="0.25">
      <c r="A871" s="4">
        <v>3210</v>
      </c>
      <c r="B871">
        <v>16280</v>
      </c>
      <c r="C871" s="4">
        <v>12292</v>
      </c>
      <c r="D871" t="s">
        <v>306</v>
      </c>
      <c r="E871" s="4">
        <v>19</v>
      </c>
      <c r="F871" s="25">
        <v>43713.868078703701</v>
      </c>
      <c r="G871">
        <v>0</v>
      </c>
      <c r="H871" s="25"/>
      <c r="I871" s="25"/>
      <c r="J871" s="25" t="s">
        <v>300</v>
      </c>
    </row>
    <row r="872" spans="1:10" x14ac:dyDescent="0.25">
      <c r="A872" s="4">
        <v>3210</v>
      </c>
      <c r="B872">
        <v>16280</v>
      </c>
      <c r="C872" s="4">
        <v>12292</v>
      </c>
      <c r="D872" t="s">
        <v>306</v>
      </c>
      <c r="E872" s="4">
        <v>17</v>
      </c>
      <c r="F872" s="25">
        <v>43713.868067129632</v>
      </c>
      <c r="G872">
        <v>0</v>
      </c>
      <c r="H872" s="25"/>
      <c r="I872" s="25"/>
      <c r="J872" s="25" t="s">
        <v>300</v>
      </c>
    </row>
    <row r="873" spans="1:10" x14ac:dyDescent="0.25">
      <c r="A873" s="4">
        <v>3210</v>
      </c>
      <c r="B873">
        <v>16280</v>
      </c>
      <c r="C873" s="4">
        <v>12292</v>
      </c>
      <c r="D873" t="s">
        <v>306</v>
      </c>
      <c r="E873" s="4">
        <v>18</v>
      </c>
      <c r="F873" s="25">
        <v>43713.868067129632</v>
      </c>
      <c r="G873">
        <v>0</v>
      </c>
      <c r="H873" s="25"/>
      <c r="I873" s="25"/>
      <c r="J873" s="25" t="s">
        <v>300</v>
      </c>
    </row>
    <row r="874" spans="1:10" x14ac:dyDescent="0.25">
      <c r="A874" s="4">
        <v>3210</v>
      </c>
      <c r="B874">
        <v>16280</v>
      </c>
      <c r="C874" s="4">
        <v>12292</v>
      </c>
      <c r="D874" t="s">
        <v>306</v>
      </c>
      <c r="E874" s="4">
        <v>16</v>
      </c>
      <c r="F874" s="25">
        <v>43713.868055555555</v>
      </c>
      <c r="G874">
        <v>0</v>
      </c>
      <c r="H874" s="25"/>
      <c r="I874" s="25"/>
      <c r="J874" s="25" t="s">
        <v>300</v>
      </c>
    </row>
    <row r="875" spans="1:10" x14ac:dyDescent="0.25">
      <c r="A875" s="4">
        <v>3210</v>
      </c>
      <c r="B875">
        <v>16280</v>
      </c>
      <c r="C875" s="4">
        <v>12292</v>
      </c>
      <c r="D875" t="s">
        <v>306</v>
      </c>
      <c r="E875" s="4">
        <v>15</v>
      </c>
      <c r="F875" s="25">
        <v>43713.868043981478</v>
      </c>
      <c r="G875">
        <v>0</v>
      </c>
      <c r="H875" s="25"/>
      <c r="I875" s="25"/>
      <c r="J875" s="25" t="s">
        <v>300</v>
      </c>
    </row>
    <row r="876" spans="1:10" x14ac:dyDescent="0.25">
      <c r="A876" s="4">
        <v>3210</v>
      </c>
      <c r="B876">
        <v>16280</v>
      </c>
      <c r="C876" s="4">
        <v>12292</v>
      </c>
      <c r="D876" t="s">
        <v>306</v>
      </c>
      <c r="E876" s="4">
        <v>13</v>
      </c>
      <c r="F876" s="25">
        <v>43713.868032407408</v>
      </c>
      <c r="G876">
        <v>0</v>
      </c>
      <c r="H876" s="25"/>
      <c r="I876" s="25"/>
      <c r="J876" s="25" t="s">
        <v>300</v>
      </c>
    </row>
    <row r="877" spans="1:10" x14ac:dyDescent="0.25">
      <c r="A877" s="4">
        <v>3210</v>
      </c>
      <c r="B877">
        <v>16280</v>
      </c>
      <c r="C877" s="4">
        <v>12292</v>
      </c>
      <c r="D877" t="s">
        <v>306</v>
      </c>
      <c r="E877" s="4">
        <v>14</v>
      </c>
      <c r="F877" s="25">
        <v>43713.868032407408</v>
      </c>
      <c r="G877">
        <v>0</v>
      </c>
      <c r="H877" s="25"/>
      <c r="I877" s="25"/>
      <c r="J877" s="25" t="s">
        <v>300</v>
      </c>
    </row>
    <row r="878" spans="1:10" x14ac:dyDescent="0.25">
      <c r="A878" s="4">
        <v>3210</v>
      </c>
      <c r="B878">
        <v>16280</v>
      </c>
      <c r="C878" s="4">
        <v>12292</v>
      </c>
      <c r="D878" t="s">
        <v>306</v>
      </c>
      <c r="E878" s="4">
        <v>12</v>
      </c>
      <c r="F878" s="25">
        <v>43713.868020833332</v>
      </c>
      <c r="G878">
        <v>0</v>
      </c>
      <c r="H878" s="25"/>
      <c r="I878" s="25"/>
      <c r="J878" s="25" t="s">
        <v>300</v>
      </c>
    </row>
    <row r="879" spans="1:10" x14ac:dyDescent="0.25">
      <c r="A879" s="4">
        <v>3210</v>
      </c>
      <c r="B879">
        <v>16280</v>
      </c>
      <c r="C879" s="4">
        <v>12292</v>
      </c>
      <c r="D879" t="s">
        <v>306</v>
      </c>
      <c r="E879" s="4">
        <v>10</v>
      </c>
      <c r="F879" s="25">
        <v>43713.868009259262</v>
      </c>
      <c r="G879">
        <v>0</v>
      </c>
      <c r="H879" s="25"/>
      <c r="I879" s="25"/>
      <c r="J879" s="25" t="s">
        <v>300</v>
      </c>
    </row>
    <row r="880" spans="1:10" x14ac:dyDescent="0.25">
      <c r="A880" s="4">
        <v>3210</v>
      </c>
      <c r="B880">
        <v>16280</v>
      </c>
      <c r="C880" s="4">
        <v>12292</v>
      </c>
      <c r="D880" t="s">
        <v>306</v>
      </c>
      <c r="E880" s="4">
        <v>11</v>
      </c>
      <c r="F880" s="25">
        <v>43713.868009259262</v>
      </c>
      <c r="G880">
        <v>0</v>
      </c>
      <c r="H880" s="25"/>
      <c r="I880" s="25"/>
      <c r="J880" s="25" t="s">
        <v>300</v>
      </c>
    </row>
    <row r="881" spans="1:10" x14ac:dyDescent="0.25">
      <c r="A881" s="4">
        <v>3210</v>
      </c>
      <c r="B881">
        <v>16280</v>
      </c>
      <c r="C881" s="4">
        <v>12292</v>
      </c>
      <c r="D881" t="s">
        <v>306</v>
      </c>
      <c r="E881" s="4">
        <v>9</v>
      </c>
      <c r="F881" s="25">
        <v>43713.867997685185</v>
      </c>
      <c r="G881">
        <v>0</v>
      </c>
      <c r="H881" s="25"/>
      <c r="I881" s="25"/>
      <c r="J881" s="25" t="s">
        <v>300</v>
      </c>
    </row>
    <row r="882" spans="1:10" x14ac:dyDescent="0.25">
      <c r="A882" s="4">
        <v>3210</v>
      </c>
      <c r="B882">
        <v>16280</v>
      </c>
      <c r="C882" s="4">
        <v>12292</v>
      </c>
      <c r="D882" t="s">
        <v>306</v>
      </c>
      <c r="E882" s="4">
        <v>7</v>
      </c>
      <c r="F882" s="25">
        <v>43713.867986111109</v>
      </c>
      <c r="G882">
        <v>0</v>
      </c>
      <c r="H882" s="25"/>
      <c r="I882" s="25"/>
      <c r="J882" s="25" t="s">
        <v>300</v>
      </c>
    </row>
    <row r="883" spans="1:10" x14ac:dyDescent="0.25">
      <c r="A883" s="4">
        <v>3210</v>
      </c>
      <c r="B883">
        <v>16280</v>
      </c>
      <c r="C883" s="4">
        <v>12292</v>
      </c>
      <c r="D883" t="s">
        <v>306</v>
      </c>
      <c r="E883" s="4">
        <v>8</v>
      </c>
      <c r="F883" s="25">
        <v>43713.867986111109</v>
      </c>
      <c r="G883">
        <v>0</v>
      </c>
      <c r="H883" s="25"/>
      <c r="I883" s="25"/>
      <c r="J883" s="25" t="s">
        <v>300</v>
      </c>
    </row>
    <row r="884" spans="1:10" x14ac:dyDescent="0.25">
      <c r="A884" s="4">
        <v>3210</v>
      </c>
      <c r="B884">
        <v>16280</v>
      </c>
      <c r="C884" s="4">
        <v>12292</v>
      </c>
      <c r="D884" t="s">
        <v>306</v>
      </c>
      <c r="E884" s="4">
        <v>6</v>
      </c>
      <c r="F884" s="25">
        <v>43713.867974537039</v>
      </c>
      <c r="G884">
        <v>0</v>
      </c>
      <c r="H884" s="25"/>
      <c r="I884" s="25"/>
      <c r="J884" s="25" t="s">
        <v>300</v>
      </c>
    </row>
    <row r="885" spans="1:10" x14ac:dyDescent="0.25">
      <c r="A885" s="4">
        <v>3210</v>
      </c>
      <c r="B885">
        <v>16280</v>
      </c>
      <c r="C885" s="4">
        <v>12292</v>
      </c>
      <c r="D885" t="s">
        <v>306</v>
      </c>
      <c r="E885" s="4">
        <v>4</v>
      </c>
      <c r="F885" s="25">
        <v>43713.867962962962</v>
      </c>
      <c r="G885">
        <v>0</v>
      </c>
      <c r="H885" s="25"/>
      <c r="I885" s="25"/>
      <c r="J885" s="25" t="s">
        <v>300</v>
      </c>
    </row>
    <row r="886" spans="1:10" x14ac:dyDescent="0.25">
      <c r="A886" s="4">
        <v>3210</v>
      </c>
      <c r="B886">
        <v>16280</v>
      </c>
      <c r="C886" s="4">
        <v>12292</v>
      </c>
      <c r="D886" t="s">
        <v>306</v>
      </c>
      <c r="E886" s="4">
        <v>5</v>
      </c>
      <c r="F886" s="25">
        <v>43713.867962962962</v>
      </c>
      <c r="G886">
        <v>0</v>
      </c>
      <c r="H886" s="25"/>
      <c r="I886" s="25"/>
      <c r="J886" s="25" t="s">
        <v>300</v>
      </c>
    </row>
    <row r="887" spans="1:10" x14ac:dyDescent="0.25">
      <c r="A887" s="4">
        <v>3210</v>
      </c>
      <c r="B887">
        <v>16280</v>
      </c>
      <c r="C887" s="4">
        <v>12292</v>
      </c>
      <c r="D887" t="s">
        <v>306</v>
      </c>
      <c r="E887" s="4">
        <v>3</v>
      </c>
      <c r="F887" s="25">
        <v>43713.867951388886</v>
      </c>
      <c r="G887">
        <v>0</v>
      </c>
      <c r="H887" s="25"/>
      <c r="I887" s="25"/>
      <c r="J887" s="25" t="s">
        <v>300</v>
      </c>
    </row>
    <row r="888" spans="1:10" x14ac:dyDescent="0.25">
      <c r="A888" s="4">
        <v>3210</v>
      </c>
      <c r="B888">
        <v>16280</v>
      </c>
      <c r="C888" s="4">
        <v>12292</v>
      </c>
      <c r="D888" t="s">
        <v>306</v>
      </c>
      <c r="E888" s="4">
        <v>2</v>
      </c>
      <c r="F888" s="25">
        <v>43713.867939814816</v>
      </c>
      <c r="G888">
        <v>0</v>
      </c>
      <c r="H888" s="25"/>
      <c r="I888" s="25"/>
      <c r="J888" s="25" t="s">
        <v>300</v>
      </c>
    </row>
    <row r="889" spans="1:10" x14ac:dyDescent="0.25">
      <c r="A889" s="4">
        <v>3210</v>
      </c>
      <c r="B889">
        <v>16280</v>
      </c>
      <c r="C889" s="4">
        <v>12292</v>
      </c>
      <c r="D889" t="s">
        <v>306</v>
      </c>
      <c r="E889" s="4">
        <v>0</v>
      </c>
      <c r="F889" s="25">
        <v>43713.867928240739</v>
      </c>
      <c r="G889">
        <v>0</v>
      </c>
      <c r="H889" s="25"/>
      <c r="I889" s="25"/>
      <c r="J889" s="25" t="s">
        <v>300</v>
      </c>
    </row>
    <row r="890" spans="1:10" x14ac:dyDescent="0.25">
      <c r="A890" s="4">
        <v>3210</v>
      </c>
      <c r="B890">
        <v>16280</v>
      </c>
      <c r="C890" s="4">
        <v>12292</v>
      </c>
      <c r="D890" t="s">
        <v>306</v>
      </c>
      <c r="E890" s="4">
        <v>1</v>
      </c>
      <c r="F890" s="25">
        <v>43713.867928240739</v>
      </c>
      <c r="G890">
        <v>0</v>
      </c>
      <c r="H890" s="25"/>
      <c r="I890" s="25"/>
      <c r="J890" s="25" t="s">
        <v>300</v>
      </c>
    </row>
    <row r="891" spans="1:10" x14ac:dyDescent="0.25">
      <c r="A891" s="4">
        <v>2381</v>
      </c>
      <c r="B891">
        <v>2562</v>
      </c>
      <c r="C891" s="4">
        <v>6912</v>
      </c>
      <c r="D891" t="s">
        <v>306</v>
      </c>
      <c r="E891" s="4">
        <v>0</v>
      </c>
      <c r="F891" s="25">
        <v>43713.863923611112</v>
      </c>
      <c r="G891">
        <v>0</v>
      </c>
      <c r="H891" s="25"/>
      <c r="I891" s="25"/>
      <c r="J891" s="25" t="s">
        <v>300</v>
      </c>
    </row>
    <row r="892" spans="1:10" x14ac:dyDescent="0.25">
      <c r="A892" s="4">
        <v>29969</v>
      </c>
      <c r="B892">
        <v>10295</v>
      </c>
      <c r="C892" s="4">
        <v>12292</v>
      </c>
      <c r="D892" t="s">
        <v>306</v>
      </c>
      <c r="E892" s="4">
        <v>23</v>
      </c>
      <c r="F892" s="25">
        <v>43713.846805555557</v>
      </c>
      <c r="G892">
        <v>0</v>
      </c>
      <c r="H892" s="25"/>
      <c r="I892" s="25"/>
      <c r="J892" s="25" t="s">
        <v>300</v>
      </c>
    </row>
    <row r="893" spans="1:10" x14ac:dyDescent="0.25">
      <c r="A893" s="4">
        <v>29969</v>
      </c>
      <c r="B893">
        <v>10295</v>
      </c>
      <c r="C893" s="4">
        <v>12292</v>
      </c>
      <c r="D893" t="s">
        <v>306</v>
      </c>
      <c r="E893" s="4">
        <v>24</v>
      </c>
      <c r="F893" s="25">
        <v>43713.846805555557</v>
      </c>
      <c r="G893">
        <v>0</v>
      </c>
      <c r="H893" s="25"/>
      <c r="I893" s="25"/>
      <c r="J893" s="25" t="s">
        <v>300</v>
      </c>
    </row>
    <row r="894" spans="1:10" x14ac:dyDescent="0.25">
      <c r="A894" s="4">
        <v>29969</v>
      </c>
      <c r="B894">
        <v>10295</v>
      </c>
      <c r="C894" s="4">
        <v>12292</v>
      </c>
      <c r="D894" t="s">
        <v>306</v>
      </c>
      <c r="E894" s="4">
        <v>22</v>
      </c>
      <c r="F894" s="25">
        <v>43713.84679398148</v>
      </c>
      <c r="G894">
        <v>0</v>
      </c>
      <c r="H894" s="25"/>
      <c r="I894" s="25"/>
      <c r="J894" s="25" t="s">
        <v>300</v>
      </c>
    </row>
    <row r="895" spans="1:10" x14ac:dyDescent="0.25">
      <c r="A895" s="4">
        <v>29969</v>
      </c>
      <c r="B895">
        <v>10295</v>
      </c>
      <c r="C895" s="4">
        <v>12292</v>
      </c>
      <c r="D895" t="s">
        <v>306</v>
      </c>
      <c r="E895" s="4">
        <v>20</v>
      </c>
      <c r="F895" s="25">
        <v>43713.846782407411</v>
      </c>
      <c r="G895">
        <v>0</v>
      </c>
      <c r="H895" s="25"/>
      <c r="I895" s="25"/>
      <c r="J895" s="25" t="s">
        <v>300</v>
      </c>
    </row>
    <row r="896" spans="1:10" x14ac:dyDescent="0.25">
      <c r="A896" s="4">
        <v>29969</v>
      </c>
      <c r="B896">
        <v>10295</v>
      </c>
      <c r="C896" s="4">
        <v>12292</v>
      </c>
      <c r="D896" t="s">
        <v>306</v>
      </c>
      <c r="E896" s="4">
        <v>21</v>
      </c>
      <c r="F896" s="25">
        <v>43713.846782407411</v>
      </c>
      <c r="G896">
        <v>0</v>
      </c>
      <c r="H896" s="25"/>
      <c r="I896" s="25"/>
      <c r="J896" s="25" t="s">
        <v>300</v>
      </c>
    </row>
    <row r="897" spans="1:10" x14ac:dyDescent="0.25">
      <c r="A897" s="4">
        <v>29969</v>
      </c>
      <c r="B897">
        <v>10295</v>
      </c>
      <c r="C897" s="4">
        <v>12292</v>
      </c>
      <c r="D897" t="s">
        <v>306</v>
      </c>
      <c r="E897" s="4">
        <v>19</v>
      </c>
      <c r="F897" s="25">
        <v>43713.846770833334</v>
      </c>
      <c r="G897">
        <v>0</v>
      </c>
      <c r="H897" s="25"/>
      <c r="I897" s="25"/>
      <c r="J897" s="25" t="s">
        <v>300</v>
      </c>
    </row>
    <row r="898" spans="1:10" x14ac:dyDescent="0.25">
      <c r="A898" s="4">
        <v>29969</v>
      </c>
      <c r="B898">
        <v>10295</v>
      </c>
      <c r="C898" s="4">
        <v>12292</v>
      </c>
      <c r="D898" t="s">
        <v>306</v>
      </c>
      <c r="E898" s="4">
        <v>18</v>
      </c>
      <c r="F898" s="25">
        <v>43713.846759259257</v>
      </c>
      <c r="G898">
        <v>0</v>
      </c>
      <c r="H898" s="25"/>
      <c r="I898" s="25"/>
      <c r="J898" s="25" t="s">
        <v>300</v>
      </c>
    </row>
    <row r="899" spans="1:10" x14ac:dyDescent="0.25">
      <c r="A899" s="4">
        <v>29969</v>
      </c>
      <c r="B899">
        <v>10295</v>
      </c>
      <c r="C899" s="4">
        <v>12292</v>
      </c>
      <c r="D899" t="s">
        <v>306</v>
      </c>
      <c r="E899" s="4">
        <v>16</v>
      </c>
      <c r="F899" s="25">
        <v>43713.846747685187</v>
      </c>
      <c r="G899">
        <v>0</v>
      </c>
      <c r="H899" s="25"/>
      <c r="I899" s="25"/>
      <c r="J899" s="25" t="s">
        <v>300</v>
      </c>
    </row>
    <row r="900" spans="1:10" x14ac:dyDescent="0.25">
      <c r="A900" s="4">
        <v>29969</v>
      </c>
      <c r="B900">
        <v>10295</v>
      </c>
      <c r="C900" s="4">
        <v>12292</v>
      </c>
      <c r="D900" t="s">
        <v>306</v>
      </c>
      <c r="E900" s="4">
        <v>17</v>
      </c>
      <c r="F900" s="25">
        <v>43713.846747685187</v>
      </c>
      <c r="G900">
        <v>0</v>
      </c>
      <c r="H900" s="25"/>
      <c r="I900" s="25"/>
      <c r="J900" s="25" t="s">
        <v>300</v>
      </c>
    </row>
    <row r="901" spans="1:10" x14ac:dyDescent="0.25">
      <c r="A901" s="4">
        <v>29969</v>
      </c>
      <c r="B901">
        <v>10295</v>
      </c>
      <c r="C901" s="4">
        <v>12292</v>
      </c>
      <c r="D901" t="s">
        <v>306</v>
      </c>
      <c r="E901" s="4">
        <v>15</v>
      </c>
      <c r="F901" s="25">
        <v>43713.846736111111</v>
      </c>
      <c r="G901">
        <v>0</v>
      </c>
      <c r="H901" s="25"/>
      <c r="I901" s="25"/>
      <c r="J901" s="25" t="s">
        <v>300</v>
      </c>
    </row>
    <row r="902" spans="1:10" x14ac:dyDescent="0.25">
      <c r="A902" s="4">
        <v>29969</v>
      </c>
      <c r="B902">
        <v>10295</v>
      </c>
      <c r="C902" s="4">
        <v>12292</v>
      </c>
      <c r="D902" t="s">
        <v>306</v>
      </c>
      <c r="E902" s="4">
        <v>13</v>
      </c>
      <c r="F902" s="25">
        <v>43713.846724537034</v>
      </c>
      <c r="G902">
        <v>0</v>
      </c>
      <c r="H902" s="25"/>
      <c r="I902" s="25"/>
      <c r="J902" s="25" t="s">
        <v>300</v>
      </c>
    </row>
    <row r="903" spans="1:10" x14ac:dyDescent="0.25">
      <c r="A903" s="4">
        <v>29969</v>
      </c>
      <c r="B903">
        <v>10295</v>
      </c>
      <c r="C903" s="4">
        <v>12292</v>
      </c>
      <c r="D903" t="s">
        <v>306</v>
      </c>
      <c r="E903" s="4">
        <v>14</v>
      </c>
      <c r="F903" s="25">
        <v>43713.846724537034</v>
      </c>
      <c r="G903">
        <v>0</v>
      </c>
      <c r="H903" s="25"/>
      <c r="I903" s="25"/>
      <c r="J903" s="25" t="s">
        <v>300</v>
      </c>
    </row>
    <row r="904" spans="1:10" x14ac:dyDescent="0.25">
      <c r="A904" s="4">
        <v>29969</v>
      </c>
      <c r="B904">
        <v>10295</v>
      </c>
      <c r="C904" s="4">
        <v>12292</v>
      </c>
      <c r="D904" t="s">
        <v>306</v>
      </c>
      <c r="E904" s="4">
        <v>12</v>
      </c>
      <c r="F904" s="25">
        <v>43713.846712962964</v>
      </c>
      <c r="G904">
        <v>0</v>
      </c>
      <c r="H904" s="25"/>
      <c r="I904" s="25"/>
      <c r="J904" s="25" t="s">
        <v>300</v>
      </c>
    </row>
    <row r="905" spans="1:10" x14ac:dyDescent="0.25">
      <c r="A905" s="4">
        <v>29969</v>
      </c>
      <c r="B905">
        <v>10295</v>
      </c>
      <c r="C905" s="4">
        <v>12292</v>
      </c>
      <c r="D905" t="s">
        <v>306</v>
      </c>
      <c r="E905" s="4">
        <v>10</v>
      </c>
      <c r="F905" s="25">
        <v>43713.846701388888</v>
      </c>
      <c r="G905">
        <v>0</v>
      </c>
      <c r="H905" s="25"/>
      <c r="I905" s="25"/>
      <c r="J905" s="25" t="s">
        <v>300</v>
      </c>
    </row>
    <row r="906" spans="1:10" x14ac:dyDescent="0.25">
      <c r="A906" s="4">
        <v>29969</v>
      </c>
      <c r="B906">
        <v>10295</v>
      </c>
      <c r="C906" s="4">
        <v>12292</v>
      </c>
      <c r="D906" t="s">
        <v>306</v>
      </c>
      <c r="E906" s="4">
        <v>11</v>
      </c>
      <c r="F906" s="25">
        <v>43713.846701388888</v>
      </c>
      <c r="G906">
        <v>0</v>
      </c>
      <c r="H906" s="25"/>
      <c r="I906" s="25"/>
      <c r="J906" s="25" t="s">
        <v>300</v>
      </c>
    </row>
    <row r="907" spans="1:10" x14ac:dyDescent="0.25">
      <c r="A907" s="4">
        <v>29969</v>
      </c>
      <c r="B907">
        <v>10295</v>
      </c>
      <c r="C907" s="4">
        <v>12292</v>
      </c>
      <c r="D907" t="s">
        <v>306</v>
      </c>
      <c r="E907" s="4">
        <v>9</v>
      </c>
      <c r="F907" s="25">
        <v>43713.846689814818</v>
      </c>
      <c r="G907">
        <v>0</v>
      </c>
      <c r="H907" s="25"/>
      <c r="I907" s="25"/>
      <c r="J907" s="25" t="s">
        <v>300</v>
      </c>
    </row>
    <row r="908" spans="1:10" x14ac:dyDescent="0.25">
      <c r="A908" s="4">
        <v>29969</v>
      </c>
      <c r="B908">
        <v>10295</v>
      </c>
      <c r="C908" s="4">
        <v>12292</v>
      </c>
      <c r="D908" t="s">
        <v>306</v>
      </c>
      <c r="E908" s="4">
        <v>8</v>
      </c>
      <c r="F908" s="25">
        <v>43713.846678240741</v>
      </c>
      <c r="G908">
        <v>0</v>
      </c>
      <c r="H908" s="25"/>
      <c r="I908" s="25"/>
      <c r="J908" s="25" t="s">
        <v>300</v>
      </c>
    </row>
    <row r="909" spans="1:10" x14ac:dyDescent="0.25">
      <c r="A909" s="4">
        <v>29969</v>
      </c>
      <c r="B909">
        <v>10295</v>
      </c>
      <c r="C909" s="4">
        <v>12292</v>
      </c>
      <c r="D909" t="s">
        <v>306</v>
      </c>
      <c r="E909" s="4">
        <v>6</v>
      </c>
      <c r="F909" s="25">
        <v>43713.846666666665</v>
      </c>
      <c r="G909">
        <v>0</v>
      </c>
      <c r="H909" s="25"/>
      <c r="I909" s="25"/>
      <c r="J909" s="25" t="s">
        <v>300</v>
      </c>
    </row>
    <row r="910" spans="1:10" x14ac:dyDescent="0.25">
      <c r="A910" s="4">
        <v>29969</v>
      </c>
      <c r="B910">
        <v>10295</v>
      </c>
      <c r="C910" s="4">
        <v>12292</v>
      </c>
      <c r="D910" t="s">
        <v>306</v>
      </c>
      <c r="E910" s="4">
        <v>7</v>
      </c>
      <c r="F910" s="25">
        <v>43713.846666666665</v>
      </c>
      <c r="G910">
        <v>0</v>
      </c>
      <c r="H910" s="25"/>
      <c r="I910" s="25"/>
      <c r="J910" s="25" t="s">
        <v>300</v>
      </c>
    </row>
    <row r="911" spans="1:10" x14ac:dyDescent="0.25">
      <c r="A911" s="4">
        <v>29969</v>
      </c>
      <c r="B911">
        <v>10295</v>
      </c>
      <c r="C911" s="4">
        <v>12292</v>
      </c>
      <c r="D911" t="s">
        <v>306</v>
      </c>
      <c r="E911" s="4">
        <v>5</v>
      </c>
      <c r="F911" s="25">
        <v>43713.846655092595</v>
      </c>
      <c r="G911">
        <v>0</v>
      </c>
      <c r="H911" s="25"/>
      <c r="I911" s="25"/>
      <c r="J911" s="25" t="s">
        <v>300</v>
      </c>
    </row>
    <row r="912" spans="1:10" x14ac:dyDescent="0.25">
      <c r="A912" s="4">
        <v>29969</v>
      </c>
      <c r="B912">
        <v>10295</v>
      </c>
      <c r="C912" s="4">
        <v>12292</v>
      </c>
      <c r="D912" t="s">
        <v>306</v>
      </c>
      <c r="E912" s="4">
        <v>3</v>
      </c>
      <c r="F912" s="25">
        <v>43713.846643518518</v>
      </c>
      <c r="G912">
        <v>0</v>
      </c>
      <c r="H912" s="25"/>
      <c r="I912" s="25"/>
      <c r="J912" s="25" t="s">
        <v>300</v>
      </c>
    </row>
    <row r="913" spans="1:10" x14ac:dyDescent="0.25">
      <c r="A913" s="4">
        <v>29969</v>
      </c>
      <c r="B913">
        <v>10295</v>
      </c>
      <c r="C913" s="4">
        <v>12292</v>
      </c>
      <c r="D913" t="s">
        <v>306</v>
      </c>
      <c r="E913" s="4">
        <v>4</v>
      </c>
      <c r="F913" s="25">
        <v>43713.846643518518</v>
      </c>
      <c r="G913">
        <v>0</v>
      </c>
      <c r="H913" s="25"/>
      <c r="I913" s="25"/>
      <c r="J913" s="25" t="s">
        <v>300</v>
      </c>
    </row>
    <row r="914" spans="1:10" x14ac:dyDescent="0.25">
      <c r="A914" s="4">
        <v>29969</v>
      </c>
      <c r="B914">
        <v>10295</v>
      </c>
      <c r="C914" s="4">
        <v>12292</v>
      </c>
      <c r="D914" t="s">
        <v>306</v>
      </c>
      <c r="E914" s="4">
        <v>2</v>
      </c>
      <c r="F914" s="25">
        <v>43713.846631944441</v>
      </c>
      <c r="G914">
        <v>0</v>
      </c>
      <c r="H914" s="25"/>
      <c r="I914" s="25"/>
      <c r="J914" s="25" t="s">
        <v>300</v>
      </c>
    </row>
    <row r="915" spans="1:10" x14ac:dyDescent="0.25">
      <c r="A915" s="4">
        <v>29969</v>
      </c>
      <c r="B915">
        <v>10295</v>
      </c>
      <c r="C915" s="4">
        <v>12292</v>
      </c>
      <c r="D915" t="s">
        <v>306</v>
      </c>
      <c r="E915" s="4">
        <v>1</v>
      </c>
      <c r="F915" s="25">
        <v>43713.846620370372</v>
      </c>
      <c r="G915">
        <v>0</v>
      </c>
      <c r="H915" s="25"/>
      <c r="I915" s="25"/>
      <c r="J915" s="25" t="s">
        <v>300</v>
      </c>
    </row>
    <row r="916" spans="1:10" x14ac:dyDescent="0.25">
      <c r="A916" s="4">
        <v>29969</v>
      </c>
      <c r="B916">
        <v>10295</v>
      </c>
      <c r="C916" s="4">
        <v>12292</v>
      </c>
      <c r="D916" t="s">
        <v>306</v>
      </c>
      <c r="E916" s="4">
        <v>0</v>
      </c>
      <c r="F916" s="25">
        <v>43713.846608796295</v>
      </c>
      <c r="G916">
        <v>0</v>
      </c>
      <c r="H916" s="25"/>
      <c r="I916" s="25"/>
      <c r="J916" s="25" t="s">
        <v>300</v>
      </c>
    </row>
    <row r="917" spans="1:10" x14ac:dyDescent="0.25">
      <c r="A917" s="4">
        <v>29404</v>
      </c>
      <c r="B917">
        <v>2563</v>
      </c>
      <c r="C917" s="4">
        <v>12292</v>
      </c>
      <c r="D917" t="s">
        <v>306</v>
      </c>
      <c r="E917" s="4">
        <v>0</v>
      </c>
      <c r="F917" s="25">
        <v>43713.844618055555</v>
      </c>
      <c r="G917">
        <v>0</v>
      </c>
      <c r="H917" s="25"/>
      <c r="I917" s="25"/>
      <c r="J917" s="25" t="s">
        <v>300</v>
      </c>
    </row>
    <row r="918" spans="1:10" x14ac:dyDescent="0.25">
      <c r="A918" s="4">
        <v>26694</v>
      </c>
      <c r="B918">
        <v>2564</v>
      </c>
      <c r="C918" s="4">
        <v>12292</v>
      </c>
      <c r="D918" t="s">
        <v>306</v>
      </c>
      <c r="E918" s="4">
        <v>0</v>
      </c>
      <c r="F918" s="25">
        <v>43713.835011574076</v>
      </c>
      <c r="G918">
        <v>0</v>
      </c>
      <c r="H918" s="25"/>
      <c r="I918" s="25"/>
      <c r="J918" s="25" t="s">
        <v>300</v>
      </c>
    </row>
    <row r="919" spans="1:10" x14ac:dyDescent="0.25">
      <c r="A919" s="4">
        <v>24970</v>
      </c>
      <c r="B919">
        <v>2565</v>
      </c>
      <c r="C919" s="4">
        <v>12292</v>
      </c>
      <c r="D919" t="s">
        <v>306</v>
      </c>
      <c r="E919" s="4">
        <v>1</v>
      </c>
      <c r="F919" s="25">
        <v>43713.833344907405</v>
      </c>
      <c r="G919">
        <v>0</v>
      </c>
      <c r="H919" s="25"/>
      <c r="I919" s="25"/>
      <c r="J919" s="25" t="s">
        <v>300</v>
      </c>
    </row>
    <row r="920" spans="1:10" x14ac:dyDescent="0.25">
      <c r="A920" s="4">
        <v>30131</v>
      </c>
      <c r="B920">
        <v>2568</v>
      </c>
      <c r="C920" s="4">
        <v>12292</v>
      </c>
      <c r="D920" t="s">
        <v>306</v>
      </c>
      <c r="E920" s="4">
        <v>3</v>
      </c>
      <c r="F920" s="25">
        <v>43713.833344907405</v>
      </c>
      <c r="G920">
        <v>0</v>
      </c>
      <c r="H920" s="25"/>
      <c r="I920" s="25"/>
      <c r="J920" s="25" t="s">
        <v>300</v>
      </c>
    </row>
    <row r="921" spans="1:10" x14ac:dyDescent="0.25">
      <c r="A921" s="4">
        <v>24970</v>
      </c>
      <c r="B921">
        <v>2565</v>
      </c>
      <c r="C921" s="4">
        <v>12292</v>
      </c>
      <c r="D921" t="s">
        <v>306</v>
      </c>
      <c r="E921" s="4">
        <v>0</v>
      </c>
      <c r="F921" s="25">
        <v>43713.828888888886</v>
      </c>
      <c r="G921">
        <v>0</v>
      </c>
      <c r="H921" s="25"/>
      <c r="I921" s="25"/>
      <c r="J921" s="25" t="s">
        <v>300</v>
      </c>
    </row>
    <row r="922" spans="1:10" x14ac:dyDescent="0.25">
      <c r="A922" s="4">
        <v>12867</v>
      </c>
      <c r="B922">
        <v>2566</v>
      </c>
      <c r="C922" s="4">
        <v>12292</v>
      </c>
      <c r="D922" t="s">
        <v>306</v>
      </c>
      <c r="E922" s="4">
        <v>1</v>
      </c>
      <c r="F922" s="25">
        <v>43713.791689814818</v>
      </c>
      <c r="G922">
        <v>0</v>
      </c>
      <c r="H922" s="25"/>
      <c r="I922" s="25"/>
      <c r="J922" s="25" t="s">
        <v>300</v>
      </c>
    </row>
    <row r="923" spans="1:10" x14ac:dyDescent="0.25">
      <c r="A923" s="4">
        <v>30131</v>
      </c>
      <c r="B923">
        <v>2568</v>
      </c>
      <c r="C923" s="4">
        <v>12292</v>
      </c>
      <c r="D923" t="s">
        <v>306</v>
      </c>
      <c r="E923" s="4">
        <v>2</v>
      </c>
      <c r="F923" s="25">
        <v>43713.791689814818</v>
      </c>
      <c r="G923">
        <v>0</v>
      </c>
      <c r="H923" s="25"/>
      <c r="I923" s="25"/>
      <c r="J923" s="25" t="s">
        <v>300</v>
      </c>
    </row>
    <row r="924" spans="1:10" x14ac:dyDescent="0.25">
      <c r="A924" s="4">
        <v>12867</v>
      </c>
      <c r="B924">
        <v>2566</v>
      </c>
      <c r="C924" s="4">
        <v>12292</v>
      </c>
      <c r="D924" t="s">
        <v>306</v>
      </c>
      <c r="E924" s="4">
        <v>0</v>
      </c>
      <c r="F924" s="25">
        <v>43713.786006944443</v>
      </c>
      <c r="G924">
        <v>0</v>
      </c>
      <c r="H924" s="25"/>
      <c r="I924" s="25"/>
      <c r="J924" s="25" t="s">
        <v>300</v>
      </c>
    </row>
    <row r="925" spans="1:10" x14ac:dyDescent="0.25">
      <c r="A925" s="4">
        <v>10539</v>
      </c>
      <c r="B925">
        <v>2567</v>
      </c>
      <c r="C925" s="4">
        <v>12292</v>
      </c>
      <c r="D925" t="s">
        <v>306</v>
      </c>
      <c r="E925" s="4">
        <v>0</v>
      </c>
      <c r="F925" s="25">
        <v>43713.777719907404</v>
      </c>
      <c r="G925">
        <v>0</v>
      </c>
      <c r="H925" s="25"/>
      <c r="I925" s="25"/>
      <c r="J925" s="25" t="s">
        <v>300</v>
      </c>
    </row>
    <row r="926" spans="1:10" x14ac:dyDescent="0.25">
      <c r="A926" s="4">
        <v>3427</v>
      </c>
      <c r="B926">
        <v>15172</v>
      </c>
      <c r="C926" s="4">
        <v>12292</v>
      </c>
      <c r="D926" t="s">
        <v>306</v>
      </c>
      <c r="E926" s="4">
        <v>24</v>
      </c>
      <c r="F926" s="25">
        <v>43713.752754629626</v>
      </c>
      <c r="G926">
        <v>0</v>
      </c>
      <c r="H926" s="25"/>
      <c r="I926" s="25"/>
      <c r="J926" s="25" t="s">
        <v>300</v>
      </c>
    </row>
    <row r="927" spans="1:10" x14ac:dyDescent="0.25">
      <c r="A927" s="4">
        <v>3427</v>
      </c>
      <c r="B927">
        <v>15172</v>
      </c>
      <c r="C927" s="4">
        <v>12292</v>
      </c>
      <c r="D927" t="s">
        <v>306</v>
      </c>
      <c r="E927" s="4">
        <v>22</v>
      </c>
      <c r="F927" s="25">
        <v>43713.752743055556</v>
      </c>
      <c r="G927">
        <v>0</v>
      </c>
      <c r="H927" s="25"/>
      <c r="I927" s="25"/>
      <c r="J927" s="25" t="s">
        <v>300</v>
      </c>
    </row>
    <row r="928" spans="1:10" x14ac:dyDescent="0.25">
      <c r="A928" s="4">
        <v>3427</v>
      </c>
      <c r="B928">
        <v>15172</v>
      </c>
      <c r="C928" s="4">
        <v>12292</v>
      </c>
      <c r="D928" t="s">
        <v>306</v>
      </c>
      <c r="E928" s="4">
        <v>23</v>
      </c>
      <c r="F928" s="25">
        <v>43713.752743055556</v>
      </c>
      <c r="G928">
        <v>0</v>
      </c>
      <c r="H928" s="25"/>
      <c r="I928" s="25"/>
      <c r="J928" s="25" t="s">
        <v>300</v>
      </c>
    </row>
    <row r="929" spans="1:10" x14ac:dyDescent="0.25">
      <c r="A929" s="4">
        <v>3427</v>
      </c>
      <c r="B929">
        <v>15172</v>
      </c>
      <c r="C929" s="4">
        <v>12292</v>
      </c>
      <c r="D929" t="s">
        <v>306</v>
      </c>
      <c r="E929" s="4">
        <v>21</v>
      </c>
      <c r="F929" s="25">
        <v>43713.75273148148</v>
      </c>
      <c r="G929">
        <v>0</v>
      </c>
      <c r="H929" s="25"/>
      <c r="I929" s="25"/>
      <c r="J929" s="25" t="s">
        <v>300</v>
      </c>
    </row>
    <row r="930" spans="1:10" x14ac:dyDescent="0.25">
      <c r="A930" s="4">
        <v>3427</v>
      </c>
      <c r="B930">
        <v>15172</v>
      </c>
      <c r="C930" s="4">
        <v>12292</v>
      </c>
      <c r="D930" t="s">
        <v>306</v>
      </c>
      <c r="E930" s="4">
        <v>19</v>
      </c>
      <c r="F930" s="25">
        <v>43713.75271990741</v>
      </c>
      <c r="G930">
        <v>0</v>
      </c>
      <c r="H930" s="25"/>
      <c r="I930" s="25"/>
      <c r="J930" s="25" t="s">
        <v>300</v>
      </c>
    </row>
    <row r="931" spans="1:10" x14ac:dyDescent="0.25">
      <c r="A931" s="4">
        <v>3427</v>
      </c>
      <c r="B931">
        <v>15172</v>
      </c>
      <c r="C931" s="4">
        <v>12292</v>
      </c>
      <c r="D931" t="s">
        <v>306</v>
      </c>
      <c r="E931" s="4">
        <v>20</v>
      </c>
      <c r="F931" s="25">
        <v>43713.75271990741</v>
      </c>
      <c r="G931">
        <v>0</v>
      </c>
      <c r="H931" s="25"/>
      <c r="I931" s="25"/>
      <c r="J931" s="25" t="s">
        <v>300</v>
      </c>
    </row>
    <row r="932" spans="1:10" x14ac:dyDescent="0.25">
      <c r="A932" s="4">
        <v>3427</v>
      </c>
      <c r="B932">
        <v>15172</v>
      </c>
      <c r="C932" s="4">
        <v>12292</v>
      </c>
      <c r="D932" t="s">
        <v>306</v>
      </c>
      <c r="E932" s="4">
        <v>18</v>
      </c>
      <c r="F932" s="25">
        <v>43713.752708333333</v>
      </c>
      <c r="G932">
        <v>0</v>
      </c>
      <c r="H932" s="25"/>
      <c r="I932" s="25"/>
      <c r="J932" s="25" t="s">
        <v>300</v>
      </c>
    </row>
    <row r="933" spans="1:10" x14ac:dyDescent="0.25">
      <c r="A933" s="4">
        <v>3427</v>
      </c>
      <c r="B933">
        <v>15172</v>
      </c>
      <c r="C933" s="4">
        <v>12292</v>
      </c>
      <c r="D933" t="s">
        <v>306</v>
      </c>
      <c r="E933" s="4">
        <v>16</v>
      </c>
      <c r="F933" s="25">
        <v>43713.752696759257</v>
      </c>
      <c r="G933">
        <v>0</v>
      </c>
      <c r="H933" s="25"/>
      <c r="I933" s="25"/>
      <c r="J933" s="25" t="s">
        <v>300</v>
      </c>
    </row>
    <row r="934" spans="1:10" x14ac:dyDescent="0.25">
      <c r="A934" s="4">
        <v>3427</v>
      </c>
      <c r="B934">
        <v>15172</v>
      </c>
      <c r="C934" s="4">
        <v>12292</v>
      </c>
      <c r="D934" t="s">
        <v>306</v>
      </c>
      <c r="E934" s="4">
        <v>17</v>
      </c>
      <c r="F934" s="25">
        <v>43713.752696759257</v>
      </c>
      <c r="G934">
        <v>0</v>
      </c>
      <c r="H934" s="25"/>
      <c r="I934" s="25"/>
      <c r="J934" s="25" t="s">
        <v>300</v>
      </c>
    </row>
    <row r="935" spans="1:10" x14ac:dyDescent="0.25">
      <c r="A935" s="4">
        <v>3427</v>
      </c>
      <c r="B935">
        <v>15172</v>
      </c>
      <c r="C935" s="4">
        <v>12292</v>
      </c>
      <c r="D935" t="s">
        <v>306</v>
      </c>
      <c r="E935" s="4">
        <v>15</v>
      </c>
      <c r="F935" s="25">
        <v>43713.752685185187</v>
      </c>
      <c r="G935">
        <v>0</v>
      </c>
      <c r="H935" s="25"/>
      <c r="I935" s="25"/>
      <c r="J935" s="25" t="s">
        <v>300</v>
      </c>
    </row>
    <row r="936" spans="1:10" x14ac:dyDescent="0.25">
      <c r="A936" s="4">
        <v>3427</v>
      </c>
      <c r="B936">
        <v>15172</v>
      </c>
      <c r="C936" s="4">
        <v>12292</v>
      </c>
      <c r="D936" t="s">
        <v>306</v>
      </c>
      <c r="E936" s="4">
        <v>13</v>
      </c>
      <c r="F936" s="25">
        <v>43713.75267361111</v>
      </c>
      <c r="G936">
        <v>0</v>
      </c>
      <c r="H936" s="25"/>
      <c r="I936" s="25"/>
      <c r="J936" s="25" t="s">
        <v>300</v>
      </c>
    </row>
    <row r="937" spans="1:10" x14ac:dyDescent="0.25">
      <c r="A937" s="4">
        <v>3427</v>
      </c>
      <c r="B937">
        <v>15172</v>
      </c>
      <c r="C937" s="4">
        <v>12292</v>
      </c>
      <c r="D937" t="s">
        <v>306</v>
      </c>
      <c r="E937" s="4">
        <v>14</v>
      </c>
      <c r="F937" s="25">
        <v>43713.75267361111</v>
      </c>
      <c r="G937">
        <v>0</v>
      </c>
      <c r="H937" s="25"/>
      <c r="I937" s="25"/>
      <c r="J937" s="25" t="s">
        <v>300</v>
      </c>
    </row>
    <row r="938" spans="1:10" x14ac:dyDescent="0.25">
      <c r="A938" s="4">
        <v>3427</v>
      </c>
      <c r="B938">
        <v>15172</v>
      </c>
      <c r="C938" s="4">
        <v>12292</v>
      </c>
      <c r="D938" t="s">
        <v>306</v>
      </c>
      <c r="E938" s="4">
        <v>12</v>
      </c>
      <c r="F938" s="25">
        <v>43713.752662037034</v>
      </c>
      <c r="G938">
        <v>0</v>
      </c>
      <c r="H938" s="25"/>
      <c r="I938" s="25"/>
      <c r="J938" s="25" t="s">
        <v>300</v>
      </c>
    </row>
    <row r="939" spans="1:10" x14ac:dyDescent="0.25">
      <c r="A939" s="4">
        <v>3427</v>
      </c>
      <c r="B939">
        <v>15172</v>
      </c>
      <c r="C939" s="4">
        <v>12292</v>
      </c>
      <c r="D939" t="s">
        <v>306</v>
      </c>
      <c r="E939" s="4">
        <v>11</v>
      </c>
      <c r="F939" s="25">
        <v>43713.752650462964</v>
      </c>
      <c r="G939">
        <v>0</v>
      </c>
      <c r="H939" s="25"/>
      <c r="I939" s="25"/>
      <c r="J939" s="25" t="s">
        <v>300</v>
      </c>
    </row>
    <row r="940" spans="1:10" x14ac:dyDescent="0.25">
      <c r="A940" s="4">
        <v>3427</v>
      </c>
      <c r="B940">
        <v>15172</v>
      </c>
      <c r="C940" s="4">
        <v>12292</v>
      </c>
      <c r="D940" t="s">
        <v>306</v>
      </c>
      <c r="E940" s="4">
        <v>9</v>
      </c>
      <c r="F940" s="25">
        <v>43713.752638888887</v>
      </c>
      <c r="G940">
        <v>0</v>
      </c>
      <c r="H940" s="25"/>
      <c r="I940" s="25"/>
      <c r="J940" s="25" t="s">
        <v>300</v>
      </c>
    </row>
    <row r="941" spans="1:10" x14ac:dyDescent="0.25">
      <c r="A941" s="4">
        <v>3427</v>
      </c>
      <c r="B941">
        <v>15172</v>
      </c>
      <c r="C941" s="4">
        <v>12292</v>
      </c>
      <c r="D941" t="s">
        <v>306</v>
      </c>
      <c r="E941" s="4">
        <v>10</v>
      </c>
      <c r="F941" s="25">
        <v>43713.752638888887</v>
      </c>
      <c r="G941">
        <v>0</v>
      </c>
      <c r="H941" s="25"/>
      <c r="I941" s="25"/>
      <c r="J941" s="25" t="s">
        <v>300</v>
      </c>
    </row>
    <row r="942" spans="1:10" x14ac:dyDescent="0.25">
      <c r="A942" s="4">
        <v>3427</v>
      </c>
      <c r="B942">
        <v>15172</v>
      </c>
      <c r="C942" s="4">
        <v>12292</v>
      </c>
      <c r="D942" t="s">
        <v>306</v>
      </c>
      <c r="E942" s="4">
        <v>8</v>
      </c>
      <c r="F942" s="25">
        <v>43713.752627314818</v>
      </c>
      <c r="G942">
        <v>0</v>
      </c>
      <c r="H942" s="25"/>
      <c r="I942" s="25"/>
      <c r="J942" s="25" t="s">
        <v>300</v>
      </c>
    </row>
    <row r="943" spans="1:10" x14ac:dyDescent="0.25">
      <c r="A943" s="4">
        <v>3427</v>
      </c>
      <c r="B943">
        <v>15172</v>
      </c>
      <c r="C943" s="4">
        <v>12292</v>
      </c>
      <c r="D943" t="s">
        <v>306</v>
      </c>
      <c r="E943" s="4">
        <v>7</v>
      </c>
      <c r="F943" s="25">
        <v>43713.752615740741</v>
      </c>
      <c r="G943">
        <v>0</v>
      </c>
      <c r="H943" s="25"/>
      <c r="I943" s="25"/>
      <c r="J943" s="25" t="s">
        <v>300</v>
      </c>
    </row>
    <row r="944" spans="1:10" x14ac:dyDescent="0.25">
      <c r="A944" s="4">
        <v>3427</v>
      </c>
      <c r="B944">
        <v>15172</v>
      </c>
      <c r="C944" s="4">
        <v>12292</v>
      </c>
      <c r="D944" t="s">
        <v>306</v>
      </c>
      <c r="E944" s="4">
        <v>5</v>
      </c>
      <c r="F944" s="25">
        <v>43713.752604166664</v>
      </c>
      <c r="G944">
        <v>0</v>
      </c>
      <c r="H944" s="25"/>
      <c r="I944" s="25"/>
      <c r="J944" s="25" t="s">
        <v>300</v>
      </c>
    </row>
    <row r="945" spans="1:10" x14ac:dyDescent="0.25">
      <c r="A945" s="4">
        <v>3427</v>
      </c>
      <c r="B945">
        <v>15172</v>
      </c>
      <c r="C945" s="4">
        <v>12292</v>
      </c>
      <c r="D945" t="s">
        <v>306</v>
      </c>
      <c r="E945" s="4">
        <v>6</v>
      </c>
      <c r="F945" s="25">
        <v>43713.752604166664</v>
      </c>
      <c r="G945">
        <v>0</v>
      </c>
      <c r="H945" s="25"/>
      <c r="I945" s="25"/>
      <c r="J945" s="25" t="s">
        <v>300</v>
      </c>
    </row>
    <row r="946" spans="1:10" x14ac:dyDescent="0.25">
      <c r="A946" s="4">
        <v>3427</v>
      </c>
      <c r="B946">
        <v>15172</v>
      </c>
      <c r="C946" s="4">
        <v>12292</v>
      </c>
      <c r="D946" t="s">
        <v>306</v>
      </c>
      <c r="E946" s="4">
        <v>4</v>
      </c>
      <c r="F946" s="25">
        <v>43713.752592592595</v>
      </c>
      <c r="G946">
        <v>0</v>
      </c>
      <c r="H946" s="25"/>
      <c r="I946" s="25"/>
      <c r="J946" s="25" t="s">
        <v>300</v>
      </c>
    </row>
    <row r="947" spans="1:10" x14ac:dyDescent="0.25">
      <c r="A947" s="4">
        <v>3427</v>
      </c>
      <c r="B947">
        <v>15172</v>
      </c>
      <c r="C947" s="4">
        <v>12292</v>
      </c>
      <c r="D947" t="s">
        <v>306</v>
      </c>
      <c r="E947" s="4">
        <v>3</v>
      </c>
      <c r="F947" s="25">
        <v>43713.752581018518</v>
      </c>
      <c r="G947">
        <v>0</v>
      </c>
      <c r="H947" s="25"/>
      <c r="I947" s="25"/>
      <c r="J947" s="25" t="s">
        <v>300</v>
      </c>
    </row>
    <row r="948" spans="1:10" x14ac:dyDescent="0.25">
      <c r="A948" s="4">
        <v>3427</v>
      </c>
      <c r="B948">
        <v>15172</v>
      </c>
      <c r="C948" s="4">
        <v>12292</v>
      </c>
      <c r="D948" t="s">
        <v>306</v>
      </c>
      <c r="E948" s="4">
        <v>1</v>
      </c>
      <c r="F948" s="25">
        <v>43713.752569444441</v>
      </c>
      <c r="G948">
        <v>0</v>
      </c>
      <c r="H948" s="25"/>
      <c r="I948" s="25"/>
      <c r="J948" s="25" t="s">
        <v>300</v>
      </c>
    </row>
    <row r="949" spans="1:10" x14ac:dyDescent="0.25">
      <c r="A949" s="4">
        <v>3427</v>
      </c>
      <c r="B949">
        <v>15172</v>
      </c>
      <c r="C949" s="4">
        <v>12292</v>
      </c>
      <c r="D949" t="s">
        <v>306</v>
      </c>
      <c r="E949" s="4">
        <v>2</v>
      </c>
      <c r="F949" s="25">
        <v>43713.752569444441</v>
      </c>
      <c r="G949">
        <v>0</v>
      </c>
      <c r="H949" s="25"/>
      <c r="I949" s="25"/>
      <c r="J949" s="25" t="s">
        <v>300</v>
      </c>
    </row>
    <row r="950" spans="1:10" x14ac:dyDescent="0.25">
      <c r="A950" s="4">
        <v>3427</v>
      </c>
      <c r="B950">
        <v>15172</v>
      </c>
      <c r="C950" s="4">
        <v>12292</v>
      </c>
      <c r="D950" t="s">
        <v>306</v>
      </c>
      <c r="E950" s="4">
        <v>0</v>
      </c>
      <c r="F950" s="25">
        <v>43713.752557870372</v>
      </c>
      <c r="G950">
        <v>0</v>
      </c>
      <c r="H950" s="25"/>
      <c r="I950" s="25"/>
      <c r="J950" s="25" t="s">
        <v>300</v>
      </c>
    </row>
    <row r="951" spans="1:10" x14ac:dyDescent="0.25">
      <c r="A951" s="4">
        <v>30131</v>
      </c>
      <c r="B951">
        <v>2568</v>
      </c>
      <c r="C951" s="4">
        <v>12292</v>
      </c>
      <c r="D951" t="s">
        <v>306</v>
      </c>
      <c r="E951" s="4">
        <v>1</v>
      </c>
      <c r="F951" s="25">
        <v>43713.750023148146</v>
      </c>
      <c r="G951">
        <v>0</v>
      </c>
      <c r="H951" s="25"/>
      <c r="I951" s="25"/>
      <c r="J951" s="25" t="s">
        <v>300</v>
      </c>
    </row>
    <row r="952" spans="1:10" x14ac:dyDescent="0.25">
      <c r="A952" s="4">
        <v>30206</v>
      </c>
      <c r="B952">
        <v>15764</v>
      </c>
      <c r="C952" s="4">
        <v>12292</v>
      </c>
      <c r="D952" t="s">
        <v>306</v>
      </c>
      <c r="E952" s="4">
        <v>24</v>
      </c>
      <c r="F952" s="25">
        <v>43713.732256944444</v>
      </c>
      <c r="G952">
        <v>0</v>
      </c>
      <c r="H952" s="25"/>
      <c r="I952" s="25"/>
      <c r="J952" s="25" t="s">
        <v>300</v>
      </c>
    </row>
    <row r="953" spans="1:10" x14ac:dyDescent="0.25">
      <c r="A953" s="4">
        <v>30206</v>
      </c>
      <c r="B953">
        <v>15764</v>
      </c>
      <c r="C953" s="4">
        <v>12292</v>
      </c>
      <c r="D953" t="s">
        <v>306</v>
      </c>
      <c r="E953" s="4">
        <v>23</v>
      </c>
      <c r="F953" s="25">
        <v>43713.732245370367</v>
      </c>
      <c r="G953">
        <v>0</v>
      </c>
      <c r="H953" s="25"/>
      <c r="I953" s="25"/>
      <c r="J953" s="25" t="s">
        <v>300</v>
      </c>
    </row>
    <row r="954" spans="1:10" x14ac:dyDescent="0.25">
      <c r="A954" s="4">
        <v>30206</v>
      </c>
      <c r="B954">
        <v>15764</v>
      </c>
      <c r="C954" s="4">
        <v>12292</v>
      </c>
      <c r="D954" t="s">
        <v>306</v>
      </c>
      <c r="E954" s="4">
        <v>22</v>
      </c>
      <c r="F954" s="25">
        <v>43713.732233796298</v>
      </c>
      <c r="G954">
        <v>0</v>
      </c>
      <c r="H954" s="25"/>
      <c r="I954" s="25"/>
      <c r="J954" s="25" t="s">
        <v>300</v>
      </c>
    </row>
    <row r="955" spans="1:10" x14ac:dyDescent="0.25">
      <c r="A955" s="4">
        <v>30206</v>
      </c>
      <c r="B955">
        <v>15764</v>
      </c>
      <c r="C955" s="4">
        <v>12292</v>
      </c>
      <c r="D955" t="s">
        <v>306</v>
      </c>
      <c r="E955" s="4">
        <v>20</v>
      </c>
      <c r="F955" s="25">
        <v>43713.732222222221</v>
      </c>
      <c r="G955">
        <v>0</v>
      </c>
      <c r="H955" s="25"/>
      <c r="I955" s="25"/>
      <c r="J955" s="25" t="s">
        <v>300</v>
      </c>
    </row>
    <row r="956" spans="1:10" x14ac:dyDescent="0.25">
      <c r="A956" s="4">
        <v>30206</v>
      </c>
      <c r="B956">
        <v>15764</v>
      </c>
      <c r="C956" s="4">
        <v>12292</v>
      </c>
      <c r="D956" t="s">
        <v>306</v>
      </c>
      <c r="E956" s="4">
        <v>21</v>
      </c>
      <c r="F956" s="25">
        <v>43713.732222222221</v>
      </c>
      <c r="G956">
        <v>0</v>
      </c>
      <c r="H956" s="25"/>
      <c r="I956" s="25"/>
      <c r="J956" s="25" t="s">
        <v>300</v>
      </c>
    </row>
    <row r="957" spans="1:10" x14ac:dyDescent="0.25">
      <c r="A957" s="4">
        <v>30206</v>
      </c>
      <c r="B957">
        <v>15764</v>
      </c>
      <c r="C957" s="4">
        <v>12292</v>
      </c>
      <c r="D957" t="s">
        <v>306</v>
      </c>
      <c r="E957" s="4">
        <v>19</v>
      </c>
      <c r="F957" s="25">
        <v>43713.732210648152</v>
      </c>
      <c r="G957">
        <v>0</v>
      </c>
      <c r="H957" s="25"/>
      <c r="I957" s="25"/>
      <c r="J957" s="25" t="s">
        <v>300</v>
      </c>
    </row>
    <row r="958" spans="1:10" x14ac:dyDescent="0.25">
      <c r="A958" s="4">
        <v>30206</v>
      </c>
      <c r="B958">
        <v>15764</v>
      </c>
      <c r="C958" s="4">
        <v>12292</v>
      </c>
      <c r="D958" t="s">
        <v>306</v>
      </c>
      <c r="E958" s="4">
        <v>17</v>
      </c>
      <c r="F958" s="25">
        <v>43713.732199074075</v>
      </c>
      <c r="G958">
        <v>0</v>
      </c>
      <c r="H958" s="25"/>
      <c r="I958" s="25"/>
      <c r="J958" s="25" t="s">
        <v>300</v>
      </c>
    </row>
    <row r="959" spans="1:10" x14ac:dyDescent="0.25">
      <c r="A959" s="4">
        <v>30206</v>
      </c>
      <c r="B959">
        <v>15764</v>
      </c>
      <c r="C959" s="4">
        <v>12292</v>
      </c>
      <c r="D959" t="s">
        <v>306</v>
      </c>
      <c r="E959" s="4">
        <v>18</v>
      </c>
      <c r="F959" s="25">
        <v>43713.732199074075</v>
      </c>
      <c r="G959">
        <v>0</v>
      </c>
      <c r="H959" s="25"/>
      <c r="I959" s="25"/>
      <c r="J959" s="25" t="s">
        <v>300</v>
      </c>
    </row>
    <row r="960" spans="1:10" x14ac:dyDescent="0.25">
      <c r="A960" s="4">
        <v>30206</v>
      </c>
      <c r="B960">
        <v>15764</v>
      </c>
      <c r="C960" s="4">
        <v>12292</v>
      </c>
      <c r="D960" t="s">
        <v>306</v>
      </c>
      <c r="E960" s="4">
        <v>16</v>
      </c>
      <c r="F960" s="25">
        <v>43713.732187499998</v>
      </c>
      <c r="G960">
        <v>0</v>
      </c>
      <c r="H960" s="25"/>
      <c r="I960" s="25"/>
      <c r="J960" s="25" t="s">
        <v>300</v>
      </c>
    </row>
    <row r="961" spans="1:10" x14ac:dyDescent="0.25">
      <c r="A961" s="4">
        <v>30206</v>
      </c>
      <c r="B961">
        <v>15764</v>
      </c>
      <c r="C961" s="4">
        <v>12292</v>
      </c>
      <c r="D961" t="s">
        <v>306</v>
      </c>
      <c r="E961" s="4">
        <v>14</v>
      </c>
      <c r="F961" s="25">
        <v>43713.732175925928</v>
      </c>
      <c r="G961">
        <v>0</v>
      </c>
      <c r="H961" s="25"/>
      <c r="I961" s="25"/>
      <c r="J961" s="25" t="s">
        <v>300</v>
      </c>
    </row>
    <row r="962" spans="1:10" x14ac:dyDescent="0.25">
      <c r="A962" s="4">
        <v>30206</v>
      </c>
      <c r="B962">
        <v>15764</v>
      </c>
      <c r="C962" s="4">
        <v>12292</v>
      </c>
      <c r="D962" t="s">
        <v>306</v>
      </c>
      <c r="E962" s="4">
        <v>15</v>
      </c>
      <c r="F962" s="25">
        <v>43713.732175925928</v>
      </c>
      <c r="G962">
        <v>0</v>
      </c>
      <c r="H962" s="25"/>
      <c r="I962" s="25"/>
      <c r="J962" s="25" t="s">
        <v>300</v>
      </c>
    </row>
    <row r="963" spans="1:10" x14ac:dyDescent="0.25">
      <c r="A963" s="4">
        <v>30206</v>
      </c>
      <c r="B963">
        <v>15764</v>
      </c>
      <c r="C963" s="4">
        <v>12292</v>
      </c>
      <c r="D963" t="s">
        <v>306</v>
      </c>
      <c r="E963" s="4">
        <v>13</v>
      </c>
      <c r="F963" s="25">
        <v>43713.732164351852</v>
      </c>
      <c r="G963">
        <v>0</v>
      </c>
      <c r="H963" s="25"/>
      <c r="I963" s="25"/>
      <c r="J963" s="25" t="s">
        <v>300</v>
      </c>
    </row>
    <row r="964" spans="1:10" x14ac:dyDescent="0.25">
      <c r="A964" s="4">
        <v>30206</v>
      </c>
      <c r="B964">
        <v>15764</v>
      </c>
      <c r="C964" s="4">
        <v>12292</v>
      </c>
      <c r="D964" t="s">
        <v>306</v>
      </c>
      <c r="E964" s="4">
        <v>11</v>
      </c>
      <c r="F964" s="25">
        <v>43713.732152777775</v>
      </c>
      <c r="G964">
        <v>0</v>
      </c>
      <c r="H964" s="25"/>
      <c r="I964" s="25"/>
      <c r="J964" s="25" t="s">
        <v>300</v>
      </c>
    </row>
    <row r="965" spans="1:10" x14ac:dyDescent="0.25">
      <c r="A965" s="4">
        <v>30206</v>
      </c>
      <c r="B965">
        <v>15764</v>
      </c>
      <c r="C965" s="4">
        <v>12292</v>
      </c>
      <c r="D965" t="s">
        <v>306</v>
      </c>
      <c r="E965" s="4">
        <v>12</v>
      </c>
      <c r="F965" s="25">
        <v>43713.732152777775</v>
      </c>
      <c r="G965">
        <v>0</v>
      </c>
      <c r="H965" s="25"/>
      <c r="I965" s="25"/>
      <c r="J965" s="25" t="s">
        <v>300</v>
      </c>
    </row>
    <row r="966" spans="1:10" x14ac:dyDescent="0.25">
      <c r="A966" s="4">
        <v>30206</v>
      </c>
      <c r="B966">
        <v>15764</v>
      </c>
      <c r="C966" s="4">
        <v>12292</v>
      </c>
      <c r="D966" t="s">
        <v>306</v>
      </c>
      <c r="E966" s="4">
        <v>10</v>
      </c>
      <c r="F966" s="25">
        <v>43713.732141203705</v>
      </c>
      <c r="G966">
        <v>0</v>
      </c>
      <c r="H966" s="25"/>
      <c r="I966" s="25"/>
      <c r="J966" s="25" t="s">
        <v>300</v>
      </c>
    </row>
    <row r="967" spans="1:10" x14ac:dyDescent="0.25">
      <c r="A967" s="4">
        <v>30206</v>
      </c>
      <c r="B967">
        <v>15764</v>
      </c>
      <c r="C967" s="4">
        <v>12292</v>
      </c>
      <c r="D967" t="s">
        <v>306</v>
      </c>
      <c r="E967" s="4">
        <v>8</v>
      </c>
      <c r="F967" s="25">
        <v>43713.732129629629</v>
      </c>
      <c r="G967">
        <v>0</v>
      </c>
      <c r="H967" s="25"/>
      <c r="I967" s="25"/>
      <c r="J967" s="25" t="s">
        <v>300</v>
      </c>
    </row>
    <row r="968" spans="1:10" x14ac:dyDescent="0.25">
      <c r="A968" s="4">
        <v>30206</v>
      </c>
      <c r="B968">
        <v>15764</v>
      </c>
      <c r="C968" s="4">
        <v>12292</v>
      </c>
      <c r="D968" t="s">
        <v>306</v>
      </c>
      <c r="E968" s="4">
        <v>9</v>
      </c>
      <c r="F968" s="25">
        <v>43713.732129629629</v>
      </c>
      <c r="G968">
        <v>0</v>
      </c>
      <c r="H968" s="25"/>
      <c r="I968" s="25"/>
      <c r="J968" s="25" t="s">
        <v>300</v>
      </c>
    </row>
    <row r="969" spans="1:10" x14ac:dyDescent="0.25">
      <c r="A969" s="4">
        <v>30206</v>
      </c>
      <c r="B969">
        <v>15764</v>
      </c>
      <c r="C969" s="4">
        <v>12292</v>
      </c>
      <c r="D969" t="s">
        <v>306</v>
      </c>
      <c r="E969" s="4">
        <v>7</v>
      </c>
      <c r="F969" s="25">
        <v>43713.732118055559</v>
      </c>
      <c r="G969">
        <v>0</v>
      </c>
      <c r="H969" s="25"/>
      <c r="I969" s="25"/>
      <c r="J969" s="25" t="s">
        <v>300</v>
      </c>
    </row>
    <row r="970" spans="1:10" x14ac:dyDescent="0.25">
      <c r="A970" s="4">
        <v>30206</v>
      </c>
      <c r="B970">
        <v>15764</v>
      </c>
      <c r="C970" s="4">
        <v>12292</v>
      </c>
      <c r="D970" t="s">
        <v>306</v>
      </c>
      <c r="E970" s="4">
        <v>6</v>
      </c>
      <c r="F970" s="25">
        <v>43713.732106481482</v>
      </c>
      <c r="G970">
        <v>0</v>
      </c>
      <c r="H970" s="25"/>
      <c r="I970" s="25"/>
      <c r="J970" s="25" t="s">
        <v>300</v>
      </c>
    </row>
    <row r="971" spans="1:10" x14ac:dyDescent="0.25">
      <c r="A971" s="4">
        <v>30206</v>
      </c>
      <c r="B971">
        <v>15764</v>
      </c>
      <c r="C971" s="4">
        <v>12292</v>
      </c>
      <c r="D971" t="s">
        <v>306</v>
      </c>
      <c r="E971" s="4">
        <v>5</v>
      </c>
      <c r="F971" s="25">
        <v>43713.732094907406</v>
      </c>
      <c r="G971">
        <v>0</v>
      </c>
      <c r="H971" s="25"/>
      <c r="I971" s="25"/>
      <c r="J971" s="25" t="s">
        <v>300</v>
      </c>
    </row>
    <row r="972" spans="1:10" x14ac:dyDescent="0.25">
      <c r="A972" s="4">
        <v>30206</v>
      </c>
      <c r="B972">
        <v>15764</v>
      </c>
      <c r="C972" s="4">
        <v>12292</v>
      </c>
      <c r="D972" t="s">
        <v>306</v>
      </c>
      <c r="E972" s="4">
        <v>3</v>
      </c>
      <c r="F972" s="25">
        <v>43713.732083333336</v>
      </c>
      <c r="G972">
        <v>0</v>
      </c>
      <c r="H972" s="25"/>
      <c r="I972" s="25"/>
      <c r="J972" s="25" t="s">
        <v>300</v>
      </c>
    </row>
    <row r="973" spans="1:10" x14ac:dyDescent="0.25">
      <c r="A973" s="4">
        <v>30206</v>
      </c>
      <c r="B973">
        <v>15764</v>
      </c>
      <c r="C973" s="4">
        <v>12292</v>
      </c>
      <c r="D973" t="s">
        <v>306</v>
      </c>
      <c r="E973" s="4">
        <v>4</v>
      </c>
      <c r="F973" s="25">
        <v>43713.732083333336</v>
      </c>
      <c r="G973">
        <v>0</v>
      </c>
      <c r="H973" s="25"/>
      <c r="I973" s="25"/>
      <c r="J973" s="25" t="s">
        <v>300</v>
      </c>
    </row>
    <row r="974" spans="1:10" x14ac:dyDescent="0.25">
      <c r="A974" s="4">
        <v>30206</v>
      </c>
      <c r="B974">
        <v>15764</v>
      </c>
      <c r="C974" s="4">
        <v>12292</v>
      </c>
      <c r="D974" t="s">
        <v>306</v>
      </c>
      <c r="E974" s="4">
        <v>2</v>
      </c>
      <c r="F974" s="25">
        <v>43713.732071759259</v>
      </c>
      <c r="G974">
        <v>0</v>
      </c>
      <c r="H974" s="25"/>
      <c r="I974" s="25"/>
      <c r="J974" s="25" t="s">
        <v>300</v>
      </c>
    </row>
    <row r="975" spans="1:10" x14ac:dyDescent="0.25">
      <c r="A975" s="4">
        <v>30206</v>
      </c>
      <c r="B975">
        <v>15764</v>
      </c>
      <c r="C975" s="4">
        <v>12292</v>
      </c>
      <c r="D975" t="s">
        <v>306</v>
      </c>
      <c r="E975" s="4">
        <v>1</v>
      </c>
      <c r="F975" s="25">
        <v>43713.732060185182</v>
      </c>
      <c r="G975">
        <v>0</v>
      </c>
      <c r="H975" s="25"/>
      <c r="I975" s="25"/>
      <c r="J975" s="25" t="s">
        <v>300</v>
      </c>
    </row>
    <row r="976" spans="1:10" x14ac:dyDescent="0.25">
      <c r="A976" s="4">
        <v>30206</v>
      </c>
      <c r="B976">
        <v>15764</v>
      </c>
      <c r="C976" s="4">
        <v>12292</v>
      </c>
      <c r="D976" t="s">
        <v>306</v>
      </c>
      <c r="E976" s="4">
        <v>0</v>
      </c>
      <c r="F976" s="25">
        <v>43713.732048611113</v>
      </c>
      <c r="G976">
        <v>0</v>
      </c>
      <c r="H976" s="25"/>
      <c r="I976" s="25"/>
      <c r="J976" s="25" t="s">
        <v>300</v>
      </c>
    </row>
    <row r="977" spans="1:10" x14ac:dyDescent="0.25">
      <c r="A977" s="4">
        <v>30131</v>
      </c>
      <c r="B977">
        <v>2568</v>
      </c>
      <c r="C977" s="4">
        <v>12292</v>
      </c>
      <c r="D977" t="s">
        <v>306</v>
      </c>
      <c r="E977" s="4">
        <v>0</v>
      </c>
      <c r="F977" s="25">
        <v>43713.73128472222</v>
      </c>
      <c r="G977">
        <v>0</v>
      </c>
      <c r="H977" s="25"/>
      <c r="I977" s="25"/>
      <c r="J977" s="25" t="s">
        <v>300</v>
      </c>
    </row>
    <row r="978" spans="1:10" x14ac:dyDescent="0.25">
      <c r="A978" s="4">
        <v>61</v>
      </c>
      <c r="B978">
        <v>12468</v>
      </c>
      <c r="C978" s="4">
        <v>12292</v>
      </c>
      <c r="D978" t="s">
        <v>7</v>
      </c>
      <c r="E978" s="4">
        <v>0</v>
      </c>
      <c r="F978" s="25">
        <v>43713.722766203704</v>
      </c>
      <c r="G978">
        <v>0</v>
      </c>
      <c r="H978" s="25"/>
      <c r="I978" s="25" t="s">
        <v>344</v>
      </c>
      <c r="J978" s="25" t="s">
        <v>300</v>
      </c>
    </row>
    <row r="979" spans="1:10" x14ac:dyDescent="0.25">
      <c r="A979" s="4">
        <v>61</v>
      </c>
      <c r="B979">
        <v>13548</v>
      </c>
      <c r="C979" s="4">
        <v>12292</v>
      </c>
      <c r="D979" t="s">
        <v>7</v>
      </c>
      <c r="E979" s="4">
        <v>0</v>
      </c>
      <c r="F979" s="25">
        <v>43713.722719907404</v>
      </c>
      <c r="G979">
        <v>0</v>
      </c>
      <c r="H979" s="25"/>
      <c r="I979" s="25" t="s">
        <v>343</v>
      </c>
      <c r="J979" s="25" t="s">
        <v>300</v>
      </c>
    </row>
    <row r="980" spans="1:10" x14ac:dyDescent="0.25">
      <c r="A980" s="4">
        <v>61</v>
      </c>
      <c r="B980">
        <v>7700</v>
      </c>
      <c r="C980" s="4">
        <v>12292</v>
      </c>
      <c r="D980" t="s">
        <v>7</v>
      </c>
      <c r="E980" s="4">
        <v>0</v>
      </c>
      <c r="F980" s="25">
        <v>43713.719537037039</v>
      </c>
      <c r="G980">
        <v>0</v>
      </c>
      <c r="H980" s="25"/>
      <c r="I980" s="25" t="s">
        <v>344</v>
      </c>
      <c r="J980" s="25" t="s">
        <v>300</v>
      </c>
    </row>
    <row r="981" spans="1:10" x14ac:dyDescent="0.25">
      <c r="A981" s="4">
        <v>61</v>
      </c>
      <c r="B981">
        <v>14851</v>
      </c>
      <c r="C981" s="4">
        <v>12292</v>
      </c>
      <c r="D981" t="s">
        <v>7</v>
      </c>
      <c r="E981" s="4">
        <v>0</v>
      </c>
      <c r="F981" s="25">
        <v>43713.719178240739</v>
      </c>
      <c r="G981">
        <v>0</v>
      </c>
      <c r="H981" s="25"/>
      <c r="I981" s="25" t="s">
        <v>343</v>
      </c>
      <c r="J981" s="25" t="s">
        <v>300</v>
      </c>
    </row>
    <row r="982" spans="1:10" x14ac:dyDescent="0.25">
      <c r="A982" s="4">
        <v>61</v>
      </c>
      <c r="B982">
        <v>16192</v>
      </c>
      <c r="C982" s="4">
        <v>12292</v>
      </c>
      <c r="D982" t="s">
        <v>7</v>
      </c>
      <c r="E982" s="4">
        <v>0</v>
      </c>
      <c r="F982" s="25">
        <v>43713.713113425925</v>
      </c>
      <c r="G982">
        <v>0</v>
      </c>
      <c r="H982" s="25"/>
      <c r="I982" s="25" t="s">
        <v>342</v>
      </c>
      <c r="J982" s="25" t="s">
        <v>300</v>
      </c>
    </row>
    <row r="983" spans="1:10" x14ac:dyDescent="0.25">
      <c r="A983" s="4">
        <v>10512</v>
      </c>
      <c r="B983">
        <v>16136</v>
      </c>
      <c r="C983" s="4">
        <v>12292</v>
      </c>
      <c r="D983" t="s">
        <v>306</v>
      </c>
      <c r="E983" s="4">
        <v>4</v>
      </c>
      <c r="F983" s="25">
        <v>43713.708344907405</v>
      </c>
      <c r="G983">
        <v>0</v>
      </c>
      <c r="H983" s="25"/>
      <c r="I983" s="25"/>
      <c r="J983" s="25" t="s">
        <v>300</v>
      </c>
    </row>
    <row r="984" spans="1:10" x14ac:dyDescent="0.25">
      <c r="A984" s="4">
        <v>10512</v>
      </c>
      <c r="B984">
        <v>16136</v>
      </c>
      <c r="C984" s="4">
        <v>12292</v>
      </c>
      <c r="D984" t="s">
        <v>306</v>
      </c>
      <c r="E984" s="4">
        <v>3</v>
      </c>
      <c r="F984" s="25">
        <v>43713.666689814818</v>
      </c>
      <c r="G984">
        <v>0</v>
      </c>
      <c r="H984" s="25"/>
      <c r="I984" s="25"/>
      <c r="J984" s="25" t="s">
        <v>300</v>
      </c>
    </row>
    <row r="985" spans="1:10" x14ac:dyDescent="0.25">
      <c r="A985" s="4">
        <v>61</v>
      </c>
      <c r="B985">
        <v>15720</v>
      </c>
      <c r="C985" s="4">
        <v>12292</v>
      </c>
      <c r="D985" t="s">
        <v>7</v>
      </c>
      <c r="E985" s="4">
        <v>0</v>
      </c>
      <c r="F985" s="25">
        <v>43713.6559375</v>
      </c>
      <c r="G985">
        <v>0</v>
      </c>
      <c r="H985" s="25"/>
      <c r="I985" s="25" t="s">
        <v>342</v>
      </c>
      <c r="J985" s="25" t="s">
        <v>300</v>
      </c>
    </row>
    <row r="986" spans="1:10" x14ac:dyDescent="0.25">
      <c r="A986" s="4">
        <v>61</v>
      </c>
      <c r="B986">
        <v>8092</v>
      </c>
      <c r="C986" s="4">
        <v>12292</v>
      </c>
      <c r="D986" t="s">
        <v>7</v>
      </c>
      <c r="E986" s="4">
        <v>0</v>
      </c>
      <c r="F986" s="25">
        <v>43713.655925925923</v>
      </c>
      <c r="G986">
        <v>0</v>
      </c>
      <c r="H986" s="25"/>
      <c r="I986" s="25" t="s">
        <v>341</v>
      </c>
      <c r="J986" s="25" t="s">
        <v>304</v>
      </c>
    </row>
    <row r="987" spans="1:10" x14ac:dyDescent="0.25">
      <c r="A987" s="4">
        <v>61</v>
      </c>
      <c r="B987">
        <v>14292</v>
      </c>
      <c r="C987" s="4">
        <v>12292</v>
      </c>
      <c r="D987" t="s">
        <v>7</v>
      </c>
      <c r="E987" s="4">
        <v>0</v>
      </c>
      <c r="F987" s="25">
        <v>43713.655925925923</v>
      </c>
      <c r="G987">
        <v>0</v>
      </c>
      <c r="H987" s="25"/>
      <c r="I987" s="25" t="s">
        <v>329</v>
      </c>
      <c r="J987" s="25" t="s">
        <v>300</v>
      </c>
    </row>
    <row r="988" spans="1:10" x14ac:dyDescent="0.25">
      <c r="A988" s="4">
        <v>61</v>
      </c>
      <c r="B988">
        <v>7760</v>
      </c>
      <c r="C988" s="4">
        <v>12292</v>
      </c>
      <c r="D988" t="s">
        <v>7</v>
      </c>
      <c r="E988" s="4">
        <v>0</v>
      </c>
      <c r="F988" s="25">
        <v>43713.654166666667</v>
      </c>
      <c r="G988">
        <v>0</v>
      </c>
      <c r="H988" s="25"/>
      <c r="I988" s="25" t="s">
        <v>340</v>
      </c>
      <c r="J988" s="25" t="s">
        <v>304</v>
      </c>
    </row>
    <row r="989" spans="1:10" x14ac:dyDescent="0.25">
      <c r="A989" s="4">
        <v>61</v>
      </c>
      <c r="B989">
        <v>15244</v>
      </c>
      <c r="C989" s="4">
        <v>12292</v>
      </c>
      <c r="D989" t="s">
        <v>7</v>
      </c>
      <c r="E989" s="4">
        <v>0</v>
      </c>
      <c r="F989" s="25">
        <v>43713.652939814812</v>
      </c>
      <c r="G989">
        <v>0</v>
      </c>
      <c r="H989" s="25"/>
      <c r="I989" s="25" t="s">
        <v>339</v>
      </c>
      <c r="J989" s="25" t="s">
        <v>300</v>
      </c>
    </row>
    <row r="990" spans="1:10" x14ac:dyDescent="0.25">
      <c r="A990" s="4">
        <v>61</v>
      </c>
      <c r="B990">
        <v>13680</v>
      </c>
      <c r="C990" s="4">
        <v>12292</v>
      </c>
      <c r="D990" t="s">
        <v>7</v>
      </c>
      <c r="E990" s="4">
        <v>0</v>
      </c>
      <c r="F990" s="25">
        <v>43713.649722222224</v>
      </c>
      <c r="G990">
        <v>0</v>
      </c>
      <c r="H990" s="25"/>
      <c r="I990" s="25" t="s">
        <v>335</v>
      </c>
      <c r="J990" s="25" t="s">
        <v>300</v>
      </c>
    </row>
    <row r="991" spans="1:10" x14ac:dyDescent="0.25">
      <c r="A991" s="4">
        <v>60</v>
      </c>
      <c r="B991">
        <v>13100</v>
      </c>
      <c r="C991" s="4">
        <v>12292</v>
      </c>
      <c r="D991" t="s">
        <v>7</v>
      </c>
      <c r="E991" s="4">
        <v>0</v>
      </c>
      <c r="F991" s="25">
        <v>43713.647210648145</v>
      </c>
      <c r="G991">
        <v>0</v>
      </c>
      <c r="H991" s="25"/>
      <c r="I991" s="25" t="s">
        <v>335</v>
      </c>
      <c r="J991" s="25" t="s">
        <v>300</v>
      </c>
    </row>
    <row r="992" spans="1:10" x14ac:dyDescent="0.25">
      <c r="A992" s="4">
        <v>60</v>
      </c>
      <c r="B992">
        <v>12636</v>
      </c>
      <c r="C992" s="4">
        <v>12292</v>
      </c>
      <c r="D992" t="s">
        <v>7</v>
      </c>
      <c r="E992" s="4">
        <v>0</v>
      </c>
      <c r="F992" s="25">
        <v>43713.642708333333</v>
      </c>
      <c r="G992">
        <v>0</v>
      </c>
      <c r="H992" s="25"/>
      <c r="I992" s="25" t="s">
        <v>405</v>
      </c>
      <c r="J992" s="25" t="s">
        <v>304</v>
      </c>
    </row>
    <row r="993" spans="1:10" x14ac:dyDescent="0.25">
      <c r="A993" s="4">
        <v>60</v>
      </c>
      <c r="B993">
        <v>16380</v>
      </c>
      <c r="C993" s="4">
        <v>12292</v>
      </c>
      <c r="D993" t="s">
        <v>7</v>
      </c>
      <c r="E993" s="4">
        <v>0</v>
      </c>
      <c r="F993" s="25">
        <v>43713.641018518516</v>
      </c>
      <c r="G993">
        <v>0</v>
      </c>
      <c r="H993" s="25"/>
      <c r="I993" s="25" t="s">
        <v>338</v>
      </c>
      <c r="J993" s="25" t="s">
        <v>304</v>
      </c>
    </row>
    <row r="994" spans="1:10" x14ac:dyDescent="0.25">
      <c r="A994" s="4">
        <v>60</v>
      </c>
      <c r="B994">
        <v>16240</v>
      </c>
      <c r="C994" s="4">
        <v>12292</v>
      </c>
      <c r="D994" t="s">
        <v>7</v>
      </c>
      <c r="E994" s="4">
        <v>0</v>
      </c>
      <c r="F994" s="25">
        <v>43713.638159722221</v>
      </c>
      <c r="G994">
        <v>0</v>
      </c>
      <c r="H994" s="25"/>
      <c r="I994" s="25" t="s">
        <v>338</v>
      </c>
      <c r="J994" s="25" t="s">
        <v>300</v>
      </c>
    </row>
    <row r="995" spans="1:10" x14ac:dyDescent="0.25">
      <c r="A995" s="4">
        <v>60</v>
      </c>
      <c r="B995">
        <v>14312</v>
      </c>
      <c r="C995" s="4">
        <v>12292</v>
      </c>
      <c r="D995" t="s">
        <v>7</v>
      </c>
      <c r="E995" s="4">
        <v>0</v>
      </c>
      <c r="F995" s="25">
        <v>43713.6325462963</v>
      </c>
      <c r="G995">
        <v>0</v>
      </c>
      <c r="H995" s="25"/>
      <c r="I995" s="25" t="s">
        <v>333</v>
      </c>
      <c r="J995" s="25" t="s">
        <v>300</v>
      </c>
    </row>
    <row r="996" spans="1:10" x14ac:dyDescent="0.25">
      <c r="A996" s="4">
        <v>60</v>
      </c>
      <c r="B996">
        <v>11940</v>
      </c>
      <c r="C996" s="4">
        <v>12292</v>
      </c>
      <c r="D996" t="s">
        <v>7</v>
      </c>
      <c r="E996" s="4">
        <v>0</v>
      </c>
      <c r="F996" s="25">
        <v>43713.63040509259</v>
      </c>
      <c r="G996">
        <v>0</v>
      </c>
      <c r="H996" s="25"/>
      <c r="I996" s="25" t="s">
        <v>333</v>
      </c>
      <c r="J996" s="25" t="s">
        <v>304</v>
      </c>
    </row>
    <row r="997" spans="1:10" x14ac:dyDescent="0.25">
      <c r="A997" s="4">
        <v>70</v>
      </c>
      <c r="B997">
        <v>11427</v>
      </c>
      <c r="C997" s="4">
        <v>6912</v>
      </c>
      <c r="D997" t="s">
        <v>7</v>
      </c>
      <c r="E997" s="4">
        <v>0</v>
      </c>
      <c r="F997" s="25">
        <v>43713.625497685185</v>
      </c>
      <c r="G997">
        <v>0</v>
      </c>
      <c r="H997" s="25"/>
      <c r="I997" s="25" t="s">
        <v>347</v>
      </c>
      <c r="J997" s="25" t="s">
        <v>304</v>
      </c>
    </row>
    <row r="998" spans="1:10" x14ac:dyDescent="0.25">
      <c r="A998" s="4">
        <v>10512</v>
      </c>
      <c r="B998">
        <v>16136</v>
      </c>
      <c r="C998" s="4">
        <v>12292</v>
      </c>
      <c r="D998" t="s">
        <v>306</v>
      </c>
      <c r="E998" s="4">
        <v>2</v>
      </c>
      <c r="F998" s="25">
        <v>43713.625011574077</v>
      </c>
      <c r="G998">
        <v>0</v>
      </c>
      <c r="H998" s="25"/>
      <c r="I998" s="25"/>
      <c r="J998" s="25" t="s">
        <v>300</v>
      </c>
    </row>
    <row r="999" spans="1:10" x14ac:dyDescent="0.25">
      <c r="A999" s="4">
        <v>70</v>
      </c>
      <c r="B999">
        <v>11428</v>
      </c>
      <c r="C999" s="4">
        <v>6912</v>
      </c>
      <c r="D999" t="s">
        <v>7</v>
      </c>
      <c r="E999" s="4">
        <v>0</v>
      </c>
      <c r="F999" s="25">
        <v>43713.623599537037</v>
      </c>
      <c r="G999">
        <v>0</v>
      </c>
      <c r="H999" s="25"/>
      <c r="I999" s="25" t="s">
        <v>347</v>
      </c>
      <c r="J999" s="25" t="s">
        <v>300</v>
      </c>
    </row>
    <row r="1000" spans="1:10" x14ac:dyDescent="0.25">
      <c r="A1000" s="4">
        <v>70</v>
      </c>
      <c r="B1000">
        <v>7464</v>
      </c>
      <c r="C1000" s="4">
        <v>6912</v>
      </c>
      <c r="D1000" t="s">
        <v>7</v>
      </c>
      <c r="E1000" s="4">
        <v>0</v>
      </c>
      <c r="F1000" s="25">
        <v>43713.623252314814</v>
      </c>
      <c r="G1000">
        <v>0</v>
      </c>
      <c r="H1000" s="25"/>
      <c r="I1000" s="25" t="s">
        <v>347</v>
      </c>
      <c r="J1000" s="25" t="s">
        <v>300</v>
      </c>
    </row>
    <row r="1001" spans="1:10" x14ac:dyDescent="0.25">
      <c r="A1001" s="4">
        <v>70</v>
      </c>
      <c r="B1001">
        <v>12016</v>
      </c>
      <c r="C1001" s="4">
        <v>6912</v>
      </c>
      <c r="D1001" t="s">
        <v>7</v>
      </c>
      <c r="E1001" s="4">
        <v>0</v>
      </c>
      <c r="F1001" s="25">
        <v>43713.623032407406</v>
      </c>
      <c r="G1001">
        <v>0</v>
      </c>
      <c r="H1001" s="25"/>
      <c r="I1001" s="25" t="s">
        <v>347</v>
      </c>
      <c r="J1001" s="25" t="s">
        <v>304</v>
      </c>
    </row>
    <row r="1002" spans="1:10" x14ac:dyDescent="0.25">
      <c r="A1002" s="4">
        <v>70</v>
      </c>
      <c r="B1002">
        <v>14276</v>
      </c>
      <c r="C1002" s="4">
        <v>6912</v>
      </c>
      <c r="D1002" t="s">
        <v>7</v>
      </c>
      <c r="E1002" s="4">
        <v>0</v>
      </c>
      <c r="F1002" s="25">
        <v>43713.620289351849</v>
      </c>
      <c r="G1002">
        <v>0</v>
      </c>
      <c r="H1002" s="25"/>
      <c r="I1002" s="25" t="s">
        <v>347</v>
      </c>
      <c r="J1002" s="25" t="s">
        <v>300</v>
      </c>
    </row>
    <row r="1003" spans="1:10" x14ac:dyDescent="0.25">
      <c r="A1003" s="4">
        <v>70</v>
      </c>
      <c r="B1003">
        <v>1296</v>
      </c>
      <c r="C1003" s="4">
        <v>6912</v>
      </c>
      <c r="D1003" t="s">
        <v>7</v>
      </c>
      <c r="E1003" s="4">
        <v>0</v>
      </c>
      <c r="F1003" s="25">
        <v>43713.61519675926</v>
      </c>
      <c r="G1003">
        <v>0</v>
      </c>
      <c r="H1003" s="25"/>
      <c r="I1003" s="25" t="s">
        <v>347</v>
      </c>
      <c r="J1003" s="25" t="s">
        <v>403</v>
      </c>
    </row>
    <row r="1004" spans="1:10" x14ac:dyDescent="0.25">
      <c r="A1004" s="4">
        <v>70</v>
      </c>
      <c r="B1004">
        <v>2052</v>
      </c>
      <c r="C1004" s="4">
        <v>6912</v>
      </c>
      <c r="D1004" t="s">
        <v>7</v>
      </c>
      <c r="E1004" s="4">
        <v>0</v>
      </c>
      <c r="F1004" s="25">
        <v>43713.613935185182</v>
      </c>
      <c r="G1004">
        <v>0</v>
      </c>
      <c r="H1004" s="25"/>
      <c r="I1004" s="25" t="s">
        <v>347</v>
      </c>
      <c r="J1004" s="25" t="s">
        <v>304</v>
      </c>
    </row>
    <row r="1005" spans="1:10" x14ac:dyDescent="0.25">
      <c r="A1005" s="4">
        <v>70</v>
      </c>
      <c r="B1005">
        <v>5364</v>
      </c>
      <c r="C1005" s="4">
        <v>8352</v>
      </c>
      <c r="D1005" t="s">
        <v>7</v>
      </c>
      <c r="E1005" s="4">
        <v>0</v>
      </c>
      <c r="F1005" s="25">
        <v>43713.585266203707</v>
      </c>
      <c r="G1005">
        <v>0</v>
      </c>
      <c r="H1005" s="25"/>
      <c r="I1005" s="25" t="s">
        <v>347</v>
      </c>
      <c r="J1005" s="25" t="s">
        <v>300</v>
      </c>
    </row>
    <row r="1006" spans="1:10" x14ac:dyDescent="0.25">
      <c r="A1006" s="4">
        <v>70</v>
      </c>
      <c r="B1006">
        <v>8352</v>
      </c>
      <c r="C1006" s="4">
        <v>8352</v>
      </c>
      <c r="D1006" t="s">
        <v>7</v>
      </c>
      <c r="E1006" s="4">
        <v>0</v>
      </c>
      <c r="F1006" s="25">
        <v>43713.585104166668</v>
      </c>
      <c r="G1006">
        <v>1</v>
      </c>
      <c r="H1006" s="25" t="s">
        <v>400</v>
      </c>
      <c r="I1006" s="25"/>
      <c r="J1006" s="25" t="s">
        <v>404</v>
      </c>
    </row>
    <row r="1007" spans="1:10" x14ac:dyDescent="0.25">
      <c r="A1007" s="4">
        <v>70</v>
      </c>
      <c r="B1007">
        <v>7172</v>
      </c>
      <c r="C1007" s="4">
        <v>6912</v>
      </c>
      <c r="D1007" t="s">
        <v>7</v>
      </c>
      <c r="E1007" s="4">
        <v>0</v>
      </c>
      <c r="F1007" s="25">
        <v>43713.583437499998</v>
      </c>
      <c r="G1007">
        <v>0</v>
      </c>
      <c r="H1007" s="25"/>
      <c r="I1007" s="25" t="s">
        <v>347</v>
      </c>
      <c r="J1007" s="25" t="s">
        <v>304</v>
      </c>
    </row>
    <row r="1008" spans="1:10" x14ac:dyDescent="0.25">
      <c r="A1008" s="4">
        <v>10512</v>
      </c>
      <c r="B1008">
        <v>16136</v>
      </c>
      <c r="C1008" s="4">
        <v>12292</v>
      </c>
      <c r="D1008" t="s">
        <v>306</v>
      </c>
      <c r="E1008" s="4">
        <v>1</v>
      </c>
      <c r="F1008" s="25">
        <v>43713.583344907405</v>
      </c>
      <c r="G1008">
        <v>0</v>
      </c>
      <c r="H1008" s="25"/>
      <c r="I1008" s="25"/>
      <c r="J1008" s="25" t="s">
        <v>300</v>
      </c>
    </row>
    <row r="1009" spans="1:10" x14ac:dyDescent="0.25">
      <c r="A1009" s="4">
        <v>70</v>
      </c>
      <c r="B1009">
        <v>13968</v>
      </c>
      <c r="C1009" s="4">
        <v>12651</v>
      </c>
      <c r="D1009" t="s">
        <v>7</v>
      </c>
      <c r="E1009" s="4">
        <v>0</v>
      </c>
      <c r="F1009" s="25">
        <v>43713.576956018522</v>
      </c>
      <c r="G1009">
        <v>0</v>
      </c>
      <c r="H1009" s="25"/>
      <c r="I1009" s="25" t="s">
        <v>347</v>
      </c>
      <c r="J1009" s="25" t="s">
        <v>304</v>
      </c>
    </row>
    <row r="1010" spans="1:10" x14ac:dyDescent="0.25">
      <c r="A1010" s="4">
        <v>70</v>
      </c>
      <c r="B1010">
        <v>12651</v>
      </c>
      <c r="C1010" s="4">
        <v>12651</v>
      </c>
      <c r="D1010" t="s">
        <v>7</v>
      </c>
      <c r="E1010" s="4">
        <v>0</v>
      </c>
      <c r="F1010" s="25">
        <v>43713.574745370373</v>
      </c>
      <c r="G1010">
        <v>1</v>
      </c>
      <c r="H1010" s="25" t="s">
        <v>400</v>
      </c>
      <c r="I1010" s="25"/>
      <c r="J1010" s="25" t="s">
        <v>401</v>
      </c>
    </row>
    <row r="1011" spans="1:10" x14ac:dyDescent="0.25">
      <c r="A1011" s="4">
        <v>70</v>
      </c>
      <c r="B1011">
        <v>14564</v>
      </c>
      <c r="C1011" s="4">
        <v>6132</v>
      </c>
      <c r="D1011" t="s">
        <v>7</v>
      </c>
      <c r="E1011" s="4">
        <v>0</v>
      </c>
      <c r="F1011" s="25">
        <v>43713.570636574077</v>
      </c>
      <c r="G1011">
        <v>0</v>
      </c>
      <c r="H1011" s="25"/>
      <c r="I1011" s="25" t="s">
        <v>347</v>
      </c>
      <c r="J1011" s="25" t="s">
        <v>300</v>
      </c>
    </row>
    <row r="1012" spans="1:10" x14ac:dyDescent="0.25">
      <c r="A1012" s="4">
        <v>70</v>
      </c>
      <c r="B1012">
        <v>6132</v>
      </c>
      <c r="C1012" s="4">
        <v>6132</v>
      </c>
      <c r="D1012" t="s">
        <v>7</v>
      </c>
      <c r="E1012" s="4">
        <v>0</v>
      </c>
      <c r="F1012" s="25">
        <v>43713.570439814815</v>
      </c>
      <c r="G1012">
        <v>1</v>
      </c>
      <c r="H1012" s="25" t="s">
        <v>400</v>
      </c>
      <c r="I1012" s="25"/>
      <c r="J1012" s="25" t="s">
        <v>302</v>
      </c>
    </row>
    <row r="1013" spans="1:10" x14ac:dyDescent="0.25">
      <c r="A1013" s="4">
        <v>70</v>
      </c>
      <c r="B1013">
        <v>7020</v>
      </c>
      <c r="C1013" s="4">
        <v>6912</v>
      </c>
      <c r="D1013" t="s">
        <v>7</v>
      </c>
      <c r="E1013" s="4">
        <v>0</v>
      </c>
      <c r="F1013" s="25">
        <v>43713.565763888888</v>
      </c>
      <c r="G1013">
        <v>0</v>
      </c>
      <c r="H1013" s="25"/>
      <c r="I1013" s="25" t="s">
        <v>347</v>
      </c>
      <c r="J1013" s="25" t="s">
        <v>300</v>
      </c>
    </row>
    <row r="1014" spans="1:10" x14ac:dyDescent="0.25">
      <c r="A1014" s="4">
        <v>70</v>
      </c>
      <c r="B1014">
        <v>6912</v>
      </c>
      <c r="C1014" s="4">
        <v>6912</v>
      </c>
      <c r="D1014" t="s">
        <v>7</v>
      </c>
      <c r="E1014" s="4">
        <v>0</v>
      </c>
      <c r="F1014" s="25">
        <v>43713.565196759257</v>
      </c>
      <c r="G1014">
        <v>1</v>
      </c>
      <c r="H1014" s="25" t="s">
        <v>400</v>
      </c>
      <c r="I1014" s="25"/>
      <c r="J1014" s="25" t="s">
        <v>402</v>
      </c>
    </row>
    <row r="1015" spans="1:10" x14ac:dyDescent="0.25">
      <c r="A1015" s="4">
        <v>70</v>
      </c>
      <c r="B1015">
        <v>10452</v>
      </c>
      <c r="C1015" s="4">
        <v>9652</v>
      </c>
      <c r="D1015" t="s">
        <v>7</v>
      </c>
      <c r="E1015" s="4">
        <v>0</v>
      </c>
      <c r="F1015" s="25">
        <v>43713.564085648148</v>
      </c>
      <c r="G1015">
        <v>0</v>
      </c>
      <c r="H1015" s="25"/>
      <c r="I1015" s="25" t="s">
        <v>351</v>
      </c>
      <c r="J1015" s="25" t="s">
        <v>304</v>
      </c>
    </row>
    <row r="1016" spans="1:10" x14ac:dyDescent="0.25">
      <c r="A1016" s="4">
        <v>70</v>
      </c>
      <c r="B1016">
        <v>2720</v>
      </c>
      <c r="C1016" s="4">
        <v>9652</v>
      </c>
      <c r="D1016" t="s">
        <v>7</v>
      </c>
      <c r="E1016" s="4">
        <v>0</v>
      </c>
      <c r="F1016" s="25">
        <v>43713.562997685185</v>
      </c>
      <c r="G1016">
        <v>0</v>
      </c>
      <c r="H1016" s="25"/>
      <c r="I1016" s="25" t="s">
        <v>346</v>
      </c>
      <c r="J1016" s="25" t="s">
        <v>304</v>
      </c>
    </row>
    <row r="1017" spans="1:10" x14ac:dyDescent="0.25">
      <c r="A1017" s="4">
        <v>70</v>
      </c>
      <c r="B1017">
        <v>15952</v>
      </c>
      <c r="C1017" s="4">
        <v>9652</v>
      </c>
      <c r="D1017" t="s">
        <v>7</v>
      </c>
      <c r="E1017" s="4">
        <v>0</v>
      </c>
      <c r="F1017" s="25">
        <v>43713.560694444444</v>
      </c>
      <c r="G1017">
        <v>0</v>
      </c>
      <c r="H1017" s="25"/>
      <c r="I1017" s="25" t="s">
        <v>348</v>
      </c>
      <c r="J1017" s="25" t="s">
        <v>300</v>
      </c>
    </row>
    <row r="1018" spans="1:10" x14ac:dyDescent="0.25">
      <c r="A1018" s="4">
        <v>70</v>
      </c>
      <c r="B1018">
        <v>9652</v>
      </c>
      <c r="C1018" s="4">
        <v>9652</v>
      </c>
      <c r="D1018" t="s">
        <v>7</v>
      </c>
      <c r="E1018" s="4">
        <v>0</v>
      </c>
      <c r="F1018" s="25">
        <v>43713.560347222221</v>
      </c>
      <c r="G1018">
        <v>1</v>
      </c>
      <c r="H1018" s="25" t="s">
        <v>399</v>
      </c>
      <c r="I1018" s="25"/>
      <c r="J1018" s="25" t="s">
        <v>303</v>
      </c>
    </row>
    <row r="1019" spans="1:10" x14ac:dyDescent="0.25">
      <c r="A1019" s="4">
        <v>10512</v>
      </c>
      <c r="B1019">
        <v>16136</v>
      </c>
      <c r="C1019" s="4">
        <v>12292</v>
      </c>
      <c r="D1019" t="s">
        <v>306</v>
      </c>
      <c r="E1019" s="4">
        <v>0</v>
      </c>
      <c r="F1019" s="25">
        <v>43713.545312499999</v>
      </c>
      <c r="G1019">
        <v>0</v>
      </c>
      <c r="H1019" s="25"/>
      <c r="I1019" s="25"/>
      <c r="J1019" s="25" t="s">
        <v>300</v>
      </c>
    </row>
    <row r="1020" spans="1:10" x14ac:dyDescent="0.25">
      <c r="A1020" s="4">
        <v>29695</v>
      </c>
      <c r="B1020">
        <v>12407</v>
      </c>
      <c r="C1020" s="4">
        <v>12292</v>
      </c>
      <c r="D1020" t="s">
        <v>306</v>
      </c>
      <c r="E1020" s="4">
        <v>1</v>
      </c>
      <c r="F1020" s="25">
        <v>43713.500011574077</v>
      </c>
      <c r="G1020">
        <v>0</v>
      </c>
      <c r="H1020" s="25"/>
      <c r="I1020" s="25"/>
      <c r="J1020" s="25" t="s">
        <v>300</v>
      </c>
    </row>
    <row r="1021" spans="1:10" x14ac:dyDescent="0.25">
      <c r="A1021" s="4">
        <v>29695</v>
      </c>
      <c r="B1021">
        <v>12407</v>
      </c>
      <c r="C1021" s="4">
        <v>12292</v>
      </c>
      <c r="D1021" t="s">
        <v>306</v>
      </c>
      <c r="E1021" s="4">
        <v>0</v>
      </c>
      <c r="F1021" s="25">
        <v>43713.497152777774</v>
      </c>
      <c r="G1021">
        <v>0</v>
      </c>
      <c r="H1021" s="25"/>
      <c r="I1021" s="25"/>
      <c r="J1021" s="25" t="s">
        <v>300</v>
      </c>
    </row>
    <row r="1022" spans="1:10" x14ac:dyDescent="0.25">
      <c r="A1022" s="4">
        <v>27031</v>
      </c>
      <c r="B1022">
        <v>12408</v>
      </c>
      <c r="C1022" s="4">
        <v>12292</v>
      </c>
      <c r="D1022" t="s">
        <v>306</v>
      </c>
      <c r="E1022" s="4">
        <v>0</v>
      </c>
      <c r="F1022" s="25">
        <v>43713.48773148148</v>
      </c>
      <c r="G1022">
        <v>0</v>
      </c>
      <c r="H1022" s="25"/>
      <c r="I1022" s="25"/>
      <c r="J1022" s="25" t="s">
        <v>300</v>
      </c>
    </row>
    <row r="1023" spans="1:10" x14ac:dyDescent="0.25">
      <c r="A1023" s="4">
        <v>60</v>
      </c>
      <c r="B1023">
        <v>1848</v>
      </c>
      <c r="C1023" s="4">
        <v>12292</v>
      </c>
      <c r="D1023" t="s">
        <v>7</v>
      </c>
      <c r="E1023" s="4">
        <v>0</v>
      </c>
      <c r="F1023" s="25">
        <v>43713.460752314815</v>
      </c>
      <c r="G1023">
        <v>0</v>
      </c>
      <c r="H1023" s="25"/>
      <c r="I1023" s="25" t="s">
        <v>335</v>
      </c>
      <c r="J1023" s="25" t="s">
        <v>304</v>
      </c>
    </row>
    <row r="1024" spans="1:10" x14ac:dyDescent="0.25">
      <c r="A1024" s="4">
        <v>60</v>
      </c>
      <c r="B1024">
        <v>4532</v>
      </c>
      <c r="C1024" s="4">
        <v>12292</v>
      </c>
      <c r="D1024" t="s">
        <v>7</v>
      </c>
      <c r="E1024" s="4">
        <v>0</v>
      </c>
      <c r="F1024" s="25">
        <v>43713.457696759258</v>
      </c>
      <c r="G1024">
        <v>0</v>
      </c>
      <c r="H1024" s="25"/>
      <c r="I1024" s="25" t="s">
        <v>335</v>
      </c>
      <c r="J1024" s="25" t="s">
        <v>304</v>
      </c>
    </row>
    <row r="1025" spans="1:10" x14ac:dyDescent="0.25">
      <c r="A1025" s="4">
        <v>60</v>
      </c>
      <c r="B1025">
        <v>7539</v>
      </c>
      <c r="C1025" s="4">
        <v>12292</v>
      </c>
      <c r="D1025" t="s">
        <v>7</v>
      </c>
      <c r="E1025" s="4">
        <v>0</v>
      </c>
      <c r="F1025" s="25">
        <v>43713.455312500002</v>
      </c>
      <c r="G1025">
        <v>0</v>
      </c>
      <c r="H1025" s="25"/>
      <c r="I1025" s="25" t="s">
        <v>335</v>
      </c>
      <c r="J1025" s="25" t="s">
        <v>300</v>
      </c>
    </row>
    <row r="1026" spans="1:10" x14ac:dyDescent="0.25">
      <c r="A1026" s="4">
        <v>12292</v>
      </c>
      <c r="B1026">
        <v>11756</v>
      </c>
      <c r="C1026" s="4">
        <v>0</v>
      </c>
      <c r="D1026" t="s">
        <v>7</v>
      </c>
      <c r="E1026" s="4">
        <v>60</v>
      </c>
      <c r="F1026" s="25">
        <v>43712.961770833332</v>
      </c>
      <c r="G1026">
        <v>0</v>
      </c>
      <c r="H1026" s="25"/>
      <c r="I1026" s="25" t="s">
        <v>335</v>
      </c>
      <c r="J1026" s="25" t="s">
        <v>304</v>
      </c>
    </row>
    <row r="1027" spans="1:10" x14ac:dyDescent="0.25">
      <c r="A1027" s="4">
        <v>60</v>
      </c>
      <c r="B1027">
        <v>12099</v>
      </c>
      <c r="C1027" s="4">
        <v>12292</v>
      </c>
      <c r="D1027" t="s">
        <v>7</v>
      </c>
      <c r="E1027" s="4">
        <v>0</v>
      </c>
      <c r="F1027" s="25">
        <v>43712.957766203705</v>
      </c>
      <c r="G1027">
        <v>0</v>
      </c>
      <c r="H1027" s="25"/>
      <c r="I1027" s="25" t="s">
        <v>335</v>
      </c>
      <c r="J1027" s="25" t="s">
        <v>300</v>
      </c>
    </row>
    <row r="1028" spans="1:10" x14ac:dyDescent="0.25">
      <c r="A1028" s="4">
        <v>60</v>
      </c>
      <c r="B1028">
        <v>1999</v>
      </c>
      <c r="C1028" s="4">
        <v>12292</v>
      </c>
      <c r="D1028" t="s">
        <v>7</v>
      </c>
      <c r="E1028" s="4">
        <v>0</v>
      </c>
      <c r="F1028" s="25">
        <v>43712.948784722219</v>
      </c>
      <c r="G1028">
        <v>0</v>
      </c>
      <c r="H1028" s="25"/>
      <c r="I1028" s="25" t="s">
        <v>335</v>
      </c>
      <c r="J1028" s="25" t="s">
        <v>302</v>
      </c>
    </row>
    <row r="1029" spans="1:10" x14ac:dyDescent="0.25">
      <c r="A1029" s="4">
        <v>50</v>
      </c>
      <c r="B1029">
        <v>10104</v>
      </c>
      <c r="C1029" s="4">
        <v>11808</v>
      </c>
      <c r="D1029" t="s">
        <v>7</v>
      </c>
      <c r="E1029" s="4">
        <v>0</v>
      </c>
      <c r="F1029" s="25">
        <v>43712.931458333333</v>
      </c>
      <c r="G1029">
        <v>0</v>
      </c>
      <c r="H1029" s="25"/>
      <c r="I1029" s="25" t="s">
        <v>331</v>
      </c>
      <c r="J1029" s="25" t="s">
        <v>300</v>
      </c>
    </row>
    <row r="1030" spans="1:10" x14ac:dyDescent="0.25">
      <c r="A1030" s="4">
        <v>50</v>
      </c>
      <c r="B1030">
        <v>4004</v>
      </c>
      <c r="C1030" s="4">
        <v>11808</v>
      </c>
      <c r="D1030" t="s">
        <v>7</v>
      </c>
      <c r="E1030" s="4">
        <v>0</v>
      </c>
      <c r="F1030" s="25">
        <v>43712.931307870371</v>
      </c>
      <c r="G1030">
        <v>0</v>
      </c>
      <c r="H1030" s="25"/>
      <c r="I1030" s="25" t="s">
        <v>331</v>
      </c>
      <c r="J1030" s="25" t="s">
        <v>300</v>
      </c>
    </row>
    <row r="1031" spans="1:10" x14ac:dyDescent="0.25">
      <c r="A1031" s="4">
        <v>60</v>
      </c>
      <c r="B1031">
        <v>13360</v>
      </c>
      <c r="C1031" s="4">
        <v>12292</v>
      </c>
      <c r="D1031" t="s">
        <v>7</v>
      </c>
      <c r="E1031" s="4">
        <v>0</v>
      </c>
      <c r="F1031" s="25">
        <v>43712.910486111112</v>
      </c>
      <c r="G1031">
        <v>0</v>
      </c>
      <c r="H1031" s="25"/>
      <c r="I1031" s="25" t="s">
        <v>335</v>
      </c>
      <c r="J1031" s="25" t="s">
        <v>304</v>
      </c>
    </row>
    <row r="1032" spans="1:10" x14ac:dyDescent="0.25">
      <c r="A1032" s="4">
        <v>60</v>
      </c>
      <c r="B1032">
        <v>12100</v>
      </c>
      <c r="C1032" s="4">
        <v>12292</v>
      </c>
      <c r="D1032" t="s">
        <v>7</v>
      </c>
      <c r="E1032" s="4">
        <v>0</v>
      </c>
      <c r="F1032" s="25">
        <v>43712.906631944446</v>
      </c>
      <c r="G1032">
        <v>0</v>
      </c>
      <c r="H1032" s="25"/>
      <c r="I1032" s="25" t="s">
        <v>394</v>
      </c>
      <c r="J1032" s="25" t="s">
        <v>304</v>
      </c>
    </row>
    <row r="1033" spans="1:10" x14ac:dyDescent="0.25">
      <c r="A1033" s="4">
        <v>60</v>
      </c>
      <c r="B1033">
        <v>9556</v>
      </c>
      <c r="C1033" s="4">
        <v>12292</v>
      </c>
      <c r="D1033" t="s">
        <v>7</v>
      </c>
      <c r="E1033" s="4">
        <v>0</v>
      </c>
      <c r="F1033" s="25">
        <v>43712.900694444441</v>
      </c>
      <c r="G1033">
        <v>0</v>
      </c>
      <c r="H1033" s="25"/>
      <c r="I1033" s="25" t="s">
        <v>394</v>
      </c>
      <c r="J1033" s="25" t="s">
        <v>300</v>
      </c>
    </row>
    <row r="1034" spans="1:10" x14ac:dyDescent="0.25">
      <c r="A1034" s="4">
        <v>60</v>
      </c>
      <c r="B1034">
        <v>12880</v>
      </c>
      <c r="C1034" s="4">
        <v>12292</v>
      </c>
      <c r="D1034" t="s">
        <v>7</v>
      </c>
      <c r="E1034" s="4">
        <v>0</v>
      </c>
      <c r="F1034" s="25">
        <v>43712.899131944447</v>
      </c>
      <c r="G1034">
        <v>0</v>
      </c>
      <c r="H1034" s="25"/>
      <c r="I1034" s="25" t="s">
        <v>394</v>
      </c>
      <c r="J1034" s="25" t="s">
        <v>304</v>
      </c>
    </row>
    <row r="1035" spans="1:10" x14ac:dyDescent="0.25">
      <c r="A1035" s="4">
        <v>60</v>
      </c>
      <c r="B1035">
        <v>10596</v>
      </c>
      <c r="C1035" s="4">
        <v>12292</v>
      </c>
      <c r="D1035" t="s">
        <v>7</v>
      </c>
      <c r="E1035" s="4">
        <v>0</v>
      </c>
      <c r="F1035" s="25">
        <v>43712.894143518519</v>
      </c>
      <c r="G1035">
        <v>0</v>
      </c>
      <c r="H1035" s="25"/>
      <c r="I1035" s="25" t="s">
        <v>394</v>
      </c>
      <c r="J1035" s="25" t="s">
        <v>304</v>
      </c>
    </row>
    <row r="1036" spans="1:10" x14ac:dyDescent="0.25">
      <c r="A1036" s="4">
        <v>60</v>
      </c>
      <c r="B1036">
        <v>12332</v>
      </c>
      <c r="C1036" s="4">
        <v>12292</v>
      </c>
      <c r="D1036" t="s">
        <v>7</v>
      </c>
      <c r="E1036" s="4">
        <v>0</v>
      </c>
      <c r="F1036" s="25">
        <v>43712.892175925925</v>
      </c>
      <c r="G1036">
        <v>0</v>
      </c>
      <c r="H1036" s="25"/>
      <c r="I1036" s="25" t="s">
        <v>394</v>
      </c>
      <c r="J1036" s="25" t="s">
        <v>304</v>
      </c>
    </row>
    <row r="1037" spans="1:10" x14ac:dyDescent="0.25">
      <c r="A1037" s="4">
        <v>60</v>
      </c>
      <c r="B1037">
        <v>14416</v>
      </c>
      <c r="C1037" s="4">
        <v>12292</v>
      </c>
      <c r="D1037" t="s">
        <v>7</v>
      </c>
      <c r="E1037" s="4">
        <v>60</v>
      </c>
      <c r="F1037" s="25">
        <v>43712.884664351855</v>
      </c>
      <c r="G1037">
        <v>0</v>
      </c>
      <c r="H1037" s="25"/>
      <c r="I1037" s="25" t="s">
        <v>394</v>
      </c>
      <c r="J1037" s="25" t="s">
        <v>304</v>
      </c>
    </row>
    <row r="1038" spans="1:10" x14ac:dyDescent="0.25">
      <c r="A1038" s="4">
        <v>7632</v>
      </c>
      <c r="B1038">
        <v>956</v>
      </c>
      <c r="C1038" s="4">
        <v>12292</v>
      </c>
      <c r="D1038" t="s">
        <v>306</v>
      </c>
      <c r="E1038" s="4">
        <v>23</v>
      </c>
      <c r="F1038" s="25">
        <v>43712.838425925926</v>
      </c>
      <c r="G1038">
        <v>0</v>
      </c>
      <c r="H1038" s="25"/>
      <c r="I1038" s="25"/>
      <c r="J1038" s="25" t="s">
        <v>300</v>
      </c>
    </row>
    <row r="1039" spans="1:10" x14ac:dyDescent="0.25">
      <c r="A1039" s="4">
        <v>7632</v>
      </c>
      <c r="B1039">
        <v>956</v>
      </c>
      <c r="C1039" s="4">
        <v>12292</v>
      </c>
      <c r="D1039" t="s">
        <v>306</v>
      </c>
      <c r="E1039" s="4">
        <v>24</v>
      </c>
      <c r="F1039" s="25">
        <v>43712.838425925926</v>
      </c>
      <c r="G1039">
        <v>0</v>
      </c>
      <c r="H1039" s="25"/>
      <c r="I1039" s="25"/>
      <c r="J1039" s="25" t="s">
        <v>300</v>
      </c>
    </row>
    <row r="1040" spans="1:10" x14ac:dyDescent="0.25">
      <c r="A1040" s="4">
        <v>7632</v>
      </c>
      <c r="B1040">
        <v>956</v>
      </c>
      <c r="C1040" s="4">
        <v>12292</v>
      </c>
      <c r="D1040" t="s">
        <v>306</v>
      </c>
      <c r="E1040" s="4">
        <v>22</v>
      </c>
      <c r="F1040" s="25">
        <v>43712.838414351849</v>
      </c>
      <c r="G1040">
        <v>0</v>
      </c>
      <c r="H1040" s="25"/>
      <c r="I1040" s="25"/>
      <c r="J1040" s="25" t="s">
        <v>300</v>
      </c>
    </row>
    <row r="1041" spans="1:10" x14ac:dyDescent="0.25">
      <c r="A1041" s="4">
        <v>7632</v>
      </c>
      <c r="B1041">
        <v>956</v>
      </c>
      <c r="C1041" s="4">
        <v>12292</v>
      </c>
      <c r="D1041" t="s">
        <v>306</v>
      </c>
      <c r="E1041" s="4">
        <v>21</v>
      </c>
      <c r="F1041" s="25">
        <v>43712.838402777779</v>
      </c>
      <c r="G1041">
        <v>0</v>
      </c>
      <c r="H1041" s="25"/>
      <c r="I1041" s="25"/>
      <c r="J1041" s="25" t="s">
        <v>300</v>
      </c>
    </row>
    <row r="1042" spans="1:10" x14ac:dyDescent="0.25">
      <c r="A1042" s="4">
        <v>7632</v>
      </c>
      <c r="B1042">
        <v>956</v>
      </c>
      <c r="C1042" s="4">
        <v>12292</v>
      </c>
      <c r="D1042" t="s">
        <v>306</v>
      </c>
      <c r="E1042" s="4">
        <v>19</v>
      </c>
      <c r="F1042" s="25">
        <v>43712.838391203702</v>
      </c>
      <c r="G1042">
        <v>0</v>
      </c>
      <c r="H1042" s="25"/>
      <c r="I1042" s="25"/>
      <c r="J1042" s="25" t="s">
        <v>300</v>
      </c>
    </row>
    <row r="1043" spans="1:10" x14ac:dyDescent="0.25">
      <c r="A1043" s="4">
        <v>7632</v>
      </c>
      <c r="B1043">
        <v>956</v>
      </c>
      <c r="C1043" s="4">
        <v>12292</v>
      </c>
      <c r="D1043" t="s">
        <v>306</v>
      </c>
      <c r="E1043" s="4">
        <v>20</v>
      </c>
      <c r="F1043" s="25">
        <v>43712.838391203702</v>
      </c>
      <c r="G1043">
        <v>0</v>
      </c>
      <c r="H1043" s="25"/>
      <c r="I1043" s="25"/>
      <c r="J1043" s="25" t="s">
        <v>300</v>
      </c>
    </row>
    <row r="1044" spans="1:10" x14ac:dyDescent="0.25">
      <c r="A1044" s="4">
        <v>7632</v>
      </c>
      <c r="B1044">
        <v>956</v>
      </c>
      <c r="C1044" s="4">
        <v>12292</v>
      </c>
      <c r="D1044" t="s">
        <v>306</v>
      </c>
      <c r="E1044" s="4">
        <v>18</v>
      </c>
      <c r="F1044" s="25">
        <v>43712.838379629633</v>
      </c>
      <c r="G1044">
        <v>0</v>
      </c>
      <c r="H1044" s="25"/>
      <c r="I1044" s="25"/>
      <c r="J1044" s="25" t="s">
        <v>300</v>
      </c>
    </row>
    <row r="1045" spans="1:10" x14ac:dyDescent="0.25">
      <c r="A1045" s="4">
        <v>7632</v>
      </c>
      <c r="B1045">
        <v>956</v>
      </c>
      <c r="C1045" s="4">
        <v>12292</v>
      </c>
      <c r="D1045" t="s">
        <v>306</v>
      </c>
      <c r="E1045" s="4">
        <v>16</v>
      </c>
      <c r="F1045" s="25">
        <v>43712.838368055556</v>
      </c>
      <c r="G1045">
        <v>0</v>
      </c>
      <c r="H1045" s="25"/>
      <c r="I1045" s="25"/>
      <c r="J1045" s="25" t="s">
        <v>300</v>
      </c>
    </row>
    <row r="1046" spans="1:10" x14ac:dyDescent="0.25">
      <c r="A1046" s="4">
        <v>7632</v>
      </c>
      <c r="B1046">
        <v>956</v>
      </c>
      <c r="C1046" s="4">
        <v>12292</v>
      </c>
      <c r="D1046" t="s">
        <v>306</v>
      </c>
      <c r="E1046" s="4">
        <v>17</v>
      </c>
      <c r="F1046" s="25">
        <v>43712.838368055556</v>
      </c>
      <c r="G1046">
        <v>0</v>
      </c>
      <c r="H1046" s="25"/>
      <c r="I1046" s="25"/>
      <c r="J1046" s="25" t="s">
        <v>300</v>
      </c>
    </row>
    <row r="1047" spans="1:10" x14ac:dyDescent="0.25">
      <c r="A1047" s="4">
        <v>7632</v>
      </c>
      <c r="B1047">
        <v>956</v>
      </c>
      <c r="C1047" s="4">
        <v>12292</v>
      </c>
      <c r="D1047" t="s">
        <v>306</v>
      </c>
      <c r="E1047" s="4">
        <v>15</v>
      </c>
      <c r="F1047" s="25">
        <v>43712.838356481479</v>
      </c>
      <c r="G1047">
        <v>0</v>
      </c>
      <c r="H1047" s="25"/>
      <c r="I1047" s="25"/>
      <c r="J1047" s="25" t="s">
        <v>300</v>
      </c>
    </row>
    <row r="1048" spans="1:10" x14ac:dyDescent="0.25">
      <c r="A1048" s="4">
        <v>7632</v>
      </c>
      <c r="B1048">
        <v>956</v>
      </c>
      <c r="C1048" s="4">
        <v>12292</v>
      </c>
      <c r="D1048" t="s">
        <v>306</v>
      </c>
      <c r="E1048" s="4">
        <v>14</v>
      </c>
      <c r="F1048" s="25">
        <v>43712.83834490741</v>
      </c>
      <c r="G1048">
        <v>0</v>
      </c>
      <c r="H1048" s="25"/>
      <c r="I1048" s="25"/>
      <c r="J1048" s="25" t="s">
        <v>300</v>
      </c>
    </row>
    <row r="1049" spans="1:10" x14ac:dyDescent="0.25">
      <c r="A1049" s="4">
        <v>7632</v>
      </c>
      <c r="B1049">
        <v>956</v>
      </c>
      <c r="C1049" s="4">
        <v>12292</v>
      </c>
      <c r="D1049" t="s">
        <v>306</v>
      </c>
      <c r="E1049" s="4">
        <v>12</v>
      </c>
      <c r="F1049" s="25">
        <v>43712.838333333333</v>
      </c>
      <c r="G1049">
        <v>0</v>
      </c>
      <c r="H1049" s="25"/>
      <c r="I1049" s="25"/>
      <c r="J1049" s="25" t="s">
        <v>300</v>
      </c>
    </row>
    <row r="1050" spans="1:10" x14ac:dyDescent="0.25">
      <c r="A1050" s="4">
        <v>7632</v>
      </c>
      <c r="B1050">
        <v>956</v>
      </c>
      <c r="C1050" s="4">
        <v>12292</v>
      </c>
      <c r="D1050" t="s">
        <v>306</v>
      </c>
      <c r="E1050" s="4">
        <v>13</v>
      </c>
      <c r="F1050" s="25">
        <v>43712.838333333333</v>
      </c>
      <c r="G1050">
        <v>0</v>
      </c>
      <c r="H1050" s="25"/>
      <c r="I1050" s="25"/>
      <c r="J1050" s="25" t="s">
        <v>300</v>
      </c>
    </row>
    <row r="1051" spans="1:10" x14ac:dyDescent="0.25">
      <c r="A1051" s="4">
        <v>7632</v>
      </c>
      <c r="B1051">
        <v>956</v>
      </c>
      <c r="C1051" s="4">
        <v>12292</v>
      </c>
      <c r="D1051" t="s">
        <v>306</v>
      </c>
      <c r="E1051" s="4">
        <v>11</v>
      </c>
      <c r="F1051" s="25">
        <v>43712.838321759256</v>
      </c>
      <c r="G1051">
        <v>0</v>
      </c>
      <c r="H1051" s="25"/>
      <c r="I1051" s="25"/>
      <c r="J1051" s="25" t="s">
        <v>300</v>
      </c>
    </row>
    <row r="1052" spans="1:10" x14ac:dyDescent="0.25">
      <c r="A1052" s="4">
        <v>7632</v>
      </c>
      <c r="B1052">
        <v>956</v>
      </c>
      <c r="C1052" s="4">
        <v>12292</v>
      </c>
      <c r="D1052" t="s">
        <v>306</v>
      </c>
      <c r="E1052" s="4">
        <v>9</v>
      </c>
      <c r="F1052" s="25">
        <v>43712.838310185187</v>
      </c>
      <c r="G1052">
        <v>0</v>
      </c>
      <c r="H1052" s="25"/>
      <c r="I1052" s="25"/>
      <c r="J1052" s="25" t="s">
        <v>300</v>
      </c>
    </row>
    <row r="1053" spans="1:10" x14ac:dyDescent="0.25">
      <c r="A1053" s="4">
        <v>7632</v>
      </c>
      <c r="B1053">
        <v>956</v>
      </c>
      <c r="C1053" s="4">
        <v>12292</v>
      </c>
      <c r="D1053" t="s">
        <v>306</v>
      </c>
      <c r="E1053" s="4">
        <v>10</v>
      </c>
      <c r="F1053" s="25">
        <v>43712.838310185187</v>
      </c>
      <c r="G1053">
        <v>0</v>
      </c>
      <c r="H1053" s="25"/>
      <c r="I1053" s="25"/>
      <c r="J1053" s="25" t="s">
        <v>300</v>
      </c>
    </row>
    <row r="1054" spans="1:10" x14ac:dyDescent="0.25">
      <c r="A1054" s="4">
        <v>7632</v>
      </c>
      <c r="B1054">
        <v>956</v>
      </c>
      <c r="C1054" s="4">
        <v>12292</v>
      </c>
      <c r="D1054" t="s">
        <v>306</v>
      </c>
      <c r="E1054" s="4">
        <v>8</v>
      </c>
      <c r="F1054" s="25">
        <v>43712.83829861111</v>
      </c>
      <c r="G1054">
        <v>0</v>
      </c>
      <c r="H1054" s="25"/>
      <c r="I1054" s="25"/>
      <c r="J1054" s="25" t="s">
        <v>300</v>
      </c>
    </row>
    <row r="1055" spans="1:10" x14ac:dyDescent="0.25">
      <c r="A1055" s="4">
        <v>7632</v>
      </c>
      <c r="B1055">
        <v>956</v>
      </c>
      <c r="C1055" s="4">
        <v>12292</v>
      </c>
      <c r="D1055" t="s">
        <v>306</v>
      </c>
      <c r="E1055" s="4">
        <v>7</v>
      </c>
      <c r="F1055" s="25">
        <v>43712.838287037041</v>
      </c>
      <c r="G1055">
        <v>0</v>
      </c>
      <c r="H1055" s="25"/>
      <c r="I1055" s="25"/>
      <c r="J1055" s="25" t="s">
        <v>300</v>
      </c>
    </row>
    <row r="1056" spans="1:10" x14ac:dyDescent="0.25">
      <c r="A1056" s="4">
        <v>7632</v>
      </c>
      <c r="B1056">
        <v>956</v>
      </c>
      <c r="C1056" s="4">
        <v>12292</v>
      </c>
      <c r="D1056" t="s">
        <v>306</v>
      </c>
      <c r="E1056" s="4">
        <v>5</v>
      </c>
      <c r="F1056" s="25">
        <v>43712.838275462964</v>
      </c>
      <c r="G1056">
        <v>0</v>
      </c>
      <c r="H1056" s="25"/>
      <c r="I1056" s="25"/>
      <c r="J1056" s="25" t="s">
        <v>300</v>
      </c>
    </row>
    <row r="1057" spans="1:10" x14ac:dyDescent="0.25">
      <c r="A1057" s="4">
        <v>7632</v>
      </c>
      <c r="B1057">
        <v>956</v>
      </c>
      <c r="C1057" s="4">
        <v>12292</v>
      </c>
      <c r="D1057" t="s">
        <v>306</v>
      </c>
      <c r="E1057" s="4">
        <v>6</v>
      </c>
      <c r="F1057" s="25">
        <v>43712.838275462964</v>
      </c>
      <c r="G1057">
        <v>0</v>
      </c>
      <c r="H1057" s="25"/>
      <c r="I1057" s="25"/>
      <c r="J1057" s="25" t="s">
        <v>300</v>
      </c>
    </row>
    <row r="1058" spans="1:10" x14ac:dyDescent="0.25">
      <c r="A1058" s="4">
        <v>7632</v>
      </c>
      <c r="B1058">
        <v>956</v>
      </c>
      <c r="C1058" s="4">
        <v>12292</v>
      </c>
      <c r="D1058" t="s">
        <v>306</v>
      </c>
      <c r="E1058" s="4">
        <v>4</v>
      </c>
      <c r="F1058" s="25">
        <v>43712.838263888887</v>
      </c>
      <c r="G1058">
        <v>0</v>
      </c>
      <c r="H1058" s="25"/>
      <c r="I1058" s="25"/>
      <c r="J1058" s="25" t="s">
        <v>300</v>
      </c>
    </row>
    <row r="1059" spans="1:10" x14ac:dyDescent="0.25">
      <c r="A1059" s="4">
        <v>7632</v>
      </c>
      <c r="B1059">
        <v>956</v>
      </c>
      <c r="C1059" s="4">
        <v>12292</v>
      </c>
      <c r="D1059" t="s">
        <v>306</v>
      </c>
      <c r="E1059" s="4">
        <v>2</v>
      </c>
      <c r="F1059" s="25">
        <v>43712.838252314818</v>
      </c>
      <c r="G1059">
        <v>0</v>
      </c>
      <c r="H1059" s="25"/>
      <c r="I1059" s="25"/>
      <c r="J1059" s="25" t="s">
        <v>300</v>
      </c>
    </row>
    <row r="1060" spans="1:10" x14ac:dyDescent="0.25">
      <c r="A1060" s="4">
        <v>7632</v>
      </c>
      <c r="B1060">
        <v>956</v>
      </c>
      <c r="C1060" s="4">
        <v>12292</v>
      </c>
      <c r="D1060" t="s">
        <v>306</v>
      </c>
      <c r="E1060" s="4">
        <v>3</v>
      </c>
      <c r="F1060" s="25">
        <v>43712.838252314818</v>
      </c>
      <c r="G1060">
        <v>0</v>
      </c>
      <c r="H1060" s="25"/>
      <c r="I1060" s="25"/>
      <c r="J1060" s="25" t="s">
        <v>300</v>
      </c>
    </row>
    <row r="1061" spans="1:10" x14ac:dyDescent="0.25">
      <c r="A1061" s="4">
        <v>7632</v>
      </c>
      <c r="B1061">
        <v>956</v>
      </c>
      <c r="C1061" s="4">
        <v>12292</v>
      </c>
      <c r="D1061" t="s">
        <v>306</v>
      </c>
      <c r="E1061" s="4">
        <v>1</v>
      </c>
      <c r="F1061" s="25">
        <v>43712.838240740741</v>
      </c>
      <c r="G1061">
        <v>0</v>
      </c>
      <c r="H1061" s="25"/>
      <c r="I1061" s="25"/>
      <c r="J1061" s="25" t="s">
        <v>300</v>
      </c>
    </row>
    <row r="1062" spans="1:10" x14ac:dyDescent="0.25">
      <c r="A1062" s="4">
        <v>7632</v>
      </c>
      <c r="B1062">
        <v>956</v>
      </c>
      <c r="C1062" s="4">
        <v>12292</v>
      </c>
      <c r="D1062" t="s">
        <v>306</v>
      </c>
      <c r="E1062" s="4">
        <v>0</v>
      </c>
      <c r="F1062" s="25">
        <v>43712.838229166664</v>
      </c>
      <c r="G1062">
        <v>0</v>
      </c>
      <c r="H1062" s="25"/>
      <c r="I1062" s="25"/>
      <c r="J1062" s="25" t="s">
        <v>300</v>
      </c>
    </row>
    <row r="1063" spans="1:10" x14ac:dyDescent="0.25">
      <c r="A1063" s="4">
        <v>7162</v>
      </c>
      <c r="B1063">
        <v>5952</v>
      </c>
      <c r="C1063" s="4">
        <v>12292</v>
      </c>
      <c r="D1063" t="s">
        <v>306</v>
      </c>
      <c r="E1063" s="4">
        <v>0</v>
      </c>
      <c r="F1063" s="25">
        <v>43712.836539351854</v>
      </c>
      <c r="G1063">
        <v>0</v>
      </c>
      <c r="H1063" s="25"/>
      <c r="I1063" s="25"/>
      <c r="J1063" s="25" t="s">
        <v>300</v>
      </c>
    </row>
    <row r="1064" spans="1:10" x14ac:dyDescent="0.25">
      <c r="A1064" s="4">
        <v>1931</v>
      </c>
      <c r="B1064">
        <v>2000</v>
      </c>
      <c r="C1064" s="4">
        <v>12292</v>
      </c>
      <c r="D1064" t="s">
        <v>306</v>
      </c>
      <c r="E1064" s="4">
        <v>23</v>
      </c>
      <c r="F1064" s="25">
        <v>43712.818206018521</v>
      </c>
      <c r="G1064">
        <v>0</v>
      </c>
      <c r="H1064" s="25"/>
      <c r="I1064" s="25"/>
      <c r="J1064" s="25" t="s">
        <v>300</v>
      </c>
    </row>
    <row r="1065" spans="1:10" x14ac:dyDescent="0.25">
      <c r="A1065" s="4">
        <v>1931</v>
      </c>
      <c r="B1065">
        <v>2000</v>
      </c>
      <c r="C1065" s="4">
        <v>12292</v>
      </c>
      <c r="D1065" t="s">
        <v>306</v>
      </c>
      <c r="E1065" s="4">
        <v>24</v>
      </c>
      <c r="F1065" s="25">
        <v>43712.818206018521</v>
      </c>
      <c r="G1065">
        <v>0</v>
      </c>
      <c r="H1065" s="25"/>
      <c r="I1065" s="25"/>
      <c r="J1065" s="25" t="s">
        <v>300</v>
      </c>
    </row>
    <row r="1066" spans="1:10" x14ac:dyDescent="0.25">
      <c r="A1066" s="4">
        <v>1931</v>
      </c>
      <c r="B1066">
        <v>2000</v>
      </c>
      <c r="C1066" s="4">
        <v>12292</v>
      </c>
      <c r="D1066" t="s">
        <v>306</v>
      </c>
      <c r="E1066" s="4">
        <v>22</v>
      </c>
      <c r="F1066" s="25">
        <v>43712.818194444444</v>
      </c>
      <c r="G1066">
        <v>0</v>
      </c>
      <c r="H1066" s="25"/>
      <c r="I1066" s="25"/>
      <c r="J1066" s="25" t="s">
        <v>300</v>
      </c>
    </row>
    <row r="1067" spans="1:10" x14ac:dyDescent="0.25">
      <c r="A1067" s="4">
        <v>1931</v>
      </c>
      <c r="B1067">
        <v>2000</v>
      </c>
      <c r="C1067" s="4">
        <v>12292</v>
      </c>
      <c r="D1067" t="s">
        <v>306</v>
      </c>
      <c r="E1067" s="4">
        <v>20</v>
      </c>
      <c r="F1067" s="25">
        <v>43712.818182870367</v>
      </c>
      <c r="G1067">
        <v>0</v>
      </c>
      <c r="H1067" s="25"/>
      <c r="I1067" s="25"/>
      <c r="J1067" s="25" t="s">
        <v>300</v>
      </c>
    </row>
    <row r="1068" spans="1:10" x14ac:dyDescent="0.25">
      <c r="A1068" s="4">
        <v>1931</v>
      </c>
      <c r="B1068">
        <v>2000</v>
      </c>
      <c r="C1068" s="4">
        <v>12292</v>
      </c>
      <c r="D1068" t="s">
        <v>306</v>
      </c>
      <c r="E1068" s="4">
        <v>21</v>
      </c>
      <c r="F1068" s="25">
        <v>43712.818182870367</v>
      </c>
      <c r="G1068">
        <v>0</v>
      </c>
      <c r="H1068" s="25"/>
      <c r="I1068" s="25"/>
      <c r="J1068" s="25" t="s">
        <v>300</v>
      </c>
    </row>
    <row r="1069" spans="1:10" x14ac:dyDescent="0.25">
      <c r="A1069" s="4">
        <v>1931</v>
      </c>
      <c r="B1069">
        <v>2000</v>
      </c>
      <c r="C1069" s="4">
        <v>12292</v>
      </c>
      <c r="D1069" t="s">
        <v>306</v>
      </c>
      <c r="E1069" s="4">
        <v>19</v>
      </c>
      <c r="F1069" s="25">
        <v>43712.818171296298</v>
      </c>
      <c r="G1069">
        <v>0</v>
      </c>
      <c r="H1069" s="25"/>
      <c r="I1069" s="25"/>
      <c r="J1069" s="25" t="s">
        <v>300</v>
      </c>
    </row>
    <row r="1070" spans="1:10" x14ac:dyDescent="0.25">
      <c r="A1070" s="4">
        <v>1931</v>
      </c>
      <c r="B1070">
        <v>2000</v>
      </c>
      <c r="C1070" s="4">
        <v>12292</v>
      </c>
      <c r="D1070" t="s">
        <v>306</v>
      </c>
      <c r="E1070" s="4">
        <v>17</v>
      </c>
      <c r="F1070" s="25">
        <v>43712.818159722221</v>
      </c>
      <c r="G1070">
        <v>0</v>
      </c>
      <c r="H1070" s="25"/>
      <c r="I1070" s="25"/>
      <c r="J1070" s="25" t="s">
        <v>300</v>
      </c>
    </row>
    <row r="1071" spans="1:10" x14ac:dyDescent="0.25">
      <c r="A1071" s="4">
        <v>1931</v>
      </c>
      <c r="B1071">
        <v>2000</v>
      </c>
      <c r="C1071" s="4">
        <v>12292</v>
      </c>
      <c r="D1071" t="s">
        <v>306</v>
      </c>
      <c r="E1071" s="4">
        <v>18</v>
      </c>
      <c r="F1071" s="25">
        <v>43712.818159722221</v>
      </c>
      <c r="G1071">
        <v>0</v>
      </c>
      <c r="H1071" s="25"/>
      <c r="I1071" s="25"/>
      <c r="J1071" s="25" t="s">
        <v>300</v>
      </c>
    </row>
    <row r="1072" spans="1:10" x14ac:dyDescent="0.25">
      <c r="A1072" s="4">
        <v>1931</v>
      </c>
      <c r="B1072">
        <v>2000</v>
      </c>
      <c r="C1072" s="4">
        <v>12292</v>
      </c>
      <c r="D1072" t="s">
        <v>306</v>
      </c>
      <c r="E1072" s="4">
        <v>16</v>
      </c>
      <c r="F1072" s="25">
        <v>43712.818148148152</v>
      </c>
      <c r="G1072">
        <v>0</v>
      </c>
      <c r="H1072" s="25"/>
      <c r="I1072" s="25"/>
      <c r="J1072" s="25" t="s">
        <v>300</v>
      </c>
    </row>
    <row r="1073" spans="1:10" x14ac:dyDescent="0.25">
      <c r="A1073" s="4">
        <v>1931</v>
      </c>
      <c r="B1073">
        <v>2000</v>
      </c>
      <c r="C1073" s="4">
        <v>12292</v>
      </c>
      <c r="D1073" t="s">
        <v>306</v>
      </c>
      <c r="E1073" s="4">
        <v>14</v>
      </c>
      <c r="F1073" s="25">
        <v>43712.818136574075</v>
      </c>
      <c r="G1073">
        <v>0</v>
      </c>
      <c r="H1073" s="25"/>
      <c r="I1073" s="25"/>
      <c r="J1073" s="25" t="s">
        <v>300</v>
      </c>
    </row>
    <row r="1074" spans="1:10" x14ac:dyDescent="0.25">
      <c r="A1074" s="4">
        <v>1931</v>
      </c>
      <c r="B1074">
        <v>2000</v>
      </c>
      <c r="C1074" s="4">
        <v>12292</v>
      </c>
      <c r="D1074" t="s">
        <v>306</v>
      </c>
      <c r="E1074" s="4">
        <v>15</v>
      </c>
      <c r="F1074" s="25">
        <v>43712.818136574075</v>
      </c>
      <c r="G1074">
        <v>0</v>
      </c>
      <c r="H1074" s="25"/>
      <c r="I1074" s="25"/>
      <c r="J1074" s="25" t="s">
        <v>300</v>
      </c>
    </row>
    <row r="1075" spans="1:10" x14ac:dyDescent="0.25">
      <c r="A1075" s="4">
        <v>1931</v>
      </c>
      <c r="B1075">
        <v>2000</v>
      </c>
      <c r="C1075" s="4">
        <v>12292</v>
      </c>
      <c r="D1075" t="s">
        <v>306</v>
      </c>
      <c r="E1075" s="4">
        <v>13</v>
      </c>
      <c r="F1075" s="25">
        <v>43712.818124999998</v>
      </c>
      <c r="G1075">
        <v>0</v>
      </c>
      <c r="H1075" s="25"/>
      <c r="I1075" s="25"/>
      <c r="J1075" s="25" t="s">
        <v>300</v>
      </c>
    </row>
    <row r="1076" spans="1:10" x14ac:dyDescent="0.25">
      <c r="A1076" s="4">
        <v>1931</v>
      </c>
      <c r="B1076">
        <v>2000</v>
      </c>
      <c r="C1076" s="4">
        <v>12292</v>
      </c>
      <c r="D1076" t="s">
        <v>306</v>
      </c>
      <c r="E1076" s="4">
        <v>11</v>
      </c>
      <c r="F1076" s="25">
        <v>43712.818113425928</v>
      </c>
      <c r="G1076">
        <v>0</v>
      </c>
      <c r="H1076" s="25"/>
      <c r="I1076" s="25"/>
      <c r="J1076" s="25" t="s">
        <v>300</v>
      </c>
    </row>
    <row r="1077" spans="1:10" x14ac:dyDescent="0.25">
      <c r="A1077" s="4">
        <v>1931</v>
      </c>
      <c r="B1077">
        <v>2000</v>
      </c>
      <c r="C1077" s="4">
        <v>12292</v>
      </c>
      <c r="D1077" t="s">
        <v>306</v>
      </c>
      <c r="E1077" s="4">
        <v>12</v>
      </c>
      <c r="F1077" s="25">
        <v>43712.818113425928</v>
      </c>
      <c r="G1077">
        <v>0</v>
      </c>
      <c r="H1077" s="25"/>
      <c r="I1077" s="25"/>
      <c r="J1077" s="25" t="s">
        <v>300</v>
      </c>
    </row>
    <row r="1078" spans="1:10" x14ac:dyDescent="0.25">
      <c r="A1078" s="4">
        <v>1931</v>
      </c>
      <c r="B1078">
        <v>2000</v>
      </c>
      <c r="C1078" s="4">
        <v>12292</v>
      </c>
      <c r="D1078" t="s">
        <v>306</v>
      </c>
      <c r="E1078" s="4">
        <v>10</v>
      </c>
      <c r="F1078" s="25">
        <v>43712.818101851852</v>
      </c>
      <c r="G1078">
        <v>0</v>
      </c>
      <c r="H1078" s="25"/>
      <c r="I1078" s="25"/>
      <c r="J1078" s="25" t="s">
        <v>300</v>
      </c>
    </row>
    <row r="1079" spans="1:10" x14ac:dyDescent="0.25">
      <c r="A1079" s="4">
        <v>1931</v>
      </c>
      <c r="B1079">
        <v>2000</v>
      </c>
      <c r="C1079" s="4">
        <v>12292</v>
      </c>
      <c r="D1079" t="s">
        <v>306</v>
      </c>
      <c r="E1079" s="4">
        <v>8</v>
      </c>
      <c r="F1079" s="25">
        <v>43712.818090277775</v>
      </c>
      <c r="G1079">
        <v>0</v>
      </c>
      <c r="H1079" s="25"/>
      <c r="I1079" s="25"/>
      <c r="J1079" s="25" t="s">
        <v>300</v>
      </c>
    </row>
    <row r="1080" spans="1:10" x14ac:dyDescent="0.25">
      <c r="A1080" s="4">
        <v>1931</v>
      </c>
      <c r="B1080">
        <v>2000</v>
      </c>
      <c r="C1080" s="4">
        <v>12292</v>
      </c>
      <c r="D1080" t="s">
        <v>306</v>
      </c>
      <c r="E1080" s="4">
        <v>9</v>
      </c>
      <c r="F1080" s="25">
        <v>43712.818090277775</v>
      </c>
      <c r="G1080">
        <v>0</v>
      </c>
      <c r="H1080" s="25"/>
      <c r="I1080" s="25"/>
      <c r="J1080" s="25" t="s">
        <v>300</v>
      </c>
    </row>
    <row r="1081" spans="1:10" x14ac:dyDescent="0.25">
      <c r="A1081" s="4">
        <v>1931</v>
      </c>
      <c r="B1081">
        <v>2000</v>
      </c>
      <c r="C1081" s="4">
        <v>12292</v>
      </c>
      <c r="D1081" t="s">
        <v>306</v>
      </c>
      <c r="E1081" s="4">
        <v>7</v>
      </c>
      <c r="F1081" s="25">
        <v>43712.818078703705</v>
      </c>
      <c r="G1081">
        <v>0</v>
      </c>
      <c r="H1081" s="25"/>
      <c r="I1081" s="25"/>
      <c r="J1081" s="25" t="s">
        <v>300</v>
      </c>
    </row>
    <row r="1082" spans="1:10" x14ac:dyDescent="0.25">
      <c r="A1082" s="4">
        <v>1931</v>
      </c>
      <c r="B1082">
        <v>2000</v>
      </c>
      <c r="C1082" s="4">
        <v>12292</v>
      </c>
      <c r="D1082" t="s">
        <v>306</v>
      </c>
      <c r="E1082" s="4">
        <v>5</v>
      </c>
      <c r="F1082" s="25">
        <v>43712.818067129629</v>
      </c>
      <c r="G1082">
        <v>0</v>
      </c>
      <c r="H1082" s="25"/>
      <c r="I1082" s="25"/>
      <c r="J1082" s="25" t="s">
        <v>300</v>
      </c>
    </row>
    <row r="1083" spans="1:10" x14ac:dyDescent="0.25">
      <c r="A1083" s="4">
        <v>1931</v>
      </c>
      <c r="B1083">
        <v>2000</v>
      </c>
      <c r="C1083" s="4">
        <v>12292</v>
      </c>
      <c r="D1083" t="s">
        <v>306</v>
      </c>
      <c r="E1083" s="4">
        <v>6</v>
      </c>
      <c r="F1083" s="25">
        <v>43712.818067129629</v>
      </c>
      <c r="G1083">
        <v>0</v>
      </c>
      <c r="H1083" s="25"/>
      <c r="I1083" s="25"/>
      <c r="J1083" s="25" t="s">
        <v>300</v>
      </c>
    </row>
    <row r="1084" spans="1:10" x14ac:dyDescent="0.25">
      <c r="A1084" s="4">
        <v>1931</v>
      </c>
      <c r="B1084">
        <v>2000</v>
      </c>
      <c r="C1084" s="4">
        <v>12292</v>
      </c>
      <c r="D1084" t="s">
        <v>306</v>
      </c>
      <c r="E1084" s="4">
        <v>4</v>
      </c>
      <c r="F1084" s="25">
        <v>43712.818055555559</v>
      </c>
      <c r="G1084">
        <v>0</v>
      </c>
      <c r="H1084" s="25"/>
      <c r="I1084" s="25"/>
      <c r="J1084" s="25" t="s">
        <v>300</v>
      </c>
    </row>
    <row r="1085" spans="1:10" x14ac:dyDescent="0.25">
      <c r="A1085" s="4">
        <v>1931</v>
      </c>
      <c r="B1085">
        <v>2000</v>
      </c>
      <c r="C1085" s="4">
        <v>12292</v>
      </c>
      <c r="D1085" t="s">
        <v>306</v>
      </c>
      <c r="E1085" s="4">
        <v>2</v>
      </c>
      <c r="F1085" s="25">
        <v>43712.818043981482</v>
      </c>
      <c r="G1085">
        <v>0</v>
      </c>
      <c r="H1085" s="25"/>
      <c r="I1085" s="25"/>
      <c r="J1085" s="25" t="s">
        <v>300</v>
      </c>
    </row>
    <row r="1086" spans="1:10" x14ac:dyDescent="0.25">
      <c r="A1086" s="4">
        <v>1931</v>
      </c>
      <c r="B1086">
        <v>2000</v>
      </c>
      <c r="C1086" s="4">
        <v>12292</v>
      </c>
      <c r="D1086" t="s">
        <v>306</v>
      </c>
      <c r="E1086" s="4">
        <v>3</v>
      </c>
      <c r="F1086" s="25">
        <v>43712.818043981482</v>
      </c>
      <c r="G1086">
        <v>0</v>
      </c>
      <c r="H1086" s="25"/>
      <c r="I1086" s="25"/>
      <c r="J1086" s="25" t="s">
        <v>300</v>
      </c>
    </row>
    <row r="1087" spans="1:10" x14ac:dyDescent="0.25">
      <c r="A1087" s="4">
        <v>1931</v>
      </c>
      <c r="B1087">
        <v>2000</v>
      </c>
      <c r="C1087" s="4">
        <v>12292</v>
      </c>
      <c r="D1087" t="s">
        <v>306</v>
      </c>
      <c r="E1087" s="4">
        <v>1</v>
      </c>
      <c r="F1087" s="25">
        <v>43712.818032407406</v>
      </c>
      <c r="G1087">
        <v>0</v>
      </c>
      <c r="H1087" s="25"/>
      <c r="I1087" s="25"/>
      <c r="J1087" s="25" t="s">
        <v>300</v>
      </c>
    </row>
    <row r="1088" spans="1:10" x14ac:dyDescent="0.25">
      <c r="A1088" s="4">
        <v>1931</v>
      </c>
      <c r="B1088">
        <v>2000</v>
      </c>
      <c r="C1088" s="4">
        <v>12292</v>
      </c>
      <c r="D1088" t="s">
        <v>306</v>
      </c>
      <c r="E1088" s="4">
        <v>0</v>
      </c>
      <c r="F1088" s="25">
        <v>43712.818020833336</v>
      </c>
      <c r="G1088">
        <v>0</v>
      </c>
      <c r="H1088" s="25"/>
      <c r="I1088" s="25"/>
      <c r="J1088" s="25" t="s">
        <v>300</v>
      </c>
    </row>
    <row r="1089" spans="1:10" x14ac:dyDescent="0.25">
      <c r="A1089" s="4">
        <v>1010</v>
      </c>
      <c r="B1089">
        <v>12628</v>
      </c>
      <c r="C1089" s="4">
        <v>12292</v>
      </c>
      <c r="D1089" t="s">
        <v>306</v>
      </c>
      <c r="E1089" s="4">
        <v>23</v>
      </c>
      <c r="F1089" s="25">
        <v>43712.814976851849</v>
      </c>
      <c r="G1089">
        <v>0</v>
      </c>
      <c r="H1089" s="25"/>
      <c r="I1089" s="25"/>
      <c r="J1089" s="25" t="s">
        <v>300</v>
      </c>
    </row>
    <row r="1090" spans="1:10" x14ac:dyDescent="0.25">
      <c r="A1090" s="4">
        <v>1010</v>
      </c>
      <c r="B1090">
        <v>12628</v>
      </c>
      <c r="C1090" s="4">
        <v>12292</v>
      </c>
      <c r="D1090" t="s">
        <v>306</v>
      </c>
      <c r="E1090" s="4">
        <v>24</v>
      </c>
      <c r="F1090" s="25">
        <v>43712.814976851849</v>
      </c>
      <c r="G1090">
        <v>0</v>
      </c>
      <c r="H1090" s="25"/>
      <c r="I1090" s="25"/>
      <c r="J1090" s="25" t="s">
        <v>300</v>
      </c>
    </row>
    <row r="1091" spans="1:10" x14ac:dyDescent="0.25">
      <c r="A1091" s="4">
        <v>1010</v>
      </c>
      <c r="B1091">
        <v>12628</v>
      </c>
      <c r="C1091" s="4">
        <v>12292</v>
      </c>
      <c r="D1091" t="s">
        <v>306</v>
      </c>
      <c r="E1091" s="4">
        <v>22</v>
      </c>
      <c r="F1091" s="25">
        <v>43712.814965277779</v>
      </c>
      <c r="G1091">
        <v>0</v>
      </c>
      <c r="H1091" s="25"/>
      <c r="I1091" s="25"/>
      <c r="J1091" s="25" t="s">
        <v>300</v>
      </c>
    </row>
    <row r="1092" spans="1:10" x14ac:dyDescent="0.25">
      <c r="A1092" s="4">
        <v>1010</v>
      </c>
      <c r="B1092">
        <v>12628</v>
      </c>
      <c r="C1092" s="4">
        <v>12292</v>
      </c>
      <c r="D1092" t="s">
        <v>306</v>
      </c>
      <c r="E1092" s="4">
        <v>21</v>
      </c>
      <c r="F1092" s="25">
        <v>43712.814953703702</v>
      </c>
      <c r="G1092">
        <v>0</v>
      </c>
      <c r="H1092" s="25"/>
      <c r="I1092" s="25"/>
      <c r="J1092" s="25" t="s">
        <v>300</v>
      </c>
    </row>
    <row r="1093" spans="1:10" x14ac:dyDescent="0.25">
      <c r="A1093" s="4">
        <v>1010</v>
      </c>
      <c r="B1093">
        <v>12628</v>
      </c>
      <c r="C1093" s="4">
        <v>12292</v>
      </c>
      <c r="D1093" t="s">
        <v>306</v>
      </c>
      <c r="E1093" s="4">
        <v>19</v>
      </c>
      <c r="F1093" s="25">
        <v>43712.814942129633</v>
      </c>
      <c r="G1093">
        <v>0</v>
      </c>
      <c r="H1093" s="25"/>
      <c r="I1093" s="25"/>
      <c r="J1093" s="25" t="s">
        <v>300</v>
      </c>
    </row>
    <row r="1094" spans="1:10" x14ac:dyDescent="0.25">
      <c r="A1094" s="4">
        <v>1010</v>
      </c>
      <c r="B1094">
        <v>12628</v>
      </c>
      <c r="C1094" s="4">
        <v>12292</v>
      </c>
      <c r="D1094" t="s">
        <v>306</v>
      </c>
      <c r="E1094" s="4">
        <v>20</v>
      </c>
      <c r="F1094" s="25">
        <v>43712.814942129633</v>
      </c>
      <c r="G1094">
        <v>0</v>
      </c>
      <c r="H1094" s="25"/>
      <c r="I1094" s="25"/>
      <c r="J1094" s="25" t="s">
        <v>300</v>
      </c>
    </row>
    <row r="1095" spans="1:10" x14ac:dyDescent="0.25">
      <c r="A1095" s="4">
        <v>1010</v>
      </c>
      <c r="B1095">
        <v>12628</v>
      </c>
      <c r="C1095" s="4">
        <v>12292</v>
      </c>
      <c r="D1095" t="s">
        <v>306</v>
      </c>
      <c r="E1095" s="4">
        <v>18</v>
      </c>
      <c r="F1095" s="25">
        <v>43712.814930555556</v>
      </c>
      <c r="G1095">
        <v>0</v>
      </c>
      <c r="H1095" s="25"/>
      <c r="I1095" s="25"/>
      <c r="J1095" s="25" t="s">
        <v>300</v>
      </c>
    </row>
    <row r="1096" spans="1:10" x14ac:dyDescent="0.25">
      <c r="A1096" s="4">
        <v>1010</v>
      </c>
      <c r="B1096">
        <v>12628</v>
      </c>
      <c r="C1096" s="4">
        <v>12292</v>
      </c>
      <c r="D1096" t="s">
        <v>306</v>
      </c>
      <c r="E1096" s="4">
        <v>16</v>
      </c>
      <c r="F1096" s="25">
        <v>43712.814918981479</v>
      </c>
      <c r="G1096">
        <v>0</v>
      </c>
      <c r="H1096" s="25"/>
      <c r="I1096" s="25"/>
      <c r="J1096" s="25" t="s">
        <v>300</v>
      </c>
    </row>
    <row r="1097" spans="1:10" x14ac:dyDescent="0.25">
      <c r="A1097" s="4">
        <v>1010</v>
      </c>
      <c r="B1097">
        <v>12628</v>
      </c>
      <c r="C1097" s="4">
        <v>12292</v>
      </c>
      <c r="D1097" t="s">
        <v>306</v>
      </c>
      <c r="E1097" s="4">
        <v>17</v>
      </c>
      <c r="F1097" s="25">
        <v>43712.814918981479</v>
      </c>
      <c r="G1097">
        <v>0</v>
      </c>
      <c r="H1097" s="25"/>
      <c r="I1097" s="25"/>
      <c r="J1097" s="25" t="s">
        <v>300</v>
      </c>
    </row>
    <row r="1098" spans="1:10" x14ac:dyDescent="0.25">
      <c r="A1098" s="4">
        <v>1010</v>
      </c>
      <c r="B1098">
        <v>12628</v>
      </c>
      <c r="C1098" s="4">
        <v>12292</v>
      </c>
      <c r="D1098" t="s">
        <v>306</v>
      </c>
      <c r="E1098" s="4">
        <v>15</v>
      </c>
      <c r="F1098" s="25">
        <v>43712.81490740741</v>
      </c>
      <c r="G1098">
        <v>0</v>
      </c>
      <c r="H1098" s="25"/>
      <c r="I1098" s="25"/>
      <c r="J1098" s="25" t="s">
        <v>300</v>
      </c>
    </row>
    <row r="1099" spans="1:10" x14ac:dyDescent="0.25">
      <c r="A1099" s="4">
        <v>1010</v>
      </c>
      <c r="B1099">
        <v>12628</v>
      </c>
      <c r="C1099" s="4">
        <v>12292</v>
      </c>
      <c r="D1099" t="s">
        <v>306</v>
      </c>
      <c r="E1099" s="4">
        <v>14</v>
      </c>
      <c r="F1099" s="25">
        <v>43712.814895833333</v>
      </c>
      <c r="G1099">
        <v>0</v>
      </c>
      <c r="H1099" s="25"/>
      <c r="I1099" s="25"/>
      <c r="J1099" s="25" t="s">
        <v>300</v>
      </c>
    </row>
    <row r="1100" spans="1:10" x14ac:dyDescent="0.25">
      <c r="A1100" s="4">
        <v>1010</v>
      </c>
      <c r="B1100">
        <v>12628</v>
      </c>
      <c r="C1100" s="4">
        <v>12292</v>
      </c>
      <c r="D1100" t="s">
        <v>306</v>
      </c>
      <c r="E1100" s="4">
        <v>12</v>
      </c>
      <c r="F1100" s="25">
        <v>43712.814884259256</v>
      </c>
      <c r="G1100">
        <v>0</v>
      </c>
      <c r="H1100" s="25"/>
      <c r="I1100" s="25"/>
      <c r="J1100" s="25" t="s">
        <v>300</v>
      </c>
    </row>
    <row r="1101" spans="1:10" x14ac:dyDescent="0.25">
      <c r="A1101" s="4">
        <v>1010</v>
      </c>
      <c r="B1101">
        <v>12628</v>
      </c>
      <c r="C1101" s="4">
        <v>12292</v>
      </c>
      <c r="D1101" t="s">
        <v>306</v>
      </c>
      <c r="E1101" s="4">
        <v>13</v>
      </c>
      <c r="F1101" s="25">
        <v>43712.814884259256</v>
      </c>
      <c r="G1101">
        <v>0</v>
      </c>
      <c r="H1101" s="25"/>
      <c r="I1101" s="25"/>
      <c r="J1101" s="25" t="s">
        <v>300</v>
      </c>
    </row>
    <row r="1102" spans="1:10" x14ac:dyDescent="0.25">
      <c r="A1102" s="4">
        <v>1010</v>
      </c>
      <c r="B1102">
        <v>12628</v>
      </c>
      <c r="C1102" s="4">
        <v>12292</v>
      </c>
      <c r="D1102" t="s">
        <v>306</v>
      </c>
      <c r="E1102" s="4">
        <v>11</v>
      </c>
      <c r="F1102" s="25">
        <v>43712.814872685187</v>
      </c>
      <c r="G1102">
        <v>0</v>
      </c>
      <c r="H1102" s="25"/>
      <c r="I1102" s="25"/>
      <c r="J1102" s="25" t="s">
        <v>300</v>
      </c>
    </row>
    <row r="1103" spans="1:10" x14ac:dyDescent="0.25">
      <c r="A1103" s="4">
        <v>1010</v>
      </c>
      <c r="B1103">
        <v>12628</v>
      </c>
      <c r="C1103" s="4">
        <v>12292</v>
      </c>
      <c r="D1103" t="s">
        <v>306</v>
      </c>
      <c r="E1103" s="4">
        <v>9</v>
      </c>
      <c r="F1103" s="25">
        <v>43712.81486111111</v>
      </c>
      <c r="G1103">
        <v>0</v>
      </c>
      <c r="H1103" s="25"/>
      <c r="I1103" s="25"/>
      <c r="J1103" s="25" t="s">
        <v>300</v>
      </c>
    </row>
    <row r="1104" spans="1:10" x14ac:dyDescent="0.25">
      <c r="A1104" s="4">
        <v>1010</v>
      </c>
      <c r="B1104">
        <v>12628</v>
      </c>
      <c r="C1104" s="4">
        <v>12292</v>
      </c>
      <c r="D1104" t="s">
        <v>306</v>
      </c>
      <c r="E1104" s="4">
        <v>10</v>
      </c>
      <c r="F1104" s="25">
        <v>43712.81486111111</v>
      </c>
      <c r="G1104">
        <v>0</v>
      </c>
      <c r="H1104" s="25"/>
      <c r="I1104" s="25"/>
      <c r="J1104" s="25" t="s">
        <v>300</v>
      </c>
    </row>
    <row r="1105" spans="1:10" x14ac:dyDescent="0.25">
      <c r="A1105" s="4">
        <v>1010</v>
      </c>
      <c r="B1105">
        <v>12628</v>
      </c>
      <c r="C1105" s="4">
        <v>12292</v>
      </c>
      <c r="D1105" t="s">
        <v>306</v>
      </c>
      <c r="E1105" s="4">
        <v>8</v>
      </c>
      <c r="F1105" s="25">
        <v>43712.814849537041</v>
      </c>
      <c r="G1105">
        <v>0</v>
      </c>
      <c r="H1105" s="25"/>
      <c r="I1105" s="25"/>
      <c r="J1105" s="25" t="s">
        <v>300</v>
      </c>
    </row>
    <row r="1106" spans="1:10" x14ac:dyDescent="0.25">
      <c r="A1106" s="4">
        <v>1010</v>
      </c>
      <c r="B1106">
        <v>12628</v>
      </c>
      <c r="C1106" s="4">
        <v>12292</v>
      </c>
      <c r="D1106" t="s">
        <v>306</v>
      </c>
      <c r="E1106" s="4">
        <v>7</v>
      </c>
      <c r="F1106" s="25">
        <v>43712.814837962964</v>
      </c>
      <c r="G1106">
        <v>0</v>
      </c>
      <c r="H1106" s="25"/>
      <c r="I1106" s="25"/>
      <c r="J1106" s="25" t="s">
        <v>300</v>
      </c>
    </row>
    <row r="1107" spans="1:10" x14ac:dyDescent="0.25">
      <c r="A1107" s="4">
        <v>1010</v>
      </c>
      <c r="B1107">
        <v>12628</v>
      </c>
      <c r="C1107" s="4">
        <v>12292</v>
      </c>
      <c r="D1107" t="s">
        <v>306</v>
      </c>
      <c r="E1107" s="4">
        <v>5</v>
      </c>
      <c r="F1107" s="25">
        <v>43712.814826388887</v>
      </c>
      <c r="G1107">
        <v>0</v>
      </c>
      <c r="H1107" s="25"/>
      <c r="I1107" s="25"/>
      <c r="J1107" s="25" t="s">
        <v>300</v>
      </c>
    </row>
    <row r="1108" spans="1:10" x14ac:dyDescent="0.25">
      <c r="A1108" s="4">
        <v>1010</v>
      </c>
      <c r="B1108">
        <v>12628</v>
      </c>
      <c r="C1108" s="4">
        <v>12292</v>
      </c>
      <c r="D1108" t="s">
        <v>306</v>
      </c>
      <c r="E1108" s="4">
        <v>6</v>
      </c>
      <c r="F1108" s="25">
        <v>43712.814826388887</v>
      </c>
      <c r="G1108">
        <v>0</v>
      </c>
      <c r="H1108" s="25"/>
      <c r="I1108" s="25"/>
      <c r="J1108" s="25" t="s">
        <v>300</v>
      </c>
    </row>
    <row r="1109" spans="1:10" x14ac:dyDescent="0.25">
      <c r="A1109" s="4">
        <v>1010</v>
      </c>
      <c r="B1109">
        <v>12628</v>
      </c>
      <c r="C1109" s="4">
        <v>12292</v>
      </c>
      <c r="D1109" t="s">
        <v>306</v>
      </c>
      <c r="E1109" s="4">
        <v>4</v>
      </c>
      <c r="F1109" s="25">
        <v>43712.814814814818</v>
      </c>
      <c r="G1109">
        <v>0</v>
      </c>
      <c r="H1109" s="25"/>
      <c r="I1109" s="25"/>
      <c r="J1109" s="25" t="s">
        <v>300</v>
      </c>
    </row>
    <row r="1110" spans="1:10" x14ac:dyDescent="0.25">
      <c r="A1110" s="4">
        <v>1010</v>
      </c>
      <c r="B1110">
        <v>12628</v>
      </c>
      <c r="C1110" s="4">
        <v>12292</v>
      </c>
      <c r="D1110" t="s">
        <v>306</v>
      </c>
      <c r="E1110" s="4">
        <v>2</v>
      </c>
      <c r="F1110" s="25">
        <v>43712.814803240741</v>
      </c>
      <c r="G1110">
        <v>0</v>
      </c>
      <c r="H1110" s="25"/>
      <c r="I1110" s="25"/>
      <c r="J1110" s="25" t="s">
        <v>300</v>
      </c>
    </row>
    <row r="1111" spans="1:10" x14ac:dyDescent="0.25">
      <c r="A1111" s="4">
        <v>1010</v>
      </c>
      <c r="B1111">
        <v>12628</v>
      </c>
      <c r="C1111" s="4">
        <v>12292</v>
      </c>
      <c r="D1111" t="s">
        <v>306</v>
      </c>
      <c r="E1111" s="4">
        <v>3</v>
      </c>
      <c r="F1111" s="25">
        <v>43712.814803240741</v>
      </c>
      <c r="G1111">
        <v>0</v>
      </c>
      <c r="H1111" s="25"/>
      <c r="I1111" s="25"/>
      <c r="J1111" s="25" t="s">
        <v>300</v>
      </c>
    </row>
    <row r="1112" spans="1:10" x14ac:dyDescent="0.25">
      <c r="A1112" s="4">
        <v>1010</v>
      </c>
      <c r="B1112">
        <v>12628</v>
      </c>
      <c r="C1112" s="4">
        <v>12292</v>
      </c>
      <c r="D1112" t="s">
        <v>306</v>
      </c>
      <c r="E1112" s="4">
        <v>1</v>
      </c>
      <c r="F1112" s="25">
        <v>43712.814791666664</v>
      </c>
      <c r="G1112">
        <v>0</v>
      </c>
      <c r="H1112" s="25"/>
      <c r="I1112" s="25"/>
      <c r="J1112" s="25" t="s">
        <v>300</v>
      </c>
    </row>
    <row r="1113" spans="1:10" x14ac:dyDescent="0.25">
      <c r="A1113" s="4">
        <v>1010</v>
      </c>
      <c r="B1113">
        <v>12628</v>
      </c>
      <c r="C1113" s="4">
        <v>12292</v>
      </c>
      <c r="D1113" t="s">
        <v>306</v>
      </c>
      <c r="E1113" s="4">
        <v>0</v>
      </c>
      <c r="F1113" s="25">
        <v>43712.814780092594</v>
      </c>
      <c r="G1113">
        <v>0</v>
      </c>
      <c r="H1113" s="25"/>
      <c r="I1113" s="25"/>
      <c r="J1113" s="25" t="s">
        <v>300</v>
      </c>
    </row>
    <row r="1114" spans="1:10" x14ac:dyDescent="0.25">
      <c r="A1114" s="4">
        <v>608</v>
      </c>
      <c r="B1114">
        <v>14240</v>
      </c>
      <c r="C1114" s="4">
        <v>12292</v>
      </c>
      <c r="D1114" t="s">
        <v>306</v>
      </c>
      <c r="E1114" s="4">
        <v>0</v>
      </c>
      <c r="F1114" s="25">
        <v>43712.813321759262</v>
      </c>
      <c r="G1114">
        <v>0</v>
      </c>
      <c r="H1114" s="25"/>
      <c r="I1114" s="25"/>
      <c r="J1114" s="25" t="s">
        <v>300</v>
      </c>
    </row>
    <row r="1115" spans="1:10" x14ac:dyDescent="0.25">
      <c r="A1115" s="4">
        <v>30052</v>
      </c>
      <c r="B1115">
        <v>14168</v>
      </c>
      <c r="C1115" s="4">
        <v>12292</v>
      </c>
      <c r="D1115" t="s">
        <v>306</v>
      </c>
      <c r="E1115" s="4">
        <v>0</v>
      </c>
      <c r="F1115" s="25">
        <v>43712.801539351851</v>
      </c>
      <c r="G1115">
        <v>0</v>
      </c>
      <c r="H1115" s="25"/>
      <c r="I1115" s="25"/>
      <c r="J1115" s="25" t="s">
        <v>300</v>
      </c>
    </row>
    <row r="1116" spans="1:10" x14ac:dyDescent="0.25">
      <c r="A1116" s="4">
        <v>24853</v>
      </c>
      <c r="B1116">
        <v>6080</v>
      </c>
      <c r="C1116" s="4">
        <v>12292</v>
      </c>
      <c r="D1116" t="s">
        <v>306</v>
      </c>
      <c r="E1116" s="4">
        <v>1</v>
      </c>
      <c r="F1116" s="25">
        <v>43712.791678240741</v>
      </c>
      <c r="G1116">
        <v>0</v>
      </c>
      <c r="H1116" s="25"/>
      <c r="I1116" s="25"/>
      <c r="J1116" s="25" t="s">
        <v>300</v>
      </c>
    </row>
    <row r="1117" spans="1:10" x14ac:dyDescent="0.25">
      <c r="A1117" s="4">
        <v>24853</v>
      </c>
      <c r="B1117">
        <v>6080</v>
      </c>
      <c r="C1117" s="4">
        <v>12292</v>
      </c>
      <c r="D1117" t="s">
        <v>306</v>
      </c>
      <c r="E1117" s="4">
        <v>0</v>
      </c>
      <c r="F1117" s="25">
        <v>43712.783125000002</v>
      </c>
      <c r="G1117">
        <v>0</v>
      </c>
      <c r="H1117" s="25"/>
      <c r="I1117" s="25"/>
      <c r="J1117" s="25" t="s">
        <v>300</v>
      </c>
    </row>
    <row r="1118" spans="1:10" x14ac:dyDescent="0.25">
      <c r="A1118" s="4">
        <v>22988</v>
      </c>
      <c r="B1118">
        <v>14852</v>
      </c>
      <c r="C1118" s="4">
        <v>12292</v>
      </c>
      <c r="D1118" t="s">
        <v>306</v>
      </c>
      <c r="E1118" s="4">
        <v>1567625893</v>
      </c>
      <c r="F1118" s="25">
        <v>43712.776550925926</v>
      </c>
      <c r="G1118">
        <v>0</v>
      </c>
      <c r="H1118" s="25"/>
      <c r="I1118" s="25"/>
      <c r="J1118" s="25" t="s">
        <v>300</v>
      </c>
    </row>
    <row r="1119" spans="1:10" x14ac:dyDescent="0.25">
      <c r="A1119" s="4">
        <v>18554</v>
      </c>
      <c r="B1119">
        <v>10272</v>
      </c>
      <c r="C1119" s="4">
        <v>12292</v>
      </c>
      <c r="D1119" t="s">
        <v>306</v>
      </c>
      <c r="E1119" s="4">
        <v>24</v>
      </c>
      <c r="F1119" s="25">
        <v>43712.76185185185</v>
      </c>
      <c r="G1119">
        <v>0</v>
      </c>
      <c r="H1119" s="25"/>
      <c r="I1119" s="25"/>
      <c r="J1119" s="25" t="s">
        <v>300</v>
      </c>
    </row>
    <row r="1120" spans="1:10" x14ac:dyDescent="0.25">
      <c r="A1120" s="4">
        <v>18554</v>
      </c>
      <c r="B1120">
        <v>10272</v>
      </c>
      <c r="C1120" s="4">
        <v>12292</v>
      </c>
      <c r="D1120" t="s">
        <v>306</v>
      </c>
      <c r="E1120" s="4">
        <v>22</v>
      </c>
      <c r="F1120" s="25">
        <v>43712.761840277781</v>
      </c>
      <c r="G1120">
        <v>0</v>
      </c>
      <c r="H1120" s="25"/>
      <c r="I1120" s="25"/>
      <c r="J1120" s="25" t="s">
        <v>300</v>
      </c>
    </row>
    <row r="1121" spans="1:10" x14ac:dyDescent="0.25">
      <c r="A1121" s="4">
        <v>18554</v>
      </c>
      <c r="B1121">
        <v>10272</v>
      </c>
      <c r="C1121" s="4">
        <v>12292</v>
      </c>
      <c r="D1121" t="s">
        <v>306</v>
      </c>
      <c r="E1121" s="4">
        <v>23</v>
      </c>
      <c r="F1121" s="25">
        <v>43712.761840277781</v>
      </c>
      <c r="G1121">
        <v>0</v>
      </c>
      <c r="H1121" s="25"/>
      <c r="I1121" s="25"/>
      <c r="J1121" s="25" t="s">
        <v>300</v>
      </c>
    </row>
    <row r="1122" spans="1:10" x14ac:dyDescent="0.25">
      <c r="A1122" s="4">
        <v>18554</v>
      </c>
      <c r="B1122">
        <v>10272</v>
      </c>
      <c r="C1122" s="4">
        <v>12292</v>
      </c>
      <c r="D1122" t="s">
        <v>306</v>
      </c>
      <c r="E1122" s="4">
        <v>21</v>
      </c>
      <c r="F1122" s="25">
        <v>43712.761828703704</v>
      </c>
      <c r="G1122">
        <v>0</v>
      </c>
      <c r="H1122" s="25"/>
      <c r="I1122" s="25"/>
      <c r="J1122" s="25" t="s">
        <v>300</v>
      </c>
    </row>
    <row r="1123" spans="1:10" x14ac:dyDescent="0.25">
      <c r="A1123" s="4">
        <v>18554</v>
      </c>
      <c r="B1123">
        <v>10272</v>
      </c>
      <c r="C1123" s="4">
        <v>12292</v>
      </c>
      <c r="D1123" t="s">
        <v>306</v>
      </c>
      <c r="E1123" s="4">
        <v>20</v>
      </c>
      <c r="F1123" s="25">
        <v>43712.761817129627</v>
      </c>
      <c r="G1123">
        <v>0</v>
      </c>
      <c r="H1123" s="25"/>
      <c r="I1123" s="25"/>
      <c r="J1123" s="25" t="s">
        <v>300</v>
      </c>
    </row>
    <row r="1124" spans="1:10" x14ac:dyDescent="0.25">
      <c r="A1124" s="4">
        <v>18554</v>
      </c>
      <c r="B1124">
        <v>10272</v>
      </c>
      <c r="C1124" s="4">
        <v>12292</v>
      </c>
      <c r="D1124" t="s">
        <v>306</v>
      </c>
      <c r="E1124" s="4">
        <v>18</v>
      </c>
      <c r="F1124" s="25">
        <v>43712.761805555558</v>
      </c>
      <c r="G1124">
        <v>0</v>
      </c>
      <c r="H1124" s="25"/>
      <c r="I1124" s="25"/>
      <c r="J1124" s="25" t="s">
        <v>300</v>
      </c>
    </row>
    <row r="1125" spans="1:10" x14ac:dyDescent="0.25">
      <c r="A1125" s="4">
        <v>18554</v>
      </c>
      <c r="B1125">
        <v>10272</v>
      </c>
      <c r="C1125" s="4">
        <v>12292</v>
      </c>
      <c r="D1125" t="s">
        <v>306</v>
      </c>
      <c r="E1125" s="4">
        <v>19</v>
      </c>
      <c r="F1125" s="25">
        <v>43712.761805555558</v>
      </c>
      <c r="G1125">
        <v>0</v>
      </c>
      <c r="H1125" s="25"/>
      <c r="I1125" s="25"/>
      <c r="J1125" s="25" t="s">
        <v>300</v>
      </c>
    </row>
    <row r="1126" spans="1:10" x14ac:dyDescent="0.25">
      <c r="A1126" s="4">
        <v>18554</v>
      </c>
      <c r="B1126">
        <v>10272</v>
      </c>
      <c r="C1126" s="4">
        <v>12292</v>
      </c>
      <c r="D1126" t="s">
        <v>306</v>
      </c>
      <c r="E1126" s="4">
        <v>17</v>
      </c>
      <c r="F1126" s="25">
        <v>43712.761793981481</v>
      </c>
      <c r="G1126">
        <v>0</v>
      </c>
      <c r="H1126" s="25"/>
      <c r="I1126" s="25"/>
      <c r="J1126" s="25" t="s">
        <v>300</v>
      </c>
    </row>
    <row r="1127" spans="1:10" x14ac:dyDescent="0.25">
      <c r="A1127" s="4">
        <v>18554</v>
      </c>
      <c r="B1127">
        <v>10272</v>
      </c>
      <c r="C1127" s="4">
        <v>12292</v>
      </c>
      <c r="D1127" t="s">
        <v>306</v>
      </c>
      <c r="E1127" s="4">
        <v>16</v>
      </c>
      <c r="F1127" s="25">
        <v>43712.761782407404</v>
      </c>
      <c r="G1127">
        <v>0</v>
      </c>
      <c r="H1127" s="25"/>
      <c r="I1127" s="25"/>
      <c r="J1127" s="25" t="s">
        <v>300</v>
      </c>
    </row>
    <row r="1128" spans="1:10" x14ac:dyDescent="0.25">
      <c r="A1128" s="4">
        <v>18554</v>
      </c>
      <c r="B1128">
        <v>10272</v>
      </c>
      <c r="C1128" s="4">
        <v>12292</v>
      </c>
      <c r="D1128" t="s">
        <v>306</v>
      </c>
      <c r="E1128" s="4">
        <v>14</v>
      </c>
      <c r="F1128" s="25">
        <v>43712.761770833335</v>
      </c>
      <c r="G1128">
        <v>0</v>
      </c>
      <c r="H1128" s="25"/>
      <c r="I1128" s="25"/>
      <c r="J1128" s="25" t="s">
        <v>300</v>
      </c>
    </row>
    <row r="1129" spans="1:10" x14ac:dyDescent="0.25">
      <c r="A1129" s="4">
        <v>18554</v>
      </c>
      <c r="B1129">
        <v>10272</v>
      </c>
      <c r="C1129" s="4">
        <v>12292</v>
      </c>
      <c r="D1129" t="s">
        <v>306</v>
      </c>
      <c r="E1129" s="4">
        <v>15</v>
      </c>
      <c r="F1129" s="25">
        <v>43712.761770833335</v>
      </c>
      <c r="G1129">
        <v>0</v>
      </c>
      <c r="H1129" s="25"/>
      <c r="I1129" s="25"/>
      <c r="J1129" s="25" t="s">
        <v>300</v>
      </c>
    </row>
    <row r="1130" spans="1:10" x14ac:dyDescent="0.25">
      <c r="A1130" s="4">
        <v>18554</v>
      </c>
      <c r="B1130">
        <v>10272</v>
      </c>
      <c r="C1130" s="4">
        <v>12292</v>
      </c>
      <c r="D1130" t="s">
        <v>306</v>
      </c>
      <c r="E1130" s="4">
        <v>13</v>
      </c>
      <c r="F1130" s="25">
        <v>43712.761759259258</v>
      </c>
      <c r="G1130">
        <v>0</v>
      </c>
      <c r="H1130" s="25"/>
      <c r="I1130" s="25"/>
      <c r="J1130" s="25" t="s">
        <v>300</v>
      </c>
    </row>
    <row r="1131" spans="1:10" x14ac:dyDescent="0.25">
      <c r="A1131" s="4">
        <v>18554</v>
      </c>
      <c r="B1131">
        <v>10272</v>
      </c>
      <c r="C1131" s="4">
        <v>12292</v>
      </c>
      <c r="D1131" t="s">
        <v>306</v>
      </c>
      <c r="E1131" s="4">
        <v>11</v>
      </c>
      <c r="F1131" s="25">
        <v>43712.761747685188</v>
      </c>
      <c r="G1131">
        <v>0</v>
      </c>
      <c r="H1131" s="25"/>
      <c r="I1131" s="25"/>
      <c r="J1131" s="25" t="s">
        <v>300</v>
      </c>
    </row>
    <row r="1132" spans="1:10" x14ac:dyDescent="0.25">
      <c r="A1132" s="4">
        <v>18554</v>
      </c>
      <c r="B1132">
        <v>10272</v>
      </c>
      <c r="C1132" s="4">
        <v>12292</v>
      </c>
      <c r="D1132" t="s">
        <v>306</v>
      </c>
      <c r="E1132" s="4">
        <v>12</v>
      </c>
      <c r="F1132" s="25">
        <v>43712.761747685188</v>
      </c>
      <c r="G1132">
        <v>0</v>
      </c>
      <c r="H1132" s="25"/>
      <c r="I1132" s="25"/>
      <c r="J1132" s="25" t="s">
        <v>300</v>
      </c>
    </row>
    <row r="1133" spans="1:10" x14ac:dyDescent="0.25">
      <c r="A1133" s="4">
        <v>18554</v>
      </c>
      <c r="B1133">
        <v>10272</v>
      </c>
      <c r="C1133" s="4">
        <v>12292</v>
      </c>
      <c r="D1133" t="s">
        <v>306</v>
      </c>
      <c r="E1133" s="4">
        <v>10</v>
      </c>
      <c r="F1133" s="25">
        <v>43712.761736111112</v>
      </c>
      <c r="G1133">
        <v>0</v>
      </c>
      <c r="H1133" s="25"/>
      <c r="I1133" s="25"/>
      <c r="J1133" s="25" t="s">
        <v>300</v>
      </c>
    </row>
    <row r="1134" spans="1:10" x14ac:dyDescent="0.25">
      <c r="A1134" s="4">
        <v>18554</v>
      </c>
      <c r="B1134">
        <v>10272</v>
      </c>
      <c r="C1134" s="4">
        <v>12292</v>
      </c>
      <c r="D1134" t="s">
        <v>306</v>
      </c>
      <c r="E1134" s="4">
        <v>8</v>
      </c>
      <c r="F1134" s="25">
        <v>43712.761724537035</v>
      </c>
      <c r="G1134">
        <v>0</v>
      </c>
      <c r="H1134" s="25"/>
      <c r="I1134" s="25"/>
      <c r="J1134" s="25" t="s">
        <v>300</v>
      </c>
    </row>
    <row r="1135" spans="1:10" x14ac:dyDescent="0.25">
      <c r="A1135" s="4">
        <v>18554</v>
      </c>
      <c r="B1135">
        <v>10272</v>
      </c>
      <c r="C1135" s="4">
        <v>12292</v>
      </c>
      <c r="D1135" t="s">
        <v>306</v>
      </c>
      <c r="E1135" s="4">
        <v>9</v>
      </c>
      <c r="F1135" s="25">
        <v>43712.761724537035</v>
      </c>
      <c r="G1135">
        <v>0</v>
      </c>
      <c r="H1135" s="25"/>
      <c r="I1135" s="25"/>
      <c r="J1135" s="25" t="s">
        <v>300</v>
      </c>
    </row>
    <row r="1136" spans="1:10" x14ac:dyDescent="0.25">
      <c r="A1136" s="4">
        <v>18554</v>
      </c>
      <c r="B1136">
        <v>10272</v>
      </c>
      <c r="C1136" s="4">
        <v>12292</v>
      </c>
      <c r="D1136" t="s">
        <v>306</v>
      </c>
      <c r="E1136" s="4">
        <v>7</v>
      </c>
      <c r="F1136" s="25">
        <v>43712.761712962965</v>
      </c>
      <c r="G1136">
        <v>0</v>
      </c>
      <c r="H1136" s="25"/>
      <c r="I1136" s="25"/>
      <c r="J1136" s="25" t="s">
        <v>300</v>
      </c>
    </row>
    <row r="1137" spans="1:10" x14ac:dyDescent="0.25">
      <c r="A1137" s="4">
        <v>18554</v>
      </c>
      <c r="B1137">
        <v>10272</v>
      </c>
      <c r="C1137" s="4">
        <v>12292</v>
      </c>
      <c r="D1137" t="s">
        <v>306</v>
      </c>
      <c r="E1137" s="4">
        <v>6</v>
      </c>
      <c r="F1137" s="25">
        <v>43712.761701388888</v>
      </c>
      <c r="G1137">
        <v>0</v>
      </c>
      <c r="H1137" s="25"/>
      <c r="I1137" s="25"/>
      <c r="J1137" s="25" t="s">
        <v>300</v>
      </c>
    </row>
    <row r="1138" spans="1:10" x14ac:dyDescent="0.25">
      <c r="A1138" s="4">
        <v>18554</v>
      </c>
      <c r="B1138">
        <v>10272</v>
      </c>
      <c r="C1138" s="4">
        <v>12292</v>
      </c>
      <c r="D1138" t="s">
        <v>306</v>
      </c>
      <c r="E1138" s="4">
        <v>4</v>
      </c>
      <c r="F1138" s="25">
        <v>43712.761689814812</v>
      </c>
      <c r="G1138">
        <v>0</v>
      </c>
      <c r="H1138" s="25"/>
      <c r="I1138" s="25"/>
      <c r="J1138" s="25" t="s">
        <v>300</v>
      </c>
    </row>
    <row r="1139" spans="1:10" x14ac:dyDescent="0.25">
      <c r="A1139" s="4">
        <v>18554</v>
      </c>
      <c r="B1139">
        <v>10272</v>
      </c>
      <c r="C1139" s="4">
        <v>12292</v>
      </c>
      <c r="D1139" t="s">
        <v>306</v>
      </c>
      <c r="E1139" s="4">
        <v>5</v>
      </c>
      <c r="F1139" s="25">
        <v>43712.761689814812</v>
      </c>
      <c r="G1139">
        <v>0</v>
      </c>
      <c r="H1139" s="25"/>
      <c r="I1139" s="25"/>
      <c r="J1139" s="25" t="s">
        <v>300</v>
      </c>
    </row>
    <row r="1140" spans="1:10" x14ac:dyDescent="0.25">
      <c r="A1140" s="4">
        <v>18554</v>
      </c>
      <c r="B1140">
        <v>10272</v>
      </c>
      <c r="C1140" s="4">
        <v>12292</v>
      </c>
      <c r="D1140" t="s">
        <v>306</v>
      </c>
      <c r="E1140" s="4">
        <v>3</v>
      </c>
      <c r="F1140" s="25">
        <v>43712.761678240742</v>
      </c>
      <c r="G1140">
        <v>0</v>
      </c>
      <c r="H1140" s="25"/>
      <c r="I1140" s="25"/>
      <c r="J1140" s="25" t="s">
        <v>300</v>
      </c>
    </row>
    <row r="1141" spans="1:10" x14ac:dyDescent="0.25">
      <c r="A1141" s="4">
        <v>18554</v>
      </c>
      <c r="B1141">
        <v>10272</v>
      </c>
      <c r="C1141" s="4">
        <v>12292</v>
      </c>
      <c r="D1141" t="s">
        <v>306</v>
      </c>
      <c r="E1141" s="4">
        <v>1</v>
      </c>
      <c r="F1141" s="25">
        <v>43712.761666666665</v>
      </c>
      <c r="G1141">
        <v>0</v>
      </c>
      <c r="H1141" s="25"/>
      <c r="I1141" s="25"/>
      <c r="J1141" s="25" t="s">
        <v>300</v>
      </c>
    </row>
    <row r="1142" spans="1:10" x14ac:dyDescent="0.25">
      <c r="A1142" s="4">
        <v>18554</v>
      </c>
      <c r="B1142">
        <v>10272</v>
      </c>
      <c r="C1142" s="4">
        <v>12292</v>
      </c>
      <c r="D1142" t="s">
        <v>306</v>
      </c>
      <c r="E1142" s="4">
        <v>2</v>
      </c>
      <c r="F1142" s="25">
        <v>43712.761666666665</v>
      </c>
      <c r="G1142">
        <v>0</v>
      </c>
      <c r="H1142" s="25"/>
      <c r="I1142" s="25"/>
      <c r="J1142" s="25" t="s">
        <v>300</v>
      </c>
    </row>
    <row r="1143" spans="1:10" x14ac:dyDescent="0.25">
      <c r="A1143" s="4">
        <v>18554</v>
      </c>
      <c r="B1143">
        <v>10272</v>
      </c>
      <c r="C1143" s="4">
        <v>12292</v>
      </c>
      <c r="D1143" t="s">
        <v>306</v>
      </c>
      <c r="E1143" s="4">
        <v>0</v>
      </c>
      <c r="F1143" s="25">
        <v>43712.761655092596</v>
      </c>
      <c r="G1143">
        <v>0</v>
      </c>
      <c r="H1143" s="25"/>
      <c r="I1143" s="25"/>
      <c r="J1143" s="25" t="s">
        <v>300</v>
      </c>
    </row>
    <row r="1144" spans="1:10" x14ac:dyDescent="0.25">
      <c r="A1144" s="4">
        <v>18508</v>
      </c>
      <c r="B1144">
        <v>5716</v>
      </c>
      <c r="C1144" s="4">
        <v>12292</v>
      </c>
      <c r="D1144" t="s">
        <v>306</v>
      </c>
      <c r="E1144" s="4">
        <v>0</v>
      </c>
      <c r="F1144" s="25">
        <v>43712.761331018519</v>
      </c>
      <c r="G1144">
        <v>0</v>
      </c>
      <c r="H1144" s="25"/>
      <c r="I1144" s="25"/>
      <c r="J1144" s="25" t="s">
        <v>300</v>
      </c>
    </row>
    <row r="1145" spans="1:10" x14ac:dyDescent="0.25">
      <c r="A1145" s="4">
        <v>15366</v>
      </c>
      <c r="B1145">
        <v>5684</v>
      </c>
      <c r="C1145" s="4">
        <v>12292</v>
      </c>
      <c r="D1145" t="s">
        <v>306</v>
      </c>
      <c r="E1145" s="4">
        <v>0</v>
      </c>
      <c r="F1145" s="25">
        <v>43712.749490740738</v>
      </c>
      <c r="G1145">
        <v>0</v>
      </c>
      <c r="H1145" s="25"/>
      <c r="I1145" s="25"/>
      <c r="J1145" s="25" t="s">
        <v>300</v>
      </c>
    </row>
    <row r="1146" spans="1:10" x14ac:dyDescent="0.25">
      <c r="A1146" s="4">
        <v>13799</v>
      </c>
      <c r="B1146">
        <v>7164</v>
      </c>
      <c r="C1146" s="4">
        <v>12292</v>
      </c>
      <c r="D1146" t="s">
        <v>306</v>
      </c>
      <c r="E1146" s="4">
        <v>0</v>
      </c>
      <c r="F1146" s="25">
        <v>43712.743958333333</v>
      </c>
      <c r="G1146">
        <v>0</v>
      </c>
      <c r="H1146" s="25"/>
      <c r="I1146" s="25"/>
      <c r="J1146" s="25" t="s">
        <v>300</v>
      </c>
    </row>
    <row r="1147" spans="1:10" x14ac:dyDescent="0.25">
      <c r="A1147" s="4">
        <v>12921</v>
      </c>
      <c r="B1147">
        <v>2972</v>
      </c>
      <c r="C1147" s="4">
        <v>12292</v>
      </c>
      <c r="D1147" t="s">
        <v>306</v>
      </c>
      <c r="E1147" s="4">
        <v>0</v>
      </c>
      <c r="F1147" s="25">
        <v>43712.740856481483</v>
      </c>
      <c r="G1147">
        <v>0</v>
      </c>
      <c r="H1147" s="25"/>
      <c r="I1147" s="25"/>
      <c r="J1147" s="25" t="s">
        <v>300</v>
      </c>
    </row>
    <row r="1148" spans="1:10" x14ac:dyDescent="0.25">
      <c r="A1148" s="4">
        <v>11611</v>
      </c>
      <c r="B1148">
        <v>14556</v>
      </c>
      <c r="C1148" s="4">
        <v>12292</v>
      </c>
      <c r="D1148" t="s">
        <v>306</v>
      </c>
      <c r="E1148" s="4">
        <v>0</v>
      </c>
      <c r="F1148" s="25">
        <v>43712.736203703702</v>
      </c>
      <c r="G1148">
        <v>0</v>
      </c>
      <c r="H1148" s="25"/>
      <c r="I1148" s="25"/>
      <c r="J1148" s="25" t="s">
        <v>300</v>
      </c>
    </row>
    <row r="1149" spans="1:10" x14ac:dyDescent="0.25">
      <c r="A1149" s="4">
        <v>10778</v>
      </c>
      <c r="B1149">
        <v>2924</v>
      </c>
      <c r="C1149" s="4">
        <v>12292</v>
      </c>
      <c r="D1149" t="s">
        <v>306</v>
      </c>
      <c r="E1149" s="4">
        <v>0</v>
      </c>
      <c r="F1149" s="25">
        <v>43712.733252314814</v>
      </c>
      <c r="G1149">
        <v>0</v>
      </c>
      <c r="H1149" s="25"/>
      <c r="I1149" s="25"/>
      <c r="J1149" s="25" t="s">
        <v>300</v>
      </c>
    </row>
    <row r="1150" spans="1:10" x14ac:dyDescent="0.25">
      <c r="A1150" s="4">
        <v>10187</v>
      </c>
      <c r="B1150">
        <v>11376</v>
      </c>
      <c r="C1150" s="4">
        <v>12292</v>
      </c>
      <c r="D1150" t="s">
        <v>306</v>
      </c>
      <c r="E1150" s="4">
        <v>0</v>
      </c>
      <c r="F1150" s="25">
        <v>43712.731168981481</v>
      </c>
      <c r="G1150">
        <v>0</v>
      </c>
      <c r="H1150" s="25"/>
      <c r="I1150" s="25"/>
      <c r="J1150" s="25" t="s">
        <v>300</v>
      </c>
    </row>
    <row r="1151" spans="1:10" x14ac:dyDescent="0.25">
      <c r="A1151" s="4">
        <v>8943</v>
      </c>
      <c r="B1151">
        <v>13255</v>
      </c>
      <c r="C1151" s="4">
        <v>12292</v>
      </c>
      <c r="D1151" t="s">
        <v>306</v>
      </c>
      <c r="E1151" s="4">
        <v>0</v>
      </c>
      <c r="F1151" s="25">
        <v>43712.726736111108</v>
      </c>
      <c r="G1151">
        <v>0</v>
      </c>
      <c r="H1151" s="25"/>
      <c r="I1151" s="25"/>
      <c r="J1151" s="25" t="s">
        <v>300</v>
      </c>
    </row>
    <row r="1152" spans="1:10" x14ac:dyDescent="0.25">
      <c r="A1152" s="4">
        <v>8244</v>
      </c>
      <c r="B1152">
        <v>13256</v>
      </c>
      <c r="C1152" s="4">
        <v>12292</v>
      </c>
      <c r="D1152" t="s">
        <v>306</v>
      </c>
      <c r="E1152" s="4">
        <v>0</v>
      </c>
      <c r="F1152" s="25">
        <v>43712.724270833336</v>
      </c>
      <c r="G1152">
        <v>0</v>
      </c>
      <c r="H1152" s="25"/>
      <c r="I1152" s="25"/>
      <c r="J1152" s="25" t="s">
        <v>300</v>
      </c>
    </row>
    <row r="1153" spans="1:10" x14ac:dyDescent="0.25">
      <c r="A1153" s="4">
        <v>6141</v>
      </c>
      <c r="B1153">
        <v>9092</v>
      </c>
      <c r="C1153" s="4">
        <v>12292</v>
      </c>
      <c r="D1153" t="s">
        <v>306</v>
      </c>
      <c r="E1153" s="4">
        <v>0</v>
      </c>
      <c r="F1153" s="25">
        <v>43712.716817129629</v>
      </c>
      <c r="G1153">
        <v>0</v>
      </c>
      <c r="H1153" s="25"/>
      <c r="I1153" s="25"/>
      <c r="J1153" s="25" t="s">
        <v>300</v>
      </c>
    </row>
    <row r="1154" spans="1:10" x14ac:dyDescent="0.25">
      <c r="A1154" s="4">
        <v>5207</v>
      </c>
      <c r="B1154">
        <v>7540</v>
      </c>
      <c r="C1154" s="4">
        <v>12292</v>
      </c>
      <c r="D1154" t="s">
        <v>306</v>
      </c>
      <c r="E1154" s="4">
        <v>0</v>
      </c>
      <c r="F1154" s="25">
        <v>43712.713495370372</v>
      </c>
      <c r="G1154">
        <v>0</v>
      </c>
      <c r="H1154" s="25"/>
      <c r="I1154" s="25"/>
      <c r="J1154" s="25" t="s">
        <v>300</v>
      </c>
    </row>
    <row r="1155" spans="1:10" x14ac:dyDescent="0.25">
      <c r="A1155" s="4">
        <v>22935</v>
      </c>
      <c r="B1155">
        <v>6475</v>
      </c>
      <c r="C1155" s="4">
        <v>12292</v>
      </c>
      <c r="D1155" t="s">
        <v>306</v>
      </c>
      <c r="E1155" s="4">
        <v>0</v>
      </c>
      <c r="F1155" s="25">
        <v>43711.963321759256</v>
      </c>
      <c r="G1155">
        <v>0</v>
      </c>
      <c r="H1155" s="25"/>
      <c r="I1155" s="25"/>
      <c r="J1155" s="25" t="s">
        <v>300</v>
      </c>
    </row>
    <row r="1156" spans="1:10" x14ac:dyDescent="0.25">
      <c r="A1156" s="4">
        <v>21233</v>
      </c>
      <c r="B1156">
        <v>10460</v>
      </c>
      <c r="C1156" s="4">
        <v>12292</v>
      </c>
      <c r="D1156" t="s">
        <v>306</v>
      </c>
      <c r="E1156" s="4">
        <v>0</v>
      </c>
      <c r="F1156" s="25">
        <v>43711.957303240742</v>
      </c>
      <c r="G1156">
        <v>0</v>
      </c>
      <c r="H1156" s="25"/>
      <c r="I1156" s="25"/>
      <c r="J1156" s="25" t="s">
        <v>300</v>
      </c>
    </row>
    <row r="1157" spans="1:10" x14ac:dyDescent="0.25">
      <c r="A1157" s="4">
        <v>19264</v>
      </c>
      <c r="B1157">
        <v>6412</v>
      </c>
      <c r="C1157" s="4">
        <v>12292</v>
      </c>
      <c r="D1157" t="s">
        <v>306</v>
      </c>
      <c r="E1157" s="4">
        <v>0</v>
      </c>
      <c r="F1157" s="25">
        <v>43711.95040509259</v>
      </c>
      <c r="G1157">
        <v>0</v>
      </c>
      <c r="H1157" s="25"/>
      <c r="I1157" s="25"/>
      <c r="J1157" s="25" t="s">
        <v>300</v>
      </c>
    </row>
    <row r="1158" spans="1:10" x14ac:dyDescent="0.25">
      <c r="A1158" s="4">
        <v>18389</v>
      </c>
      <c r="B1158">
        <v>11568</v>
      </c>
      <c r="C1158" s="4">
        <v>12292</v>
      </c>
      <c r="D1158" t="s">
        <v>306</v>
      </c>
      <c r="E1158" s="4">
        <v>0</v>
      </c>
      <c r="F1158" s="25">
        <v>43711.947384259256</v>
      </c>
      <c r="G1158">
        <v>0</v>
      </c>
      <c r="H1158" s="25"/>
      <c r="I1158" s="25"/>
      <c r="J1158" s="25" t="s">
        <v>300</v>
      </c>
    </row>
    <row r="1159" spans="1:10" x14ac:dyDescent="0.25">
      <c r="A1159" s="4">
        <v>17958</v>
      </c>
      <c r="B1159">
        <v>6476</v>
      </c>
      <c r="C1159" s="4">
        <v>12292</v>
      </c>
      <c r="D1159" t="s">
        <v>306</v>
      </c>
      <c r="E1159" s="4">
        <v>0</v>
      </c>
      <c r="F1159" s="25">
        <v>43711.945925925924</v>
      </c>
      <c r="G1159">
        <v>0</v>
      </c>
      <c r="H1159" s="25"/>
      <c r="I1159" s="25"/>
      <c r="J1159" s="25" t="s">
        <v>300</v>
      </c>
    </row>
    <row r="1160" spans="1:10" x14ac:dyDescent="0.25">
      <c r="A1160" s="4">
        <v>70</v>
      </c>
      <c r="B1160">
        <v>5656</v>
      </c>
      <c r="C1160" s="4">
        <v>12500</v>
      </c>
      <c r="D1160" t="s">
        <v>7</v>
      </c>
      <c r="E1160" s="4">
        <v>0</v>
      </c>
      <c r="F1160" s="25">
        <v>43711.944143518522</v>
      </c>
      <c r="G1160">
        <v>0</v>
      </c>
      <c r="H1160" s="25"/>
      <c r="I1160" s="25" t="s">
        <v>331</v>
      </c>
      <c r="J1160" s="25" t="s">
        <v>298</v>
      </c>
    </row>
    <row r="1161" spans="1:10" x14ac:dyDescent="0.25">
      <c r="A1161" s="4">
        <v>70</v>
      </c>
      <c r="B1161">
        <v>12500</v>
      </c>
      <c r="C1161" s="4">
        <v>12500</v>
      </c>
      <c r="D1161" t="s">
        <v>7</v>
      </c>
      <c r="E1161" s="4">
        <v>0</v>
      </c>
      <c r="F1161" s="25">
        <v>43711.93209490741</v>
      </c>
      <c r="G1161">
        <v>1</v>
      </c>
      <c r="H1161" s="25" t="s">
        <v>328</v>
      </c>
      <c r="I1161" s="25"/>
      <c r="J1161" s="25" t="s">
        <v>322</v>
      </c>
    </row>
    <row r="1162" spans="1:10" x14ac:dyDescent="0.25">
      <c r="A1162" s="4">
        <v>8840</v>
      </c>
      <c r="B1162">
        <v>12164</v>
      </c>
      <c r="C1162" s="4">
        <v>12292</v>
      </c>
      <c r="D1162" t="s">
        <v>306</v>
      </c>
      <c r="E1162" s="4">
        <v>0</v>
      </c>
      <c r="F1162" s="25">
        <v>43711.91337962963</v>
      </c>
      <c r="G1162">
        <v>0</v>
      </c>
      <c r="H1162" s="25"/>
      <c r="I1162" s="25"/>
      <c r="J1162" s="25" t="s">
        <v>300</v>
      </c>
    </row>
    <row r="1163" spans="1:10" x14ac:dyDescent="0.25">
      <c r="A1163" s="4">
        <v>5562</v>
      </c>
      <c r="B1163">
        <v>10036</v>
      </c>
      <c r="C1163" s="4">
        <v>12292</v>
      </c>
      <c r="D1163" t="s">
        <v>306</v>
      </c>
      <c r="E1163" s="4">
        <v>0</v>
      </c>
      <c r="F1163" s="25">
        <v>43711.901747685188</v>
      </c>
      <c r="G1163">
        <v>0</v>
      </c>
      <c r="H1163" s="25"/>
      <c r="I1163" s="25"/>
      <c r="J1163" s="25" t="s">
        <v>300</v>
      </c>
    </row>
    <row r="1164" spans="1:10" x14ac:dyDescent="0.25">
      <c r="A1164" s="4">
        <v>4301</v>
      </c>
      <c r="B1164">
        <v>1212</v>
      </c>
      <c r="C1164" s="4">
        <v>12292</v>
      </c>
      <c r="D1164" t="s">
        <v>306</v>
      </c>
      <c r="E1164" s="4">
        <v>0</v>
      </c>
      <c r="F1164" s="25">
        <v>43711.897303240738</v>
      </c>
      <c r="G1164">
        <v>0</v>
      </c>
      <c r="H1164" s="25"/>
      <c r="I1164" s="25"/>
      <c r="J1164" s="25" t="s">
        <v>300</v>
      </c>
    </row>
    <row r="1165" spans="1:10" x14ac:dyDescent="0.25">
      <c r="A1165" s="4">
        <v>60</v>
      </c>
      <c r="B1165">
        <v>7228</v>
      </c>
      <c r="C1165" s="4">
        <v>12292</v>
      </c>
      <c r="D1165" t="s">
        <v>7</v>
      </c>
      <c r="E1165" s="4">
        <v>0</v>
      </c>
      <c r="F1165" s="25">
        <v>43711.895509259259</v>
      </c>
      <c r="G1165">
        <v>0</v>
      </c>
      <c r="H1165" s="25"/>
      <c r="I1165" s="25" t="s">
        <v>333</v>
      </c>
      <c r="J1165" s="25" t="s">
        <v>337</v>
      </c>
    </row>
    <row r="1166" spans="1:10" x14ac:dyDescent="0.25">
      <c r="A1166" s="4">
        <v>60</v>
      </c>
      <c r="B1166">
        <v>13836</v>
      </c>
      <c r="C1166" s="4">
        <v>12292</v>
      </c>
      <c r="D1166" t="s">
        <v>7</v>
      </c>
      <c r="E1166" s="4">
        <v>0</v>
      </c>
      <c r="F1166" s="25">
        <v>43711.894432870373</v>
      </c>
      <c r="G1166">
        <v>0</v>
      </c>
      <c r="H1166" s="25"/>
      <c r="I1166" s="25" t="s">
        <v>335</v>
      </c>
      <c r="J1166" s="25" t="s">
        <v>336</v>
      </c>
    </row>
    <row r="1167" spans="1:10" x14ac:dyDescent="0.25">
      <c r="A1167" s="4">
        <v>1444</v>
      </c>
      <c r="B1167">
        <v>4980</v>
      </c>
      <c r="C1167" s="4">
        <v>12292</v>
      </c>
      <c r="D1167" t="s">
        <v>306</v>
      </c>
      <c r="E1167" s="4">
        <v>0</v>
      </c>
      <c r="F1167" s="25">
        <v>43711.887175925927</v>
      </c>
      <c r="G1167">
        <v>0</v>
      </c>
      <c r="H1167" s="25"/>
      <c r="I1167" s="25"/>
      <c r="J1167" s="25" t="s">
        <v>300</v>
      </c>
    </row>
    <row r="1168" spans="1:10" x14ac:dyDescent="0.25">
      <c r="A1168" s="4">
        <v>32076</v>
      </c>
      <c r="B1168">
        <v>11644</v>
      </c>
      <c r="C1168" s="4">
        <v>12292</v>
      </c>
      <c r="D1168" t="s">
        <v>306</v>
      </c>
      <c r="E1168" s="4">
        <v>0</v>
      </c>
      <c r="F1168" s="25">
        <v>43711.879594907405</v>
      </c>
      <c r="G1168">
        <v>0</v>
      </c>
      <c r="H1168" s="25"/>
      <c r="I1168" s="25"/>
      <c r="J1168" s="25" t="s">
        <v>300</v>
      </c>
    </row>
    <row r="1169" spans="1:10" x14ac:dyDescent="0.25">
      <c r="A1169" s="4">
        <v>31139</v>
      </c>
      <c r="B1169">
        <v>3332</v>
      </c>
      <c r="C1169" s="4">
        <v>12292</v>
      </c>
      <c r="D1169" t="s">
        <v>306</v>
      </c>
      <c r="E1169" s="4">
        <v>0</v>
      </c>
      <c r="F1169" s="25">
        <v>43711.876342592594</v>
      </c>
      <c r="G1169">
        <v>0</v>
      </c>
      <c r="H1169" s="25"/>
      <c r="I1169" s="25"/>
      <c r="J1169" s="25" t="s">
        <v>300</v>
      </c>
    </row>
    <row r="1170" spans="1:10" x14ac:dyDescent="0.25">
      <c r="A1170" s="4">
        <v>60</v>
      </c>
      <c r="B1170">
        <v>13068</v>
      </c>
      <c r="C1170" s="4">
        <v>12292</v>
      </c>
      <c r="D1170" t="s">
        <v>7</v>
      </c>
      <c r="E1170" s="4">
        <v>0</v>
      </c>
      <c r="F1170" s="25">
        <v>43711.870671296296</v>
      </c>
      <c r="G1170">
        <v>0</v>
      </c>
      <c r="H1170" s="25"/>
      <c r="I1170" s="25" t="s">
        <v>335</v>
      </c>
      <c r="J1170" s="25" t="s">
        <v>334</v>
      </c>
    </row>
    <row r="1171" spans="1:10" x14ac:dyDescent="0.25">
      <c r="A1171" s="4">
        <v>60</v>
      </c>
      <c r="B1171">
        <v>15052</v>
      </c>
      <c r="C1171" s="4">
        <v>12292</v>
      </c>
      <c r="D1171" t="s">
        <v>7</v>
      </c>
      <c r="E1171" s="4">
        <v>0</v>
      </c>
      <c r="F1171" s="25">
        <v>43711.869502314818</v>
      </c>
      <c r="G1171">
        <v>0</v>
      </c>
      <c r="H1171" s="25"/>
      <c r="I1171" s="25" t="s">
        <v>333</v>
      </c>
      <c r="J1171" s="25" t="s">
        <v>332</v>
      </c>
    </row>
    <row r="1172" spans="1:10" x14ac:dyDescent="0.25">
      <c r="A1172" s="4">
        <v>25078</v>
      </c>
      <c r="B1172">
        <v>10072</v>
      </c>
      <c r="C1172" s="4">
        <v>12292</v>
      </c>
      <c r="D1172" t="s">
        <v>306</v>
      </c>
      <c r="E1172" s="4">
        <v>0</v>
      </c>
      <c r="F1172" s="25">
        <v>43711.854641203703</v>
      </c>
      <c r="G1172">
        <v>0</v>
      </c>
      <c r="H1172" s="25"/>
      <c r="I1172" s="25"/>
      <c r="J1172" s="25" t="s">
        <v>300</v>
      </c>
    </row>
    <row r="1173" spans="1:10" x14ac:dyDescent="0.25">
      <c r="A1173" s="4">
        <v>23370</v>
      </c>
      <c r="B1173">
        <v>14880</v>
      </c>
      <c r="C1173" s="4">
        <v>6956</v>
      </c>
      <c r="D1173" t="s">
        <v>306</v>
      </c>
      <c r="E1173" s="4">
        <v>0</v>
      </c>
      <c r="F1173" s="25">
        <v>43711.847777777781</v>
      </c>
      <c r="G1173">
        <v>0</v>
      </c>
      <c r="H1173" s="25"/>
      <c r="I1173" s="25"/>
      <c r="J1173" s="25" t="s">
        <v>300</v>
      </c>
    </row>
    <row r="1174" spans="1:10" x14ac:dyDescent="0.25">
      <c r="A1174" s="4">
        <v>23200</v>
      </c>
      <c r="B1174">
        <v>13428</v>
      </c>
      <c r="C1174" s="4">
        <v>6956</v>
      </c>
      <c r="D1174" t="s">
        <v>306</v>
      </c>
      <c r="E1174" s="4">
        <v>0</v>
      </c>
      <c r="F1174" s="25">
        <v>43711.847187500003</v>
      </c>
      <c r="G1174">
        <v>0</v>
      </c>
      <c r="H1174" s="25"/>
      <c r="I1174" s="25"/>
      <c r="J1174" s="25" t="s">
        <v>300</v>
      </c>
    </row>
    <row r="1175" spans="1:10" x14ac:dyDescent="0.25">
      <c r="A1175" s="4">
        <v>21179</v>
      </c>
      <c r="B1175">
        <v>8604</v>
      </c>
      <c r="C1175" s="4">
        <v>6956</v>
      </c>
      <c r="D1175" t="s">
        <v>306</v>
      </c>
      <c r="E1175" s="4">
        <v>0</v>
      </c>
      <c r="F1175" s="25">
        <v>43711.840011574073</v>
      </c>
      <c r="G1175">
        <v>0</v>
      </c>
      <c r="H1175" s="25"/>
      <c r="I1175" s="25"/>
      <c r="J1175" s="25" t="s">
        <v>300</v>
      </c>
    </row>
    <row r="1176" spans="1:10" x14ac:dyDescent="0.25">
      <c r="A1176" s="4">
        <v>19879</v>
      </c>
      <c r="B1176">
        <v>12376</v>
      </c>
      <c r="C1176" s="4">
        <v>6956</v>
      </c>
      <c r="D1176" t="s">
        <v>306</v>
      </c>
      <c r="E1176" s="4">
        <v>0</v>
      </c>
      <c r="F1176" s="25">
        <v>43711.835405092592</v>
      </c>
      <c r="G1176">
        <v>0</v>
      </c>
      <c r="H1176" s="25"/>
      <c r="I1176" s="25"/>
      <c r="J1176" s="25" t="s">
        <v>300</v>
      </c>
    </row>
    <row r="1177" spans="1:10" x14ac:dyDescent="0.25">
      <c r="A1177" s="4">
        <v>8518</v>
      </c>
      <c r="B1177">
        <v>11416</v>
      </c>
      <c r="C1177" s="4">
        <v>11184</v>
      </c>
      <c r="D1177" t="s">
        <v>306</v>
      </c>
      <c r="E1177" s="4">
        <v>0</v>
      </c>
      <c r="F1177" s="25">
        <v>43711.79515046296</v>
      </c>
      <c r="G1177">
        <v>0</v>
      </c>
      <c r="H1177" s="25"/>
      <c r="I1177" s="25"/>
      <c r="J1177" s="25" t="s">
        <v>300</v>
      </c>
    </row>
    <row r="1178" spans="1:10" x14ac:dyDescent="0.25">
      <c r="A1178" s="4">
        <v>7320</v>
      </c>
      <c r="B1178">
        <v>11364</v>
      </c>
      <c r="C1178" s="4">
        <v>6956</v>
      </c>
      <c r="D1178" t="s">
        <v>306</v>
      </c>
      <c r="E1178" s="4">
        <v>0</v>
      </c>
      <c r="F1178" s="25">
        <v>43711.790891203702</v>
      </c>
      <c r="G1178">
        <v>0</v>
      </c>
      <c r="H1178" s="25"/>
      <c r="I1178" s="25"/>
      <c r="J1178" s="25" t="s">
        <v>300</v>
      </c>
    </row>
    <row r="1179" spans="1:10" x14ac:dyDescent="0.25">
      <c r="A1179" s="4">
        <v>6575</v>
      </c>
      <c r="B1179">
        <v>10296</v>
      </c>
      <c r="C1179" s="4">
        <v>6956</v>
      </c>
      <c r="D1179" t="s">
        <v>306</v>
      </c>
      <c r="E1179" s="4">
        <v>0</v>
      </c>
      <c r="F1179" s="25">
        <v>43711.788252314815</v>
      </c>
      <c r="G1179">
        <v>0</v>
      </c>
      <c r="H1179" s="25"/>
      <c r="I1179" s="25"/>
      <c r="J1179" s="25" t="s">
        <v>300</v>
      </c>
    </row>
    <row r="1180" spans="1:10" x14ac:dyDescent="0.25">
      <c r="A1180" s="4">
        <v>5004</v>
      </c>
      <c r="B1180">
        <v>9440</v>
      </c>
      <c r="C1180" s="4">
        <v>11184</v>
      </c>
      <c r="D1180" t="s">
        <v>306</v>
      </c>
      <c r="E1180" s="4">
        <v>0</v>
      </c>
      <c r="F1180" s="25">
        <v>43711.782685185186</v>
      </c>
      <c r="G1180">
        <v>0</v>
      </c>
      <c r="H1180" s="25"/>
      <c r="I1180" s="25"/>
      <c r="J1180" s="25" t="s">
        <v>300</v>
      </c>
    </row>
    <row r="1181" spans="1:10" x14ac:dyDescent="0.25">
      <c r="A1181" s="4">
        <v>4296</v>
      </c>
      <c r="B1181">
        <v>3128</v>
      </c>
      <c r="C1181" s="4">
        <v>11184</v>
      </c>
      <c r="D1181" t="s">
        <v>306</v>
      </c>
      <c r="E1181" s="4">
        <v>0</v>
      </c>
      <c r="F1181" s="25">
        <v>43711.780185185184</v>
      </c>
      <c r="G1181">
        <v>0</v>
      </c>
      <c r="H1181" s="25"/>
      <c r="I1181" s="25"/>
      <c r="J1181" s="25" t="s">
        <v>300</v>
      </c>
    </row>
    <row r="1182" spans="1:10" x14ac:dyDescent="0.25">
      <c r="A1182" s="4">
        <v>2088</v>
      </c>
      <c r="B1182">
        <v>10780</v>
      </c>
      <c r="C1182" s="4">
        <v>11184</v>
      </c>
      <c r="D1182" t="s">
        <v>306</v>
      </c>
      <c r="E1182" s="4">
        <v>0</v>
      </c>
      <c r="F1182" s="25">
        <v>43711.772372685184</v>
      </c>
      <c r="G1182">
        <v>0</v>
      </c>
      <c r="H1182" s="25"/>
      <c r="I1182" s="25"/>
      <c r="J1182" s="25" t="s">
        <v>300</v>
      </c>
    </row>
    <row r="1183" spans="1:10" x14ac:dyDescent="0.25">
      <c r="A1183" s="4">
        <v>1788</v>
      </c>
      <c r="B1183">
        <v>5828</v>
      </c>
      <c r="C1183" s="4">
        <v>6956</v>
      </c>
      <c r="D1183" t="s">
        <v>306</v>
      </c>
      <c r="E1183" s="4">
        <v>0</v>
      </c>
      <c r="F1183" s="25">
        <v>43711.771284722221</v>
      </c>
      <c r="G1183">
        <v>0</v>
      </c>
      <c r="H1183" s="25"/>
      <c r="I1183" s="25"/>
      <c r="J1183" s="25" t="s">
        <v>300</v>
      </c>
    </row>
    <row r="1184" spans="1:10" x14ac:dyDescent="0.25">
      <c r="A1184" s="4">
        <v>1151</v>
      </c>
      <c r="B1184">
        <v>12200</v>
      </c>
      <c r="C1184" s="4">
        <v>11184</v>
      </c>
      <c r="D1184" t="s">
        <v>306</v>
      </c>
      <c r="E1184" s="4">
        <v>0</v>
      </c>
      <c r="F1184" s="25">
        <v>43711.769444444442</v>
      </c>
      <c r="G1184">
        <v>0</v>
      </c>
      <c r="H1184" s="25"/>
      <c r="I1184" s="25"/>
      <c r="J1184" s="25" t="s">
        <v>300</v>
      </c>
    </row>
    <row r="1185" spans="1:10" x14ac:dyDescent="0.25">
      <c r="A1185" s="4">
        <v>27182</v>
      </c>
      <c r="B1185">
        <v>10348</v>
      </c>
      <c r="C1185" s="4">
        <v>6956</v>
      </c>
      <c r="D1185" t="s">
        <v>306</v>
      </c>
      <c r="E1185" s="4">
        <v>0</v>
      </c>
      <c r="F1185" s="25">
        <v>43711.745162037034</v>
      </c>
      <c r="G1185">
        <v>0</v>
      </c>
      <c r="H1185" s="25"/>
      <c r="I1185" s="25"/>
      <c r="J1185" s="25" t="s">
        <v>300</v>
      </c>
    </row>
    <row r="1186" spans="1:10" x14ac:dyDescent="0.25">
      <c r="A1186" s="4">
        <v>26069</v>
      </c>
      <c r="B1186">
        <v>9688</v>
      </c>
      <c r="C1186" s="4">
        <v>6956</v>
      </c>
      <c r="D1186" t="s">
        <v>306</v>
      </c>
      <c r="E1186" s="4">
        <v>0</v>
      </c>
      <c r="F1186" s="25">
        <v>43711.741203703707</v>
      </c>
      <c r="G1186">
        <v>0</v>
      </c>
      <c r="H1186" s="25"/>
      <c r="I1186" s="25"/>
      <c r="J1186" s="25" t="s">
        <v>300</v>
      </c>
    </row>
    <row r="1187" spans="1:10" x14ac:dyDescent="0.25">
      <c r="A1187" s="4">
        <v>25794</v>
      </c>
      <c r="B1187">
        <v>9689</v>
      </c>
      <c r="C1187" s="4">
        <v>6956</v>
      </c>
      <c r="D1187" t="s">
        <v>306</v>
      </c>
      <c r="E1187" s="4">
        <v>0</v>
      </c>
      <c r="F1187" s="25">
        <v>43711.740243055552</v>
      </c>
      <c r="G1187">
        <v>0</v>
      </c>
      <c r="H1187" s="25"/>
      <c r="I1187" s="25"/>
      <c r="J1187" s="25" t="s">
        <v>300</v>
      </c>
    </row>
    <row r="1188" spans="1:10" x14ac:dyDescent="0.25">
      <c r="A1188" s="4">
        <v>25164</v>
      </c>
      <c r="B1188">
        <v>9690</v>
      </c>
      <c r="C1188" s="4">
        <v>6956</v>
      </c>
      <c r="D1188" t="s">
        <v>306</v>
      </c>
      <c r="E1188" s="4">
        <v>0</v>
      </c>
      <c r="F1188" s="25">
        <v>43711.737997685188</v>
      </c>
      <c r="G1188">
        <v>0</v>
      </c>
      <c r="H1188" s="25"/>
      <c r="I1188" s="25"/>
      <c r="J1188" s="25" t="s">
        <v>300</v>
      </c>
    </row>
    <row r="1189" spans="1:10" x14ac:dyDescent="0.25">
      <c r="A1189" s="4">
        <v>24906</v>
      </c>
      <c r="B1189">
        <v>9691</v>
      </c>
      <c r="C1189" s="4">
        <v>6956</v>
      </c>
      <c r="D1189" t="s">
        <v>306</v>
      </c>
      <c r="E1189" s="4">
        <v>0</v>
      </c>
      <c r="F1189" s="25">
        <v>43711.73709490741</v>
      </c>
      <c r="G1189">
        <v>0</v>
      </c>
      <c r="H1189" s="25"/>
      <c r="I1189" s="25"/>
      <c r="J1189" s="25" t="s">
        <v>300</v>
      </c>
    </row>
    <row r="1190" spans="1:10" x14ac:dyDescent="0.25">
      <c r="A1190" s="4">
        <v>23897</v>
      </c>
      <c r="B1190">
        <v>9692</v>
      </c>
      <c r="C1190" s="4">
        <v>6956</v>
      </c>
      <c r="D1190" t="s">
        <v>306</v>
      </c>
      <c r="E1190" s="4">
        <v>0</v>
      </c>
      <c r="F1190" s="25">
        <v>43711.733518518522</v>
      </c>
      <c r="G1190">
        <v>0</v>
      </c>
      <c r="H1190" s="25"/>
      <c r="I1190" s="25"/>
      <c r="J1190" s="25" t="s">
        <v>300</v>
      </c>
    </row>
    <row r="1191" spans="1:10" x14ac:dyDescent="0.25">
      <c r="A1191" s="4">
        <v>23312</v>
      </c>
      <c r="B1191">
        <v>9693</v>
      </c>
      <c r="C1191" s="4">
        <v>6956</v>
      </c>
      <c r="D1191" t="s">
        <v>306</v>
      </c>
      <c r="E1191" s="4">
        <v>0</v>
      </c>
      <c r="F1191" s="25">
        <v>43711.731446759259</v>
      </c>
      <c r="G1191">
        <v>0</v>
      </c>
      <c r="H1191" s="25"/>
      <c r="I1191" s="25"/>
      <c r="J1191" s="25" t="s">
        <v>300</v>
      </c>
    </row>
    <row r="1192" spans="1:10" x14ac:dyDescent="0.25">
      <c r="A1192" s="4">
        <v>21229</v>
      </c>
      <c r="B1192">
        <v>9694</v>
      </c>
      <c r="C1192" s="4">
        <v>6956</v>
      </c>
      <c r="D1192" t="s">
        <v>306</v>
      </c>
      <c r="E1192" s="4">
        <v>0</v>
      </c>
      <c r="F1192" s="25">
        <v>43711.724062499998</v>
      </c>
      <c r="G1192">
        <v>0</v>
      </c>
      <c r="H1192" s="25"/>
      <c r="I1192" s="25"/>
      <c r="J1192" s="25" t="s">
        <v>300</v>
      </c>
    </row>
    <row r="1193" spans="1:10" x14ac:dyDescent="0.25">
      <c r="A1193" s="4">
        <v>19991</v>
      </c>
      <c r="B1193">
        <v>9695</v>
      </c>
      <c r="C1193" s="4">
        <v>6956</v>
      </c>
      <c r="D1193" t="s">
        <v>306</v>
      </c>
      <c r="E1193" s="4">
        <v>0</v>
      </c>
      <c r="F1193" s="25">
        <v>43711.719675925924</v>
      </c>
      <c r="G1193">
        <v>0</v>
      </c>
      <c r="H1193" s="25"/>
      <c r="I1193" s="25"/>
      <c r="J1193" s="25" t="s">
        <v>300</v>
      </c>
    </row>
    <row r="1194" spans="1:10" x14ac:dyDescent="0.25">
      <c r="A1194" s="4">
        <v>19642</v>
      </c>
      <c r="B1194">
        <v>9696</v>
      </c>
      <c r="C1194" s="4">
        <v>6956</v>
      </c>
      <c r="D1194" t="s">
        <v>306</v>
      </c>
      <c r="E1194" s="4">
        <v>0</v>
      </c>
      <c r="F1194" s="25">
        <v>43711.718715277777</v>
      </c>
      <c r="G1194">
        <v>0</v>
      </c>
      <c r="H1194" s="25"/>
      <c r="I1194" s="25"/>
      <c r="J1194" s="25" t="s">
        <v>300</v>
      </c>
    </row>
    <row r="1195" spans="1:10" x14ac:dyDescent="0.25">
      <c r="A1195" s="4">
        <v>40</v>
      </c>
      <c r="B1195">
        <v>2984</v>
      </c>
      <c r="C1195" s="4">
        <v>6956</v>
      </c>
      <c r="D1195" t="s">
        <v>7</v>
      </c>
      <c r="E1195" s="4">
        <v>0</v>
      </c>
      <c r="F1195" s="25">
        <v>43710.974282407406</v>
      </c>
      <c r="G1195">
        <v>0</v>
      </c>
      <c r="H1195" s="25"/>
      <c r="I1195" s="25" t="s">
        <v>331</v>
      </c>
      <c r="J1195" s="25" t="s">
        <v>298</v>
      </c>
    </row>
    <row r="1196" spans="1:10" x14ac:dyDescent="0.25">
      <c r="A1196" s="4">
        <v>40</v>
      </c>
      <c r="B1196">
        <v>9960</v>
      </c>
      <c r="C1196" s="4">
        <v>6956</v>
      </c>
      <c r="D1196" t="s">
        <v>7</v>
      </c>
      <c r="E1196" s="4">
        <v>0</v>
      </c>
      <c r="F1196" s="25">
        <v>43710.973009259258</v>
      </c>
      <c r="G1196">
        <v>0</v>
      </c>
      <c r="H1196" s="25"/>
      <c r="I1196" s="25" t="s">
        <v>330</v>
      </c>
      <c r="J1196" s="25" t="s">
        <v>304</v>
      </c>
    </row>
    <row r="1197" spans="1:10" x14ac:dyDescent="0.25">
      <c r="A1197" s="4">
        <v>27906</v>
      </c>
      <c r="B1197">
        <v>4912</v>
      </c>
      <c r="C1197" s="4">
        <v>6956</v>
      </c>
      <c r="D1197" t="s">
        <v>306</v>
      </c>
      <c r="E1197" s="4">
        <v>0</v>
      </c>
      <c r="F1197" s="25">
        <v>43710.934733796297</v>
      </c>
      <c r="G1197">
        <v>0</v>
      </c>
      <c r="H1197" s="25"/>
      <c r="I1197" s="25"/>
      <c r="J1197" s="25" t="s">
        <v>300</v>
      </c>
    </row>
    <row r="1198" spans="1:10" x14ac:dyDescent="0.25">
      <c r="A1198" s="4">
        <v>27821</v>
      </c>
      <c r="B1198">
        <v>12452</v>
      </c>
      <c r="C1198" s="4">
        <v>6956</v>
      </c>
      <c r="D1198" t="s">
        <v>306</v>
      </c>
      <c r="E1198" s="4">
        <v>0</v>
      </c>
      <c r="F1198" s="25">
        <v>43710.934444444443</v>
      </c>
      <c r="G1198">
        <v>0</v>
      </c>
      <c r="H1198" s="25"/>
      <c r="I1198" s="25"/>
      <c r="J1198" s="25" t="s">
        <v>300</v>
      </c>
    </row>
    <row r="1199" spans="1:10" x14ac:dyDescent="0.25">
      <c r="A1199" s="4">
        <v>27732</v>
      </c>
      <c r="B1199">
        <v>7144</v>
      </c>
      <c r="C1199" s="4">
        <v>6956</v>
      </c>
      <c r="D1199" t="s">
        <v>306</v>
      </c>
      <c r="E1199" s="4">
        <v>0</v>
      </c>
      <c r="F1199" s="25">
        <v>43710.93414351852</v>
      </c>
      <c r="G1199">
        <v>0</v>
      </c>
      <c r="H1199" s="25"/>
      <c r="I1199" s="25"/>
      <c r="J1199" s="25" t="s">
        <v>300</v>
      </c>
    </row>
    <row r="1200" spans="1:10" x14ac:dyDescent="0.25">
      <c r="A1200" s="4">
        <v>27063</v>
      </c>
      <c r="B1200">
        <v>5492</v>
      </c>
      <c r="C1200" s="4">
        <v>6956</v>
      </c>
      <c r="D1200" t="s">
        <v>306</v>
      </c>
      <c r="E1200" s="4">
        <v>0</v>
      </c>
      <c r="F1200" s="25">
        <v>43710.931747685187</v>
      </c>
      <c r="G1200">
        <v>0</v>
      </c>
      <c r="H1200" s="25"/>
      <c r="I1200" s="25"/>
      <c r="J1200" s="25" t="s">
        <v>300</v>
      </c>
    </row>
    <row r="1201" spans="1:10" x14ac:dyDescent="0.25">
      <c r="A1201" s="4">
        <v>23624</v>
      </c>
      <c r="B1201">
        <v>4332</v>
      </c>
      <c r="C1201" s="4">
        <v>6956</v>
      </c>
      <c r="D1201" t="s">
        <v>306</v>
      </c>
      <c r="E1201" s="4">
        <v>0</v>
      </c>
      <c r="F1201" s="25">
        <v>43710.919571759259</v>
      </c>
      <c r="G1201">
        <v>0</v>
      </c>
      <c r="H1201" s="25"/>
      <c r="I1201" s="25"/>
      <c r="J1201" s="25" t="s">
        <v>300</v>
      </c>
    </row>
    <row r="1202" spans="1:10" x14ac:dyDescent="0.25">
      <c r="A1202" s="4">
        <v>22965</v>
      </c>
      <c r="B1202">
        <v>1326</v>
      </c>
      <c r="C1202" s="4">
        <v>6956</v>
      </c>
      <c r="D1202" t="s">
        <v>306</v>
      </c>
      <c r="E1202" s="4">
        <v>0</v>
      </c>
      <c r="F1202" s="25">
        <v>43710.917233796295</v>
      </c>
      <c r="G1202">
        <v>0</v>
      </c>
      <c r="H1202" s="25"/>
      <c r="I1202" s="25"/>
      <c r="J1202" s="25" t="s">
        <v>300</v>
      </c>
    </row>
    <row r="1203" spans="1:10" x14ac:dyDescent="0.25">
      <c r="A1203" s="4">
        <v>21139</v>
      </c>
      <c r="B1203">
        <v>14124</v>
      </c>
      <c r="C1203" s="4">
        <v>6956</v>
      </c>
      <c r="D1203" t="s">
        <v>306</v>
      </c>
      <c r="E1203" s="4">
        <v>0</v>
      </c>
      <c r="F1203" s="25">
        <v>43710.910787037035</v>
      </c>
      <c r="G1203">
        <v>0</v>
      </c>
      <c r="H1203" s="25"/>
      <c r="I1203" s="25"/>
      <c r="J1203" s="25" t="s">
        <v>300</v>
      </c>
    </row>
    <row r="1204" spans="1:10" x14ac:dyDescent="0.25">
      <c r="A1204" s="4">
        <v>19657</v>
      </c>
      <c r="B1204">
        <v>1327</v>
      </c>
      <c r="C1204" s="4">
        <v>6956</v>
      </c>
      <c r="D1204" t="s">
        <v>306</v>
      </c>
      <c r="E1204" s="4">
        <v>0</v>
      </c>
      <c r="F1204" s="25">
        <v>43710.905509259261</v>
      </c>
      <c r="G1204">
        <v>0</v>
      </c>
      <c r="H1204" s="25"/>
      <c r="I1204" s="25"/>
      <c r="J1204" s="25" t="s">
        <v>300</v>
      </c>
    </row>
    <row r="1205" spans="1:10" x14ac:dyDescent="0.25">
      <c r="A1205" s="4">
        <v>18439</v>
      </c>
      <c r="B1205">
        <v>1328</v>
      </c>
      <c r="C1205" s="4">
        <v>11808</v>
      </c>
      <c r="D1205" t="s">
        <v>306</v>
      </c>
      <c r="E1205" s="4">
        <v>0</v>
      </c>
      <c r="F1205" s="25">
        <v>43710.90116898148</v>
      </c>
      <c r="G1205">
        <v>0</v>
      </c>
      <c r="H1205" s="25"/>
      <c r="I1205" s="25"/>
      <c r="J1205" s="25" t="s">
        <v>300</v>
      </c>
    </row>
    <row r="1206" spans="1:10" x14ac:dyDescent="0.25">
      <c r="A1206" s="4">
        <v>16819</v>
      </c>
      <c r="B1206">
        <v>12344</v>
      </c>
      <c r="C1206" s="4">
        <v>11808</v>
      </c>
      <c r="D1206" t="s">
        <v>306</v>
      </c>
      <c r="E1206" s="4">
        <v>0</v>
      </c>
      <c r="F1206" s="25">
        <v>43710.895439814813</v>
      </c>
      <c r="G1206">
        <v>0</v>
      </c>
      <c r="H1206" s="25"/>
      <c r="I1206" s="25"/>
      <c r="J1206" s="25" t="s">
        <v>300</v>
      </c>
    </row>
    <row r="1207" spans="1:10" x14ac:dyDescent="0.25">
      <c r="A1207" s="4">
        <v>16623</v>
      </c>
      <c r="B1207">
        <v>10600</v>
      </c>
      <c r="C1207" s="4">
        <v>11808</v>
      </c>
      <c r="D1207" t="s">
        <v>306</v>
      </c>
      <c r="E1207" s="4">
        <v>0</v>
      </c>
      <c r="F1207" s="25">
        <v>43710.894733796296</v>
      </c>
      <c r="G1207">
        <v>0</v>
      </c>
      <c r="H1207" s="25"/>
      <c r="I1207" s="25"/>
      <c r="J1207" s="25" t="s">
        <v>300</v>
      </c>
    </row>
    <row r="1208" spans="1:10" x14ac:dyDescent="0.25">
      <c r="A1208" s="4">
        <v>15405</v>
      </c>
      <c r="B1208">
        <v>6336</v>
      </c>
      <c r="C1208" s="4">
        <v>11808</v>
      </c>
      <c r="D1208" t="s">
        <v>306</v>
      </c>
      <c r="E1208" s="4">
        <v>0</v>
      </c>
      <c r="F1208" s="25">
        <v>43710.890416666669</v>
      </c>
      <c r="G1208">
        <v>0</v>
      </c>
      <c r="H1208" s="25"/>
      <c r="I1208" s="25"/>
      <c r="J1208" s="25" t="s">
        <v>300</v>
      </c>
    </row>
    <row r="1209" spans="1:10" x14ac:dyDescent="0.25">
      <c r="A1209" s="4">
        <v>15095</v>
      </c>
      <c r="B1209">
        <v>10868</v>
      </c>
      <c r="C1209" s="4">
        <v>11808</v>
      </c>
      <c r="D1209" t="s">
        <v>306</v>
      </c>
      <c r="E1209" s="4">
        <v>0</v>
      </c>
      <c r="F1209" s="25">
        <v>43710.889328703706</v>
      </c>
      <c r="G1209">
        <v>0</v>
      </c>
      <c r="H1209" s="25"/>
      <c r="I1209" s="25"/>
      <c r="J1209" s="25" t="s">
        <v>300</v>
      </c>
    </row>
    <row r="1210" spans="1:10" x14ac:dyDescent="0.25">
      <c r="A1210" s="4">
        <v>12538</v>
      </c>
      <c r="B1210">
        <v>9003</v>
      </c>
      <c r="C1210" s="4">
        <v>11808</v>
      </c>
      <c r="D1210" t="s">
        <v>306</v>
      </c>
      <c r="E1210" s="4">
        <v>0</v>
      </c>
      <c r="F1210" s="25">
        <v>43710.880254629628</v>
      </c>
      <c r="G1210">
        <v>0</v>
      </c>
      <c r="H1210" s="25"/>
      <c r="I1210" s="25"/>
      <c r="J1210" s="25" t="s">
        <v>300</v>
      </c>
    </row>
    <row r="1211" spans="1:10" x14ac:dyDescent="0.25">
      <c r="A1211" s="4">
        <v>12067</v>
      </c>
      <c r="B1211">
        <v>5652</v>
      </c>
      <c r="C1211" s="4">
        <v>11808</v>
      </c>
      <c r="D1211" t="s">
        <v>306</v>
      </c>
      <c r="E1211" s="4">
        <v>0</v>
      </c>
      <c r="F1211" s="25">
        <v>43710.878587962965</v>
      </c>
      <c r="G1211">
        <v>0</v>
      </c>
      <c r="H1211" s="25"/>
      <c r="I1211" s="25"/>
      <c r="J1211" s="25" t="s">
        <v>300</v>
      </c>
    </row>
    <row r="1212" spans="1:10" x14ac:dyDescent="0.25">
      <c r="A1212" s="4">
        <v>8296</v>
      </c>
      <c r="B1212">
        <v>9224</v>
      </c>
      <c r="C1212" s="4">
        <v>6956</v>
      </c>
      <c r="D1212" t="s">
        <v>306</v>
      </c>
      <c r="E1212" s="4">
        <v>0</v>
      </c>
      <c r="F1212" s="25">
        <v>43710.865266203706</v>
      </c>
      <c r="G1212">
        <v>0</v>
      </c>
      <c r="H1212" s="25"/>
      <c r="I1212" s="25"/>
      <c r="J1212" s="25" t="s">
        <v>300</v>
      </c>
    </row>
    <row r="1213" spans="1:10" x14ac:dyDescent="0.25">
      <c r="A1213" s="4">
        <v>7140</v>
      </c>
      <c r="B1213">
        <v>10712</v>
      </c>
      <c r="C1213" s="4">
        <v>6956</v>
      </c>
      <c r="D1213" t="s">
        <v>306</v>
      </c>
      <c r="E1213" s="4">
        <v>0</v>
      </c>
      <c r="F1213" s="25">
        <v>43710.861145833333</v>
      </c>
      <c r="G1213">
        <v>0</v>
      </c>
      <c r="H1213" s="25"/>
      <c r="I1213" s="25"/>
      <c r="J1213" s="25" t="s">
        <v>300</v>
      </c>
    </row>
    <row r="1214" spans="1:10" x14ac:dyDescent="0.25">
      <c r="A1214" s="4">
        <v>50</v>
      </c>
      <c r="B1214">
        <v>10480</v>
      </c>
      <c r="C1214" s="4">
        <v>11808</v>
      </c>
      <c r="D1214" t="s">
        <v>7</v>
      </c>
      <c r="E1214" s="4">
        <v>0</v>
      </c>
      <c r="F1214" s="25">
        <v>43710.855902777781</v>
      </c>
      <c r="G1214">
        <v>0</v>
      </c>
      <c r="H1214" s="25"/>
      <c r="I1214" s="25" t="s">
        <v>329</v>
      </c>
      <c r="J1214" s="25" t="s">
        <v>300</v>
      </c>
    </row>
    <row r="1215" spans="1:10" x14ac:dyDescent="0.25">
      <c r="A1215" s="4">
        <v>50</v>
      </c>
      <c r="B1215">
        <v>11808</v>
      </c>
      <c r="C1215" s="4">
        <v>11808</v>
      </c>
      <c r="D1215" t="s">
        <v>7</v>
      </c>
      <c r="E1215" s="4">
        <v>0</v>
      </c>
      <c r="F1215" s="25">
        <v>43710.855740740742</v>
      </c>
      <c r="G1215">
        <v>1</v>
      </c>
      <c r="H1215" s="25" t="s">
        <v>328</v>
      </c>
      <c r="I1215" s="25"/>
      <c r="J1215" s="25" t="s">
        <v>302</v>
      </c>
    </row>
    <row r="1216" spans="1:10" x14ac:dyDescent="0.25">
      <c r="A1216" s="4">
        <v>40</v>
      </c>
      <c r="B1216">
        <v>11796</v>
      </c>
      <c r="C1216" s="4">
        <v>6956</v>
      </c>
      <c r="D1216" t="s">
        <v>7</v>
      </c>
      <c r="E1216" s="4">
        <v>0</v>
      </c>
      <c r="F1216" s="25">
        <v>43710.854421296295</v>
      </c>
      <c r="G1216">
        <v>0</v>
      </c>
      <c r="H1216" s="25"/>
      <c r="I1216" s="25" t="s">
        <v>329</v>
      </c>
      <c r="J1216" s="25" t="s">
        <v>304</v>
      </c>
    </row>
    <row r="1217" spans="1:10" x14ac:dyDescent="0.25">
      <c r="A1217" s="4">
        <v>40</v>
      </c>
      <c r="B1217">
        <v>11444</v>
      </c>
      <c r="C1217" s="4">
        <v>6956</v>
      </c>
      <c r="D1217" t="s">
        <v>7</v>
      </c>
      <c r="E1217" s="4">
        <v>0</v>
      </c>
      <c r="F1217" s="25">
        <v>43710.851493055554</v>
      </c>
      <c r="G1217">
        <v>0</v>
      </c>
      <c r="H1217" s="25"/>
      <c r="I1217" s="25" t="s">
        <v>329</v>
      </c>
      <c r="J1217" s="25" t="s">
        <v>298</v>
      </c>
    </row>
    <row r="1218" spans="1:10" x14ac:dyDescent="0.25">
      <c r="A1218" s="4">
        <v>40</v>
      </c>
      <c r="B1218">
        <v>6956</v>
      </c>
      <c r="C1218" s="4">
        <v>6956</v>
      </c>
      <c r="D1218" t="s">
        <v>7</v>
      </c>
      <c r="E1218" s="4">
        <v>0</v>
      </c>
      <c r="F1218" s="25">
        <v>43710.851180555554</v>
      </c>
      <c r="G1218">
        <v>1</v>
      </c>
      <c r="H1218" s="25" t="s">
        <v>328</v>
      </c>
      <c r="I1218" s="25"/>
      <c r="J1218" s="25" t="s">
        <v>299</v>
      </c>
    </row>
    <row r="1219" spans="1:10" x14ac:dyDescent="0.25">
      <c r="A1219" s="4">
        <v>20</v>
      </c>
      <c r="B1219">
        <v>12160</v>
      </c>
      <c r="C1219" s="4">
        <v>11184</v>
      </c>
      <c r="D1219" t="s">
        <v>7</v>
      </c>
      <c r="E1219" s="4">
        <v>0</v>
      </c>
      <c r="F1219" s="25">
        <v>43710.840405092589</v>
      </c>
      <c r="G1219">
        <v>0</v>
      </c>
      <c r="H1219" s="25"/>
      <c r="I1219" s="25" t="s">
        <v>327</v>
      </c>
      <c r="J1219" s="25" t="s">
        <v>326</v>
      </c>
    </row>
    <row r="1220" spans="1:10" x14ac:dyDescent="0.25">
      <c r="A1220" s="4">
        <v>20</v>
      </c>
      <c r="B1220">
        <v>11184</v>
      </c>
      <c r="C1220" s="4">
        <v>11184</v>
      </c>
      <c r="D1220" t="s">
        <v>7</v>
      </c>
      <c r="E1220" s="4">
        <v>0</v>
      </c>
      <c r="F1220" s="25">
        <v>43710.837037037039</v>
      </c>
      <c r="G1220">
        <v>1</v>
      </c>
      <c r="H1220" s="25" t="s">
        <v>182</v>
      </c>
      <c r="I1220" s="25"/>
      <c r="J1220" s="25" t="s">
        <v>325</v>
      </c>
    </row>
    <row r="1221" spans="1:10" x14ac:dyDescent="0.25">
      <c r="A1221" s="4">
        <v>20</v>
      </c>
      <c r="B1221">
        <v>9004</v>
      </c>
      <c r="C1221" s="4">
        <v>9004</v>
      </c>
      <c r="D1221" t="s">
        <v>7</v>
      </c>
      <c r="E1221" s="4">
        <v>0</v>
      </c>
      <c r="F1221" s="25">
        <v>43710.748842592591</v>
      </c>
      <c r="G1221">
        <v>1</v>
      </c>
      <c r="H1221" s="25" t="s">
        <v>324</v>
      </c>
      <c r="I1221" s="25"/>
      <c r="J1221" s="25" t="s">
        <v>301</v>
      </c>
    </row>
    <row r="1222" spans="1:10" x14ac:dyDescent="0.25">
      <c r="A1222" s="4">
        <v>20</v>
      </c>
      <c r="B1222">
        <v>9912</v>
      </c>
      <c r="C1222" s="4">
        <v>9912</v>
      </c>
      <c r="D1222" t="s">
        <v>7</v>
      </c>
      <c r="E1222" s="4">
        <v>0</v>
      </c>
      <c r="F1222" s="25">
        <v>43710.745810185188</v>
      </c>
      <c r="G1222">
        <v>1</v>
      </c>
      <c r="H1222" s="25" t="s">
        <v>324</v>
      </c>
      <c r="I1222" s="25"/>
      <c r="J1222" s="25" t="s">
        <v>303</v>
      </c>
    </row>
    <row r="1223" spans="1:10" x14ac:dyDescent="0.25">
      <c r="A1223" s="4">
        <v>20</v>
      </c>
      <c r="B1223">
        <v>7272</v>
      </c>
      <c r="C1223" s="4">
        <v>7272</v>
      </c>
      <c r="D1223" t="s">
        <v>7</v>
      </c>
      <c r="E1223" s="4">
        <v>0</v>
      </c>
      <c r="F1223" s="25">
        <v>43710.744039351855</v>
      </c>
      <c r="G1223">
        <v>1</v>
      </c>
      <c r="H1223" s="25" t="s">
        <v>323</v>
      </c>
      <c r="I1223" s="25"/>
      <c r="J1223" s="25" t="s">
        <v>322</v>
      </c>
    </row>
    <row r="1224" spans="1:10" x14ac:dyDescent="0.25">
      <c r="A1224" s="4">
        <v>20</v>
      </c>
      <c r="B1224">
        <v>11900</v>
      </c>
      <c r="C1224" s="4">
        <v>11900</v>
      </c>
      <c r="D1224" t="s">
        <v>7</v>
      </c>
      <c r="E1224" s="4">
        <v>0</v>
      </c>
      <c r="F1224" s="25">
        <v>43710.740486111114</v>
      </c>
      <c r="G1224">
        <v>1</v>
      </c>
      <c r="H1224" s="25" t="s">
        <v>321</v>
      </c>
      <c r="I1224" s="25"/>
      <c r="J1224" s="25" t="s">
        <v>317</v>
      </c>
    </row>
    <row r="1225" spans="1:10" x14ac:dyDescent="0.25">
      <c r="A1225" s="4">
        <v>20</v>
      </c>
      <c r="B1225">
        <v>9900</v>
      </c>
      <c r="C1225" s="4">
        <v>9900</v>
      </c>
      <c r="D1225" t="s">
        <v>7</v>
      </c>
      <c r="E1225" s="4">
        <v>0</v>
      </c>
      <c r="F1225" s="25">
        <v>43710.739606481482</v>
      </c>
      <c r="G1225">
        <v>1</v>
      </c>
      <c r="H1225" s="25" t="s">
        <v>321</v>
      </c>
      <c r="I1225" s="25"/>
      <c r="J1225" s="25" t="s">
        <v>320</v>
      </c>
    </row>
    <row r="1226" spans="1:10" x14ac:dyDescent="0.25">
      <c r="A1226" s="4">
        <v>20</v>
      </c>
      <c r="B1226">
        <v>8408</v>
      </c>
      <c r="C1226" s="4">
        <v>8408</v>
      </c>
      <c r="D1226" t="s">
        <v>7</v>
      </c>
      <c r="E1226" s="4">
        <v>0</v>
      </c>
      <c r="F1226" s="25">
        <v>43710.738217592596</v>
      </c>
      <c r="G1226">
        <v>1</v>
      </c>
      <c r="H1226" s="25" t="s">
        <v>135</v>
      </c>
      <c r="I1226" s="25"/>
      <c r="J1226" s="25" t="s">
        <v>319</v>
      </c>
    </row>
    <row r="1227" spans="1:10" x14ac:dyDescent="0.25">
      <c r="A1227" s="4">
        <v>20</v>
      </c>
      <c r="B1227">
        <v>6704</v>
      </c>
      <c r="C1227" s="4">
        <v>6704</v>
      </c>
      <c r="D1227" t="s">
        <v>7</v>
      </c>
      <c r="E1227" s="4">
        <v>0</v>
      </c>
      <c r="F1227" s="25">
        <v>43710.737638888888</v>
      </c>
      <c r="G1227">
        <v>1</v>
      </c>
      <c r="H1227" s="25" t="s">
        <v>135</v>
      </c>
      <c r="I1227" s="25"/>
      <c r="J1227" s="25" t="s">
        <v>318</v>
      </c>
    </row>
    <row r="1228" spans="1:10" x14ac:dyDescent="0.25">
      <c r="A1228" s="4">
        <v>20</v>
      </c>
      <c r="B1228">
        <v>12652</v>
      </c>
      <c r="C1228" s="4">
        <v>12652</v>
      </c>
      <c r="D1228" t="s">
        <v>7</v>
      </c>
      <c r="E1228" s="4">
        <v>0</v>
      </c>
      <c r="F1228" s="25">
        <v>43710.728750000002</v>
      </c>
      <c r="G1228">
        <v>1</v>
      </c>
      <c r="H1228" s="25" t="s">
        <v>135</v>
      </c>
      <c r="I1228" s="25"/>
      <c r="J1228" s="25" t="s">
        <v>317</v>
      </c>
    </row>
    <row r="1229" spans="1:10" x14ac:dyDescent="0.25">
      <c r="A1229" s="4">
        <v>20</v>
      </c>
      <c r="B1229">
        <v>14108</v>
      </c>
      <c r="C1229" s="4">
        <v>14108</v>
      </c>
      <c r="D1229" t="s">
        <v>7</v>
      </c>
      <c r="E1229" s="4">
        <v>0</v>
      </c>
      <c r="F1229" s="25">
        <v>43710.722395833334</v>
      </c>
      <c r="G1229">
        <v>1</v>
      </c>
      <c r="H1229" s="25" t="s">
        <v>135</v>
      </c>
      <c r="I1229" s="25"/>
      <c r="J1229" s="25" t="s">
        <v>316</v>
      </c>
    </row>
    <row r="1230" spans="1:10" x14ac:dyDescent="0.25">
      <c r="A1230" s="4">
        <v>30</v>
      </c>
      <c r="B1230">
        <v>3396</v>
      </c>
      <c r="C1230" s="4">
        <v>10408</v>
      </c>
      <c r="D1230" t="s">
        <v>7</v>
      </c>
      <c r="E1230" s="4">
        <v>0</v>
      </c>
      <c r="F1230" s="25">
        <v>43710.7112037037</v>
      </c>
      <c r="G1230">
        <v>0</v>
      </c>
      <c r="H1230" s="25"/>
      <c r="I1230" s="25" t="s">
        <v>312</v>
      </c>
      <c r="J1230" s="25" t="s">
        <v>315</v>
      </c>
    </row>
    <row r="1231" spans="1:10" x14ac:dyDescent="0.25">
      <c r="A1231" s="4">
        <v>30</v>
      </c>
      <c r="B1231">
        <v>10408</v>
      </c>
      <c r="C1231" s="4">
        <v>10408</v>
      </c>
      <c r="D1231" t="s">
        <v>7</v>
      </c>
      <c r="E1231" s="4">
        <v>0</v>
      </c>
      <c r="F1231" s="25">
        <v>43710.709502314814</v>
      </c>
      <c r="G1231">
        <v>1</v>
      </c>
      <c r="H1231" s="25" t="s">
        <v>314</v>
      </c>
      <c r="I1231" s="25"/>
      <c r="J1231" s="25" t="s">
        <v>313</v>
      </c>
    </row>
    <row r="1232" spans="1:10" x14ac:dyDescent="0.25">
      <c r="A1232" s="4">
        <v>27261</v>
      </c>
      <c r="B1232">
        <v>2216</v>
      </c>
      <c r="C1232" s="4">
        <v>5644</v>
      </c>
      <c r="D1232" t="s">
        <v>306</v>
      </c>
      <c r="E1232" s="4">
        <v>0</v>
      </c>
      <c r="F1232" s="25">
        <v>43710.700509259259</v>
      </c>
      <c r="G1232">
        <v>0</v>
      </c>
      <c r="H1232" s="25"/>
      <c r="I1232" s="25"/>
      <c r="J1232" s="25" t="s">
        <v>300</v>
      </c>
    </row>
    <row r="1233" spans="1:10" x14ac:dyDescent="0.25">
      <c r="A1233" s="4">
        <v>26448</v>
      </c>
      <c r="B1233">
        <v>12896</v>
      </c>
      <c r="C1233" s="4">
        <v>5644</v>
      </c>
      <c r="D1233" t="s">
        <v>306</v>
      </c>
      <c r="E1233" s="4">
        <v>0</v>
      </c>
      <c r="F1233" s="25">
        <v>43710.697789351849</v>
      </c>
      <c r="G1233">
        <v>0</v>
      </c>
      <c r="H1233" s="25"/>
      <c r="I1233" s="25"/>
      <c r="J1233" s="25" t="s">
        <v>300</v>
      </c>
    </row>
    <row r="1234" spans="1:10" x14ac:dyDescent="0.25">
      <c r="A1234" s="4">
        <v>30</v>
      </c>
      <c r="B1234">
        <v>3244</v>
      </c>
      <c r="C1234" s="4">
        <v>5644</v>
      </c>
      <c r="D1234" t="s">
        <v>7</v>
      </c>
      <c r="E1234" s="4">
        <v>0</v>
      </c>
      <c r="F1234" s="25">
        <v>43710.695243055554</v>
      </c>
      <c r="G1234">
        <v>0</v>
      </c>
      <c r="H1234" s="25"/>
      <c r="I1234" s="25" t="s">
        <v>312</v>
      </c>
      <c r="J1234" s="25" t="s">
        <v>311</v>
      </c>
    </row>
    <row r="1235" spans="1:10" x14ac:dyDescent="0.25">
      <c r="A1235" s="4">
        <v>30</v>
      </c>
      <c r="B1235">
        <v>5644</v>
      </c>
      <c r="C1235" s="4">
        <v>5644</v>
      </c>
      <c r="D1235" t="s">
        <v>7</v>
      </c>
      <c r="E1235" s="4">
        <v>0</v>
      </c>
      <c r="F1235" s="25">
        <v>43710.690821759257</v>
      </c>
      <c r="G1235">
        <v>1</v>
      </c>
      <c r="H1235" s="25" t="s">
        <v>310</v>
      </c>
      <c r="I1235" s="25"/>
      <c r="J1235" s="25" t="s">
        <v>309</v>
      </c>
    </row>
    <row r="1236" spans="1:10" x14ac:dyDescent="0.25">
      <c r="A1236" s="4">
        <v>30</v>
      </c>
      <c r="B1236">
        <v>2132</v>
      </c>
      <c r="C1236" s="4">
        <v>12292</v>
      </c>
      <c r="D1236" t="s">
        <v>7</v>
      </c>
      <c r="E1236" s="4">
        <v>0</v>
      </c>
      <c r="F1236" s="25">
        <v>43710.686180555553</v>
      </c>
      <c r="G1236">
        <v>0</v>
      </c>
      <c r="H1236" s="25"/>
      <c r="I1236" s="25" t="s">
        <v>283</v>
      </c>
      <c r="J1236" s="25" t="s">
        <v>303</v>
      </c>
    </row>
    <row r="1237" spans="1:10" x14ac:dyDescent="0.25">
      <c r="A1237" s="4">
        <v>30</v>
      </c>
      <c r="B1237">
        <v>12292</v>
      </c>
      <c r="C1237" s="4">
        <v>12292</v>
      </c>
      <c r="D1237" t="s">
        <v>7</v>
      </c>
      <c r="E1237" s="4">
        <v>0</v>
      </c>
      <c r="F1237" s="25">
        <v>43710.685520833336</v>
      </c>
      <c r="G1237">
        <v>1</v>
      </c>
      <c r="H1237" s="25" t="s">
        <v>308</v>
      </c>
      <c r="I1237" s="25"/>
      <c r="J1237" s="25" t="s">
        <v>307</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150</v>
      </c>
      <c r="B3" t="s">
        <v>151</v>
      </c>
      <c r="C3" t="s">
        <v>184</v>
      </c>
      <c r="D3" t="s">
        <v>185</v>
      </c>
      <c r="E3" t="s">
        <v>186</v>
      </c>
    </row>
    <row r="4" spans="1:5" hidden="1" x14ac:dyDescent="0.25">
      <c r="A4" t="s">
        <v>152</v>
      </c>
      <c r="B4" t="s">
        <v>168</v>
      </c>
      <c r="C4" t="s">
        <v>169</v>
      </c>
      <c r="D4" t="s">
        <v>169</v>
      </c>
    </row>
    <row r="5" spans="1:5" hidden="1" x14ac:dyDescent="0.25">
      <c r="A5" t="s">
        <v>152</v>
      </c>
      <c r="B5" t="s">
        <v>164</v>
      </c>
      <c r="C5" t="s">
        <v>165</v>
      </c>
      <c r="D5" t="s">
        <v>165</v>
      </c>
    </row>
    <row r="6" spans="1:5" hidden="1" x14ac:dyDescent="0.25">
      <c r="A6" t="s">
        <v>152</v>
      </c>
      <c r="B6" t="s">
        <v>166</v>
      </c>
      <c r="C6" t="s">
        <v>167</v>
      </c>
      <c r="D6" t="s">
        <v>167</v>
      </c>
    </row>
    <row r="7" spans="1:5" hidden="1" x14ac:dyDescent="0.25">
      <c r="A7" t="s">
        <v>152</v>
      </c>
      <c r="B7" t="s">
        <v>173</v>
      </c>
      <c r="C7" t="s">
        <v>397</v>
      </c>
      <c r="D7" t="s">
        <v>169</v>
      </c>
      <c r="E7" t="s">
        <v>196</v>
      </c>
    </row>
    <row r="8" spans="1:5" hidden="1" x14ac:dyDescent="0.25">
      <c r="A8" t="s">
        <v>152</v>
      </c>
      <c r="B8" t="s">
        <v>170</v>
      </c>
      <c r="C8" t="s">
        <v>171</v>
      </c>
      <c r="D8" t="s">
        <v>171</v>
      </c>
    </row>
    <row r="9" spans="1:5" hidden="1" x14ac:dyDescent="0.25">
      <c r="A9" t="s">
        <v>152</v>
      </c>
      <c r="B9" t="s">
        <v>172</v>
      </c>
      <c r="C9" t="s">
        <v>167</v>
      </c>
      <c r="D9" t="s">
        <v>167</v>
      </c>
    </row>
    <row r="10" spans="1:5" hidden="1" x14ac:dyDescent="0.25">
      <c r="A10" t="s">
        <v>152</v>
      </c>
      <c r="B10" t="s">
        <v>177</v>
      </c>
      <c r="C10" t="s">
        <v>169</v>
      </c>
      <c r="D10" t="s">
        <v>169</v>
      </c>
    </row>
    <row r="11" spans="1:5" hidden="1" x14ac:dyDescent="0.25">
      <c r="A11" t="s">
        <v>152</v>
      </c>
      <c r="B11" t="s">
        <v>174</v>
      </c>
      <c r="C11" t="s">
        <v>175</v>
      </c>
      <c r="D11" t="s">
        <v>175</v>
      </c>
    </row>
    <row r="12" spans="1:5" hidden="1" x14ac:dyDescent="0.25">
      <c r="A12" t="s">
        <v>152</v>
      </c>
      <c r="B12" t="s">
        <v>176</v>
      </c>
      <c r="C12" t="s">
        <v>167</v>
      </c>
      <c r="D12" t="s">
        <v>167</v>
      </c>
    </row>
    <row r="13" spans="1:5" hidden="1" x14ac:dyDescent="0.25">
      <c r="A13" t="s">
        <v>152</v>
      </c>
      <c r="B13" t="s">
        <v>178</v>
      </c>
      <c r="C13" t="s">
        <v>179</v>
      </c>
      <c r="D13" t="s">
        <v>179</v>
      </c>
    </row>
    <row r="14" spans="1:5" hidden="1" x14ac:dyDescent="0.25">
      <c r="A14" t="s">
        <v>152</v>
      </c>
      <c r="B14" t="s">
        <v>157</v>
      </c>
      <c r="C14" t="s">
        <v>158</v>
      </c>
      <c r="D14" t="s">
        <v>158</v>
      </c>
    </row>
    <row r="15" spans="1:5" hidden="1" x14ac:dyDescent="0.25">
      <c r="A15" t="s">
        <v>152</v>
      </c>
      <c r="B15" t="s">
        <v>180</v>
      </c>
      <c r="C15" t="s">
        <v>181</v>
      </c>
      <c r="D15" t="s">
        <v>181</v>
      </c>
    </row>
    <row r="16" spans="1:5" hidden="1" x14ac:dyDescent="0.25">
      <c r="A16" t="s">
        <v>152</v>
      </c>
      <c r="B16" t="s">
        <v>153</v>
      </c>
      <c r="C16" t="s">
        <v>154</v>
      </c>
      <c r="D16" t="s">
        <v>154</v>
      </c>
    </row>
    <row r="17" spans="1:4" hidden="1" x14ac:dyDescent="0.25">
      <c r="A17" t="s">
        <v>152</v>
      </c>
      <c r="B17" t="s">
        <v>159</v>
      </c>
      <c r="C17" t="s">
        <v>160</v>
      </c>
      <c r="D17" t="s">
        <v>160</v>
      </c>
    </row>
    <row r="18" spans="1:4" hidden="1" x14ac:dyDescent="0.25">
      <c r="A18" t="s">
        <v>152</v>
      </c>
      <c r="B18" t="s">
        <v>161</v>
      </c>
      <c r="C18" t="s">
        <v>156</v>
      </c>
      <c r="D18" t="s">
        <v>156</v>
      </c>
    </row>
    <row r="19" spans="1:4" hidden="1" x14ac:dyDescent="0.25">
      <c r="A19" t="s">
        <v>152</v>
      </c>
      <c r="B19" t="s">
        <v>162</v>
      </c>
      <c r="C19" t="s">
        <v>163</v>
      </c>
      <c r="D19" t="s">
        <v>163</v>
      </c>
    </row>
    <row r="20" spans="1:4" hidden="1" x14ac:dyDescent="0.25">
      <c r="A20" t="s">
        <v>152</v>
      </c>
      <c r="B20" t="s">
        <v>155</v>
      </c>
      <c r="C20" t="s">
        <v>156</v>
      </c>
      <c r="D20" t="s">
        <v>156</v>
      </c>
    </row>
    <row r="21" spans="1:4" x14ac:dyDescent="0.25">
      <c r="A21" t="s">
        <v>187</v>
      </c>
      <c r="B21" t="s">
        <v>188</v>
      </c>
      <c r="C21" t="s">
        <v>189</v>
      </c>
      <c r="D21" t="s">
        <v>189</v>
      </c>
    </row>
    <row r="22" spans="1:4" x14ac:dyDescent="0.25">
      <c r="A22" t="s">
        <v>187</v>
      </c>
      <c r="B22" t="s">
        <v>190</v>
      </c>
      <c r="C22" t="s">
        <v>189</v>
      </c>
      <c r="D22" t="s">
        <v>189</v>
      </c>
    </row>
    <row r="23" spans="1:4" x14ac:dyDescent="0.25">
      <c r="A23" t="s">
        <v>187</v>
      </c>
      <c r="B23" t="s">
        <v>191</v>
      </c>
      <c r="C23" t="s">
        <v>192</v>
      </c>
      <c r="D23" t="s">
        <v>192</v>
      </c>
    </row>
    <row r="24" spans="1:4" x14ac:dyDescent="0.25">
      <c r="A24" t="s">
        <v>187</v>
      </c>
      <c r="B24" t="s">
        <v>193</v>
      </c>
      <c r="C24" t="s">
        <v>194</v>
      </c>
      <c r="D24" t="s">
        <v>194</v>
      </c>
    </row>
    <row r="25" spans="1:4" x14ac:dyDescent="0.25">
      <c r="A25" t="s">
        <v>187</v>
      </c>
      <c r="B25" t="s">
        <v>195</v>
      </c>
      <c r="C25" t="s">
        <v>179</v>
      </c>
      <c r="D25" t="s">
        <v>179</v>
      </c>
    </row>
    <row r="26" spans="1:4" x14ac:dyDescent="0.25">
      <c r="A26" t="s">
        <v>187</v>
      </c>
      <c r="B26" t="s">
        <v>197</v>
      </c>
      <c r="C26" t="s">
        <v>163</v>
      </c>
      <c r="D26" t="s">
        <v>163</v>
      </c>
    </row>
    <row r="27" spans="1:4" x14ac:dyDescent="0.25">
      <c r="A27" t="s">
        <v>187</v>
      </c>
      <c r="B27" t="s">
        <v>198</v>
      </c>
      <c r="C27" t="s">
        <v>163</v>
      </c>
      <c r="D27" t="s">
        <v>163</v>
      </c>
    </row>
    <row r="28" spans="1:4" x14ac:dyDescent="0.25">
      <c r="A28" t="s">
        <v>187</v>
      </c>
      <c r="B28" t="s">
        <v>199</v>
      </c>
      <c r="C28" t="s">
        <v>200</v>
      </c>
      <c r="D28" t="s">
        <v>200</v>
      </c>
    </row>
    <row r="29" spans="1:4" x14ac:dyDescent="0.25">
      <c r="A29" t="s">
        <v>187</v>
      </c>
      <c r="B29" t="s">
        <v>201</v>
      </c>
      <c r="C29" t="s">
        <v>202</v>
      </c>
      <c r="D29" t="s">
        <v>202</v>
      </c>
    </row>
    <row r="30" spans="1:4" x14ac:dyDescent="0.25">
      <c r="A30" t="s">
        <v>187</v>
      </c>
      <c r="B30" t="s">
        <v>203</v>
      </c>
      <c r="C30" t="s">
        <v>204</v>
      </c>
      <c r="D30" t="s">
        <v>204</v>
      </c>
    </row>
    <row r="31" spans="1:4" x14ac:dyDescent="0.25">
      <c r="A31" t="s">
        <v>187</v>
      </c>
      <c r="B31" t="s">
        <v>205</v>
      </c>
      <c r="C31" t="s">
        <v>206</v>
      </c>
      <c r="D31" t="s">
        <v>206</v>
      </c>
    </row>
    <row r="32" spans="1:4" x14ac:dyDescent="0.25">
      <c r="A32" t="s">
        <v>187</v>
      </c>
      <c r="B32" t="s">
        <v>207</v>
      </c>
      <c r="C32" t="s">
        <v>208</v>
      </c>
      <c r="D32" t="s">
        <v>208</v>
      </c>
    </row>
    <row r="33" spans="1:4" x14ac:dyDescent="0.25">
      <c r="A33" t="s">
        <v>187</v>
      </c>
      <c r="B33" t="s">
        <v>209</v>
      </c>
      <c r="C33" t="s">
        <v>163</v>
      </c>
      <c r="D33" t="s">
        <v>163</v>
      </c>
    </row>
    <row r="34" spans="1:4" x14ac:dyDescent="0.25">
      <c r="A34" t="s">
        <v>187</v>
      </c>
      <c r="B34" t="s">
        <v>210</v>
      </c>
      <c r="C34" t="s">
        <v>163</v>
      </c>
      <c r="D34" t="s">
        <v>163</v>
      </c>
    </row>
    <row r="35" spans="1:4" x14ac:dyDescent="0.25">
      <c r="A35" t="s">
        <v>187</v>
      </c>
      <c r="B35" t="s">
        <v>211</v>
      </c>
      <c r="C35" t="s">
        <v>212</v>
      </c>
      <c r="D35" t="s">
        <v>212</v>
      </c>
    </row>
    <row r="36" spans="1:4" hidden="1" x14ac:dyDescent="0.25">
      <c r="A36" t="s">
        <v>187</v>
      </c>
      <c r="B36" t="s">
        <v>213</v>
      </c>
      <c r="C36" t="s">
        <v>214</v>
      </c>
      <c r="D36" t="s">
        <v>214</v>
      </c>
    </row>
    <row r="37" spans="1:4" hidden="1" x14ac:dyDescent="0.25">
      <c r="A37" t="s">
        <v>187</v>
      </c>
      <c r="B37" t="s">
        <v>215</v>
      </c>
      <c r="C37" t="s">
        <v>216</v>
      </c>
      <c r="D37" t="s">
        <v>216</v>
      </c>
    </row>
    <row r="38" spans="1:4" hidden="1" x14ac:dyDescent="0.25">
      <c r="A38" t="s">
        <v>187</v>
      </c>
      <c r="B38" t="s">
        <v>217</v>
      </c>
      <c r="C38" t="s">
        <v>218</v>
      </c>
      <c r="D38" t="s">
        <v>218</v>
      </c>
    </row>
    <row r="39" spans="1:4" hidden="1" x14ac:dyDescent="0.25">
      <c r="A39" t="s">
        <v>187</v>
      </c>
      <c r="B39" t="s">
        <v>219</v>
      </c>
      <c r="C39" t="s">
        <v>220</v>
      </c>
      <c r="D39" t="s">
        <v>220</v>
      </c>
    </row>
    <row r="40" spans="1:4" hidden="1" x14ac:dyDescent="0.25">
      <c r="A40" t="s">
        <v>187</v>
      </c>
      <c r="B40" t="s">
        <v>221</v>
      </c>
      <c r="C40" t="s">
        <v>222</v>
      </c>
      <c r="D40" t="s">
        <v>222</v>
      </c>
    </row>
    <row r="41" spans="1:4" hidden="1" x14ac:dyDescent="0.25">
      <c r="A41" t="s">
        <v>187</v>
      </c>
      <c r="B41" t="s">
        <v>223</v>
      </c>
      <c r="C41" t="s">
        <v>158</v>
      </c>
      <c r="D41" t="s">
        <v>158</v>
      </c>
    </row>
    <row r="42" spans="1:4" hidden="1" x14ac:dyDescent="0.25">
      <c r="A42" t="s">
        <v>187</v>
      </c>
      <c r="B42" t="s">
        <v>224</v>
      </c>
      <c r="C42" t="s">
        <v>181</v>
      </c>
      <c r="D42" t="s">
        <v>181</v>
      </c>
    </row>
    <row r="43" spans="1:4" hidden="1" x14ac:dyDescent="0.25">
      <c r="A43" t="s">
        <v>187</v>
      </c>
      <c r="B43" t="s">
        <v>225</v>
      </c>
      <c r="C43" t="s">
        <v>154</v>
      </c>
      <c r="D43" t="s">
        <v>154</v>
      </c>
    </row>
    <row r="44" spans="1:4" hidden="1" x14ac:dyDescent="0.25">
      <c r="A44" t="s">
        <v>187</v>
      </c>
      <c r="B44" t="s">
        <v>226</v>
      </c>
      <c r="C44" t="s">
        <v>160</v>
      </c>
      <c r="D44" t="s">
        <v>160</v>
      </c>
    </row>
    <row r="45" spans="1:4" hidden="1" x14ac:dyDescent="0.25">
      <c r="A45" t="s">
        <v>187</v>
      </c>
      <c r="B45" t="s">
        <v>227</v>
      </c>
      <c r="C45" t="s">
        <v>156</v>
      </c>
      <c r="D45" t="s">
        <v>156</v>
      </c>
    </row>
    <row r="46" spans="1:4" hidden="1" x14ac:dyDescent="0.25">
      <c r="A46" t="s">
        <v>187</v>
      </c>
      <c r="B46" t="s">
        <v>228</v>
      </c>
      <c r="C46" t="s">
        <v>156</v>
      </c>
      <c r="D46" t="s">
        <v>156</v>
      </c>
    </row>
    <row r="47" spans="1:4" hidden="1" x14ac:dyDescent="0.25">
      <c r="A47" t="s">
        <v>187</v>
      </c>
      <c r="B47" t="s">
        <v>229</v>
      </c>
      <c r="C47" t="s">
        <v>156</v>
      </c>
      <c r="D47" t="s">
        <v>156</v>
      </c>
    </row>
    <row r="48" spans="1:4" hidden="1" x14ac:dyDescent="0.25">
      <c r="A48" t="s">
        <v>187</v>
      </c>
      <c r="B48" t="s">
        <v>230</v>
      </c>
      <c r="C48" t="s">
        <v>156</v>
      </c>
      <c r="D48" t="s">
        <v>156</v>
      </c>
    </row>
    <row r="49" spans="1:4" hidden="1" x14ac:dyDescent="0.25">
      <c r="A49" t="s">
        <v>187</v>
      </c>
      <c r="B49" t="s">
        <v>231</v>
      </c>
      <c r="C49" t="s">
        <v>156</v>
      </c>
      <c r="D49" t="s">
        <v>156</v>
      </c>
    </row>
    <row r="50" spans="1:4" hidden="1" x14ac:dyDescent="0.25">
      <c r="A50" t="s">
        <v>187</v>
      </c>
      <c r="B50" t="s">
        <v>232</v>
      </c>
      <c r="C50" t="s">
        <v>163</v>
      </c>
      <c r="D50" t="s">
        <v>163</v>
      </c>
    </row>
    <row r="51" spans="1:4" x14ac:dyDescent="0.25">
      <c r="A51" t="s">
        <v>187</v>
      </c>
      <c r="B51" t="s">
        <v>233</v>
      </c>
      <c r="C51" t="s">
        <v>179</v>
      </c>
      <c r="D51" t="s">
        <v>179</v>
      </c>
    </row>
    <row r="52" spans="1:4" hidden="1" x14ac:dyDescent="0.25">
      <c r="A52" t="s">
        <v>187</v>
      </c>
      <c r="B52" t="s">
        <v>234</v>
      </c>
      <c r="C52" t="s">
        <v>158</v>
      </c>
      <c r="D52" t="s">
        <v>158</v>
      </c>
    </row>
    <row r="53" spans="1:4" hidden="1" x14ac:dyDescent="0.25">
      <c r="A53" t="s">
        <v>187</v>
      </c>
      <c r="B53" t="s">
        <v>235</v>
      </c>
      <c r="C53" t="s">
        <v>181</v>
      </c>
      <c r="D53" t="s">
        <v>181</v>
      </c>
    </row>
    <row r="54" spans="1:4" hidden="1" x14ac:dyDescent="0.25">
      <c r="A54" t="s">
        <v>187</v>
      </c>
      <c r="B54" t="s">
        <v>236</v>
      </c>
      <c r="C54" t="s">
        <v>154</v>
      </c>
      <c r="D54" t="s">
        <v>154</v>
      </c>
    </row>
    <row r="55" spans="1:4" hidden="1" x14ac:dyDescent="0.25">
      <c r="A55" t="s">
        <v>187</v>
      </c>
      <c r="B55" t="s">
        <v>237</v>
      </c>
      <c r="C55" t="s">
        <v>160</v>
      </c>
      <c r="D55" t="s">
        <v>160</v>
      </c>
    </row>
    <row r="56" spans="1:4" hidden="1" x14ac:dyDescent="0.25">
      <c r="A56" t="s">
        <v>187</v>
      </c>
      <c r="B56" t="s">
        <v>238</v>
      </c>
      <c r="C56" t="s">
        <v>156</v>
      </c>
      <c r="D56" t="s">
        <v>156</v>
      </c>
    </row>
    <row r="57" spans="1:4" hidden="1" x14ac:dyDescent="0.25">
      <c r="A57" t="s">
        <v>187</v>
      </c>
      <c r="B57" t="s">
        <v>239</v>
      </c>
      <c r="C57" t="s">
        <v>163</v>
      </c>
      <c r="D57" t="s">
        <v>163</v>
      </c>
    </row>
    <row r="58" spans="1:4" x14ac:dyDescent="0.25">
      <c r="A58" t="s">
        <v>187</v>
      </c>
      <c r="B58" t="s">
        <v>240</v>
      </c>
      <c r="C58" t="s">
        <v>241</v>
      </c>
      <c r="D58" t="s">
        <v>241</v>
      </c>
    </row>
    <row r="59" spans="1:4" x14ac:dyDescent="0.25">
      <c r="A59" t="s">
        <v>242</v>
      </c>
      <c r="B59" t="s">
        <v>243</v>
      </c>
      <c r="C59" t="s">
        <v>179</v>
      </c>
      <c r="D59" t="s">
        <v>179</v>
      </c>
    </row>
    <row r="60" spans="1:4" x14ac:dyDescent="0.25">
      <c r="A60" t="s">
        <v>242</v>
      </c>
      <c r="B60" t="s">
        <v>244</v>
      </c>
      <c r="C60" t="s">
        <v>163</v>
      </c>
      <c r="D60" t="s">
        <v>163</v>
      </c>
    </row>
    <row r="61" spans="1:4" x14ac:dyDescent="0.25">
      <c r="A61" t="s">
        <v>242</v>
      </c>
      <c r="B61" t="s">
        <v>245</v>
      </c>
      <c r="C61" t="s">
        <v>246</v>
      </c>
      <c r="D61" t="s">
        <v>246</v>
      </c>
    </row>
    <row r="62" spans="1:4" hidden="1" x14ac:dyDescent="0.25">
      <c r="A62" t="s">
        <v>242</v>
      </c>
      <c r="B62" t="s">
        <v>247</v>
      </c>
      <c r="C62" t="s">
        <v>248</v>
      </c>
      <c r="D62" t="s">
        <v>248</v>
      </c>
    </row>
    <row r="63" spans="1:4" hidden="1" x14ac:dyDescent="0.25">
      <c r="A63" t="s">
        <v>242</v>
      </c>
      <c r="B63" t="s">
        <v>249</v>
      </c>
      <c r="C63" t="s">
        <v>214</v>
      </c>
      <c r="D63" t="s">
        <v>214</v>
      </c>
    </row>
    <row r="64" spans="1:4" hidden="1" x14ac:dyDescent="0.25">
      <c r="A64" t="s">
        <v>242</v>
      </c>
      <c r="B64" t="s">
        <v>250</v>
      </c>
      <c r="C64" t="s">
        <v>216</v>
      </c>
      <c r="D64" t="s">
        <v>216</v>
      </c>
    </row>
    <row r="65" spans="1:5" hidden="1" x14ac:dyDescent="0.25">
      <c r="A65" t="s">
        <v>242</v>
      </c>
      <c r="B65" t="s">
        <v>251</v>
      </c>
      <c r="C65" t="s">
        <v>218</v>
      </c>
      <c r="D65" t="s">
        <v>218</v>
      </c>
    </row>
    <row r="66" spans="1:5" hidden="1" x14ac:dyDescent="0.25">
      <c r="A66" t="s">
        <v>242</v>
      </c>
      <c r="B66" t="s">
        <v>252</v>
      </c>
      <c r="C66" t="s">
        <v>220</v>
      </c>
      <c r="D66" t="s">
        <v>220</v>
      </c>
    </row>
    <row r="67" spans="1:5" hidden="1" x14ac:dyDescent="0.25">
      <c r="A67" t="s">
        <v>242</v>
      </c>
      <c r="B67" t="s">
        <v>253</v>
      </c>
      <c r="C67" t="s">
        <v>222</v>
      </c>
      <c r="D67" t="s">
        <v>222</v>
      </c>
    </row>
    <row r="68" spans="1:5" hidden="1" x14ac:dyDescent="0.25">
      <c r="A68" t="s">
        <v>242</v>
      </c>
      <c r="B68" t="s">
        <v>254</v>
      </c>
      <c r="C68" t="s">
        <v>158</v>
      </c>
      <c r="D68" t="s">
        <v>158</v>
      </c>
    </row>
    <row r="69" spans="1:5" hidden="1" x14ac:dyDescent="0.25">
      <c r="A69" t="s">
        <v>242</v>
      </c>
      <c r="B69" t="s">
        <v>255</v>
      </c>
      <c r="C69" t="s">
        <v>181</v>
      </c>
      <c r="D69" t="s">
        <v>181</v>
      </c>
    </row>
    <row r="70" spans="1:5" hidden="1" x14ac:dyDescent="0.25">
      <c r="A70" t="s">
        <v>242</v>
      </c>
      <c r="B70" t="s">
        <v>256</v>
      </c>
      <c r="C70" t="s">
        <v>154</v>
      </c>
      <c r="D70" t="s">
        <v>154</v>
      </c>
    </row>
    <row r="71" spans="1:5" hidden="1" x14ac:dyDescent="0.25">
      <c r="A71" t="s">
        <v>242</v>
      </c>
      <c r="B71" t="s">
        <v>257</v>
      </c>
      <c r="C71" t="s">
        <v>160</v>
      </c>
      <c r="D71" t="s">
        <v>160</v>
      </c>
    </row>
    <row r="72" spans="1:5" hidden="1" x14ac:dyDescent="0.25">
      <c r="A72" t="s">
        <v>242</v>
      </c>
      <c r="B72" t="s">
        <v>258</v>
      </c>
      <c r="C72" t="s">
        <v>156</v>
      </c>
      <c r="D72" t="s">
        <v>156</v>
      </c>
    </row>
    <row r="73" spans="1:5" hidden="1" x14ac:dyDescent="0.25">
      <c r="A73" t="s">
        <v>242</v>
      </c>
      <c r="B73" t="s">
        <v>259</v>
      </c>
      <c r="C73" t="s">
        <v>163</v>
      </c>
      <c r="D73" t="s">
        <v>163</v>
      </c>
    </row>
    <row r="74" spans="1:5" hidden="1" x14ac:dyDescent="0.25">
      <c r="A74" t="s">
        <v>242</v>
      </c>
      <c r="B74" t="s">
        <v>260</v>
      </c>
      <c r="C74" t="s">
        <v>156</v>
      </c>
      <c r="D74" t="s">
        <v>156</v>
      </c>
    </row>
    <row r="75" spans="1:5" hidden="1" x14ac:dyDescent="0.25">
      <c r="A75" t="s">
        <v>242</v>
      </c>
      <c r="B75" t="s">
        <v>261</v>
      </c>
      <c r="C75" t="s">
        <v>156</v>
      </c>
      <c r="D75" t="s">
        <v>156</v>
      </c>
    </row>
    <row r="76" spans="1:5" hidden="1" x14ac:dyDescent="0.25">
      <c r="A76" t="s">
        <v>242</v>
      </c>
      <c r="B76" t="s">
        <v>262</v>
      </c>
      <c r="C76" t="s">
        <v>156</v>
      </c>
      <c r="D76" t="s">
        <v>156</v>
      </c>
    </row>
    <row r="77" spans="1:5" hidden="1" x14ac:dyDescent="0.25">
      <c r="A77" t="s">
        <v>242</v>
      </c>
      <c r="B77" t="s">
        <v>263</v>
      </c>
      <c r="C77" t="s">
        <v>163</v>
      </c>
      <c r="D77" t="s">
        <v>163</v>
      </c>
    </row>
    <row r="78" spans="1:5" x14ac:dyDescent="0.25">
      <c r="A78" t="s">
        <v>242</v>
      </c>
      <c r="B78" t="s">
        <v>264</v>
      </c>
      <c r="C78" t="s">
        <v>398</v>
      </c>
      <c r="D78" t="s">
        <v>208</v>
      </c>
      <c r="E78" t="s">
        <v>196</v>
      </c>
    </row>
    <row r="79" spans="1:5" x14ac:dyDescent="0.25">
      <c r="A79" t="s">
        <v>242</v>
      </c>
      <c r="B79" t="s">
        <v>265</v>
      </c>
      <c r="C79" t="s">
        <v>458</v>
      </c>
      <c r="D79" t="s">
        <v>208</v>
      </c>
      <c r="E79" t="s">
        <v>196</v>
      </c>
    </row>
    <row r="80" spans="1:5" x14ac:dyDescent="0.25">
      <c r="A80" t="s">
        <v>242</v>
      </c>
      <c r="B80" t="s">
        <v>266</v>
      </c>
      <c r="C80" t="s">
        <v>158</v>
      </c>
      <c r="D80" t="s">
        <v>158</v>
      </c>
    </row>
    <row r="81" spans="1:5" x14ac:dyDescent="0.25">
      <c r="A81" t="s">
        <v>242</v>
      </c>
      <c r="B81" t="s">
        <v>267</v>
      </c>
      <c r="C81" t="s">
        <v>268</v>
      </c>
      <c r="D81" t="s">
        <v>268</v>
      </c>
    </row>
    <row r="82" spans="1:5" x14ac:dyDescent="0.25">
      <c r="A82" t="s">
        <v>242</v>
      </c>
      <c r="B82" t="s">
        <v>269</v>
      </c>
      <c r="C82" t="s">
        <v>270</v>
      </c>
      <c r="D82" t="s">
        <v>270</v>
      </c>
    </row>
    <row r="83" spans="1:5" x14ac:dyDescent="0.25">
      <c r="A83" t="s">
        <v>242</v>
      </c>
      <c r="B83" t="s">
        <v>271</v>
      </c>
      <c r="C83" t="s">
        <v>163</v>
      </c>
      <c r="D83" t="s">
        <v>163</v>
      </c>
    </row>
    <row r="84" spans="1:5" x14ac:dyDescent="0.25">
      <c r="A84" t="s">
        <v>242</v>
      </c>
      <c r="B84" t="s">
        <v>272</v>
      </c>
      <c r="C84" t="s">
        <v>165</v>
      </c>
      <c r="D84" t="s">
        <v>165</v>
      </c>
    </row>
    <row r="85" spans="1:5" x14ac:dyDescent="0.25">
      <c r="A85" t="s">
        <v>242</v>
      </c>
      <c r="B85" t="s">
        <v>273</v>
      </c>
      <c r="C85" t="s">
        <v>167</v>
      </c>
      <c r="D85" t="s">
        <v>167</v>
      </c>
    </row>
    <row r="86" spans="1:5" x14ac:dyDescent="0.25">
      <c r="A86" t="s">
        <v>242</v>
      </c>
      <c r="B86" t="s">
        <v>274</v>
      </c>
      <c r="C86" t="s">
        <v>169</v>
      </c>
      <c r="D86" t="s">
        <v>169</v>
      </c>
    </row>
    <row r="87" spans="1:5" x14ac:dyDescent="0.25">
      <c r="A87" t="s">
        <v>242</v>
      </c>
      <c r="B87" t="s">
        <v>275</v>
      </c>
      <c r="C87" t="s">
        <v>179</v>
      </c>
      <c r="D87" t="s">
        <v>179</v>
      </c>
    </row>
    <row r="88" spans="1:5" x14ac:dyDescent="0.25">
      <c r="A88" t="s">
        <v>242</v>
      </c>
      <c r="B88" t="s">
        <v>276</v>
      </c>
      <c r="C88" t="s">
        <v>277</v>
      </c>
      <c r="D88" t="s">
        <v>277</v>
      </c>
    </row>
    <row r="89" spans="1:5" x14ac:dyDescent="0.25">
      <c r="A89" t="s">
        <v>242</v>
      </c>
      <c r="B89" t="s">
        <v>278</v>
      </c>
      <c r="C89" t="s">
        <v>279</v>
      </c>
      <c r="D89" t="s">
        <v>279</v>
      </c>
    </row>
    <row r="90" spans="1:5" x14ac:dyDescent="0.25">
      <c r="A90" t="s">
        <v>242</v>
      </c>
      <c r="B90" t="s">
        <v>280</v>
      </c>
      <c r="C90" t="s">
        <v>163</v>
      </c>
      <c r="D90" t="s">
        <v>163</v>
      </c>
    </row>
    <row r="91" spans="1:5" x14ac:dyDescent="0.25">
      <c r="A91" t="s">
        <v>242</v>
      </c>
      <c r="B91" t="s">
        <v>281</v>
      </c>
      <c r="C91" t="s">
        <v>246</v>
      </c>
      <c r="D91" t="s">
        <v>246</v>
      </c>
    </row>
    <row r="92" spans="1:5" x14ac:dyDescent="0.25">
      <c r="A92" t="s">
        <v>242</v>
      </c>
      <c r="B92" t="s">
        <v>282</v>
      </c>
      <c r="C92" t="s">
        <v>459</v>
      </c>
      <c r="D92" t="s">
        <v>460</v>
      </c>
      <c r="E92" t="s">
        <v>196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
  <sheetViews>
    <sheetView workbookViewId="0">
      <selection activeCell="D24" sqref="D24"/>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419</v>
      </c>
    </row>
    <row r="2" spans="1:5" x14ac:dyDescent="0.25">
      <c r="A2" s="1" t="s">
        <v>420</v>
      </c>
      <c r="B2" s="1" t="s">
        <v>421</v>
      </c>
      <c r="C2" s="1" t="s">
        <v>422</v>
      </c>
      <c r="D2" s="1" t="s">
        <v>3</v>
      </c>
      <c r="E2" t="s">
        <v>423</v>
      </c>
    </row>
    <row r="3" spans="1:5" x14ac:dyDescent="0.25">
      <c r="A3">
        <v>10</v>
      </c>
      <c r="B3">
        <v>3</v>
      </c>
      <c r="C3">
        <v>20</v>
      </c>
      <c r="D3">
        <v>7272</v>
      </c>
      <c r="E3" s="22">
        <v>1</v>
      </c>
    </row>
    <row r="4" spans="1:5" x14ac:dyDescent="0.25">
      <c r="D4">
        <v>11184</v>
      </c>
      <c r="E4" s="22">
        <v>1</v>
      </c>
    </row>
    <row r="5" spans="1:5" x14ac:dyDescent="0.25">
      <c r="B5">
        <v>10</v>
      </c>
      <c r="C5">
        <v>1</v>
      </c>
      <c r="D5">
        <v>11808</v>
      </c>
      <c r="E5" s="22">
        <v>1</v>
      </c>
    </row>
    <row r="6" spans="1:5" x14ac:dyDescent="0.25">
      <c r="C6">
        <v>10</v>
      </c>
      <c r="D6">
        <v>12500</v>
      </c>
      <c r="E6" s="22">
        <v>1</v>
      </c>
    </row>
    <row r="7" spans="1:5" x14ac:dyDescent="0.25">
      <c r="C7">
        <v>20</v>
      </c>
      <c r="D7">
        <v>6956</v>
      </c>
      <c r="E7" s="22">
        <v>1</v>
      </c>
    </row>
    <row r="8" spans="1:5" x14ac:dyDescent="0.25">
      <c r="D8">
        <v>9004</v>
      </c>
      <c r="E8" s="22">
        <v>1</v>
      </c>
    </row>
    <row r="9" spans="1:5" x14ac:dyDescent="0.25">
      <c r="D9">
        <v>9912</v>
      </c>
      <c r="E9" s="22">
        <v>1</v>
      </c>
    </row>
    <row r="10" spans="1:5" x14ac:dyDescent="0.25">
      <c r="A10">
        <v>20</v>
      </c>
      <c r="B10">
        <v>1</v>
      </c>
      <c r="C10">
        <v>20</v>
      </c>
      <c r="D10">
        <v>9652</v>
      </c>
      <c r="E10" s="22">
        <v>1</v>
      </c>
    </row>
    <row r="11" spans="1:5" x14ac:dyDescent="0.25">
      <c r="B11">
        <v>3</v>
      </c>
      <c r="C11">
        <v>20</v>
      </c>
      <c r="D11">
        <v>1604</v>
      </c>
      <c r="E11" s="22">
        <v>1</v>
      </c>
    </row>
    <row r="12" spans="1:5" x14ac:dyDescent="0.25">
      <c r="D12">
        <v>6704</v>
      </c>
      <c r="E12" s="22">
        <v>1</v>
      </c>
    </row>
    <row r="13" spans="1:5" x14ac:dyDescent="0.25">
      <c r="D13">
        <v>8408</v>
      </c>
      <c r="E13" s="22">
        <v>1</v>
      </c>
    </row>
    <row r="14" spans="1:5" x14ac:dyDescent="0.25">
      <c r="D14">
        <v>9900</v>
      </c>
      <c r="E14" s="22">
        <v>1</v>
      </c>
    </row>
    <row r="15" spans="1:5" x14ac:dyDescent="0.25">
      <c r="D15">
        <v>11900</v>
      </c>
      <c r="E15" s="22">
        <v>1</v>
      </c>
    </row>
    <row r="16" spans="1:5" x14ac:dyDescent="0.25">
      <c r="D16">
        <v>12652</v>
      </c>
      <c r="E16" s="22">
        <v>1</v>
      </c>
    </row>
    <row r="17" spans="1:5" x14ac:dyDescent="0.25">
      <c r="D17">
        <v>14108</v>
      </c>
      <c r="E17" s="22">
        <v>1</v>
      </c>
    </row>
    <row r="18" spans="1:5" x14ac:dyDescent="0.25">
      <c r="C18" t="s">
        <v>418</v>
      </c>
      <c r="D18">
        <v>2504</v>
      </c>
      <c r="E18" s="22">
        <v>1</v>
      </c>
    </row>
    <row r="19" spans="1:5" x14ac:dyDescent="0.25">
      <c r="D19">
        <v>10016</v>
      </c>
      <c r="E19" s="22">
        <v>1</v>
      </c>
    </row>
    <row r="20" spans="1:5" x14ac:dyDescent="0.25">
      <c r="B20">
        <v>5</v>
      </c>
      <c r="C20">
        <v>1</v>
      </c>
      <c r="D20">
        <v>6132</v>
      </c>
      <c r="E20" s="22">
        <v>1</v>
      </c>
    </row>
    <row r="21" spans="1:5" x14ac:dyDescent="0.25">
      <c r="D21">
        <v>12651</v>
      </c>
      <c r="E21" s="22">
        <v>1</v>
      </c>
    </row>
    <row r="22" spans="1:5" x14ac:dyDescent="0.25">
      <c r="C22">
        <v>20</v>
      </c>
      <c r="D22">
        <v>6912</v>
      </c>
      <c r="E22" s="22">
        <v>1</v>
      </c>
    </row>
    <row r="23" spans="1:5" x14ac:dyDescent="0.25">
      <c r="D23">
        <v>8352</v>
      </c>
      <c r="E23" s="22">
        <v>1</v>
      </c>
    </row>
    <row r="24" spans="1:5" x14ac:dyDescent="0.25">
      <c r="A24">
        <v>50</v>
      </c>
      <c r="B24">
        <v>3</v>
      </c>
      <c r="C24">
        <v>20</v>
      </c>
      <c r="D24">
        <v>12292</v>
      </c>
      <c r="E24" s="22">
        <v>1</v>
      </c>
    </row>
    <row r="25" spans="1:5" x14ac:dyDescent="0.25">
      <c r="D25">
        <v>14360</v>
      </c>
      <c r="E25" s="22">
        <v>1</v>
      </c>
    </row>
    <row r="26" spans="1:5" x14ac:dyDescent="0.25">
      <c r="B26">
        <v>10</v>
      </c>
      <c r="C26">
        <v>20</v>
      </c>
      <c r="D26">
        <v>5644</v>
      </c>
      <c r="E26" s="22">
        <v>1</v>
      </c>
    </row>
    <row r="27" spans="1:5" x14ac:dyDescent="0.25">
      <c r="D27">
        <v>10408</v>
      </c>
      <c r="E27" s="22">
        <v>1</v>
      </c>
    </row>
    <row r="28" spans="1:5" x14ac:dyDescent="0.25">
      <c r="A28" t="s">
        <v>1</v>
      </c>
      <c r="E28" s="22">
        <v>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138</v>
      </c>
      <c r="N1" t="s">
        <v>121</v>
      </c>
      <c r="O1" t="s">
        <v>139</v>
      </c>
    </row>
    <row r="2" spans="1:15" hidden="1" x14ac:dyDescent="0.25">
      <c r="A2">
        <v>2132</v>
      </c>
      <c r="B2">
        <v>212</v>
      </c>
      <c r="F2">
        <v>50</v>
      </c>
      <c r="G2" t="s">
        <v>183</v>
      </c>
      <c r="K2" t="s">
        <v>112</v>
      </c>
      <c r="L2" t="s">
        <v>113</v>
      </c>
    </row>
    <row r="3" spans="1:15" hidden="1" x14ac:dyDescent="0.25">
      <c r="A3">
        <v>2984</v>
      </c>
      <c r="B3">
        <v>79</v>
      </c>
      <c r="F3">
        <v>10</v>
      </c>
      <c r="G3" t="s">
        <v>395</v>
      </c>
      <c r="K3" t="s">
        <v>112</v>
      </c>
      <c r="L3" t="s">
        <v>113</v>
      </c>
    </row>
    <row r="4" spans="1:15" hidden="1" x14ac:dyDescent="0.25">
      <c r="A4">
        <v>3244</v>
      </c>
      <c r="B4">
        <v>219</v>
      </c>
      <c r="F4">
        <v>50</v>
      </c>
      <c r="G4" t="s">
        <v>183</v>
      </c>
      <c r="K4" t="s">
        <v>112</v>
      </c>
      <c r="L4" t="s">
        <v>113</v>
      </c>
    </row>
    <row r="5" spans="1:15" hidden="1" x14ac:dyDescent="0.25">
      <c r="A5">
        <v>3396</v>
      </c>
      <c r="B5">
        <v>219</v>
      </c>
      <c r="F5">
        <v>50</v>
      </c>
      <c r="G5" t="s">
        <v>183</v>
      </c>
      <c r="K5" t="s">
        <v>112</v>
      </c>
      <c r="L5" t="s">
        <v>113</v>
      </c>
    </row>
    <row r="6" spans="1:15" hidden="1" x14ac:dyDescent="0.25">
      <c r="A6">
        <v>5644</v>
      </c>
      <c r="B6">
        <v>15059</v>
      </c>
      <c r="C6" t="s">
        <v>396</v>
      </c>
      <c r="D6">
        <v>50</v>
      </c>
      <c r="F6">
        <v>50</v>
      </c>
      <c r="G6" t="s">
        <v>140</v>
      </c>
      <c r="K6" t="s">
        <v>112</v>
      </c>
      <c r="L6" t="s">
        <v>113</v>
      </c>
      <c r="M6" t="s">
        <v>142</v>
      </c>
      <c r="O6" t="s">
        <v>141</v>
      </c>
    </row>
    <row r="7" spans="1:15" hidden="1" x14ac:dyDescent="0.25">
      <c r="A7">
        <v>5656</v>
      </c>
      <c r="B7">
        <v>79</v>
      </c>
      <c r="F7">
        <v>10</v>
      </c>
      <c r="G7" t="s">
        <v>395</v>
      </c>
      <c r="K7" t="s">
        <v>112</v>
      </c>
      <c r="L7" t="s">
        <v>113</v>
      </c>
    </row>
    <row r="8" spans="1:15" hidden="1" x14ac:dyDescent="0.25">
      <c r="A8">
        <v>6704</v>
      </c>
      <c r="B8">
        <v>5022</v>
      </c>
      <c r="C8" t="s">
        <v>396</v>
      </c>
      <c r="D8">
        <v>50</v>
      </c>
      <c r="F8">
        <v>20</v>
      </c>
      <c r="G8" t="s">
        <v>140</v>
      </c>
      <c r="K8" t="s">
        <v>112</v>
      </c>
      <c r="L8" t="s">
        <v>113</v>
      </c>
      <c r="M8" t="s">
        <v>141</v>
      </c>
      <c r="O8" t="s">
        <v>141</v>
      </c>
    </row>
    <row r="9" spans="1:15" hidden="1" x14ac:dyDescent="0.25">
      <c r="A9">
        <v>6956</v>
      </c>
      <c r="B9">
        <v>5019</v>
      </c>
      <c r="C9" t="s">
        <v>396</v>
      </c>
      <c r="D9">
        <v>50</v>
      </c>
      <c r="F9">
        <v>10</v>
      </c>
      <c r="G9" t="s">
        <v>140</v>
      </c>
      <c r="K9" t="s">
        <v>112</v>
      </c>
      <c r="L9" t="s">
        <v>113</v>
      </c>
      <c r="M9" t="s">
        <v>142</v>
      </c>
      <c r="O9" t="s">
        <v>142</v>
      </c>
    </row>
    <row r="10" spans="1:15" hidden="1" x14ac:dyDescent="0.25">
      <c r="A10">
        <v>7228</v>
      </c>
      <c r="B10">
        <v>72</v>
      </c>
      <c r="F10">
        <v>50</v>
      </c>
      <c r="G10" t="s">
        <v>183</v>
      </c>
      <c r="K10" t="s">
        <v>112</v>
      </c>
      <c r="L10" t="s">
        <v>113</v>
      </c>
    </row>
    <row r="11" spans="1:15" hidden="1" x14ac:dyDescent="0.25">
      <c r="A11">
        <v>7272</v>
      </c>
      <c r="B11">
        <v>15012</v>
      </c>
      <c r="C11" t="s">
        <v>396</v>
      </c>
      <c r="D11">
        <v>50</v>
      </c>
      <c r="F11">
        <v>10</v>
      </c>
      <c r="G11" t="s">
        <v>140</v>
      </c>
      <c r="K11" t="s">
        <v>112</v>
      </c>
      <c r="L11" t="s">
        <v>113</v>
      </c>
      <c r="M11" t="s">
        <v>142</v>
      </c>
      <c r="O11" t="s">
        <v>141</v>
      </c>
    </row>
    <row r="12" spans="1:15" hidden="1" x14ac:dyDescent="0.25">
      <c r="A12">
        <v>8408</v>
      </c>
      <c r="B12">
        <v>5022</v>
      </c>
      <c r="C12" t="s">
        <v>396</v>
      </c>
      <c r="D12">
        <v>50</v>
      </c>
      <c r="F12">
        <v>20</v>
      </c>
      <c r="G12" t="s">
        <v>140</v>
      </c>
      <c r="K12" t="s">
        <v>112</v>
      </c>
      <c r="L12" t="s">
        <v>113</v>
      </c>
      <c r="M12" t="s">
        <v>142</v>
      </c>
      <c r="O12" t="s">
        <v>141</v>
      </c>
    </row>
    <row r="13" spans="1:15" hidden="1" x14ac:dyDescent="0.25">
      <c r="A13">
        <v>9004</v>
      </c>
      <c r="B13">
        <v>15019</v>
      </c>
      <c r="C13" t="s">
        <v>396</v>
      </c>
      <c r="D13">
        <v>50</v>
      </c>
      <c r="F13">
        <v>10</v>
      </c>
      <c r="G13" t="s">
        <v>140</v>
      </c>
      <c r="K13" t="s">
        <v>112</v>
      </c>
      <c r="L13" t="s">
        <v>113</v>
      </c>
      <c r="M13" t="s">
        <v>142</v>
      </c>
      <c r="O13" t="s">
        <v>141</v>
      </c>
    </row>
    <row r="14" spans="1:15" hidden="1" x14ac:dyDescent="0.25">
      <c r="A14">
        <v>9556</v>
      </c>
      <c r="B14">
        <v>92</v>
      </c>
      <c r="F14">
        <v>50</v>
      </c>
      <c r="G14" t="s">
        <v>395</v>
      </c>
      <c r="K14" t="s">
        <v>112</v>
      </c>
      <c r="L14" t="s">
        <v>113</v>
      </c>
    </row>
    <row r="15" spans="1:15" hidden="1" x14ac:dyDescent="0.25">
      <c r="A15">
        <v>9900</v>
      </c>
      <c r="B15">
        <v>15022</v>
      </c>
      <c r="C15" t="s">
        <v>396</v>
      </c>
      <c r="D15">
        <v>50</v>
      </c>
      <c r="F15">
        <v>20</v>
      </c>
      <c r="G15" t="s">
        <v>140</v>
      </c>
      <c r="K15" t="s">
        <v>112</v>
      </c>
      <c r="L15" t="s">
        <v>113</v>
      </c>
      <c r="M15" t="s">
        <v>142</v>
      </c>
      <c r="O15" t="s">
        <v>141</v>
      </c>
    </row>
    <row r="16" spans="1:15" hidden="1" x14ac:dyDescent="0.25">
      <c r="A16">
        <v>9912</v>
      </c>
      <c r="B16">
        <v>15019</v>
      </c>
      <c r="C16" t="s">
        <v>396</v>
      </c>
      <c r="D16">
        <v>50</v>
      </c>
      <c r="F16">
        <v>10</v>
      </c>
      <c r="G16" t="s">
        <v>140</v>
      </c>
      <c r="K16" t="s">
        <v>112</v>
      </c>
      <c r="L16" t="s">
        <v>113</v>
      </c>
      <c r="M16" t="s">
        <v>142</v>
      </c>
      <c r="O16" t="s">
        <v>141</v>
      </c>
    </row>
    <row r="17" spans="1:15" hidden="1" x14ac:dyDescent="0.25">
      <c r="A17">
        <v>9960</v>
      </c>
      <c r="B17">
        <v>79</v>
      </c>
      <c r="F17">
        <v>10</v>
      </c>
      <c r="G17" t="s">
        <v>183</v>
      </c>
      <c r="K17" t="s">
        <v>112</v>
      </c>
      <c r="L17" t="s">
        <v>113</v>
      </c>
    </row>
    <row r="18" spans="1:15" hidden="1" x14ac:dyDescent="0.25">
      <c r="A18">
        <v>10408</v>
      </c>
      <c r="B18">
        <v>5059</v>
      </c>
      <c r="C18" t="s">
        <v>396</v>
      </c>
      <c r="D18">
        <v>50</v>
      </c>
      <c r="F18">
        <v>50</v>
      </c>
      <c r="G18" t="s">
        <v>140</v>
      </c>
      <c r="K18" t="s">
        <v>112</v>
      </c>
      <c r="L18" t="s">
        <v>113</v>
      </c>
      <c r="M18" t="s">
        <v>141</v>
      </c>
      <c r="O18" t="s">
        <v>141</v>
      </c>
    </row>
    <row r="19" spans="1:15" hidden="1" x14ac:dyDescent="0.25">
      <c r="A19">
        <v>10480</v>
      </c>
      <c r="B19">
        <v>59</v>
      </c>
      <c r="F19">
        <v>10</v>
      </c>
      <c r="G19" t="s">
        <v>183</v>
      </c>
      <c r="K19" t="s">
        <v>112</v>
      </c>
      <c r="L19" t="s">
        <v>113</v>
      </c>
    </row>
    <row r="20" spans="1:15" hidden="1" x14ac:dyDescent="0.25">
      <c r="A20">
        <v>10596</v>
      </c>
      <c r="B20">
        <v>92</v>
      </c>
      <c r="F20">
        <v>50</v>
      </c>
      <c r="G20" t="s">
        <v>395</v>
      </c>
      <c r="K20" t="s">
        <v>112</v>
      </c>
      <c r="L20" t="s">
        <v>113</v>
      </c>
    </row>
    <row r="21" spans="1:15" hidden="1" x14ac:dyDescent="0.25">
      <c r="A21">
        <v>11184</v>
      </c>
      <c r="B21">
        <v>5012</v>
      </c>
      <c r="C21" t="s">
        <v>396</v>
      </c>
      <c r="D21">
        <v>50</v>
      </c>
      <c r="F21">
        <v>10</v>
      </c>
      <c r="G21" t="s">
        <v>140</v>
      </c>
      <c r="K21" t="s">
        <v>112</v>
      </c>
      <c r="L21" t="s">
        <v>113</v>
      </c>
      <c r="M21" t="s">
        <v>141</v>
      </c>
      <c r="O21" t="s">
        <v>141</v>
      </c>
    </row>
    <row r="22" spans="1:15" hidden="1" x14ac:dyDescent="0.25">
      <c r="A22">
        <v>11444</v>
      </c>
      <c r="B22">
        <v>59</v>
      </c>
      <c r="F22">
        <v>10</v>
      </c>
      <c r="G22" t="s">
        <v>183</v>
      </c>
      <c r="K22" t="s">
        <v>112</v>
      </c>
      <c r="L22" t="s">
        <v>113</v>
      </c>
    </row>
    <row r="23" spans="1:15" hidden="1" x14ac:dyDescent="0.25">
      <c r="A23">
        <v>11796</v>
      </c>
      <c r="B23">
        <v>59</v>
      </c>
      <c r="F23">
        <v>10</v>
      </c>
      <c r="G23" t="s">
        <v>183</v>
      </c>
      <c r="K23" t="s">
        <v>112</v>
      </c>
      <c r="L23" t="s">
        <v>113</v>
      </c>
    </row>
    <row r="24" spans="1:15" hidden="1" x14ac:dyDescent="0.25">
      <c r="A24">
        <v>11808</v>
      </c>
      <c r="B24">
        <v>5019</v>
      </c>
      <c r="C24" t="s">
        <v>396</v>
      </c>
      <c r="D24">
        <v>50</v>
      </c>
      <c r="F24">
        <v>10</v>
      </c>
      <c r="G24" t="s">
        <v>140</v>
      </c>
      <c r="K24" t="s">
        <v>112</v>
      </c>
      <c r="L24" t="s">
        <v>113</v>
      </c>
      <c r="M24" t="s">
        <v>142</v>
      </c>
      <c r="O24" t="s">
        <v>142</v>
      </c>
    </row>
    <row r="25" spans="1:15" hidden="1" x14ac:dyDescent="0.25">
      <c r="A25">
        <v>11900</v>
      </c>
      <c r="B25">
        <v>15022</v>
      </c>
      <c r="C25" t="s">
        <v>396</v>
      </c>
      <c r="D25">
        <v>50</v>
      </c>
      <c r="F25">
        <v>20</v>
      </c>
      <c r="G25" t="s">
        <v>140</v>
      </c>
      <c r="K25" t="s">
        <v>112</v>
      </c>
      <c r="L25" t="s">
        <v>113</v>
      </c>
      <c r="M25" t="s">
        <v>142</v>
      </c>
      <c r="O25" t="s">
        <v>141</v>
      </c>
    </row>
    <row r="26" spans="1:15" hidden="1" x14ac:dyDescent="0.25">
      <c r="A26">
        <v>12160</v>
      </c>
      <c r="B26">
        <v>52</v>
      </c>
      <c r="F26">
        <v>10</v>
      </c>
      <c r="G26" t="s">
        <v>183</v>
      </c>
      <c r="K26" t="s">
        <v>112</v>
      </c>
      <c r="L26" t="s">
        <v>113</v>
      </c>
    </row>
    <row r="27" spans="1:15" x14ac:dyDescent="0.25">
      <c r="A27">
        <v>12292</v>
      </c>
      <c r="B27">
        <v>15052</v>
      </c>
      <c r="C27" t="s">
        <v>396</v>
      </c>
      <c r="D27">
        <v>50</v>
      </c>
      <c r="F27">
        <v>50</v>
      </c>
      <c r="G27" t="s">
        <v>140</v>
      </c>
      <c r="K27" t="s">
        <v>112</v>
      </c>
      <c r="L27" t="s">
        <v>113</v>
      </c>
      <c r="M27" t="s">
        <v>142</v>
      </c>
      <c r="O27" t="s">
        <v>141</v>
      </c>
    </row>
    <row r="28" spans="1:15" hidden="1" x14ac:dyDescent="0.25">
      <c r="A28">
        <v>12332</v>
      </c>
      <c r="B28">
        <v>92</v>
      </c>
      <c r="F28">
        <v>50</v>
      </c>
      <c r="G28" t="s">
        <v>395</v>
      </c>
      <c r="K28" t="s">
        <v>112</v>
      </c>
      <c r="L28" t="s">
        <v>113</v>
      </c>
    </row>
    <row r="29" spans="1:15" hidden="1" x14ac:dyDescent="0.25">
      <c r="A29">
        <v>12500</v>
      </c>
      <c r="B29">
        <v>5019</v>
      </c>
      <c r="C29" t="s">
        <v>396</v>
      </c>
      <c r="D29">
        <v>50</v>
      </c>
      <c r="F29">
        <v>10</v>
      </c>
      <c r="G29" t="s">
        <v>140</v>
      </c>
      <c r="K29" t="s">
        <v>112</v>
      </c>
      <c r="L29" t="s">
        <v>113</v>
      </c>
      <c r="M29" t="s">
        <v>142</v>
      </c>
      <c r="O29" t="s">
        <v>142</v>
      </c>
    </row>
    <row r="30" spans="1:15" hidden="1" x14ac:dyDescent="0.25">
      <c r="A30">
        <v>12652</v>
      </c>
      <c r="B30">
        <v>5022</v>
      </c>
      <c r="C30" t="s">
        <v>396</v>
      </c>
      <c r="D30">
        <v>50</v>
      </c>
      <c r="F30">
        <v>20</v>
      </c>
      <c r="G30" t="s">
        <v>140</v>
      </c>
      <c r="K30" t="s">
        <v>112</v>
      </c>
      <c r="L30" t="s">
        <v>113</v>
      </c>
      <c r="M30" t="s">
        <v>142</v>
      </c>
      <c r="O30" t="s">
        <v>141</v>
      </c>
    </row>
    <row r="31" spans="1:15" hidden="1" x14ac:dyDescent="0.25">
      <c r="A31">
        <v>12880</v>
      </c>
      <c r="B31">
        <v>92</v>
      </c>
      <c r="F31">
        <v>50</v>
      </c>
      <c r="G31" t="s">
        <v>395</v>
      </c>
      <c r="K31" t="s">
        <v>112</v>
      </c>
      <c r="L31" t="s">
        <v>113</v>
      </c>
    </row>
    <row r="32" spans="1:15" hidden="1" x14ac:dyDescent="0.25">
      <c r="A32">
        <v>13068</v>
      </c>
      <c r="B32">
        <v>72</v>
      </c>
      <c r="F32">
        <v>50</v>
      </c>
      <c r="G32" t="s">
        <v>395</v>
      </c>
      <c r="K32" t="s">
        <v>112</v>
      </c>
      <c r="L32" t="s">
        <v>113</v>
      </c>
    </row>
    <row r="33" spans="1:15" hidden="1" x14ac:dyDescent="0.25">
      <c r="A33">
        <v>13836</v>
      </c>
      <c r="B33">
        <v>72</v>
      </c>
      <c r="F33">
        <v>50</v>
      </c>
      <c r="G33" t="s">
        <v>395</v>
      </c>
      <c r="K33" t="s">
        <v>112</v>
      </c>
      <c r="L33" t="s">
        <v>113</v>
      </c>
    </row>
    <row r="34" spans="1:15" hidden="1" x14ac:dyDescent="0.25">
      <c r="A34">
        <v>14108</v>
      </c>
      <c r="B34">
        <v>5022</v>
      </c>
      <c r="C34" t="s">
        <v>396</v>
      </c>
      <c r="D34">
        <v>50</v>
      </c>
      <c r="F34">
        <v>20</v>
      </c>
      <c r="G34" t="s">
        <v>140</v>
      </c>
      <c r="K34" t="s">
        <v>112</v>
      </c>
      <c r="L34" t="s">
        <v>113</v>
      </c>
      <c r="M34" t="s">
        <v>142</v>
      </c>
      <c r="O34" t="s">
        <v>141</v>
      </c>
    </row>
    <row r="35" spans="1:15" hidden="1" x14ac:dyDescent="0.25">
      <c r="A35">
        <v>14416</v>
      </c>
      <c r="B35">
        <v>92</v>
      </c>
      <c r="F35">
        <v>50</v>
      </c>
      <c r="G35" t="s">
        <v>395</v>
      </c>
      <c r="K35" t="s">
        <v>112</v>
      </c>
      <c r="L35" t="s">
        <v>113</v>
      </c>
    </row>
    <row r="36" spans="1:15" hidden="1" x14ac:dyDescent="0.25">
      <c r="A36">
        <v>15052</v>
      </c>
      <c r="B36">
        <v>72</v>
      </c>
      <c r="F36">
        <v>50</v>
      </c>
      <c r="G36" t="s">
        <v>183</v>
      </c>
      <c r="K36" t="s">
        <v>112</v>
      </c>
      <c r="L36" t="s">
        <v>113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148</v>
      </c>
    </row>
    <row r="2" spans="1:3" x14ac:dyDescent="0.25">
      <c r="A2" s="1" t="s">
        <v>147</v>
      </c>
      <c r="B2" t="s">
        <v>143</v>
      </c>
      <c r="C2" t="s">
        <v>149</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NN_Topology</vt:lpstr>
      <vt:lpstr>MSE</vt:lpstr>
      <vt:lpstr>Run_TRS</vt:lpstr>
      <vt:lpstr>Run_TR</vt:lpstr>
      <vt:lpstr>Run_BASE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2019-09-13T20:02:12Z</dcterms:modified>
</cp:coreProperties>
</file>